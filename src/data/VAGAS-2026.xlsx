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60" yWindow="-60" windowWidth="15480" windowHeight="11640"/>
  </bookViews>
  <sheets>
    <sheet name="GERAL" sheetId="1" r:id="rId1"/>
    <sheet name="PLAN SUPORTE" sheetId="4" r:id="rId2"/>
    <sheet name="MANAUS" sheetId="5" state="hidden" r:id="rId3"/>
  </sheets>
  <definedNames>
    <definedName name="_xlnm._FilterDatabase" localSheetId="0" hidden="1">GERAL!$A$1:$Q$885</definedName>
    <definedName name="_xlnm._FilterDatabase" localSheetId="2" hidden="1">MANAUS!$A$1:$R$476</definedName>
    <definedName name="_xlnm._FilterDatabase" localSheetId="1" hidden="1">'PLAN SUPORTE'!$D$1:$F$1</definedName>
    <definedName name="Filial">#REF!</definedName>
    <definedName name="LocalOrganograma">'PLAN SUPORTE'!$D$2:$D$3612</definedName>
    <definedName name="Z_3F7B9B59_97C6_4DCE_A3CE_9FB528C2365E_.wvu.FilterData" localSheetId="0" hidden="1">GERAL!$A$1:$Q$1</definedName>
    <definedName name="Z_3F7B9B59_97C6_4DCE_A3CE_9FB528C2365E_.wvu.FilterData" localSheetId="2" hidden="1">MANAUS!$A$1:$R$408</definedName>
  </definedNames>
  <calcPr calcId="145621"/>
  <customWorkbookViews>
    <customWorkbookView name="Filtro 1" guid="{3F7B9B59-97C6-4DCE-A3CE-9FB528C2365E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85" i="1" l="1"/>
  <c r="P885" i="1" s="1"/>
  <c r="N885" i="1"/>
  <c r="N881" i="1"/>
  <c r="N884" i="1"/>
  <c r="N883" i="1"/>
  <c r="O882" i="1"/>
  <c r="P882" i="1" s="1"/>
  <c r="N880" i="1"/>
  <c r="N882" i="1"/>
  <c r="N877" i="1"/>
  <c r="N878" i="1"/>
  <c r="N879" i="1"/>
  <c r="O884" i="1"/>
  <c r="P884" i="1" s="1"/>
  <c r="O883" i="1"/>
  <c r="P883" i="1" s="1"/>
  <c r="O881" i="1"/>
  <c r="P881" i="1" s="1"/>
  <c r="O880" i="1"/>
  <c r="P880" i="1" s="1"/>
  <c r="O879" i="1"/>
  <c r="P879" i="1" s="1"/>
  <c r="O878" i="1"/>
  <c r="P878" i="1" s="1"/>
  <c r="O877" i="1"/>
  <c r="P877" i="1" s="1"/>
  <c r="O876" i="1"/>
  <c r="P876" i="1" s="1"/>
  <c r="O875" i="1"/>
  <c r="P875" i="1" s="1"/>
  <c r="O874" i="1"/>
  <c r="P874" i="1" s="1"/>
  <c r="O873" i="1"/>
  <c r="P873" i="1" s="1"/>
  <c r="O872" i="1"/>
  <c r="P872" i="1" s="1"/>
  <c r="O871" i="1"/>
  <c r="P871" i="1" s="1"/>
  <c r="O870" i="1"/>
  <c r="P870" i="1" s="1"/>
  <c r="O869" i="1"/>
  <c r="P869" i="1" s="1"/>
  <c r="O868" i="1"/>
  <c r="P868" i="1" s="1"/>
  <c r="O867" i="1"/>
  <c r="P867" i="1" s="1"/>
  <c r="O866" i="1"/>
  <c r="P866" i="1" s="1"/>
  <c r="O865" i="1"/>
  <c r="P865" i="1" s="1"/>
  <c r="O864" i="1"/>
  <c r="P864" i="1" s="1"/>
  <c r="O863" i="1"/>
  <c r="P863" i="1" s="1"/>
  <c r="N867" i="1"/>
  <c r="N868" i="1"/>
  <c r="N869" i="1"/>
  <c r="N870" i="1"/>
  <c r="N871" i="1"/>
  <c r="N872" i="1"/>
  <c r="N873" i="1"/>
  <c r="N874" i="1"/>
  <c r="N875" i="1"/>
  <c r="N876" i="1"/>
  <c r="N863" i="1"/>
  <c r="N864" i="1"/>
  <c r="N865" i="1"/>
  <c r="N866" i="1"/>
  <c r="Q848" i="1"/>
  <c r="N848" i="1" s="1"/>
  <c r="Q846" i="1"/>
  <c r="Q845" i="1"/>
  <c r="Q844" i="1"/>
  <c r="Q843" i="1"/>
  <c r="Q841" i="1"/>
  <c r="N841" i="1" s="1"/>
  <c r="Q840" i="1"/>
  <c r="Q839" i="1"/>
  <c r="N839" i="1" s="1"/>
  <c r="Q838" i="1"/>
  <c r="N838" i="1" s="1"/>
  <c r="Q836" i="1"/>
  <c r="Q835" i="1"/>
  <c r="Q834" i="1"/>
  <c r="Q832" i="1"/>
  <c r="N832" i="1" s="1"/>
  <c r="Q827" i="1"/>
  <c r="N827" i="1" s="1"/>
  <c r="Q826" i="1"/>
  <c r="N862" i="1"/>
  <c r="O862" i="1"/>
  <c r="P862" i="1" s="1"/>
  <c r="O861" i="1"/>
  <c r="P861" i="1" s="1"/>
  <c r="Q847" i="1"/>
  <c r="Q849" i="1"/>
  <c r="Q850" i="1"/>
  <c r="N850" i="1" s="1"/>
  <c r="Q851" i="1"/>
  <c r="N851" i="1" s="1"/>
  <c r="Q852" i="1"/>
  <c r="N852" i="1" s="1"/>
  <c r="Q853" i="1"/>
  <c r="N853" i="1" s="1"/>
  <c r="Q854" i="1"/>
  <c r="N854" i="1" s="1"/>
  <c r="Q855" i="1"/>
  <c r="N855" i="1" s="1"/>
  <c r="Q856" i="1"/>
  <c r="Q857" i="1"/>
  <c r="Q858" i="1"/>
  <c r="Q859" i="1"/>
  <c r="Q860" i="1"/>
  <c r="Q861" i="1"/>
  <c r="N847" i="1"/>
  <c r="O847" i="1"/>
  <c r="P847" i="1" s="1"/>
  <c r="O848" i="1"/>
  <c r="P848" i="1" s="1"/>
  <c r="N849" i="1"/>
  <c r="O849" i="1"/>
  <c r="P849" i="1" s="1"/>
  <c r="O850" i="1"/>
  <c r="P850" i="1" s="1"/>
  <c r="O851" i="1"/>
  <c r="P851" i="1" s="1"/>
  <c r="O852" i="1"/>
  <c r="P852" i="1" s="1"/>
  <c r="O853" i="1"/>
  <c r="P853" i="1" s="1"/>
  <c r="O854" i="1"/>
  <c r="P854" i="1" s="1"/>
  <c r="O855" i="1"/>
  <c r="P855" i="1" s="1"/>
  <c r="N856" i="1"/>
  <c r="O856" i="1"/>
  <c r="P856" i="1" s="1"/>
  <c r="N857" i="1"/>
  <c r="O857" i="1"/>
  <c r="P857" i="1" s="1"/>
  <c r="N858" i="1"/>
  <c r="O858" i="1"/>
  <c r="P858" i="1" s="1"/>
  <c r="N859" i="1"/>
  <c r="O859" i="1"/>
  <c r="P859" i="1" s="1"/>
  <c r="N860" i="1"/>
  <c r="O860" i="1"/>
  <c r="P860" i="1" s="1"/>
  <c r="N861" i="1"/>
  <c r="O846" i="1"/>
  <c r="O845" i="1"/>
  <c r="O844" i="1"/>
  <c r="O843" i="1"/>
  <c r="P843" i="1" s="1"/>
  <c r="Q842" i="1"/>
  <c r="O842" i="1"/>
  <c r="P842" i="1" s="1"/>
  <c r="O839" i="1"/>
  <c r="P839" i="1" s="1"/>
  <c r="O840" i="1"/>
  <c r="P840" i="1" s="1"/>
  <c r="O841" i="1"/>
  <c r="P841" i="1" s="1"/>
  <c r="N840" i="1"/>
  <c r="O838" i="1"/>
  <c r="P838" i="1" s="1"/>
  <c r="Q837" i="1"/>
  <c r="N837" i="1" s="1"/>
  <c r="Q833" i="1"/>
  <c r="N833" i="1" s="1"/>
  <c r="Q831" i="1"/>
  <c r="Q830" i="1"/>
  <c r="N830" i="1" s="1"/>
  <c r="Q829" i="1"/>
  <c r="N829" i="1" s="1"/>
  <c r="Q828" i="1"/>
  <c r="N828" i="1" s="1"/>
  <c r="Q809" i="1"/>
  <c r="O837" i="1"/>
  <c r="P837" i="1" s="1"/>
  <c r="O827" i="1"/>
  <c r="P827" i="1" s="1"/>
  <c r="O828" i="1"/>
  <c r="P828" i="1" s="1"/>
  <c r="O829" i="1"/>
  <c r="P829" i="1" s="1"/>
  <c r="O830" i="1"/>
  <c r="P830" i="1" s="1"/>
  <c r="O831" i="1"/>
  <c r="P831" i="1" s="1"/>
  <c r="O832" i="1"/>
  <c r="P832" i="1" s="1"/>
  <c r="O833" i="1"/>
  <c r="P833" i="1" s="1"/>
  <c r="O834" i="1"/>
  <c r="P834" i="1" s="1"/>
  <c r="O835" i="1"/>
  <c r="P835" i="1" s="1"/>
  <c r="O836" i="1"/>
  <c r="P836" i="1" s="1"/>
  <c r="O826" i="1"/>
  <c r="P826" i="1" s="1"/>
  <c r="O809" i="1"/>
  <c r="N826" i="1"/>
  <c r="Q825" i="1"/>
  <c r="N825" i="1" s="1"/>
  <c r="O825" i="1"/>
  <c r="P825" i="1" s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O810" i="1"/>
  <c r="P810" i="1" s="1"/>
  <c r="P809" i="1"/>
  <c r="Q812" i="1"/>
  <c r="Q811" i="1"/>
  <c r="Q810" i="1"/>
  <c r="Q808" i="1"/>
  <c r="N808" i="1" s="1"/>
  <c r="Q807" i="1"/>
  <c r="Q806" i="1"/>
  <c r="N806" i="1" s="1"/>
  <c r="Q805" i="1"/>
  <c r="Q804" i="1"/>
  <c r="N804" i="1" s="1"/>
  <c r="Q803" i="1"/>
  <c r="Q801" i="1"/>
  <c r="N801" i="1" s="1"/>
  <c r="Q800" i="1"/>
  <c r="Q799" i="1"/>
  <c r="N799" i="1" s="1"/>
  <c r="Q798" i="1"/>
  <c r="Q660" i="1"/>
  <c r="Q658" i="1"/>
  <c r="N658" i="1" s="1"/>
  <c r="Q657" i="1"/>
  <c r="Q656" i="1"/>
  <c r="Q653" i="1"/>
  <c r="Q652" i="1"/>
  <c r="Q651" i="1"/>
  <c r="N651" i="1" s="1"/>
  <c r="Q650" i="1"/>
  <c r="Q649" i="1"/>
  <c r="N649" i="1" s="1"/>
  <c r="Q542" i="1"/>
  <c r="O806" i="1"/>
  <c r="P806" i="1" s="1"/>
  <c r="O807" i="1"/>
  <c r="P807" i="1" s="1"/>
  <c r="O808" i="1"/>
  <c r="P808" i="1" s="1"/>
  <c r="O811" i="1"/>
  <c r="P811" i="1" s="1"/>
  <c r="O812" i="1"/>
  <c r="O813" i="1"/>
  <c r="O805" i="1"/>
  <c r="P805" i="1" s="1"/>
  <c r="O804" i="1"/>
  <c r="P804" i="1" s="1"/>
  <c r="O803" i="1"/>
  <c r="P803" i="1" s="1"/>
  <c r="O801" i="1"/>
  <c r="P801" i="1" s="1"/>
  <c r="N805" i="1"/>
  <c r="N807" i="1"/>
  <c r="Q661" i="1"/>
  <c r="Q655" i="1"/>
  <c r="Q654" i="1"/>
  <c r="Q541" i="1"/>
  <c r="N541" i="1" s="1"/>
  <c r="O800" i="1"/>
  <c r="P800" i="1" s="1"/>
  <c r="O799" i="1"/>
  <c r="P799" i="1" s="1"/>
  <c r="O798" i="1"/>
  <c r="P798" i="1" s="1"/>
  <c r="O661" i="1"/>
  <c r="P661" i="1" s="1"/>
  <c r="O660" i="1"/>
  <c r="P660" i="1" s="1"/>
  <c r="N800" i="1"/>
  <c r="Q662" i="1"/>
  <c r="Q659" i="1"/>
  <c r="N662" i="1"/>
  <c r="O662" i="1"/>
  <c r="P662" i="1" s="1"/>
  <c r="Q797" i="1"/>
  <c r="Q796" i="1"/>
  <c r="Q795" i="1"/>
  <c r="Q794" i="1"/>
  <c r="Q793" i="1"/>
  <c r="Q792" i="1"/>
  <c r="Q791" i="1"/>
  <c r="Q790" i="1"/>
  <c r="Q789" i="1"/>
  <c r="Q788" i="1"/>
  <c r="Q787" i="1"/>
  <c r="Q786" i="1"/>
  <c r="Q785" i="1"/>
  <c r="Q784" i="1"/>
  <c r="Q783" i="1"/>
  <c r="Q782" i="1"/>
  <c r="Q781" i="1"/>
  <c r="Q780" i="1"/>
  <c r="Q779" i="1"/>
  <c r="Q778" i="1"/>
  <c r="Q777" i="1"/>
  <c r="Q776" i="1"/>
  <c r="Q775" i="1"/>
  <c r="Q774" i="1"/>
  <c r="Q773" i="1"/>
  <c r="Q772" i="1"/>
  <c r="Q771" i="1"/>
  <c r="Q770" i="1"/>
  <c r="Q769" i="1"/>
  <c r="Q768" i="1"/>
  <c r="Q767" i="1"/>
  <c r="Q766" i="1"/>
  <c r="Q765" i="1"/>
  <c r="Q764" i="1"/>
  <c r="Q763" i="1"/>
  <c r="Q762" i="1"/>
  <c r="Q761" i="1"/>
  <c r="Q760" i="1"/>
  <c r="Q759" i="1"/>
  <c r="Q758" i="1"/>
  <c r="Q757" i="1"/>
  <c r="Q756" i="1"/>
  <c r="Q755" i="1"/>
  <c r="Q754" i="1"/>
  <c r="Q753" i="1"/>
  <c r="Q752" i="1"/>
  <c r="Q751" i="1"/>
  <c r="Q750" i="1"/>
  <c r="Q749" i="1"/>
  <c r="Q748" i="1"/>
  <c r="Q747" i="1"/>
  <c r="Q746" i="1"/>
  <c r="Q745" i="1"/>
  <c r="Q744" i="1"/>
  <c r="Q743" i="1"/>
  <c r="Q742" i="1"/>
  <c r="Q741" i="1"/>
  <c r="Q740" i="1"/>
  <c r="Q739" i="1"/>
  <c r="Q738" i="1"/>
  <c r="Q737" i="1"/>
  <c r="Q736" i="1"/>
  <c r="Q735" i="1"/>
  <c r="Q734" i="1"/>
  <c r="Q733" i="1"/>
  <c r="Q732" i="1"/>
  <c r="Q731" i="1"/>
  <c r="Q730" i="1"/>
  <c r="Q729" i="1"/>
  <c r="Q728" i="1"/>
  <c r="Q727" i="1"/>
  <c r="Q726" i="1"/>
  <c r="Q725" i="1"/>
  <c r="Q724" i="1"/>
  <c r="Q723" i="1"/>
  <c r="Q722" i="1"/>
  <c r="Q721" i="1"/>
  <c r="Q720" i="1"/>
  <c r="Q719" i="1"/>
  <c r="Q718" i="1"/>
  <c r="Q717" i="1"/>
  <c r="Q716" i="1"/>
  <c r="Q715" i="1"/>
  <c r="Q714" i="1"/>
  <c r="Q713" i="1"/>
  <c r="Q712" i="1"/>
  <c r="Q711" i="1"/>
  <c r="Q710" i="1"/>
  <c r="Q709" i="1"/>
  <c r="Q708" i="1"/>
  <c r="Q707" i="1"/>
  <c r="Q706" i="1"/>
  <c r="Q705" i="1"/>
  <c r="Q704" i="1"/>
  <c r="Q703" i="1"/>
  <c r="Q702" i="1"/>
  <c r="Q701" i="1"/>
  <c r="Q700" i="1"/>
  <c r="Q699" i="1"/>
  <c r="Q698" i="1"/>
  <c r="Q697" i="1"/>
  <c r="Q696" i="1"/>
  <c r="Q695" i="1"/>
  <c r="Q694" i="1"/>
  <c r="Q693" i="1"/>
  <c r="Q692" i="1"/>
  <c r="Q691" i="1"/>
  <c r="Q690" i="1"/>
  <c r="Q689" i="1"/>
  <c r="Q688" i="1"/>
  <c r="Q687" i="1"/>
  <c r="Q686" i="1"/>
  <c r="Q685" i="1"/>
  <c r="Q684" i="1"/>
  <c r="Q683" i="1"/>
  <c r="Q682" i="1"/>
  <c r="Q681" i="1"/>
  <c r="Q680" i="1"/>
  <c r="Q679" i="1"/>
  <c r="Q678" i="1"/>
  <c r="Q677" i="1"/>
  <c r="Q676" i="1"/>
  <c r="Q675" i="1"/>
  <c r="Q674" i="1"/>
  <c r="Q673" i="1"/>
  <c r="Q672" i="1"/>
  <c r="Q671" i="1"/>
  <c r="Q670" i="1"/>
  <c r="Q669" i="1"/>
  <c r="Q668" i="1"/>
  <c r="Q667" i="1"/>
  <c r="Q666" i="1"/>
  <c r="Q665" i="1"/>
  <c r="Q664" i="1"/>
  <c r="Q663" i="1"/>
  <c r="Q648" i="1"/>
  <c r="N648" i="1" s="1"/>
  <c r="Q647" i="1"/>
  <c r="N647" i="1" s="1"/>
  <c r="Q645" i="1"/>
  <c r="N645" i="1" s="1"/>
  <c r="Q646" i="1"/>
  <c r="Q644" i="1"/>
  <c r="Q643" i="1"/>
  <c r="Q642" i="1"/>
  <c r="Q641" i="1"/>
  <c r="Q640" i="1"/>
  <c r="P778" i="1"/>
  <c r="P777" i="1"/>
  <c r="P776" i="1"/>
  <c r="P775" i="1"/>
  <c r="P774" i="1"/>
  <c r="P773" i="1"/>
  <c r="P772" i="1"/>
  <c r="P771" i="1"/>
  <c r="P770" i="1"/>
  <c r="P769" i="1"/>
  <c r="P768" i="1"/>
  <c r="P767" i="1"/>
  <c r="P766" i="1"/>
  <c r="P765" i="1"/>
  <c r="P764" i="1"/>
  <c r="P763" i="1"/>
  <c r="P762" i="1"/>
  <c r="P761" i="1"/>
  <c r="P760" i="1"/>
  <c r="P759" i="1"/>
  <c r="P758" i="1"/>
  <c r="P757" i="1"/>
  <c r="P756" i="1"/>
  <c r="P755" i="1"/>
  <c r="P754" i="1"/>
  <c r="P753" i="1"/>
  <c r="P752" i="1"/>
  <c r="P751" i="1"/>
  <c r="P750" i="1"/>
  <c r="P749" i="1"/>
  <c r="P748" i="1"/>
  <c r="P747" i="1"/>
  <c r="P746" i="1"/>
  <c r="P745" i="1"/>
  <c r="P744" i="1"/>
  <c r="P743" i="1"/>
  <c r="P742" i="1"/>
  <c r="P741" i="1"/>
  <c r="P740" i="1"/>
  <c r="P739" i="1"/>
  <c r="P738" i="1"/>
  <c r="P737" i="1"/>
  <c r="P736" i="1"/>
  <c r="P735" i="1"/>
  <c r="P734" i="1"/>
  <c r="P733" i="1"/>
  <c r="P732" i="1"/>
  <c r="P731" i="1"/>
  <c r="P730" i="1"/>
  <c r="P729" i="1"/>
  <c r="P728" i="1"/>
  <c r="P727" i="1"/>
  <c r="O726" i="1"/>
  <c r="P726" i="1" s="1"/>
  <c r="O725" i="1"/>
  <c r="P725" i="1" s="1"/>
  <c r="O724" i="1"/>
  <c r="P724" i="1" s="1"/>
  <c r="O723" i="1"/>
  <c r="P723" i="1" s="1"/>
  <c r="O722" i="1"/>
  <c r="P722" i="1" s="1"/>
  <c r="O721" i="1"/>
  <c r="P721" i="1" s="1"/>
  <c r="O720" i="1"/>
  <c r="P720" i="1" s="1"/>
  <c r="O719" i="1"/>
  <c r="P719" i="1" s="1"/>
  <c r="O718" i="1"/>
  <c r="P718" i="1" s="1"/>
  <c r="O717" i="1"/>
  <c r="P717" i="1" s="1"/>
  <c r="O716" i="1"/>
  <c r="P716" i="1" s="1"/>
  <c r="O715" i="1"/>
  <c r="P715" i="1" s="1"/>
  <c r="O714" i="1"/>
  <c r="P714" i="1" s="1"/>
  <c r="O713" i="1"/>
  <c r="P713" i="1" s="1"/>
  <c r="O712" i="1"/>
  <c r="P712" i="1" s="1"/>
  <c r="O711" i="1"/>
  <c r="P711" i="1" s="1"/>
  <c r="O710" i="1"/>
  <c r="P710" i="1" s="1"/>
  <c r="O709" i="1"/>
  <c r="P709" i="1" s="1"/>
  <c r="O708" i="1"/>
  <c r="P708" i="1" s="1"/>
  <c r="O707" i="1"/>
  <c r="P707" i="1" s="1"/>
  <c r="O706" i="1"/>
  <c r="P706" i="1" s="1"/>
  <c r="O705" i="1"/>
  <c r="P705" i="1" s="1"/>
  <c r="O704" i="1"/>
  <c r="P704" i="1" s="1"/>
  <c r="O703" i="1"/>
  <c r="P703" i="1" s="1"/>
  <c r="O702" i="1"/>
  <c r="P702" i="1" s="1"/>
  <c r="O701" i="1"/>
  <c r="P701" i="1" s="1"/>
  <c r="O700" i="1"/>
  <c r="P700" i="1" s="1"/>
  <c r="O699" i="1"/>
  <c r="P699" i="1" s="1"/>
  <c r="O698" i="1"/>
  <c r="P698" i="1" s="1"/>
  <c r="O697" i="1"/>
  <c r="P697" i="1" s="1"/>
  <c r="O696" i="1"/>
  <c r="P696" i="1" s="1"/>
  <c r="O695" i="1"/>
  <c r="P695" i="1" s="1"/>
  <c r="O694" i="1"/>
  <c r="P694" i="1" s="1"/>
  <c r="O693" i="1"/>
  <c r="P693" i="1" s="1"/>
  <c r="O692" i="1"/>
  <c r="P692" i="1" s="1"/>
  <c r="O691" i="1"/>
  <c r="P691" i="1" s="1"/>
  <c r="O690" i="1"/>
  <c r="P690" i="1" s="1"/>
  <c r="O689" i="1"/>
  <c r="P689" i="1" s="1"/>
  <c r="O688" i="1"/>
  <c r="P688" i="1" s="1"/>
  <c r="O687" i="1"/>
  <c r="P687" i="1" s="1"/>
  <c r="O686" i="1"/>
  <c r="P686" i="1" s="1"/>
  <c r="O685" i="1"/>
  <c r="P685" i="1" s="1"/>
  <c r="O684" i="1"/>
  <c r="P684" i="1" s="1"/>
  <c r="O683" i="1"/>
  <c r="P683" i="1" s="1"/>
  <c r="O682" i="1"/>
  <c r="P682" i="1" s="1"/>
  <c r="O681" i="1"/>
  <c r="P681" i="1" s="1"/>
  <c r="O680" i="1"/>
  <c r="P680" i="1" s="1"/>
  <c r="O679" i="1"/>
  <c r="P679" i="1" s="1"/>
  <c r="O678" i="1"/>
  <c r="P678" i="1" s="1"/>
  <c r="O677" i="1"/>
  <c r="P677" i="1" s="1"/>
  <c r="O676" i="1"/>
  <c r="P676" i="1" s="1"/>
  <c r="O675" i="1"/>
  <c r="P675" i="1" s="1"/>
  <c r="O674" i="1"/>
  <c r="P674" i="1" s="1"/>
  <c r="O673" i="1"/>
  <c r="P673" i="1" s="1"/>
  <c r="O672" i="1"/>
  <c r="P672" i="1" s="1"/>
  <c r="O671" i="1"/>
  <c r="P671" i="1" s="1"/>
  <c r="O670" i="1"/>
  <c r="P670" i="1" s="1"/>
  <c r="O669" i="1"/>
  <c r="P669" i="1" s="1"/>
  <c r="O668" i="1"/>
  <c r="P668" i="1" s="1"/>
  <c r="O667" i="1"/>
  <c r="P667" i="1" s="1"/>
  <c r="O666" i="1"/>
  <c r="P666" i="1" s="1"/>
  <c r="O665" i="1"/>
  <c r="P665" i="1" s="1"/>
  <c r="O664" i="1"/>
  <c r="P664" i="1" s="1"/>
  <c r="O663" i="1"/>
  <c r="P663" i="1" s="1"/>
  <c r="O649" i="1"/>
  <c r="P649" i="1" s="1"/>
  <c r="O650" i="1"/>
  <c r="P650" i="1" s="1"/>
  <c r="O657" i="1"/>
  <c r="P657" i="1" s="1"/>
  <c r="O656" i="1"/>
  <c r="P656" i="1" s="1"/>
  <c r="O655" i="1"/>
  <c r="P655" i="1" s="1"/>
  <c r="O654" i="1"/>
  <c r="P654" i="1" s="1"/>
  <c r="O652" i="1"/>
  <c r="P652" i="1" s="1"/>
  <c r="O659" i="1"/>
  <c r="P659" i="1" s="1"/>
  <c r="O651" i="1"/>
  <c r="P651" i="1" s="1"/>
  <c r="O658" i="1"/>
  <c r="P658" i="1" s="1"/>
  <c r="O653" i="1"/>
  <c r="P653" i="1" s="1"/>
  <c r="O648" i="1"/>
  <c r="P648" i="1" s="1"/>
  <c r="O647" i="1"/>
  <c r="P647" i="1" s="1"/>
  <c r="O645" i="1"/>
  <c r="P645" i="1" s="1"/>
  <c r="O646" i="1"/>
  <c r="P646" i="1" s="1"/>
  <c r="O644" i="1"/>
  <c r="P644" i="1" s="1"/>
  <c r="O643" i="1"/>
  <c r="P643" i="1" s="1"/>
  <c r="O642" i="1"/>
  <c r="P642" i="1" s="1"/>
  <c r="O641" i="1"/>
  <c r="P641" i="1" s="1"/>
  <c r="O640" i="1"/>
  <c r="P640" i="1" s="1"/>
  <c r="O542" i="1"/>
  <c r="P542" i="1" s="1"/>
  <c r="N717" i="1"/>
  <c r="N716" i="1"/>
  <c r="N715" i="1"/>
  <c r="N714" i="1"/>
  <c r="N713" i="1"/>
  <c r="N712" i="1"/>
  <c r="N711" i="1"/>
  <c r="N710" i="1"/>
  <c r="N709" i="1"/>
  <c r="N708" i="1"/>
  <c r="N707" i="1"/>
  <c r="N706" i="1"/>
  <c r="N705" i="1"/>
  <c r="N704" i="1"/>
  <c r="N703" i="1"/>
  <c r="N702" i="1"/>
  <c r="N701" i="1"/>
  <c r="N700" i="1"/>
  <c r="N699" i="1"/>
  <c r="N698" i="1"/>
  <c r="N697" i="1"/>
  <c r="N696" i="1"/>
  <c r="N695" i="1"/>
  <c r="N694" i="1"/>
  <c r="N693" i="1"/>
  <c r="N692" i="1"/>
  <c r="N691" i="1"/>
  <c r="N690" i="1"/>
  <c r="N689" i="1"/>
  <c r="N688" i="1"/>
  <c r="N687" i="1"/>
  <c r="N686" i="1"/>
  <c r="N685" i="1"/>
  <c r="N684" i="1"/>
  <c r="N683" i="1"/>
  <c r="N682" i="1"/>
  <c r="N681" i="1"/>
  <c r="N680" i="1"/>
  <c r="N679" i="1"/>
  <c r="N678" i="1"/>
  <c r="N677" i="1"/>
  <c r="N676" i="1"/>
  <c r="N675" i="1"/>
  <c r="N674" i="1"/>
  <c r="N673" i="1"/>
  <c r="N672" i="1"/>
  <c r="N671" i="1"/>
  <c r="N670" i="1"/>
  <c r="N669" i="1"/>
  <c r="N668" i="1"/>
  <c r="N667" i="1"/>
  <c r="N666" i="1"/>
  <c r="N665" i="1"/>
  <c r="N664" i="1"/>
  <c r="N663" i="1"/>
  <c r="N650" i="1"/>
  <c r="N656" i="1"/>
  <c r="N653" i="1"/>
  <c r="N646" i="1"/>
  <c r="Q639" i="1"/>
  <c r="Q638" i="1"/>
  <c r="Q637" i="1"/>
  <c r="Q636" i="1"/>
  <c r="Q635" i="1"/>
  <c r="Q634" i="1"/>
  <c r="Q633" i="1"/>
  <c r="Q632" i="1"/>
  <c r="Q631" i="1"/>
  <c r="Q630" i="1"/>
  <c r="Q629" i="1"/>
  <c r="Q628" i="1"/>
  <c r="Q627" i="1"/>
  <c r="Q626" i="1"/>
  <c r="Q625" i="1"/>
  <c r="Q624" i="1"/>
  <c r="Q623" i="1"/>
  <c r="Q622" i="1"/>
  <c r="Q621" i="1"/>
  <c r="Q620" i="1"/>
  <c r="N620" i="1" s="1"/>
  <c r="Q619" i="1"/>
  <c r="N619" i="1" s="1"/>
  <c r="Q618" i="1"/>
  <c r="N618" i="1" s="1"/>
  <c r="Q617" i="1"/>
  <c r="Q616" i="1"/>
  <c r="Q615" i="1"/>
  <c r="Q614" i="1"/>
  <c r="N614" i="1" s="1"/>
  <c r="Q613" i="1"/>
  <c r="Q612" i="1"/>
  <c r="Q611" i="1"/>
  <c r="Q610" i="1"/>
  <c r="N610" i="1" s="1"/>
  <c r="Q609" i="1"/>
  <c r="N609" i="1" s="1"/>
  <c r="Q608" i="1"/>
  <c r="N608" i="1" s="1"/>
  <c r="Q607" i="1"/>
  <c r="N607" i="1" s="1"/>
  <c r="Q606" i="1"/>
  <c r="N606" i="1" s="1"/>
  <c r="Q605" i="1"/>
  <c r="Q604" i="1"/>
  <c r="Q603" i="1"/>
  <c r="Q602" i="1"/>
  <c r="N602" i="1" s="1"/>
  <c r="Q601" i="1"/>
  <c r="Q600" i="1"/>
  <c r="N600" i="1" s="1"/>
  <c r="Q599" i="1"/>
  <c r="N599" i="1" s="1"/>
  <c r="Q598" i="1"/>
  <c r="N598" i="1" s="1"/>
  <c r="Q597" i="1"/>
  <c r="N597" i="1" s="1"/>
  <c r="Q596" i="1"/>
  <c r="N596" i="1" s="1"/>
  <c r="Q595" i="1"/>
  <c r="N595" i="1" s="1"/>
  <c r="Q594" i="1"/>
  <c r="N594" i="1" s="1"/>
  <c r="Q593" i="1"/>
  <c r="Q592" i="1"/>
  <c r="Q591" i="1"/>
  <c r="Q590" i="1"/>
  <c r="N590" i="1" s="1"/>
  <c r="Q589" i="1"/>
  <c r="Q588" i="1"/>
  <c r="Q587" i="1"/>
  <c r="Q586" i="1"/>
  <c r="Q585" i="1"/>
  <c r="Q584" i="1"/>
  <c r="Q583" i="1"/>
  <c r="Q582" i="1"/>
  <c r="Q581" i="1"/>
  <c r="Q580" i="1"/>
  <c r="Q579" i="1"/>
  <c r="Q578" i="1"/>
  <c r="Q577" i="1"/>
  <c r="Q576" i="1"/>
  <c r="Q575" i="1"/>
  <c r="Q574" i="1"/>
  <c r="N574" i="1" s="1"/>
  <c r="Q573" i="1"/>
  <c r="N573" i="1" s="1"/>
  <c r="Q572" i="1"/>
  <c r="N572" i="1" s="1"/>
  <c r="Q571" i="1"/>
  <c r="N571" i="1" s="1"/>
  <c r="Q570" i="1"/>
  <c r="N570" i="1" s="1"/>
  <c r="Q569" i="1"/>
  <c r="Q568" i="1"/>
  <c r="Q567" i="1"/>
  <c r="Q566" i="1"/>
  <c r="Q565" i="1"/>
  <c r="Q564" i="1"/>
  <c r="Q563" i="1"/>
  <c r="N563" i="1" s="1"/>
  <c r="Q562" i="1"/>
  <c r="N562" i="1" s="1"/>
  <c r="Q561" i="1"/>
  <c r="N561" i="1" s="1"/>
  <c r="Q560" i="1"/>
  <c r="Q559" i="1"/>
  <c r="Q558" i="1"/>
  <c r="Q557" i="1"/>
  <c r="Q556" i="1"/>
  <c r="Q555" i="1"/>
  <c r="Q554" i="1"/>
  <c r="Q553" i="1"/>
  <c r="Q552" i="1"/>
  <c r="Q551" i="1"/>
  <c r="Q550" i="1"/>
  <c r="Q549" i="1"/>
  <c r="Q548" i="1"/>
  <c r="Q547" i="1"/>
  <c r="Q546" i="1"/>
  <c r="Q545" i="1"/>
  <c r="Q544" i="1"/>
  <c r="Q543" i="1"/>
  <c r="Q540" i="1"/>
  <c r="Q539" i="1"/>
  <c r="Q538" i="1"/>
  <c r="Q537" i="1"/>
  <c r="Q536" i="1"/>
  <c r="Q535" i="1"/>
  <c r="Q534" i="1"/>
  <c r="Q533" i="1"/>
  <c r="Q436" i="1"/>
  <c r="N436" i="1" s="1"/>
  <c r="P628" i="1"/>
  <c r="P627" i="1"/>
  <c r="P626" i="1"/>
  <c r="P625" i="1"/>
  <c r="O624" i="1"/>
  <c r="P624" i="1" s="1"/>
  <c r="O623" i="1"/>
  <c r="P623" i="1" s="1"/>
  <c r="O622" i="1"/>
  <c r="P622" i="1" s="1"/>
  <c r="O621" i="1"/>
  <c r="P621" i="1" s="1"/>
  <c r="O620" i="1"/>
  <c r="P620" i="1" s="1"/>
  <c r="O619" i="1"/>
  <c r="P619" i="1" s="1"/>
  <c r="O618" i="1"/>
  <c r="P618" i="1" s="1"/>
  <c r="O617" i="1"/>
  <c r="P617" i="1" s="1"/>
  <c r="O616" i="1"/>
  <c r="P616" i="1" s="1"/>
  <c r="O615" i="1"/>
  <c r="P615" i="1" s="1"/>
  <c r="O614" i="1"/>
  <c r="P614" i="1" s="1"/>
  <c r="O613" i="1"/>
  <c r="P613" i="1" s="1"/>
  <c r="O612" i="1"/>
  <c r="P612" i="1" s="1"/>
  <c r="O611" i="1"/>
  <c r="P611" i="1" s="1"/>
  <c r="O610" i="1"/>
  <c r="P610" i="1" s="1"/>
  <c r="O609" i="1"/>
  <c r="P609" i="1" s="1"/>
  <c r="O608" i="1"/>
  <c r="P608" i="1" s="1"/>
  <c r="O607" i="1"/>
  <c r="P607" i="1" s="1"/>
  <c r="O606" i="1"/>
  <c r="P606" i="1" s="1"/>
  <c r="O605" i="1"/>
  <c r="P605" i="1" s="1"/>
  <c r="O604" i="1"/>
  <c r="P604" i="1" s="1"/>
  <c r="O603" i="1"/>
  <c r="P603" i="1" s="1"/>
  <c r="O602" i="1"/>
  <c r="P602" i="1" s="1"/>
  <c r="O601" i="1"/>
  <c r="P601" i="1" s="1"/>
  <c r="O600" i="1"/>
  <c r="P600" i="1" s="1"/>
  <c r="O599" i="1"/>
  <c r="P599" i="1" s="1"/>
  <c r="O598" i="1"/>
  <c r="P598" i="1" s="1"/>
  <c r="O597" i="1"/>
  <c r="P597" i="1" s="1"/>
  <c r="O596" i="1"/>
  <c r="P596" i="1" s="1"/>
  <c r="O595" i="1"/>
  <c r="P595" i="1" s="1"/>
  <c r="O594" i="1"/>
  <c r="P594" i="1" s="1"/>
  <c r="O593" i="1"/>
  <c r="P593" i="1" s="1"/>
  <c r="O592" i="1"/>
  <c r="P592" i="1" s="1"/>
  <c r="O591" i="1"/>
  <c r="P591" i="1" s="1"/>
  <c r="O590" i="1"/>
  <c r="P590" i="1" s="1"/>
  <c r="O589" i="1"/>
  <c r="P589" i="1" s="1"/>
  <c r="O588" i="1"/>
  <c r="P588" i="1" s="1"/>
  <c r="O587" i="1"/>
  <c r="P587" i="1" s="1"/>
  <c r="O586" i="1"/>
  <c r="P586" i="1" s="1"/>
  <c r="O585" i="1"/>
  <c r="P585" i="1" s="1"/>
  <c r="O584" i="1"/>
  <c r="P584" i="1" s="1"/>
  <c r="O583" i="1"/>
  <c r="P583" i="1" s="1"/>
  <c r="O582" i="1"/>
  <c r="P582" i="1" s="1"/>
  <c r="O581" i="1"/>
  <c r="P581" i="1" s="1"/>
  <c r="O580" i="1"/>
  <c r="P580" i="1" s="1"/>
  <c r="O579" i="1"/>
  <c r="P579" i="1" s="1"/>
  <c r="O578" i="1"/>
  <c r="P578" i="1" s="1"/>
  <c r="O577" i="1"/>
  <c r="P577" i="1" s="1"/>
  <c r="O576" i="1"/>
  <c r="P576" i="1" s="1"/>
  <c r="O575" i="1"/>
  <c r="P575" i="1" s="1"/>
  <c r="O574" i="1"/>
  <c r="P574" i="1" s="1"/>
  <c r="O573" i="1"/>
  <c r="P573" i="1" s="1"/>
  <c r="O572" i="1"/>
  <c r="P572" i="1" s="1"/>
  <c r="O571" i="1"/>
  <c r="P571" i="1" s="1"/>
  <c r="O570" i="1"/>
  <c r="P570" i="1" s="1"/>
  <c r="O569" i="1"/>
  <c r="P569" i="1" s="1"/>
  <c r="O568" i="1"/>
  <c r="P568" i="1" s="1"/>
  <c r="O567" i="1"/>
  <c r="P567" i="1" s="1"/>
  <c r="O566" i="1"/>
  <c r="P566" i="1" s="1"/>
  <c r="O565" i="1"/>
  <c r="P565" i="1" s="1"/>
  <c r="O564" i="1"/>
  <c r="P564" i="1" s="1"/>
  <c r="O563" i="1"/>
  <c r="P563" i="1" s="1"/>
  <c r="O562" i="1"/>
  <c r="P562" i="1" s="1"/>
  <c r="O561" i="1"/>
  <c r="P561" i="1" s="1"/>
  <c r="O560" i="1"/>
  <c r="P560" i="1" s="1"/>
  <c r="O559" i="1"/>
  <c r="P559" i="1" s="1"/>
  <c r="O558" i="1"/>
  <c r="P558" i="1" s="1"/>
  <c r="O557" i="1"/>
  <c r="P557" i="1" s="1"/>
  <c r="O556" i="1"/>
  <c r="P556" i="1" s="1"/>
  <c r="O555" i="1"/>
  <c r="P555" i="1" s="1"/>
  <c r="O554" i="1"/>
  <c r="P554" i="1" s="1"/>
  <c r="O553" i="1"/>
  <c r="P553" i="1" s="1"/>
  <c r="O552" i="1"/>
  <c r="P552" i="1" s="1"/>
  <c r="O551" i="1"/>
  <c r="P551" i="1" s="1"/>
  <c r="O550" i="1"/>
  <c r="P550" i="1" s="1"/>
  <c r="O549" i="1"/>
  <c r="P549" i="1" s="1"/>
  <c r="O548" i="1"/>
  <c r="P548" i="1" s="1"/>
  <c r="O547" i="1"/>
  <c r="P547" i="1" s="1"/>
  <c r="O546" i="1"/>
  <c r="P546" i="1" s="1"/>
  <c r="O545" i="1"/>
  <c r="P545" i="1" s="1"/>
  <c r="O544" i="1"/>
  <c r="P544" i="1" s="1"/>
  <c r="O543" i="1"/>
  <c r="P543" i="1" s="1"/>
  <c r="O541" i="1"/>
  <c r="P541" i="1" s="1"/>
  <c r="O540" i="1"/>
  <c r="P540" i="1" s="1"/>
  <c r="O539" i="1"/>
  <c r="P539" i="1" s="1"/>
  <c r="O538" i="1"/>
  <c r="P538" i="1" s="1"/>
  <c r="O537" i="1"/>
  <c r="P537" i="1" s="1"/>
  <c r="O536" i="1"/>
  <c r="P536" i="1" s="1"/>
  <c r="O535" i="1"/>
  <c r="P535" i="1" s="1"/>
  <c r="O534" i="1"/>
  <c r="P534" i="1" s="1"/>
  <c r="O533" i="1"/>
  <c r="P533" i="1" s="1"/>
  <c r="O436" i="1"/>
  <c r="P436" i="1" s="1"/>
  <c r="N617" i="1"/>
  <c r="N616" i="1"/>
  <c r="N615" i="1"/>
  <c r="N613" i="1"/>
  <c r="N612" i="1"/>
  <c r="N611" i="1"/>
  <c r="N605" i="1"/>
  <c r="N604" i="1"/>
  <c r="N603" i="1"/>
  <c r="N601" i="1"/>
  <c r="N593" i="1"/>
  <c r="N592" i="1"/>
  <c r="N591" i="1"/>
  <c r="N589" i="1"/>
  <c r="N588" i="1"/>
  <c r="N587" i="1"/>
  <c r="N586" i="1"/>
  <c r="N585" i="1"/>
  <c r="N584" i="1"/>
  <c r="N583" i="1"/>
  <c r="N582" i="1"/>
  <c r="N581" i="1"/>
  <c r="N580" i="1"/>
  <c r="N579" i="1"/>
  <c r="N578" i="1"/>
  <c r="N577" i="1"/>
  <c r="N576" i="1"/>
  <c r="N575" i="1"/>
  <c r="N569" i="1"/>
  <c r="N568" i="1"/>
  <c r="N567" i="1"/>
  <c r="N566" i="1"/>
  <c r="N565" i="1"/>
  <c r="N564" i="1"/>
  <c r="N560" i="1"/>
  <c r="N559" i="1"/>
  <c r="N558" i="1"/>
  <c r="N557" i="1"/>
  <c r="N556" i="1"/>
  <c r="N555" i="1"/>
  <c r="N554" i="1"/>
  <c r="N553" i="1"/>
  <c r="N552" i="1"/>
  <c r="N551" i="1"/>
  <c r="N550" i="1"/>
  <c r="N549" i="1"/>
  <c r="N548" i="1"/>
  <c r="N547" i="1"/>
  <c r="N546" i="1"/>
  <c r="N545" i="1"/>
  <c r="N544" i="1"/>
  <c r="N543" i="1"/>
  <c r="N539" i="1"/>
  <c r="N538" i="1"/>
  <c r="N537" i="1"/>
  <c r="Q418" i="1"/>
  <c r="Q419" i="1"/>
  <c r="Q420" i="1"/>
  <c r="Q421" i="1"/>
  <c r="N421" i="1" s="1"/>
  <c r="Q422" i="1"/>
  <c r="Q423" i="1"/>
  <c r="Q424" i="1"/>
  <c r="Q425" i="1"/>
  <c r="Q426" i="1"/>
  <c r="Q427" i="1"/>
  <c r="Q428" i="1"/>
  <c r="Q429" i="1"/>
  <c r="N429" i="1" s="1"/>
  <c r="Q430" i="1"/>
  <c r="Q431" i="1"/>
  <c r="Q432" i="1"/>
  <c r="Q433" i="1"/>
  <c r="N433" i="1" s="1"/>
  <c r="Q434" i="1"/>
  <c r="Q435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P507" i="1"/>
  <c r="P508" i="1"/>
  <c r="P509" i="1"/>
  <c r="P510" i="1"/>
  <c r="P511" i="1"/>
  <c r="O416" i="1"/>
  <c r="P416" i="1" s="1"/>
  <c r="O417" i="1"/>
  <c r="P417" i="1" s="1"/>
  <c r="O418" i="1"/>
  <c r="P418" i="1" s="1"/>
  <c r="O419" i="1"/>
  <c r="P419" i="1" s="1"/>
  <c r="O420" i="1"/>
  <c r="P420" i="1" s="1"/>
  <c r="O421" i="1"/>
  <c r="P421" i="1" s="1"/>
  <c r="O422" i="1"/>
  <c r="P422" i="1" s="1"/>
  <c r="O423" i="1"/>
  <c r="P423" i="1" s="1"/>
  <c r="O424" i="1"/>
  <c r="P424" i="1" s="1"/>
  <c r="O425" i="1"/>
  <c r="P425" i="1" s="1"/>
  <c r="O426" i="1"/>
  <c r="P426" i="1" s="1"/>
  <c r="O427" i="1"/>
  <c r="P427" i="1" s="1"/>
  <c r="O428" i="1"/>
  <c r="P428" i="1" s="1"/>
  <c r="O429" i="1"/>
  <c r="P429" i="1" s="1"/>
  <c r="O430" i="1"/>
  <c r="P430" i="1" s="1"/>
  <c r="O431" i="1"/>
  <c r="P431" i="1" s="1"/>
  <c r="O432" i="1"/>
  <c r="P432" i="1" s="1"/>
  <c r="O433" i="1"/>
  <c r="P433" i="1" s="1"/>
  <c r="O434" i="1"/>
  <c r="P434" i="1" s="1"/>
  <c r="O435" i="1"/>
  <c r="P435" i="1" s="1"/>
  <c r="O437" i="1"/>
  <c r="P437" i="1" s="1"/>
  <c r="O438" i="1"/>
  <c r="P438" i="1" s="1"/>
  <c r="O439" i="1"/>
  <c r="P439" i="1" s="1"/>
  <c r="O440" i="1"/>
  <c r="P440" i="1" s="1"/>
  <c r="O441" i="1"/>
  <c r="P441" i="1" s="1"/>
  <c r="O442" i="1"/>
  <c r="P442" i="1" s="1"/>
  <c r="O443" i="1"/>
  <c r="P443" i="1" s="1"/>
  <c r="O444" i="1"/>
  <c r="P444" i="1" s="1"/>
  <c r="O445" i="1"/>
  <c r="P445" i="1" s="1"/>
  <c r="O446" i="1"/>
  <c r="P446" i="1" s="1"/>
  <c r="O447" i="1"/>
  <c r="P447" i="1" s="1"/>
  <c r="O448" i="1"/>
  <c r="P448" i="1" s="1"/>
  <c r="O449" i="1"/>
  <c r="P449" i="1" s="1"/>
  <c r="O450" i="1"/>
  <c r="P450" i="1" s="1"/>
  <c r="O451" i="1"/>
  <c r="P451" i="1" s="1"/>
  <c r="O452" i="1"/>
  <c r="P452" i="1" s="1"/>
  <c r="O453" i="1"/>
  <c r="P453" i="1" s="1"/>
  <c r="O454" i="1"/>
  <c r="P454" i="1" s="1"/>
  <c r="O455" i="1"/>
  <c r="P455" i="1" s="1"/>
  <c r="O456" i="1"/>
  <c r="P456" i="1" s="1"/>
  <c r="O457" i="1"/>
  <c r="P457" i="1" s="1"/>
  <c r="O458" i="1"/>
  <c r="P458" i="1" s="1"/>
  <c r="O459" i="1"/>
  <c r="P459" i="1" s="1"/>
  <c r="O460" i="1"/>
  <c r="P460" i="1" s="1"/>
  <c r="O461" i="1"/>
  <c r="P461" i="1" s="1"/>
  <c r="O462" i="1"/>
  <c r="P462" i="1" s="1"/>
  <c r="O463" i="1"/>
  <c r="P463" i="1" s="1"/>
  <c r="O464" i="1"/>
  <c r="P464" i="1" s="1"/>
  <c r="O465" i="1"/>
  <c r="P465" i="1" s="1"/>
  <c r="O466" i="1"/>
  <c r="P466" i="1" s="1"/>
  <c r="O467" i="1"/>
  <c r="P467" i="1" s="1"/>
  <c r="O468" i="1"/>
  <c r="P468" i="1" s="1"/>
  <c r="O469" i="1"/>
  <c r="P469" i="1" s="1"/>
  <c r="O470" i="1"/>
  <c r="P470" i="1" s="1"/>
  <c r="O471" i="1"/>
  <c r="P471" i="1" s="1"/>
  <c r="O472" i="1"/>
  <c r="P472" i="1" s="1"/>
  <c r="O473" i="1"/>
  <c r="P473" i="1" s="1"/>
  <c r="O474" i="1"/>
  <c r="P474" i="1" s="1"/>
  <c r="O475" i="1"/>
  <c r="P475" i="1" s="1"/>
  <c r="O476" i="1"/>
  <c r="P476" i="1" s="1"/>
  <c r="O477" i="1"/>
  <c r="P477" i="1" s="1"/>
  <c r="O478" i="1"/>
  <c r="P478" i="1" s="1"/>
  <c r="O479" i="1"/>
  <c r="P479" i="1" s="1"/>
  <c r="O480" i="1"/>
  <c r="P480" i="1" s="1"/>
  <c r="O481" i="1"/>
  <c r="P481" i="1" s="1"/>
  <c r="O482" i="1"/>
  <c r="P482" i="1" s="1"/>
  <c r="O483" i="1"/>
  <c r="P483" i="1" s="1"/>
  <c r="O484" i="1"/>
  <c r="P484" i="1" s="1"/>
  <c r="O485" i="1"/>
  <c r="P485" i="1" s="1"/>
  <c r="O486" i="1"/>
  <c r="P486" i="1" s="1"/>
  <c r="O487" i="1"/>
  <c r="P487" i="1" s="1"/>
  <c r="O488" i="1"/>
  <c r="P488" i="1" s="1"/>
  <c r="O489" i="1"/>
  <c r="P489" i="1" s="1"/>
  <c r="O490" i="1"/>
  <c r="P490" i="1" s="1"/>
  <c r="O491" i="1"/>
  <c r="P491" i="1" s="1"/>
  <c r="O492" i="1"/>
  <c r="P492" i="1" s="1"/>
  <c r="O493" i="1"/>
  <c r="P493" i="1" s="1"/>
  <c r="O494" i="1"/>
  <c r="P494" i="1" s="1"/>
  <c r="O495" i="1"/>
  <c r="P495" i="1" s="1"/>
  <c r="O496" i="1"/>
  <c r="P496" i="1" s="1"/>
  <c r="O497" i="1"/>
  <c r="P497" i="1" s="1"/>
  <c r="O498" i="1"/>
  <c r="P498" i="1" s="1"/>
  <c r="O499" i="1"/>
  <c r="P499" i="1" s="1"/>
  <c r="O500" i="1"/>
  <c r="P500" i="1" s="1"/>
  <c r="O501" i="1"/>
  <c r="P501" i="1" s="1"/>
  <c r="O502" i="1"/>
  <c r="P502" i="1" s="1"/>
  <c r="O503" i="1"/>
  <c r="P503" i="1" s="1"/>
  <c r="O504" i="1"/>
  <c r="P504" i="1" s="1"/>
  <c r="O505" i="1"/>
  <c r="P505" i="1" s="1"/>
  <c r="O506" i="1"/>
  <c r="P506" i="1" s="1"/>
  <c r="N418" i="1"/>
  <c r="N424" i="1"/>
  <c r="N425" i="1"/>
  <c r="N42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Q417" i="1"/>
  <c r="N417" i="1" s="1"/>
  <c r="Q416" i="1"/>
  <c r="Q415" i="1"/>
  <c r="Q414" i="1"/>
  <c r="Q413" i="1"/>
  <c r="N413" i="1" s="1"/>
  <c r="Q412" i="1"/>
  <c r="Q411" i="1"/>
  <c r="Q410" i="1"/>
  <c r="N410" i="1" s="1"/>
  <c r="Q409" i="1"/>
  <c r="O410" i="1"/>
  <c r="P410" i="1" s="1"/>
  <c r="O411" i="1"/>
  <c r="P411" i="1" s="1"/>
  <c r="O412" i="1"/>
  <c r="P412" i="1" s="1"/>
  <c r="O413" i="1"/>
  <c r="P413" i="1" s="1"/>
  <c r="O414" i="1"/>
  <c r="P414" i="1" s="1"/>
  <c r="O415" i="1"/>
  <c r="P415" i="1" s="1"/>
  <c r="N415" i="1"/>
  <c r="O409" i="1"/>
  <c r="P409" i="1" s="1"/>
  <c r="O408" i="1"/>
  <c r="O407" i="1"/>
  <c r="O406" i="1"/>
  <c r="O405" i="1"/>
  <c r="O404" i="1"/>
  <c r="O403" i="1"/>
  <c r="O402" i="1"/>
  <c r="O401" i="1"/>
  <c r="O400" i="1"/>
  <c r="O399" i="1"/>
  <c r="O398" i="1"/>
  <c r="O397" i="1"/>
  <c r="O396" i="1"/>
  <c r="O395" i="1"/>
  <c r="O394" i="1"/>
  <c r="O393" i="1"/>
  <c r="O392" i="1"/>
  <c r="O391" i="1"/>
  <c r="O390" i="1"/>
  <c r="O389" i="1"/>
  <c r="O388" i="1"/>
  <c r="O387" i="1"/>
  <c r="O386" i="1"/>
  <c r="O385" i="1"/>
  <c r="O384" i="1"/>
  <c r="O383" i="1"/>
  <c r="O382" i="1"/>
  <c r="O381" i="1"/>
  <c r="O380" i="1"/>
  <c r="O379" i="1"/>
  <c r="O378" i="1"/>
  <c r="O377" i="1"/>
  <c r="O376" i="1"/>
  <c r="O375" i="1"/>
  <c r="O374" i="1"/>
  <c r="O373" i="1"/>
  <c r="O372" i="1"/>
  <c r="O371" i="1"/>
  <c r="P371" i="1" s="1"/>
  <c r="O370" i="1"/>
  <c r="P370" i="1" s="1"/>
  <c r="O369" i="1"/>
  <c r="P369" i="1" s="1"/>
  <c r="O368" i="1"/>
  <c r="O367" i="1"/>
  <c r="O366" i="1"/>
  <c r="O365" i="1"/>
  <c r="P365" i="1" s="1"/>
  <c r="O364" i="1"/>
  <c r="P364" i="1" s="1"/>
  <c r="O363" i="1"/>
  <c r="P363" i="1" s="1"/>
  <c r="O362" i="1"/>
  <c r="P362" i="1" s="1"/>
  <c r="O361" i="1"/>
  <c r="P361" i="1" s="1"/>
  <c r="O360" i="1"/>
  <c r="O359" i="1"/>
  <c r="P359" i="1" s="1"/>
  <c r="O358" i="1"/>
  <c r="P358" i="1" s="1"/>
  <c r="O357" i="1"/>
  <c r="P357" i="1" s="1"/>
  <c r="O356" i="1"/>
  <c r="O355" i="1"/>
  <c r="O354" i="1"/>
  <c r="O353" i="1"/>
  <c r="P353" i="1" s="1"/>
  <c r="O352" i="1"/>
  <c r="P352" i="1" s="1"/>
  <c r="O351" i="1"/>
  <c r="P351" i="1" s="1"/>
  <c r="O350" i="1"/>
  <c r="O349" i="1"/>
  <c r="O348" i="1"/>
  <c r="O347" i="1"/>
  <c r="P347" i="1" s="1"/>
  <c r="O346" i="1"/>
  <c r="P346" i="1" s="1"/>
  <c r="O345" i="1"/>
  <c r="P345" i="1" s="1"/>
  <c r="O344" i="1"/>
  <c r="O343" i="1"/>
  <c r="O342" i="1"/>
  <c r="O341" i="1"/>
  <c r="P341" i="1" s="1"/>
  <c r="O340" i="1"/>
  <c r="P340" i="1" s="1"/>
  <c r="O339" i="1"/>
  <c r="P339" i="1" s="1"/>
  <c r="O338" i="1"/>
  <c r="P338" i="1" s="1"/>
  <c r="O337" i="1"/>
  <c r="P337" i="1" s="1"/>
  <c r="O336" i="1"/>
  <c r="O335" i="1"/>
  <c r="P335" i="1" s="1"/>
  <c r="O334" i="1"/>
  <c r="P334" i="1" s="1"/>
  <c r="O333" i="1"/>
  <c r="P333" i="1" s="1"/>
  <c r="O332" i="1"/>
  <c r="O331" i="1"/>
  <c r="O330" i="1"/>
  <c r="O329" i="1"/>
  <c r="P329" i="1" s="1"/>
  <c r="O328" i="1"/>
  <c r="P328" i="1" s="1"/>
  <c r="O327" i="1"/>
  <c r="P327" i="1" s="1"/>
  <c r="O326" i="1"/>
  <c r="O325" i="1"/>
  <c r="O324" i="1"/>
  <c r="O323" i="1"/>
  <c r="P323" i="1" s="1"/>
  <c r="O322" i="1"/>
  <c r="P322" i="1" s="1"/>
  <c r="O321" i="1"/>
  <c r="N321" i="1" s="1"/>
  <c r="O320" i="1"/>
  <c r="O319" i="1"/>
  <c r="N319" i="1" s="1"/>
  <c r="O318" i="1"/>
  <c r="O317" i="1"/>
  <c r="P317" i="1" s="1"/>
  <c r="O316" i="1"/>
  <c r="P316" i="1" s="1"/>
  <c r="O315" i="1"/>
  <c r="P315" i="1" s="1"/>
  <c r="O314" i="1"/>
  <c r="P314" i="1" s="1"/>
  <c r="O313" i="1"/>
  <c r="P313" i="1" s="1"/>
  <c r="O312" i="1"/>
  <c r="O311" i="1"/>
  <c r="P311" i="1" s="1"/>
  <c r="O310" i="1"/>
  <c r="P310" i="1" s="1"/>
  <c r="O309" i="1"/>
  <c r="N309" i="1" s="1"/>
  <c r="O308" i="1"/>
  <c r="O307" i="1"/>
  <c r="O306" i="1"/>
  <c r="O305" i="1"/>
  <c r="P305" i="1" s="1"/>
  <c r="O304" i="1"/>
  <c r="P304" i="1" s="1"/>
  <c r="O303" i="1"/>
  <c r="P303" i="1" s="1"/>
  <c r="O302" i="1"/>
  <c r="N302" i="1" s="1"/>
  <c r="O301" i="1"/>
  <c r="N301" i="1" s="1"/>
  <c r="O300" i="1"/>
  <c r="O299" i="1"/>
  <c r="P299" i="1" s="1"/>
  <c r="O298" i="1"/>
  <c r="P298" i="1" s="1"/>
  <c r="O297" i="1"/>
  <c r="N297" i="1" s="1"/>
  <c r="O296" i="1"/>
  <c r="P296" i="1" s="1"/>
  <c r="O235" i="1"/>
  <c r="P235" i="1" s="1"/>
  <c r="Q374" i="1"/>
  <c r="Q373" i="1"/>
  <c r="Q372" i="1"/>
  <c r="Q371" i="1"/>
  <c r="Q370" i="1"/>
  <c r="Q369" i="1"/>
  <c r="Q368" i="1"/>
  <c r="Q367" i="1"/>
  <c r="Q366" i="1"/>
  <c r="Q365" i="1"/>
  <c r="Q364" i="1"/>
  <c r="Q363" i="1"/>
  <c r="Q362" i="1"/>
  <c r="Q361" i="1"/>
  <c r="Q360" i="1"/>
  <c r="Q359" i="1"/>
  <c r="Q358" i="1"/>
  <c r="Q357" i="1"/>
  <c r="Q356" i="1"/>
  <c r="Q355" i="1"/>
  <c r="Q354" i="1"/>
  <c r="Q353" i="1"/>
  <c r="Q352" i="1"/>
  <c r="Q351" i="1"/>
  <c r="Q350" i="1"/>
  <c r="Q349" i="1"/>
  <c r="Q348" i="1"/>
  <c r="Q347" i="1"/>
  <c r="Q346" i="1"/>
  <c r="Q345" i="1"/>
  <c r="Q344" i="1"/>
  <c r="Q343" i="1"/>
  <c r="Q342" i="1"/>
  <c r="Q341" i="1"/>
  <c r="Q340" i="1"/>
  <c r="Q339" i="1"/>
  <c r="Q338" i="1"/>
  <c r="Q337" i="1"/>
  <c r="Q336" i="1"/>
  <c r="Q335" i="1"/>
  <c r="Q334" i="1"/>
  <c r="Q333" i="1"/>
  <c r="Q332" i="1"/>
  <c r="Q331" i="1"/>
  <c r="Q330" i="1"/>
  <c r="Q329" i="1"/>
  <c r="Q328" i="1"/>
  <c r="Q327" i="1"/>
  <c r="Q326" i="1"/>
  <c r="Q325" i="1"/>
  <c r="Q324" i="1"/>
  <c r="Q323" i="1"/>
  <c r="Q322" i="1"/>
  <c r="Q321" i="1"/>
  <c r="Q320" i="1"/>
  <c r="Q319" i="1"/>
  <c r="Q318" i="1"/>
  <c r="N318" i="1" s="1"/>
  <c r="Q317" i="1"/>
  <c r="N317" i="1" s="1"/>
  <c r="Q316" i="1"/>
  <c r="Q315" i="1"/>
  <c r="N315" i="1" s="1"/>
  <c r="Q314" i="1"/>
  <c r="Q313" i="1"/>
  <c r="Q312" i="1"/>
  <c r="N312" i="1" s="1"/>
  <c r="Q311" i="1"/>
  <c r="Q310" i="1"/>
  <c r="Q309" i="1"/>
  <c r="Q308" i="1"/>
  <c r="Q307" i="1"/>
  <c r="Q306" i="1"/>
  <c r="Q305" i="1"/>
  <c r="N305" i="1" s="1"/>
  <c r="Q304" i="1"/>
  <c r="Q303" i="1"/>
  <c r="N303" i="1" s="1"/>
  <c r="Q302" i="1"/>
  <c r="Q301" i="1"/>
  <c r="Q300" i="1"/>
  <c r="N300" i="1" s="1"/>
  <c r="Q299" i="1"/>
  <c r="Q298" i="1"/>
  <c r="Q297" i="1"/>
  <c r="Q296" i="1"/>
  <c r="Q235" i="1"/>
  <c r="Q234" i="1"/>
  <c r="N234" i="1" s="1"/>
  <c r="Q233" i="1"/>
  <c r="N233" i="1" s="1"/>
  <c r="P368" i="1"/>
  <c r="P367" i="1"/>
  <c r="P366" i="1"/>
  <c r="P360" i="1"/>
  <c r="P356" i="1"/>
  <c r="P355" i="1"/>
  <c r="P354" i="1"/>
  <c r="P350" i="1"/>
  <c r="P349" i="1"/>
  <c r="P348" i="1"/>
  <c r="P344" i="1"/>
  <c r="P343" i="1"/>
  <c r="P342" i="1"/>
  <c r="P336" i="1"/>
  <c r="P332" i="1"/>
  <c r="P331" i="1"/>
  <c r="P330" i="1"/>
  <c r="P326" i="1"/>
  <c r="P325" i="1"/>
  <c r="P324" i="1"/>
  <c r="P320" i="1"/>
  <c r="P319" i="1"/>
  <c r="P318" i="1"/>
  <c r="P312" i="1"/>
  <c r="P308" i="1"/>
  <c r="P307" i="1"/>
  <c r="P306" i="1"/>
  <c r="P302" i="1"/>
  <c r="P301" i="1"/>
  <c r="P300" i="1"/>
  <c r="O234" i="1"/>
  <c r="P234" i="1" s="1"/>
  <c r="N371" i="1"/>
  <c r="N370" i="1"/>
  <c r="N369" i="1"/>
  <c r="N368" i="1"/>
  <c r="N367" i="1"/>
  <c r="N366" i="1"/>
  <c r="N365" i="1"/>
  <c r="N364" i="1"/>
  <c r="N363" i="1"/>
  <c r="N362" i="1"/>
  <c r="N361" i="1"/>
  <c r="N360" i="1"/>
  <c r="N359" i="1"/>
  <c r="N358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0" i="1"/>
  <c r="N314" i="1"/>
  <c r="N313" i="1"/>
  <c r="N308" i="1"/>
  <c r="N307" i="1"/>
  <c r="N306" i="1"/>
  <c r="N296" i="1"/>
  <c r="O98" i="1"/>
  <c r="P98" i="1" s="1"/>
  <c r="O218" i="1"/>
  <c r="P218" i="1" s="1"/>
  <c r="Q103" i="1"/>
  <c r="Q230" i="1"/>
  <c r="N230" i="1" s="1"/>
  <c r="Q220" i="1"/>
  <c r="N220" i="1" s="1"/>
  <c r="Q231" i="1"/>
  <c r="Q218" i="1"/>
  <c r="Q98" i="1"/>
  <c r="Q106" i="1"/>
  <c r="Q108" i="1"/>
  <c r="Q236" i="1"/>
  <c r="Q223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28" i="1"/>
  <c r="Q219" i="1"/>
  <c r="Q107" i="1"/>
  <c r="Q216" i="1"/>
  <c r="Q104" i="1"/>
  <c r="N104" i="1" s="1"/>
  <c r="Q227" i="1"/>
  <c r="Q99" i="1"/>
  <c r="Q221" i="1"/>
  <c r="Q226" i="1"/>
  <c r="Q102" i="1"/>
  <c r="Q225" i="1"/>
  <c r="Q224" i="1"/>
  <c r="N224" i="1" s="1"/>
  <c r="Q232" i="1"/>
  <c r="N232" i="1" s="1"/>
  <c r="O103" i="1"/>
  <c r="P103" i="1" s="1"/>
  <c r="N103" i="1"/>
  <c r="O231" i="1"/>
  <c r="P231" i="1" s="1"/>
  <c r="N231" i="1"/>
  <c r="O220" i="1"/>
  <c r="P220" i="1" s="1"/>
  <c r="O230" i="1"/>
  <c r="P230" i="1" s="1"/>
  <c r="O223" i="1"/>
  <c r="P223" i="1" s="1"/>
  <c r="N223" i="1"/>
  <c r="O228" i="1"/>
  <c r="P228" i="1" s="1"/>
  <c r="O219" i="1"/>
  <c r="P219" i="1" s="1"/>
  <c r="N219" i="1"/>
  <c r="O107" i="1"/>
  <c r="P107" i="1" s="1"/>
  <c r="N107" i="1"/>
  <c r="O216" i="1"/>
  <c r="P216" i="1" s="1"/>
  <c r="O104" i="1"/>
  <c r="P104" i="1" s="1"/>
  <c r="O227" i="1"/>
  <c r="P227" i="1" s="1"/>
  <c r="O99" i="1"/>
  <c r="P99" i="1" s="1"/>
  <c r="O222" i="1"/>
  <c r="P222" i="1" s="1"/>
  <c r="N222" i="1"/>
  <c r="O221" i="1"/>
  <c r="P221" i="1" s="1"/>
  <c r="N221" i="1"/>
  <c r="P295" i="1"/>
  <c r="P294" i="1"/>
  <c r="P293" i="1"/>
  <c r="P292" i="1"/>
  <c r="P291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O278" i="1"/>
  <c r="P278" i="1" s="1"/>
  <c r="O277" i="1"/>
  <c r="P277" i="1" s="1"/>
  <c r="O276" i="1"/>
  <c r="P276" i="1" s="1"/>
  <c r="O275" i="1"/>
  <c r="P275" i="1" s="1"/>
  <c r="O274" i="1"/>
  <c r="P274" i="1" s="1"/>
  <c r="O273" i="1"/>
  <c r="P273" i="1" s="1"/>
  <c r="O272" i="1"/>
  <c r="P272" i="1" s="1"/>
  <c r="O271" i="1"/>
  <c r="P271" i="1" s="1"/>
  <c r="O270" i="1"/>
  <c r="P270" i="1" s="1"/>
  <c r="O269" i="1"/>
  <c r="P269" i="1" s="1"/>
  <c r="O268" i="1"/>
  <c r="P268" i="1" s="1"/>
  <c r="O267" i="1"/>
  <c r="P267" i="1" s="1"/>
  <c r="O266" i="1"/>
  <c r="P266" i="1" s="1"/>
  <c r="O265" i="1"/>
  <c r="P265" i="1" s="1"/>
  <c r="O264" i="1"/>
  <c r="P264" i="1" s="1"/>
  <c r="O263" i="1"/>
  <c r="P263" i="1" s="1"/>
  <c r="O262" i="1"/>
  <c r="P262" i="1" s="1"/>
  <c r="O261" i="1"/>
  <c r="P261" i="1" s="1"/>
  <c r="O260" i="1"/>
  <c r="P260" i="1" s="1"/>
  <c r="O259" i="1"/>
  <c r="P259" i="1" s="1"/>
  <c r="O258" i="1"/>
  <c r="P258" i="1" s="1"/>
  <c r="O257" i="1"/>
  <c r="P257" i="1" s="1"/>
  <c r="O256" i="1"/>
  <c r="P256" i="1" s="1"/>
  <c r="O255" i="1"/>
  <c r="P255" i="1" s="1"/>
  <c r="O254" i="1"/>
  <c r="P254" i="1" s="1"/>
  <c r="O253" i="1"/>
  <c r="P253" i="1" s="1"/>
  <c r="O252" i="1"/>
  <c r="P252" i="1" s="1"/>
  <c r="O251" i="1"/>
  <c r="P251" i="1" s="1"/>
  <c r="O250" i="1"/>
  <c r="P250" i="1" s="1"/>
  <c r="O249" i="1"/>
  <c r="P249" i="1" s="1"/>
  <c r="O248" i="1"/>
  <c r="P248" i="1" s="1"/>
  <c r="O247" i="1"/>
  <c r="P247" i="1" s="1"/>
  <c r="O246" i="1"/>
  <c r="P246" i="1" s="1"/>
  <c r="O245" i="1"/>
  <c r="P245" i="1" s="1"/>
  <c r="O244" i="1"/>
  <c r="P244" i="1" s="1"/>
  <c r="O243" i="1"/>
  <c r="P243" i="1" s="1"/>
  <c r="O242" i="1"/>
  <c r="P242" i="1" s="1"/>
  <c r="O241" i="1"/>
  <c r="P241" i="1" s="1"/>
  <c r="O240" i="1"/>
  <c r="P240" i="1" s="1"/>
  <c r="O239" i="1"/>
  <c r="P239" i="1" s="1"/>
  <c r="O238" i="1"/>
  <c r="P238" i="1" s="1"/>
  <c r="O237" i="1"/>
  <c r="P237" i="1" s="1"/>
  <c r="O236" i="1"/>
  <c r="P236" i="1" s="1"/>
  <c r="O108" i="1"/>
  <c r="P108" i="1" s="1"/>
  <c r="O106" i="1"/>
  <c r="P106" i="1" s="1"/>
  <c r="O226" i="1"/>
  <c r="P226" i="1" s="1"/>
  <c r="O102" i="1"/>
  <c r="P102" i="1" s="1"/>
  <c r="N264" i="1"/>
  <c r="N263" i="1"/>
  <c r="N262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O215" i="1"/>
  <c r="P215" i="1" s="1"/>
  <c r="O100" i="1"/>
  <c r="P100" i="1" s="1"/>
  <c r="O101" i="1"/>
  <c r="P101" i="1" s="1"/>
  <c r="O233" i="1"/>
  <c r="P233" i="1" s="1"/>
  <c r="O105" i="1"/>
  <c r="P105" i="1" s="1"/>
  <c r="O232" i="1"/>
  <c r="P232" i="1" s="1"/>
  <c r="O224" i="1"/>
  <c r="P224" i="1" s="1"/>
  <c r="O225" i="1"/>
  <c r="P225" i="1" s="1"/>
  <c r="O109" i="1"/>
  <c r="P109" i="1" s="1"/>
  <c r="O110" i="1"/>
  <c r="P110" i="1" s="1"/>
  <c r="O111" i="1"/>
  <c r="P111" i="1" s="1"/>
  <c r="O112" i="1"/>
  <c r="P112" i="1" s="1"/>
  <c r="O113" i="1"/>
  <c r="P113" i="1" s="1"/>
  <c r="O114" i="1"/>
  <c r="P114" i="1" s="1"/>
  <c r="O115" i="1"/>
  <c r="P115" i="1" s="1"/>
  <c r="O116" i="1"/>
  <c r="P116" i="1" s="1"/>
  <c r="O117" i="1"/>
  <c r="P117" i="1" s="1"/>
  <c r="O118" i="1"/>
  <c r="P118" i="1" s="1"/>
  <c r="O119" i="1"/>
  <c r="P119" i="1" s="1"/>
  <c r="O120" i="1"/>
  <c r="P120" i="1" s="1"/>
  <c r="O121" i="1"/>
  <c r="P121" i="1" s="1"/>
  <c r="O122" i="1"/>
  <c r="P122" i="1" s="1"/>
  <c r="O123" i="1"/>
  <c r="P123" i="1" s="1"/>
  <c r="O124" i="1"/>
  <c r="P124" i="1" s="1"/>
  <c r="O125" i="1"/>
  <c r="P125" i="1" s="1"/>
  <c r="O126" i="1"/>
  <c r="P126" i="1" s="1"/>
  <c r="O127" i="1"/>
  <c r="P127" i="1" s="1"/>
  <c r="O128" i="1"/>
  <c r="P128" i="1" s="1"/>
  <c r="O129" i="1"/>
  <c r="P129" i="1" s="1"/>
  <c r="O130" i="1"/>
  <c r="P130" i="1" s="1"/>
  <c r="O131" i="1"/>
  <c r="P131" i="1" s="1"/>
  <c r="O132" i="1"/>
  <c r="P132" i="1" s="1"/>
  <c r="O133" i="1"/>
  <c r="P133" i="1" s="1"/>
  <c r="O134" i="1"/>
  <c r="P134" i="1" s="1"/>
  <c r="O135" i="1"/>
  <c r="P135" i="1" s="1"/>
  <c r="O136" i="1"/>
  <c r="P136" i="1" s="1"/>
  <c r="O137" i="1"/>
  <c r="P137" i="1" s="1"/>
  <c r="O138" i="1"/>
  <c r="P138" i="1" s="1"/>
  <c r="O139" i="1"/>
  <c r="P139" i="1" s="1"/>
  <c r="O140" i="1"/>
  <c r="P140" i="1" s="1"/>
  <c r="O141" i="1"/>
  <c r="P141" i="1" s="1"/>
  <c r="O142" i="1"/>
  <c r="P142" i="1" s="1"/>
  <c r="O143" i="1"/>
  <c r="P143" i="1" s="1"/>
  <c r="O144" i="1"/>
  <c r="P144" i="1" s="1"/>
  <c r="O145" i="1"/>
  <c r="P145" i="1" s="1"/>
  <c r="O146" i="1"/>
  <c r="P146" i="1" s="1"/>
  <c r="O147" i="1"/>
  <c r="P147" i="1" s="1"/>
  <c r="O148" i="1"/>
  <c r="P148" i="1" s="1"/>
  <c r="O149" i="1"/>
  <c r="P149" i="1" s="1"/>
  <c r="O150" i="1"/>
  <c r="P150" i="1" s="1"/>
  <c r="O151" i="1"/>
  <c r="P151" i="1" s="1"/>
  <c r="O152" i="1"/>
  <c r="P152" i="1" s="1"/>
  <c r="O153" i="1"/>
  <c r="P153" i="1" s="1"/>
  <c r="O154" i="1"/>
  <c r="P154" i="1" s="1"/>
  <c r="O155" i="1"/>
  <c r="P155" i="1" s="1"/>
  <c r="O156" i="1"/>
  <c r="P156" i="1" s="1"/>
  <c r="O157" i="1"/>
  <c r="P157" i="1" s="1"/>
  <c r="O158" i="1"/>
  <c r="P158" i="1" s="1"/>
  <c r="O159" i="1"/>
  <c r="P159" i="1" s="1"/>
  <c r="O160" i="1"/>
  <c r="P160" i="1" s="1"/>
  <c r="O161" i="1"/>
  <c r="P161" i="1" s="1"/>
  <c r="O162" i="1"/>
  <c r="P162" i="1" s="1"/>
  <c r="O163" i="1"/>
  <c r="P163" i="1" s="1"/>
  <c r="O164" i="1"/>
  <c r="P164" i="1" s="1"/>
  <c r="O165" i="1"/>
  <c r="P165" i="1" s="1"/>
  <c r="O166" i="1"/>
  <c r="P166" i="1" s="1"/>
  <c r="O167" i="1"/>
  <c r="P167" i="1" s="1"/>
  <c r="O168" i="1"/>
  <c r="P168" i="1" s="1"/>
  <c r="O169" i="1"/>
  <c r="P169" i="1" s="1"/>
  <c r="O170" i="1"/>
  <c r="P170" i="1" s="1"/>
  <c r="O171" i="1"/>
  <c r="P171" i="1" s="1"/>
  <c r="O172" i="1"/>
  <c r="P172" i="1" s="1"/>
  <c r="O173" i="1"/>
  <c r="P173" i="1" s="1"/>
  <c r="O174" i="1"/>
  <c r="P174" i="1" s="1"/>
  <c r="O175" i="1"/>
  <c r="P175" i="1" s="1"/>
  <c r="O176" i="1"/>
  <c r="P176" i="1" s="1"/>
  <c r="O177" i="1"/>
  <c r="P177" i="1" s="1"/>
  <c r="O178" i="1"/>
  <c r="P178" i="1" s="1"/>
  <c r="O179" i="1"/>
  <c r="P179" i="1" s="1"/>
  <c r="O180" i="1"/>
  <c r="P180" i="1" s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Q61" i="1"/>
  <c r="N61" i="1" s="1"/>
  <c r="Q110" i="1"/>
  <c r="Q109" i="1"/>
  <c r="N109" i="1" s="1"/>
  <c r="N225" i="1"/>
  <c r="Q105" i="1"/>
  <c r="Q101" i="1"/>
  <c r="Q100" i="1"/>
  <c r="N100" i="1" s="1"/>
  <c r="Q215" i="1"/>
  <c r="N215" i="1" s="1"/>
  <c r="Q66" i="1"/>
  <c r="Q217" i="1"/>
  <c r="N217" i="1" s="1"/>
  <c r="Q97" i="1"/>
  <c r="N97" i="1" s="1"/>
  <c r="Q96" i="1"/>
  <c r="O66" i="1"/>
  <c r="P66" i="1" s="1"/>
  <c r="O217" i="1"/>
  <c r="P217" i="1" s="1"/>
  <c r="O97" i="1"/>
  <c r="O96" i="1"/>
  <c r="P97" i="1"/>
  <c r="Q93" i="1"/>
  <c r="Q94" i="1"/>
  <c r="N94" i="1" s="1"/>
  <c r="Q95" i="1"/>
  <c r="O95" i="1"/>
  <c r="P95" i="1" s="1"/>
  <c r="O229" i="1"/>
  <c r="P229" i="1" s="1"/>
  <c r="P96" i="1"/>
  <c r="O94" i="1"/>
  <c r="P94" i="1" s="1"/>
  <c r="O93" i="1"/>
  <c r="P93" i="1" s="1"/>
  <c r="O88" i="1"/>
  <c r="P88" i="1"/>
  <c r="Q88" i="1"/>
  <c r="N88" i="1" s="1"/>
  <c r="O89" i="1"/>
  <c r="P89" i="1" s="1"/>
  <c r="Q89" i="1"/>
  <c r="O91" i="1"/>
  <c r="P91" i="1" s="1"/>
  <c r="Q91" i="1"/>
  <c r="O92" i="1"/>
  <c r="P92" i="1" s="1"/>
  <c r="Q92" i="1"/>
  <c r="O90" i="1"/>
  <c r="P90" i="1" s="1"/>
  <c r="Q90" i="1"/>
  <c r="O80" i="1"/>
  <c r="P80" i="1" s="1"/>
  <c r="Q80" i="1"/>
  <c r="O81" i="1"/>
  <c r="P81" i="1"/>
  <c r="Q81" i="1"/>
  <c r="N81" i="1" s="1"/>
  <c r="O82" i="1"/>
  <c r="P82" i="1" s="1"/>
  <c r="Q82" i="1"/>
  <c r="O83" i="1"/>
  <c r="P83" i="1" s="1"/>
  <c r="Q83" i="1"/>
  <c r="N83" i="1" s="1"/>
  <c r="O84" i="1"/>
  <c r="P84" i="1" s="1"/>
  <c r="Q84" i="1"/>
  <c r="O85" i="1"/>
  <c r="P85" i="1" s="1"/>
  <c r="Q85" i="1"/>
  <c r="O86" i="1"/>
  <c r="P86" i="1" s="1"/>
  <c r="Q86" i="1"/>
  <c r="O87" i="1"/>
  <c r="P87" i="1"/>
  <c r="Q87" i="1"/>
  <c r="O79" i="1"/>
  <c r="P79" i="1" s="1"/>
  <c r="Q79" i="1"/>
  <c r="O71" i="1"/>
  <c r="P71" i="1" s="1"/>
  <c r="Q71" i="1"/>
  <c r="N71" i="1" s="1"/>
  <c r="O72" i="1"/>
  <c r="P72" i="1" s="1"/>
  <c r="Q72" i="1"/>
  <c r="O73" i="1"/>
  <c r="P73" i="1"/>
  <c r="Q73" i="1"/>
  <c r="O74" i="1"/>
  <c r="P74" i="1" s="1"/>
  <c r="Q74" i="1"/>
  <c r="O75" i="1"/>
  <c r="P75" i="1"/>
  <c r="Q75" i="1"/>
  <c r="N75" i="1" s="1"/>
  <c r="O76" i="1"/>
  <c r="P76" i="1" s="1"/>
  <c r="Q76" i="1"/>
  <c r="O77" i="1"/>
  <c r="P77" i="1" s="1"/>
  <c r="Q77" i="1"/>
  <c r="N77" i="1" s="1"/>
  <c r="O78" i="1"/>
  <c r="P78" i="1" s="1"/>
  <c r="Q78" i="1"/>
  <c r="O70" i="1"/>
  <c r="P70" i="1" s="1"/>
  <c r="Q70" i="1"/>
  <c r="O69" i="1"/>
  <c r="P69" i="1" s="1"/>
  <c r="Q69" i="1"/>
  <c r="Q229" i="1"/>
  <c r="Q65" i="1"/>
  <c r="N65" i="1" s="1"/>
  <c r="O65" i="1"/>
  <c r="P65" i="1" s="1"/>
  <c r="O4" i="1"/>
  <c r="P4" i="1"/>
  <c r="Q4" i="1"/>
  <c r="O5" i="1"/>
  <c r="P5" i="1" s="1"/>
  <c r="Q5" i="1"/>
  <c r="O6" i="1"/>
  <c r="P6" i="1" s="1"/>
  <c r="Q6" i="1"/>
  <c r="O7" i="1"/>
  <c r="P7" i="1"/>
  <c r="Q7" i="1"/>
  <c r="N7" i="1" s="1"/>
  <c r="O8" i="1"/>
  <c r="P8" i="1"/>
  <c r="Q8" i="1"/>
  <c r="N8" i="1" s="1"/>
  <c r="O9" i="1"/>
  <c r="P9" i="1"/>
  <c r="Q9" i="1"/>
  <c r="O10" i="1"/>
  <c r="P10" i="1" s="1"/>
  <c r="Q10" i="1"/>
  <c r="O11" i="1"/>
  <c r="P11" i="1"/>
  <c r="Q11" i="1"/>
  <c r="N11" i="1" s="1"/>
  <c r="O12" i="1"/>
  <c r="P12" i="1" s="1"/>
  <c r="Q12" i="1"/>
  <c r="N12" i="1" s="1"/>
  <c r="O13" i="1"/>
  <c r="P13" i="1" s="1"/>
  <c r="Q13" i="1"/>
  <c r="O14" i="1"/>
  <c r="P14" i="1" s="1"/>
  <c r="Q14" i="1"/>
  <c r="O15" i="1"/>
  <c r="P15" i="1" s="1"/>
  <c r="Q15" i="1"/>
  <c r="O16" i="1"/>
  <c r="P16" i="1" s="1"/>
  <c r="Q16" i="1"/>
  <c r="O17" i="1"/>
  <c r="P17" i="1"/>
  <c r="Q17" i="1"/>
  <c r="O18" i="1"/>
  <c r="P18" i="1" s="1"/>
  <c r="Q18" i="1"/>
  <c r="O19" i="1"/>
  <c r="P19" i="1"/>
  <c r="Q19" i="1"/>
  <c r="N19" i="1" s="1"/>
  <c r="O20" i="1"/>
  <c r="P20" i="1"/>
  <c r="Q20" i="1"/>
  <c r="N20" i="1" s="1"/>
  <c r="O21" i="1"/>
  <c r="P21" i="1"/>
  <c r="Q21" i="1"/>
  <c r="N21" i="1" s="1"/>
  <c r="O22" i="1"/>
  <c r="P22" i="1" s="1"/>
  <c r="Q22" i="1"/>
  <c r="O23" i="1"/>
  <c r="P23" i="1" s="1"/>
  <c r="Q23" i="1"/>
  <c r="N23" i="1" s="1"/>
  <c r="O24" i="1"/>
  <c r="P24" i="1"/>
  <c r="Q24" i="1"/>
  <c r="N24" i="1" s="1"/>
  <c r="O25" i="1"/>
  <c r="P25" i="1" s="1"/>
  <c r="Q25" i="1"/>
  <c r="N25" i="1" s="1"/>
  <c r="O26" i="1"/>
  <c r="P26" i="1" s="1"/>
  <c r="Q26" i="1"/>
  <c r="O27" i="1"/>
  <c r="P27" i="1" s="1"/>
  <c r="Q27" i="1"/>
  <c r="O28" i="1"/>
  <c r="P28" i="1" s="1"/>
  <c r="Q28" i="1"/>
  <c r="O29" i="1"/>
  <c r="P29" i="1" s="1"/>
  <c r="Q29" i="1"/>
  <c r="O30" i="1"/>
  <c r="P30" i="1" s="1"/>
  <c r="Q30" i="1"/>
  <c r="O31" i="1"/>
  <c r="P31" i="1"/>
  <c r="Q31" i="1"/>
  <c r="N31" i="1" s="1"/>
  <c r="O32" i="1"/>
  <c r="P32" i="1"/>
  <c r="Q32" i="1"/>
  <c r="N32" i="1" s="1"/>
  <c r="O33" i="1"/>
  <c r="P33" i="1"/>
  <c r="Q33" i="1"/>
  <c r="N33" i="1" s="1"/>
  <c r="O34" i="1"/>
  <c r="P34" i="1" s="1"/>
  <c r="Q34" i="1"/>
  <c r="O35" i="1"/>
  <c r="P35" i="1" s="1"/>
  <c r="Q35" i="1"/>
  <c r="O36" i="1"/>
  <c r="P36" i="1" s="1"/>
  <c r="Q36" i="1"/>
  <c r="N36" i="1" s="1"/>
  <c r="O37" i="1"/>
  <c r="P37" i="1"/>
  <c r="Q37" i="1"/>
  <c r="N37" i="1" s="1"/>
  <c r="O38" i="1"/>
  <c r="P38" i="1" s="1"/>
  <c r="Q38" i="1"/>
  <c r="O39" i="1"/>
  <c r="P39" i="1"/>
  <c r="Q39" i="1"/>
  <c r="O40" i="1"/>
  <c r="P40" i="1" s="1"/>
  <c r="Q40" i="1"/>
  <c r="O41" i="1"/>
  <c r="P41" i="1" s="1"/>
  <c r="Q41" i="1"/>
  <c r="O42" i="1"/>
  <c r="P42" i="1" s="1"/>
  <c r="Q42" i="1"/>
  <c r="O43" i="1"/>
  <c r="P43" i="1"/>
  <c r="Q43" i="1"/>
  <c r="N43" i="1" s="1"/>
  <c r="O44" i="1"/>
  <c r="P44" i="1"/>
  <c r="Q44" i="1"/>
  <c r="N44" i="1" s="1"/>
  <c r="O45" i="1"/>
  <c r="P45" i="1"/>
  <c r="Q45" i="1"/>
  <c r="N45" i="1" s="1"/>
  <c r="O46" i="1"/>
  <c r="P46" i="1" s="1"/>
  <c r="Q46" i="1"/>
  <c r="O47" i="1"/>
  <c r="P47" i="1" s="1"/>
  <c r="Q47" i="1"/>
  <c r="N47" i="1" s="1"/>
  <c r="O48" i="1"/>
  <c r="P48" i="1" s="1"/>
  <c r="Q48" i="1"/>
  <c r="O49" i="1"/>
  <c r="P49" i="1" s="1"/>
  <c r="Q49" i="1"/>
  <c r="N49" i="1" s="1"/>
  <c r="O50" i="1"/>
  <c r="P50" i="1" s="1"/>
  <c r="Q50" i="1"/>
  <c r="O51" i="1"/>
  <c r="P51" i="1" s="1"/>
  <c r="Q51" i="1"/>
  <c r="O52" i="1"/>
  <c r="P52" i="1"/>
  <c r="Q52" i="1"/>
  <c r="O53" i="1"/>
  <c r="P53" i="1" s="1"/>
  <c r="Q53" i="1"/>
  <c r="O54" i="1"/>
  <c r="P54" i="1" s="1"/>
  <c r="Q54" i="1"/>
  <c r="O55" i="1"/>
  <c r="P55" i="1"/>
  <c r="Q55" i="1"/>
  <c r="N55" i="1" s="1"/>
  <c r="O56" i="1"/>
  <c r="P56" i="1"/>
  <c r="Q56" i="1"/>
  <c r="N56" i="1" s="1"/>
  <c r="O57" i="1"/>
  <c r="P57" i="1"/>
  <c r="Q57" i="1"/>
  <c r="N57" i="1" s="1"/>
  <c r="O58" i="1"/>
  <c r="P58" i="1" s="1"/>
  <c r="Q58" i="1"/>
  <c r="O59" i="1"/>
  <c r="P59" i="1"/>
  <c r="Q59" i="1"/>
  <c r="N59" i="1" s="1"/>
  <c r="O60" i="1"/>
  <c r="P60" i="1" s="1"/>
  <c r="Q60" i="1"/>
  <c r="N60" i="1" s="1"/>
  <c r="O61" i="1"/>
  <c r="P61" i="1" s="1"/>
  <c r="O62" i="1"/>
  <c r="P62" i="1" s="1"/>
  <c r="Q62" i="1"/>
  <c r="N62" i="1" s="1"/>
  <c r="O63" i="1"/>
  <c r="P63" i="1" s="1"/>
  <c r="Q63" i="1"/>
  <c r="N63" i="1" s="1"/>
  <c r="O64" i="1"/>
  <c r="P64" i="1" s="1"/>
  <c r="Q64" i="1"/>
  <c r="O67" i="1"/>
  <c r="P67" i="1"/>
  <c r="Q67" i="1"/>
  <c r="O68" i="1"/>
  <c r="P68" i="1" s="1"/>
  <c r="Q68" i="1"/>
  <c r="O3" i="1"/>
  <c r="P3" i="1"/>
  <c r="Q3" i="1"/>
  <c r="N3" i="1" s="1"/>
  <c r="Q2" i="1"/>
  <c r="O2" i="1"/>
  <c r="P2" i="1" s="1"/>
  <c r="R1039" i="5"/>
  <c r="O1039" i="5"/>
  <c r="L1039" i="5"/>
  <c r="P1039" i="5" s="1"/>
  <c r="Q1039" i="5" s="1"/>
  <c r="G1039" i="5"/>
  <c r="R1038" i="5"/>
  <c r="O1038" i="5"/>
  <c r="L1038" i="5"/>
  <c r="P1038" i="5" s="1"/>
  <c r="Q1038" i="5" s="1"/>
  <c r="G1038" i="5"/>
  <c r="R1037" i="5"/>
  <c r="O1037" i="5"/>
  <c r="L1037" i="5"/>
  <c r="P1037" i="5" s="1"/>
  <c r="Q1037" i="5" s="1"/>
  <c r="G1037" i="5"/>
  <c r="R1036" i="5"/>
  <c r="O1036" i="5"/>
  <c r="L1036" i="5"/>
  <c r="P1036" i="5" s="1"/>
  <c r="Q1036" i="5" s="1"/>
  <c r="G1036" i="5"/>
  <c r="R1035" i="5"/>
  <c r="O1035" i="5"/>
  <c r="L1035" i="5"/>
  <c r="P1035" i="5" s="1"/>
  <c r="Q1035" i="5" s="1"/>
  <c r="G1035" i="5"/>
  <c r="R1034" i="5"/>
  <c r="O1034" i="5"/>
  <c r="L1034" i="5"/>
  <c r="P1034" i="5" s="1"/>
  <c r="Q1034" i="5" s="1"/>
  <c r="G1034" i="5"/>
  <c r="R1033" i="5"/>
  <c r="O1033" i="5"/>
  <c r="L1033" i="5"/>
  <c r="P1033" i="5" s="1"/>
  <c r="Q1033" i="5" s="1"/>
  <c r="G1033" i="5"/>
  <c r="R1032" i="5"/>
  <c r="O1032" i="5"/>
  <c r="L1032" i="5"/>
  <c r="P1032" i="5" s="1"/>
  <c r="Q1032" i="5" s="1"/>
  <c r="G1032" i="5"/>
  <c r="R1031" i="5"/>
  <c r="O1031" i="5"/>
  <c r="L1031" i="5"/>
  <c r="P1031" i="5" s="1"/>
  <c r="Q1031" i="5" s="1"/>
  <c r="G1031" i="5"/>
  <c r="R1030" i="5"/>
  <c r="O1030" i="5"/>
  <c r="L1030" i="5"/>
  <c r="P1030" i="5" s="1"/>
  <c r="Q1030" i="5" s="1"/>
  <c r="G1030" i="5"/>
  <c r="R1029" i="5"/>
  <c r="O1029" i="5"/>
  <c r="L1029" i="5"/>
  <c r="P1029" i="5" s="1"/>
  <c r="Q1029" i="5" s="1"/>
  <c r="G1029" i="5"/>
  <c r="R1028" i="5"/>
  <c r="O1028" i="5"/>
  <c r="L1028" i="5"/>
  <c r="P1028" i="5" s="1"/>
  <c r="Q1028" i="5" s="1"/>
  <c r="G1028" i="5"/>
  <c r="R1027" i="5"/>
  <c r="O1027" i="5"/>
  <c r="L1027" i="5"/>
  <c r="P1027" i="5" s="1"/>
  <c r="Q1027" i="5" s="1"/>
  <c r="G1027" i="5"/>
  <c r="R1026" i="5"/>
  <c r="O1026" i="5"/>
  <c r="L1026" i="5"/>
  <c r="P1026" i="5" s="1"/>
  <c r="Q1026" i="5" s="1"/>
  <c r="G1026" i="5"/>
  <c r="R1025" i="5"/>
  <c r="O1025" i="5"/>
  <c r="L1025" i="5"/>
  <c r="P1025" i="5" s="1"/>
  <c r="Q1025" i="5" s="1"/>
  <c r="G1025" i="5"/>
  <c r="R1024" i="5"/>
  <c r="O1024" i="5"/>
  <c r="L1024" i="5"/>
  <c r="P1024" i="5" s="1"/>
  <c r="Q1024" i="5" s="1"/>
  <c r="G1024" i="5"/>
  <c r="R1023" i="5"/>
  <c r="O1023" i="5"/>
  <c r="L1023" i="5"/>
  <c r="P1023" i="5" s="1"/>
  <c r="Q1023" i="5" s="1"/>
  <c r="G1023" i="5"/>
  <c r="R1022" i="5"/>
  <c r="O1022" i="5"/>
  <c r="L1022" i="5"/>
  <c r="P1022" i="5" s="1"/>
  <c r="Q1022" i="5" s="1"/>
  <c r="G1022" i="5"/>
  <c r="R1021" i="5"/>
  <c r="O1021" i="5"/>
  <c r="L1021" i="5"/>
  <c r="P1021" i="5" s="1"/>
  <c r="Q1021" i="5" s="1"/>
  <c r="G1021" i="5"/>
  <c r="R1020" i="5"/>
  <c r="O1020" i="5"/>
  <c r="L1020" i="5"/>
  <c r="P1020" i="5" s="1"/>
  <c r="Q1020" i="5" s="1"/>
  <c r="G1020" i="5"/>
  <c r="R1019" i="5"/>
  <c r="O1019" i="5"/>
  <c r="L1019" i="5"/>
  <c r="P1019" i="5" s="1"/>
  <c r="Q1019" i="5" s="1"/>
  <c r="G1019" i="5"/>
  <c r="R1018" i="5"/>
  <c r="O1018" i="5"/>
  <c r="L1018" i="5"/>
  <c r="P1018" i="5" s="1"/>
  <c r="Q1018" i="5" s="1"/>
  <c r="G1018" i="5"/>
  <c r="R1017" i="5"/>
  <c r="O1017" i="5"/>
  <c r="L1017" i="5"/>
  <c r="P1017" i="5" s="1"/>
  <c r="Q1017" i="5" s="1"/>
  <c r="G1017" i="5"/>
  <c r="R1016" i="5"/>
  <c r="O1016" i="5"/>
  <c r="L1016" i="5"/>
  <c r="P1016" i="5" s="1"/>
  <c r="Q1016" i="5" s="1"/>
  <c r="G1016" i="5"/>
  <c r="R1015" i="5"/>
  <c r="O1015" i="5"/>
  <c r="L1015" i="5"/>
  <c r="P1015" i="5" s="1"/>
  <c r="Q1015" i="5" s="1"/>
  <c r="G1015" i="5"/>
  <c r="R1014" i="5"/>
  <c r="O1014" i="5"/>
  <c r="L1014" i="5"/>
  <c r="P1014" i="5" s="1"/>
  <c r="Q1014" i="5" s="1"/>
  <c r="G1014" i="5"/>
  <c r="R1013" i="5"/>
  <c r="O1013" i="5"/>
  <c r="L1013" i="5"/>
  <c r="P1013" i="5" s="1"/>
  <c r="Q1013" i="5" s="1"/>
  <c r="G1013" i="5"/>
  <c r="R1012" i="5"/>
  <c r="O1012" i="5"/>
  <c r="L1012" i="5"/>
  <c r="P1012" i="5" s="1"/>
  <c r="Q1012" i="5" s="1"/>
  <c r="G1012" i="5"/>
  <c r="R1011" i="5"/>
  <c r="O1011" i="5"/>
  <c r="L1011" i="5"/>
  <c r="P1011" i="5" s="1"/>
  <c r="Q1011" i="5" s="1"/>
  <c r="G1011" i="5"/>
  <c r="R1010" i="5"/>
  <c r="O1010" i="5"/>
  <c r="L1010" i="5"/>
  <c r="P1010" i="5" s="1"/>
  <c r="Q1010" i="5" s="1"/>
  <c r="G1010" i="5"/>
  <c r="R1009" i="5"/>
  <c r="O1009" i="5"/>
  <c r="L1009" i="5"/>
  <c r="P1009" i="5" s="1"/>
  <c r="Q1009" i="5" s="1"/>
  <c r="G1009" i="5"/>
  <c r="R1008" i="5"/>
  <c r="O1008" i="5"/>
  <c r="L1008" i="5"/>
  <c r="P1008" i="5" s="1"/>
  <c r="Q1008" i="5" s="1"/>
  <c r="G1008" i="5"/>
  <c r="R1007" i="5"/>
  <c r="O1007" i="5"/>
  <c r="L1007" i="5"/>
  <c r="P1007" i="5" s="1"/>
  <c r="Q1007" i="5" s="1"/>
  <c r="G1007" i="5"/>
  <c r="R1006" i="5"/>
  <c r="O1006" i="5"/>
  <c r="L1006" i="5"/>
  <c r="P1006" i="5" s="1"/>
  <c r="Q1006" i="5" s="1"/>
  <c r="G1006" i="5"/>
  <c r="R1005" i="5"/>
  <c r="O1005" i="5"/>
  <c r="L1005" i="5"/>
  <c r="P1005" i="5" s="1"/>
  <c r="Q1005" i="5" s="1"/>
  <c r="G1005" i="5"/>
  <c r="R1004" i="5"/>
  <c r="O1004" i="5"/>
  <c r="L1004" i="5"/>
  <c r="P1004" i="5" s="1"/>
  <c r="Q1004" i="5" s="1"/>
  <c r="G1004" i="5"/>
  <c r="R1003" i="5"/>
  <c r="O1003" i="5"/>
  <c r="L1003" i="5"/>
  <c r="P1003" i="5" s="1"/>
  <c r="Q1003" i="5" s="1"/>
  <c r="G1003" i="5"/>
  <c r="R1002" i="5"/>
  <c r="O1002" i="5"/>
  <c r="L1002" i="5"/>
  <c r="P1002" i="5" s="1"/>
  <c r="Q1002" i="5" s="1"/>
  <c r="G1002" i="5"/>
  <c r="R1001" i="5"/>
  <c r="O1001" i="5"/>
  <c r="L1001" i="5"/>
  <c r="P1001" i="5" s="1"/>
  <c r="Q1001" i="5" s="1"/>
  <c r="G1001" i="5"/>
  <c r="R1000" i="5"/>
  <c r="O1000" i="5"/>
  <c r="L1000" i="5"/>
  <c r="P1000" i="5" s="1"/>
  <c r="Q1000" i="5" s="1"/>
  <c r="G1000" i="5"/>
  <c r="R999" i="5"/>
  <c r="O999" i="5"/>
  <c r="L999" i="5"/>
  <c r="P999" i="5" s="1"/>
  <c r="Q999" i="5" s="1"/>
  <c r="G999" i="5"/>
  <c r="R998" i="5"/>
  <c r="O998" i="5"/>
  <c r="L998" i="5"/>
  <c r="P998" i="5" s="1"/>
  <c r="Q998" i="5" s="1"/>
  <c r="G998" i="5"/>
  <c r="R997" i="5"/>
  <c r="O997" i="5"/>
  <c r="L997" i="5"/>
  <c r="P997" i="5" s="1"/>
  <c r="Q997" i="5" s="1"/>
  <c r="G997" i="5"/>
  <c r="R996" i="5"/>
  <c r="O996" i="5"/>
  <c r="L996" i="5"/>
  <c r="P996" i="5" s="1"/>
  <c r="Q996" i="5" s="1"/>
  <c r="G996" i="5"/>
  <c r="R995" i="5"/>
  <c r="O995" i="5"/>
  <c r="L995" i="5"/>
  <c r="P995" i="5" s="1"/>
  <c r="Q995" i="5" s="1"/>
  <c r="G995" i="5"/>
  <c r="R994" i="5"/>
  <c r="O994" i="5"/>
  <c r="L994" i="5"/>
  <c r="P994" i="5" s="1"/>
  <c r="Q994" i="5" s="1"/>
  <c r="G994" i="5"/>
  <c r="R993" i="5"/>
  <c r="O993" i="5"/>
  <c r="L993" i="5"/>
  <c r="P993" i="5" s="1"/>
  <c r="Q993" i="5" s="1"/>
  <c r="G993" i="5"/>
  <c r="R992" i="5"/>
  <c r="O992" i="5"/>
  <c r="L992" i="5"/>
  <c r="P992" i="5" s="1"/>
  <c r="Q992" i="5" s="1"/>
  <c r="G992" i="5"/>
  <c r="R991" i="5"/>
  <c r="O991" i="5"/>
  <c r="L991" i="5"/>
  <c r="P991" i="5" s="1"/>
  <c r="Q991" i="5" s="1"/>
  <c r="G991" i="5"/>
  <c r="R990" i="5"/>
  <c r="O990" i="5"/>
  <c r="L990" i="5"/>
  <c r="P990" i="5" s="1"/>
  <c r="Q990" i="5" s="1"/>
  <c r="G990" i="5"/>
  <c r="R989" i="5"/>
  <c r="O989" i="5"/>
  <c r="L989" i="5"/>
  <c r="P989" i="5" s="1"/>
  <c r="Q989" i="5" s="1"/>
  <c r="G989" i="5"/>
  <c r="R988" i="5"/>
  <c r="O988" i="5"/>
  <c r="L988" i="5"/>
  <c r="P988" i="5" s="1"/>
  <c r="Q988" i="5" s="1"/>
  <c r="G988" i="5"/>
  <c r="R987" i="5"/>
  <c r="O987" i="5"/>
  <c r="L987" i="5"/>
  <c r="P987" i="5" s="1"/>
  <c r="Q987" i="5" s="1"/>
  <c r="G987" i="5"/>
  <c r="R986" i="5"/>
  <c r="O986" i="5"/>
  <c r="L986" i="5"/>
  <c r="P986" i="5" s="1"/>
  <c r="Q986" i="5" s="1"/>
  <c r="G986" i="5"/>
  <c r="R985" i="5"/>
  <c r="O985" i="5"/>
  <c r="L985" i="5"/>
  <c r="P985" i="5" s="1"/>
  <c r="Q985" i="5" s="1"/>
  <c r="G985" i="5"/>
  <c r="R984" i="5"/>
  <c r="O984" i="5"/>
  <c r="L984" i="5"/>
  <c r="P984" i="5" s="1"/>
  <c r="Q984" i="5" s="1"/>
  <c r="G984" i="5"/>
  <c r="R983" i="5"/>
  <c r="O983" i="5"/>
  <c r="L983" i="5"/>
  <c r="P983" i="5" s="1"/>
  <c r="Q983" i="5" s="1"/>
  <c r="G983" i="5"/>
  <c r="R982" i="5"/>
  <c r="O982" i="5"/>
  <c r="L982" i="5"/>
  <c r="P982" i="5" s="1"/>
  <c r="Q982" i="5" s="1"/>
  <c r="G982" i="5"/>
  <c r="R981" i="5"/>
  <c r="O981" i="5"/>
  <c r="L981" i="5"/>
  <c r="P981" i="5" s="1"/>
  <c r="Q981" i="5" s="1"/>
  <c r="G981" i="5"/>
  <c r="R980" i="5"/>
  <c r="O980" i="5"/>
  <c r="L980" i="5"/>
  <c r="P980" i="5" s="1"/>
  <c r="Q980" i="5" s="1"/>
  <c r="G980" i="5"/>
  <c r="R979" i="5"/>
  <c r="O979" i="5"/>
  <c r="L979" i="5"/>
  <c r="P979" i="5" s="1"/>
  <c r="Q979" i="5" s="1"/>
  <c r="G979" i="5"/>
  <c r="R978" i="5"/>
  <c r="O978" i="5"/>
  <c r="L978" i="5"/>
  <c r="P978" i="5" s="1"/>
  <c r="Q978" i="5" s="1"/>
  <c r="G978" i="5"/>
  <c r="R977" i="5"/>
  <c r="O977" i="5"/>
  <c r="L977" i="5"/>
  <c r="P977" i="5" s="1"/>
  <c r="Q977" i="5" s="1"/>
  <c r="G977" i="5"/>
  <c r="R976" i="5"/>
  <c r="O976" i="5"/>
  <c r="L976" i="5"/>
  <c r="P976" i="5" s="1"/>
  <c r="Q976" i="5" s="1"/>
  <c r="G976" i="5"/>
  <c r="R975" i="5"/>
  <c r="O975" i="5"/>
  <c r="L975" i="5"/>
  <c r="P975" i="5" s="1"/>
  <c r="Q975" i="5" s="1"/>
  <c r="G975" i="5"/>
  <c r="R974" i="5"/>
  <c r="O974" i="5"/>
  <c r="L974" i="5"/>
  <c r="P974" i="5" s="1"/>
  <c r="Q974" i="5" s="1"/>
  <c r="G974" i="5"/>
  <c r="R973" i="5"/>
  <c r="O973" i="5"/>
  <c r="L973" i="5"/>
  <c r="P973" i="5" s="1"/>
  <c r="Q973" i="5" s="1"/>
  <c r="G973" i="5"/>
  <c r="R972" i="5"/>
  <c r="O972" i="5"/>
  <c r="L972" i="5"/>
  <c r="P972" i="5" s="1"/>
  <c r="Q972" i="5" s="1"/>
  <c r="G972" i="5"/>
  <c r="R971" i="5"/>
  <c r="O971" i="5"/>
  <c r="L971" i="5"/>
  <c r="P971" i="5" s="1"/>
  <c r="Q971" i="5" s="1"/>
  <c r="G971" i="5"/>
  <c r="R970" i="5"/>
  <c r="O970" i="5"/>
  <c r="L970" i="5"/>
  <c r="P970" i="5" s="1"/>
  <c r="Q970" i="5" s="1"/>
  <c r="G970" i="5"/>
  <c r="R969" i="5"/>
  <c r="O969" i="5"/>
  <c r="L969" i="5"/>
  <c r="P969" i="5" s="1"/>
  <c r="Q969" i="5" s="1"/>
  <c r="G969" i="5"/>
  <c r="R968" i="5"/>
  <c r="O968" i="5"/>
  <c r="L968" i="5"/>
  <c r="P968" i="5" s="1"/>
  <c r="Q968" i="5" s="1"/>
  <c r="G968" i="5"/>
  <c r="R967" i="5"/>
  <c r="O967" i="5"/>
  <c r="L967" i="5"/>
  <c r="P967" i="5" s="1"/>
  <c r="Q967" i="5" s="1"/>
  <c r="G967" i="5"/>
  <c r="R966" i="5"/>
  <c r="O966" i="5"/>
  <c r="L966" i="5"/>
  <c r="P966" i="5" s="1"/>
  <c r="Q966" i="5" s="1"/>
  <c r="G966" i="5"/>
  <c r="R965" i="5"/>
  <c r="O965" i="5"/>
  <c r="L965" i="5"/>
  <c r="P965" i="5" s="1"/>
  <c r="Q965" i="5" s="1"/>
  <c r="G965" i="5"/>
  <c r="R964" i="5"/>
  <c r="O964" i="5"/>
  <c r="L964" i="5"/>
  <c r="P964" i="5" s="1"/>
  <c r="Q964" i="5" s="1"/>
  <c r="G964" i="5"/>
  <c r="R963" i="5"/>
  <c r="O963" i="5"/>
  <c r="L963" i="5"/>
  <c r="P963" i="5" s="1"/>
  <c r="Q963" i="5" s="1"/>
  <c r="G963" i="5"/>
  <c r="R962" i="5"/>
  <c r="O962" i="5"/>
  <c r="L962" i="5"/>
  <c r="P962" i="5" s="1"/>
  <c r="Q962" i="5" s="1"/>
  <c r="G962" i="5"/>
  <c r="R961" i="5"/>
  <c r="O961" i="5"/>
  <c r="L961" i="5"/>
  <c r="P961" i="5" s="1"/>
  <c r="Q961" i="5" s="1"/>
  <c r="G961" i="5"/>
  <c r="R960" i="5"/>
  <c r="O960" i="5"/>
  <c r="L960" i="5"/>
  <c r="P960" i="5" s="1"/>
  <c r="Q960" i="5" s="1"/>
  <c r="G960" i="5"/>
  <c r="R959" i="5"/>
  <c r="O959" i="5"/>
  <c r="L959" i="5"/>
  <c r="P959" i="5" s="1"/>
  <c r="Q959" i="5" s="1"/>
  <c r="G959" i="5"/>
  <c r="R958" i="5"/>
  <c r="O958" i="5"/>
  <c r="L958" i="5"/>
  <c r="P958" i="5" s="1"/>
  <c r="Q958" i="5" s="1"/>
  <c r="G958" i="5"/>
  <c r="R957" i="5"/>
  <c r="O957" i="5"/>
  <c r="L957" i="5"/>
  <c r="P957" i="5" s="1"/>
  <c r="Q957" i="5" s="1"/>
  <c r="G957" i="5"/>
  <c r="R956" i="5"/>
  <c r="O956" i="5"/>
  <c r="L956" i="5"/>
  <c r="P956" i="5" s="1"/>
  <c r="Q956" i="5" s="1"/>
  <c r="G956" i="5"/>
  <c r="R955" i="5"/>
  <c r="O955" i="5"/>
  <c r="L955" i="5"/>
  <c r="P955" i="5" s="1"/>
  <c r="Q955" i="5" s="1"/>
  <c r="G955" i="5"/>
  <c r="R954" i="5"/>
  <c r="O954" i="5"/>
  <c r="L954" i="5"/>
  <c r="P954" i="5" s="1"/>
  <c r="Q954" i="5" s="1"/>
  <c r="G954" i="5"/>
  <c r="R953" i="5"/>
  <c r="O953" i="5"/>
  <c r="L953" i="5"/>
  <c r="P953" i="5" s="1"/>
  <c r="Q953" i="5" s="1"/>
  <c r="G953" i="5"/>
  <c r="R952" i="5"/>
  <c r="O952" i="5"/>
  <c r="L952" i="5"/>
  <c r="P952" i="5" s="1"/>
  <c r="Q952" i="5" s="1"/>
  <c r="G952" i="5"/>
  <c r="R951" i="5"/>
  <c r="O951" i="5"/>
  <c r="L951" i="5"/>
  <c r="P951" i="5" s="1"/>
  <c r="Q951" i="5" s="1"/>
  <c r="G951" i="5"/>
  <c r="R950" i="5"/>
  <c r="O950" i="5"/>
  <c r="L950" i="5"/>
  <c r="P950" i="5" s="1"/>
  <c r="Q950" i="5" s="1"/>
  <c r="G950" i="5"/>
  <c r="R949" i="5"/>
  <c r="O949" i="5"/>
  <c r="L949" i="5"/>
  <c r="P949" i="5" s="1"/>
  <c r="Q949" i="5" s="1"/>
  <c r="G949" i="5"/>
  <c r="R948" i="5"/>
  <c r="O948" i="5"/>
  <c r="L948" i="5"/>
  <c r="P948" i="5" s="1"/>
  <c r="Q948" i="5" s="1"/>
  <c r="G948" i="5"/>
  <c r="R947" i="5"/>
  <c r="O947" i="5"/>
  <c r="L947" i="5"/>
  <c r="P947" i="5" s="1"/>
  <c r="Q947" i="5" s="1"/>
  <c r="G947" i="5"/>
  <c r="R946" i="5"/>
  <c r="O946" i="5"/>
  <c r="L946" i="5"/>
  <c r="P946" i="5" s="1"/>
  <c r="Q946" i="5" s="1"/>
  <c r="G946" i="5"/>
  <c r="R945" i="5"/>
  <c r="O945" i="5"/>
  <c r="L945" i="5"/>
  <c r="P945" i="5" s="1"/>
  <c r="Q945" i="5" s="1"/>
  <c r="G945" i="5"/>
  <c r="R944" i="5"/>
  <c r="O944" i="5"/>
  <c r="L944" i="5"/>
  <c r="P944" i="5" s="1"/>
  <c r="Q944" i="5" s="1"/>
  <c r="G944" i="5"/>
  <c r="R943" i="5"/>
  <c r="O943" i="5"/>
  <c r="L943" i="5"/>
  <c r="P943" i="5" s="1"/>
  <c r="Q943" i="5" s="1"/>
  <c r="G943" i="5"/>
  <c r="R942" i="5"/>
  <c r="O942" i="5"/>
  <c r="L942" i="5"/>
  <c r="P942" i="5" s="1"/>
  <c r="Q942" i="5" s="1"/>
  <c r="G942" i="5"/>
  <c r="R941" i="5"/>
  <c r="O941" i="5"/>
  <c r="L941" i="5"/>
  <c r="P941" i="5" s="1"/>
  <c r="Q941" i="5" s="1"/>
  <c r="G941" i="5"/>
  <c r="R940" i="5"/>
  <c r="O940" i="5"/>
  <c r="L940" i="5"/>
  <c r="P940" i="5" s="1"/>
  <c r="Q940" i="5" s="1"/>
  <c r="G940" i="5"/>
  <c r="R939" i="5"/>
  <c r="O939" i="5"/>
  <c r="L939" i="5"/>
  <c r="P939" i="5" s="1"/>
  <c r="Q939" i="5" s="1"/>
  <c r="G939" i="5"/>
  <c r="R938" i="5"/>
  <c r="O938" i="5"/>
  <c r="L938" i="5"/>
  <c r="P938" i="5" s="1"/>
  <c r="Q938" i="5" s="1"/>
  <c r="G938" i="5"/>
  <c r="R937" i="5"/>
  <c r="O937" i="5"/>
  <c r="L937" i="5"/>
  <c r="P937" i="5" s="1"/>
  <c r="Q937" i="5" s="1"/>
  <c r="G937" i="5"/>
  <c r="R936" i="5"/>
  <c r="O936" i="5"/>
  <c r="L936" i="5"/>
  <c r="P936" i="5" s="1"/>
  <c r="Q936" i="5" s="1"/>
  <c r="G936" i="5"/>
  <c r="R935" i="5"/>
  <c r="O935" i="5"/>
  <c r="L935" i="5"/>
  <c r="P935" i="5" s="1"/>
  <c r="Q935" i="5" s="1"/>
  <c r="G935" i="5"/>
  <c r="R934" i="5"/>
  <c r="O934" i="5"/>
  <c r="L934" i="5"/>
  <c r="P934" i="5" s="1"/>
  <c r="Q934" i="5" s="1"/>
  <c r="G934" i="5"/>
  <c r="R933" i="5"/>
  <c r="O933" i="5"/>
  <c r="L933" i="5"/>
  <c r="P933" i="5" s="1"/>
  <c r="Q933" i="5" s="1"/>
  <c r="G933" i="5"/>
  <c r="R932" i="5"/>
  <c r="O932" i="5"/>
  <c r="L932" i="5"/>
  <c r="P932" i="5" s="1"/>
  <c r="Q932" i="5" s="1"/>
  <c r="G932" i="5"/>
  <c r="R931" i="5"/>
  <c r="O931" i="5"/>
  <c r="L931" i="5"/>
  <c r="P931" i="5" s="1"/>
  <c r="Q931" i="5" s="1"/>
  <c r="G931" i="5"/>
  <c r="R930" i="5"/>
  <c r="O930" i="5"/>
  <c r="L930" i="5"/>
  <c r="P930" i="5" s="1"/>
  <c r="Q930" i="5" s="1"/>
  <c r="G930" i="5"/>
  <c r="R929" i="5"/>
  <c r="O929" i="5"/>
  <c r="L929" i="5"/>
  <c r="P929" i="5" s="1"/>
  <c r="Q929" i="5" s="1"/>
  <c r="G929" i="5"/>
  <c r="R928" i="5"/>
  <c r="O928" i="5"/>
  <c r="L928" i="5"/>
  <c r="P928" i="5" s="1"/>
  <c r="Q928" i="5" s="1"/>
  <c r="G928" i="5"/>
  <c r="R927" i="5"/>
  <c r="O927" i="5"/>
  <c r="L927" i="5"/>
  <c r="P927" i="5" s="1"/>
  <c r="Q927" i="5" s="1"/>
  <c r="G927" i="5"/>
  <c r="R926" i="5"/>
  <c r="O926" i="5"/>
  <c r="L926" i="5"/>
  <c r="P926" i="5" s="1"/>
  <c r="Q926" i="5" s="1"/>
  <c r="G926" i="5"/>
  <c r="R925" i="5"/>
  <c r="O925" i="5"/>
  <c r="L925" i="5"/>
  <c r="P925" i="5" s="1"/>
  <c r="Q925" i="5" s="1"/>
  <c r="G925" i="5"/>
  <c r="R924" i="5"/>
  <c r="O924" i="5"/>
  <c r="L924" i="5"/>
  <c r="P924" i="5" s="1"/>
  <c r="Q924" i="5" s="1"/>
  <c r="G924" i="5"/>
  <c r="R923" i="5"/>
  <c r="O923" i="5"/>
  <c r="L923" i="5"/>
  <c r="P923" i="5" s="1"/>
  <c r="Q923" i="5" s="1"/>
  <c r="G923" i="5"/>
  <c r="R922" i="5"/>
  <c r="O922" i="5"/>
  <c r="L922" i="5"/>
  <c r="P922" i="5" s="1"/>
  <c r="Q922" i="5" s="1"/>
  <c r="G922" i="5"/>
  <c r="R921" i="5"/>
  <c r="O921" i="5"/>
  <c r="L921" i="5"/>
  <c r="P921" i="5" s="1"/>
  <c r="Q921" i="5" s="1"/>
  <c r="G921" i="5"/>
  <c r="R920" i="5"/>
  <c r="O920" i="5"/>
  <c r="L920" i="5"/>
  <c r="P920" i="5" s="1"/>
  <c r="Q920" i="5" s="1"/>
  <c r="G920" i="5"/>
  <c r="R919" i="5"/>
  <c r="O919" i="5"/>
  <c r="L919" i="5"/>
  <c r="P919" i="5" s="1"/>
  <c r="Q919" i="5" s="1"/>
  <c r="G919" i="5"/>
  <c r="R918" i="5"/>
  <c r="O918" i="5"/>
  <c r="L918" i="5"/>
  <c r="P918" i="5" s="1"/>
  <c r="Q918" i="5" s="1"/>
  <c r="G918" i="5"/>
  <c r="R917" i="5"/>
  <c r="O917" i="5"/>
  <c r="L917" i="5"/>
  <c r="P917" i="5" s="1"/>
  <c r="Q917" i="5" s="1"/>
  <c r="G917" i="5"/>
  <c r="R916" i="5"/>
  <c r="O916" i="5"/>
  <c r="L916" i="5"/>
  <c r="P916" i="5" s="1"/>
  <c r="Q916" i="5" s="1"/>
  <c r="G916" i="5"/>
  <c r="R915" i="5"/>
  <c r="O915" i="5"/>
  <c r="L915" i="5"/>
  <c r="P915" i="5" s="1"/>
  <c r="Q915" i="5" s="1"/>
  <c r="G915" i="5"/>
  <c r="R914" i="5"/>
  <c r="O914" i="5"/>
  <c r="L914" i="5"/>
  <c r="P914" i="5" s="1"/>
  <c r="Q914" i="5" s="1"/>
  <c r="G914" i="5"/>
  <c r="R913" i="5"/>
  <c r="O913" i="5"/>
  <c r="L913" i="5"/>
  <c r="P913" i="5" s="1"/>
  <c r="Q913" i="5" s="1"/>
  <c r="G913" i="5"/>
  <c r="R912" i="5"/>
  <c r="O912" i="5"/>
  <c r="L912" i="5"/>
  <c r="P912" i="5" s="1"/>
  <c r="Q912" i="5" s="1"/>
  <c r="G912" i="5"/>
  <c r="R911" i="5"/>
  <c r="O911" i="5"/>
  <c r="L911" i="5"/>
  <c r="P911" i="5" s="1"/>
  <c r="Q911" i="5" s="1"/>
  <c r="G911" i="5"/>
  <c r="R910" i="5"/>
  <c r="O910" i="5"/>
  <c r="L910" i="5"/>
  <c r="P910" i="5" s="1"/>
  <c r="Q910" i="5" s="1"/>
  <c r="G910" i="5"/>
  <c r="R909" i="5"/>
  <c r="O909" i="5"/>
  <c r="L909" i="5"/>
  <c r="P909" i="5" s="1"/>
  <c r="Q909" i="5" s="1"/>
  <c r="G909" i="5"/>
  <c r="R908" i="5"/>
  <c r="O908" i="5"/>
  <c r="L908" i="5"/>
  <c r="P908" i="5" s="1"/>
  <c r="Q908" i="5" s="1"/>
  <c r="G908" i="5"/>
  <c r="R907" i="5"/>
  <c r="O907" i="5"/>
  <c r="L907" i="5"/>
  <c r="P907" i="5" s="1"/>
  <c r="Q907" i="5" s="1"/>
  <c r="G907" i="5"/>
  <c r="R906" i="5"/>
  <c r="O906" i="5"/>
  <c r="L906" i="5"/>
  <c r="P906" i="5" s="1"/>
  <c r="Q906" i="5" s="1"/>
  <c r="G906" i="5"/>
  <c r="R905" i="5"/>
  <c r="O905" i="5"/>
  <c r="L905" i="5"/>
  <c r="P905" i="5" s="1"/>
  <c r="Q905" i="5" s="1"/>
  <c r="G905" i="5"/>
  <c r="R904" i="5"/>
  <c r="O904" i="5"/>
  <c r="L904" i="5"/>
  <c r="P904" i="5" s="1"/>
  <c r="Q904" i="5" s="1"/>
  <c r="G904" i="5"/>
  <c r="R903" i="5"/>
  <c r="O903" i="5"/>
  <c r="L903" i="5"/>
  <c r="P903" i="5" s="1"/>
  <c r="Q903" i="5" s="1"/>
  <c r="G903" i="5"/>
  <c r="R902" i="5"/>
  <c r="O902" i="5"/>
  <c r="L902" i="5"/>
  <c r="P902" i="5" s="1"/>
  <c r="Q902" i="5" s="1"/>
  <c r="G902" i="5"/>
  <c r="R901" i="5"/>
  <c r="O901" i="5"/>
  <c r="L901" i="5"/>
  <c r="P901" i="5" s="1"/>
  <c r="Q901" i="5" s="1"/>
  <c r="G901" i="5"/>
  <c r="R900" i="5"/>
  <c r="O900" i="5"/>
  <c r="L900" i="5"/>
  <c r="P900" i="5" s="1"/>
  <c r="Q900" i="5" s="1"/>
  <c r="G900" i="5"/>
  <c r="R899" i="5"/>
  <c r="O899" i="5"/>
  <c r="L899" i="5"/>
  <c r="P899" i="5" s="1"/>
  <c r="Q899" i="5" s="1"/>
  <c r="G899" i="5"/>
  <c r="R898" i="5"/>
  <c r="O898" i="5"/>
  <c r="L898" i="5"/>
  <c r="P898" i="5" s="1"/>
  <c r="Q898" i="5" s="1"/>
  <c r="G898" i="5"/>
  <c r="R897" i="5"/>
  <c r="O897" i="5"/>
  <c r="L897" i="5"/>
  <c r="P897" i="5" s="1"/>
  <c r="Q897" i="5" s="1"/>
  <c r="G897" i="5"/>
  <c r="R896" i="5"/>
  <c r="O896" i="5"/>
  <c r="L896" i="5"/>
  <c r="P896" i="5" s="1"/>
  <c r="Q896" i="5" s="1"/>
  <c r="G896" i="5"/>
  <c r="R895" i="5"/>
  <c r="O895" i="5"/>
  <c r="L895" i="5"/>
  <c r="P895" i="5" s="1"/>
  <c r="Q895" i="5" s="1"/>
  <c r="G895" i="5"/>
  <c r="R894" i="5"/>
  <c r="O894" i="5"/>
  <c r="L894" i="5"/>
  <c r="P894" i="5" s="1"/>
  <c r="Q894" i="5" s="1"/>
  <c r="G894" i="5"/>
  <c r="R893" i="5"/>
  <c r="O893" i="5"/>
  <c r="L893" i="5"/>
  <c r="P893" i="5" s="1"/>
  <c r="Q893" i="5" s="1"/>
  <c r="G893" i="5"/>
  <c r="R892" i="5"/>
  <c r="O892" i="5"/>
  <c r="L892" i="5"/>
  <c r="P892" i="5" s="1"/>
  <c r="Q892" i="5" s="1"/>
  <c r="G892" i="5"/>
  <c r="R891" i="5"/>
  <c r="O891" i="5"/>
  <c r="L891" i="5"/>
  <c r="P891" i="5" s="1"/>
  <c r="Q891" i="5" s="1"/>
  <c r="G891" i="5"/>
  <c r="R890" i="5"/>
  <c r="O890" i="5"/>
  <c r="L890" i="5"/>
  <c r="P890" i="5" s="1"/>
  <c r="Q890" i="5" s="1"/>
  <c r="G890" i="5"/>
  <c r="R889" i="5"/>
  <c r="O889" i="5"/>
  <c r="L889" i="5"/>
  <c r="P889" i="5" s="1"/>
  <c r="Q889" i="5" s="1"/>
  <c r="G889" i="5"/>
  <c r="R888" i="5"/>
  <c r="O888" i="5"/>
  <c r="L888" i="5"/>
  <c r="P888" i="5" s="1"/>
  <c r="Q888" i="5" s="1"/>
  <c r="G888" i="5"/>
  <c r="R887" i="5"/>
  <c r="O887" i="5"/>
  <c r="L887" i="5"/>
  <c r="P887" i="5" s="1"/>
  <c r="Q887" i="5" s="1"/>
  <c r="G887" i="5"/>
  <c r="R886" i="5"/>
  <c r="O886" i="5"/>
  <c r="L886" i="5"/>
  <c r="P886" i="5" s="1"/>
  <c r="Q886" i="5" s="1"/>
  <c r="G886" i="5"/>
  <c r="R885" i="5"/>
  <c r="O885" i="5"/>
  <c r="L885" i="5"/>
  <c r="P885" i="5" s="1"/>
  <c r="Q885" i="5" s="1"/>
  <c r="G885" i="5"/>
  <c r="R884" i="5"/>
  <c r="O884" i="5"/>
  <c r="L884" i="5"/>
  <c r="P884" i="5" s="1"/>
  <c r="Q884" i="5" s="1"/>
  <c r="G884" i="5"/>
  <c r="R883" i="5"/>
  <c r="O883" i="5"/>
  <c r="L883" i="5"/>
  <c r="P883" i="5" s="1"/>
  <c r="Q883" i="5" s="1"/>
  <c r="G883" i="5"/>
  <c r="R882" i="5"/>
  <c r="O882" i="5"/>
  <c r="L882" i="5"/>
  <c r="P882" i="5" s="1"/>
  <c r="Q882" i="5" s="1"/>
  <c r="G882" i="5"/>
  <c r="R881" i="5"/>
  <c r="O881" i="5"/>
  <c r="L881" i="5"/>
  <c r="P881" i="5" s="1"/>
  <c r="Q881" i="5" s="1"/>
  <c r="G881" i="5"/>
  <c r="R880" i="5"/>
  <c r="O880" i="5"/>
  <c r="L880" i="5"/>
  <c r="P880" i="5" s="1"/>
  <c r="Q880" i="5" s="1"/>
  <c r="G880" i="5"/>
  <c r="R879" i="5"/>
  <c r="O879" i="5"/>
  <c r="L879" i="5"/>
  <c r="P879" i="5" s="1"/>
  <c r="Q879" i="5" s="1"/>
  <c r="G879" i="5"/>
  <c r="R878" i="5"/>
  <c r="O878" i="5"/>
  <c r="L878" i="5"/>
  <c r="P878" i="5" s="1"/>
  <c r="Q878" i="5" s="1"/>
  <c r="G878" i="5"/>
  <c r="R877" i="5"/>
  <c r="O877" i="5"/>
  <c r="L877" i="5"/>
  <c r="P877" i="5" s="1"/>
  <c r="Q877" i="5" s="1"/>
  <c r="G877" i="5"/>
  <c r="R876" i="5"/>
  <c r="O876" i="5"/>
  <c r="L876" i="5"/>
  <c r="P876" i="5" s="1"/>
  <c r="Q876" i="5" s="1"/>
  <c r="G876" i="5"/>
  <c r="R875" i="5"/>
  <c r="O875" i="5"/>
  <c r="L875" i="5"/>
  <c r="P875" i="5" s="1"/>
  <c r="Q875" i="5" s="1"/>
  <c r="G875" i="5"/>
  <c r="R874" i="5"/>
  <c r="O874" i="5"/>
  <c r="L874" i="5"/>
  <c r="P874" i="5" s="1"/>
  <c r="Q874" i="5" s="1"/>
  <c r="G874" i="5"/>
  <c r="R873" i="5"/>
  <c r="O873" i="5"/>
  <c r="L873" i="5"/>
  <c r="P873" i="5" s="1"/>
  <c r="Q873" i="5" s="1"/>
  <c r="G873" i="5"/>
  <c r="R872" i="5"/>
  <c r="O872" i="5"/>
  <c r="L872" i="5"/>
  <c r="P872" i="5" s="1"/>
  <c r="Q872" i="5" s="1"/>
  <c r="G872" i="5"/>
  <c r="R871" i="5"/>
  <c r="O871" i="5"/>
  <c r="L871" i="5"/>
  <c r="P871" i="5" s="1"/>
  <c r="Q871" i="5" s="1"/>
  <c r="G871" i="5"/>
  <c r="R870" i="5"/>
  <c r="O870" i="5"/>
  <c r="L870" i="5"/>
  <c r="P870" i="5" s="1"/>
  <c r="Q870" i="5" s="1"/>
  <c r="G870" i="5"/>
  <c r="R869" i="5"/>
  <c r="O869" i="5"/>
  <c r="L869" i="5"/>
  <c r="P869" i="5" s="1"/>
  <c r="Q869" i="5" s="1"/>
  <c r="G869" i="5"/>
  <c r="R868" i="5"/>
  <c r="O868" i="5"/>
  <c r="L868" i="5"/>
  <c r="P868" i="5" s="1"/>
  <c r="Q868" i="5" s="1"/>
  <c r="G868" i="5"/>
  <c r="R867" i="5"/>
  <c r="O867" i="5"/>
  <c r="L867" i="5"/>
  <c r="P867" i="5" s="1"/>
  <c r="Q867" i="5" s="1"/>
  <c r="G867" i="5"/>
  <c r="R866" i="5"/>
  <c r="O866" i="5"/>
  <c r="L866" i="5"/>
  <c r="P866" i="5" s="1"/>
  <c r="Q866" i="5" s="1"/>
  <c r="G866" i="5"/>
  <c r="R865" i="5"/>
  <c r="O865" i="5"/>
  <c r="L865" i="5"/>
  <c r="P865" i="5" s="1"/>
  <c r="Q865" i="5" s="1"/>
  <c r="G865" i="5"/>
  <c r="R864" i="5"/>
  <c r="O864" i="5"/>
  <c r="L864" i="5"/>
  <c r="P864" i="5" s="1"/>
  <c r="Q864" i="5" s="1"/>
  <c r="G864" i="5"/>
  <c r="R863" i="5"/>
  <c r="O863" i="5"/>
  <c r="L863" i="5"/>
  <c r="P863" i="5" s="1"/>
  <c r="Q863" i="5" s="1"/>
  <c r="G863" i="5"/>
  <c r="R862" i="5"/>
  <c r="O862" i="5"/>
  <c r="L862" i="5"/>
  <c r="P862" i="5" s="1"/>
  <c r="Q862" i="5" s="1"/>
  <c r="G862" i="5"/>
  <c r="R861" i="5"/>
  <c r="O861" i="5"/>
  <c r="L861" i="5"/>
  <c r="P861" i="5" s="1"/>
  <c r="Q861" i="5" s="1"/>
  <c r="G861" i="5"/>
  <c r="R860" i="5"/>
  <c r="O860" i="5"/>
  <c r="L860" i="5"/>
  <c r="P860" i="5" s="1"/>
  <c r="Q860" i="5" s="1"/>
  <c r="G860" i="5"/>
  <c r="R859" i="5"/>
  <c r="O859" i="5"/>
  <c r="L859" i="5"/>
  <c r="P859" i="5" s="1"/>
  <c r="Q859" i="5" s="1"/>
  <c r="G859" i="5"/>
  <c r="R858" i="5"/>
  <c r="O858" i="5"/>
  <c r="L858" i="5"/>
  <c r="P858" i="5" s="1"/>
  <c r="Q858" i="5" s="1"/>
  <c r="G858" i="5"/>
  <c r="R857" i="5"/>
  <c r="O857" i="5"/>
  <c r="L857" i="5"/>
  <c r="P857" i="5" s="1"/>
  <c r="Q857" i="5" s="1"/>
  <c r="G857" i="5"/>
  <c r="R856" i="5"/>
  <c r="O856" i="5"/>
  <c r="L856" i="5"/>
  <c r="P856" i="5" s="1"/>
  <c r="Q856" i="5" s="1"/>
  <c r="G856" i="5"/>
  <c r="R855" i="5"/>
  <c r="O855" i="5"/>
  <c r="L855" i="5"/>
  <c r="P855" i="5" s="1"/>
  <c r="Q855" i="5" s="1"/>
  <c r="G855" i="5"/>
  <c r="R854" i="5"/>
  <c r="O854" i="5"/>
  <c r="L854" i="5"/>
  <c r="P854" i="5" s="1"/>
  <c r="Q854" i="5" s="1"/>
  <c r="G854" i="5"/>
  <c r="R853" i="5"/>
  <c r="O853" i="5"/>
  <c r="L853" i="5"/>
  <c r="P853" i="5" s="1"/>
  <c r="Q853" i="5" s="1"/>
  <c r="G853" i="5"/>
  <c r="R852" i="5"/>
  <c r="O852" i="5"/>
  <c r="L852" i="5"/>
  <c r="P852" i="5" s="1"/>
  <c r="Q852" i="5" s="1"/>
  <c r="G852" i="5"/>
  <c r="R851" i="5"/>
  <c r="O851" i="5"/>
  <c r="L851" i="5"/>
  <c r="P851" i="5" s="1"/>
  <c r="Q851" i="5" s="1"/>
  <c r="G851" i="5"/>
  <c r="R850" i="5"/>
  <c r="O850" i="5"/>
  <c r="L850" i="5"/>
  <c r="P850" i="5" s="1"/>
  <c r="Q850" i="5" s="1"/>
  <c r="G850" i="5"/>
  <c r="R849" i="5"/>
  <c r="O849" i="5"/>
  <c r="L849" i="5"/>
  <c r="P849" i="5" s="1"/>
  <c r="Q849" i="5" s="1"/>
  <c r="G849" i="5"/>
  <c r="R848" i="5"/>
  <c r="O848" i="5"/>
  <c r="L848" i="5"/>
  <c r="P848" i="5" s="1"/>
  <c r="Q848" i="5" s="1"/>
  <c r="G848" i="5"/>
  <c r="R847" i="5"/>
  <c r="O847" i="5"/>
  <c r="L847" i="5"/>
  <c r="P847" i="5" s="1"/>
  <c r="Q847" i="5" s="1"/>
  <c r="G847" i="5"/>
  <c r="R846" i="5"/>
  <c r="O846" i="5"/>
  <c r="L846" i="5"/>
  <c r="P846" i="5" s="1"/>
  <c r="Q846" i="5" s="1"/>
  <c r="G846" i="5"/>
  <c r="R845" i="5"/>
  <c r="O845" i="5"/>
  <c r="L845" i="5"/>
  <c r="P845" i="5" s="1"/>
  <c r="Q845" i="5" s="1"/>
  <c r="G845" i="5"/>
  <c r="R844" i="5"/>
  <c r="O844" i="5"/>
  <c r="L844" i="5"/>
  <c r="P844" i="5" s="1"/>
  <c r="Q844" i="5" s="1"/>
  <c r="G844" i="5"/>
  <c r="R843" i="5"/>
  <c r="O843" i="5"/>
  <c r="L843" i="5"/>
  <c r="P843" i="5" s="1"/>
  <c r="Q843" i="5" s="1"/>
  <c r="G843" i="5"/>
  <c r="R842" i="5"/>
  <c r="O842" i="5"/>
  <c r="L842" i="5"/>
  <c r="P842" i="5" s="1"/>
  <c r="Q842" i="5" s="1"/>
  <c r="G842" i="5"/>
  <c r="R841" i="5"/>
  <c r="O841" i="5"/>
  <c r="L841" i="5"/>
  <c r="P841" i="5" s="1"/>
  <c r="Q841" i="5" s="1"/>
  <c r="G841" i="5"/>
  <c r="R840" i="5"/>
  <c r="O840" i="5"/>
  <c r="L840" i="5"/>
  <c r="P840" i="5" s="1"/>
  <c r="Q840" i="5" s="1"/>
  <c r="G840" i="5"/>
  <c r="R839" i="5"/>
  <c r="O839" i="5"/>
  <c r="L839" i="5"/>
  <c r="P839" i="5" s="1"/>
  <c r="Q839" i="5" s="1"/>
  <c r="G839" i="5"/>
  <c r="R838" i="5"/>
  <c r="O838" i="5"/>
  <c r="L838" i="5"/>
  <c r="P838" i="5" s="1"/>
  <c r="Q838" i="5" s="1"/>
  <c r="G838" i="5"/>
  <c r="R837" i="5"/>
  <c r="O837" i="5"/>
  <c r="L837" i="5"/>
  <c r="P837" i="5" s="1"/>
  <c r="Q837" i="5" s="1"/>
  <c r="G837" i="5"/>
  <c r="R836" i="5"/>
  <c r="O836" i="5"/>
  <c r="L836" i="5"/>
  <c r="P836" i="5" s="1"/>
  <c r="Q836" i="5" s="1"/>
  <c r="G836" i="5"/>
  <c r="R835" i="5"/>
  <c r="O835" i="5"/>
  <c r="L835" i="5"/>
  <c r="P835" i="5" s="1"/>
  <c r="Q835" i="5" s="1"/>
  <c r="G835" i="5"/>
  <c r="R834" i="5"/>
  <c r="O834" i="5"/>
  <c r="L834" i="5"/>
  <c r="P834" i="5" s="1"/>
  <c r="Q834" i="5" s="1"/>
  <c r="G834" i="5"/>
  <c r="R833" i="5"/>
  <c r="O833" i="5"/>
  <c r="L833" i="5"/>
  <c r="P833" i="5" s="1"/>
  <c r="Q833" i="5" s="1"/>
  <c r="G833" i="5"/>
  <c r="R832" i="5"/>
  <c r="O832" i="5"/>
  <c r="L832" i="5"/>
  <c r="P832" i="5" s="1"/>
  <c r="Q832" i="5" s="1"/>
  <c r="G832" i="5"/>
  <c r="R831" i="5"/>
  <c r="O831" i="5"/>
  <c r="L831" i="5"/>
  <c r="P831" i="5" s="1"/>
  <c r="Q831" i="5" s="1"/>
  <c r="G831" i="5"/>
  <c r="R830" i="5"/>
  <c r="O830" i="5"/>
  <c r="L830" i="5"/>
  <c r="P830" i="5" s="1"/>
  <c r="Q830" i="5" s="1"/>
  <c r="G830" i="5"/>
  <c r="R829" i="5"/>
  <c r="O829" i="5"/>
  <c r="L829" i="5"/>
  <c r="P829" i="5" s="1"/>
  <c r="Q829" i="5" s="1"/>
  <c r="G829" i="5"/>
  <c r="R828" i="5"/>
  <c r="O828" i="5"/>
  <c r="L828" i="5"/>
  <c r="P828" i="5" s="1"/>
  <c r="Q828" i="5" s="1"/>
  <c r="G828" i="5"/>
  <c r="R827" i="5"/>
  <c r="O827" i="5"/>
  <c r="L827" i="5"/>
  <c r="P827" i="5" s="1"/>
  <c r="Q827" i="5" s="1"/>
  <c r="G827" i="5"/>
  <c r="R826" i="5"/>
  <c r="O826" i="5"/>
  <c r="L826" i="5"/>
  <c r="P826" i="5" s="1"/>
  <c r="Q826" i="5" s="1"/>
  <c r="G826" i="5"/>
  <c r="R825" i="5"/>
  <c r="O825" i="5"/>
  <c r="L825" i="5"/>
  <c r="P825" i="5" s="1"/>
  <c r="Q825" i="5" s="1"/>
  <c r="G825" i="5"/>
  <c r="R824" i="5"/>
  <c r="O824" i="5"/>
  <c r="L824" i="5"/>
  <c r="P824" i="5" s="1"/>
  <c r="Q824" i="5" s="1"/>
  <c r="G824" i="5"/>
  <c r="R823" i="5"/>
  <c r="O823" i="5"/>
  <c r="L823" i="5"/>
  <c r="P823" i="5" s="1"/>
  <c r="Q823" i="5" s="1"/>
  <c r="G823" i="5"/>
  <c r="R822" i="5"/>
  <c r="O822" i="5"/>
  <c r="L822" i="5"/>
  <c r="P822" i="5" s="1"/>
  <c r="Q822" i="5" s="1"/>
  <c r="G822" i="5"/>
  <c r="R821" i="5"/>
  <c r="O821" i="5"/>
  <c r="L821" i="5"/>
  <c r="P821" i="5" s="1"/>
  <c r="Q821" i="5" s="1"/>
  <c r="G821" i="5"/>
  <c r="R820" i="5"/>
  <c r="O820" i="5"/>
  <c r="L820" i="5"/>
  <c r="P820" i="5" s="1"/>
  <c r="Q820" i="5" s="1"/>
  <c r="G820" i="5"/>
  <c r="R819" i="5"/>
  <c r="O819" i="5"/>
  <c r="L819" i="5"/>
  <c r="P819" i="5" s="1"/>
  <c r="Q819" i="5" s="1"/>
  <c r="G819" i="5"/>
  <c r="R818" i="5"/>
  <c r="O818" i="5"/>
  <c r="L818" i="5"/>
  <c r="P818" i="5" s="1"/>
  <c r="Q818" i="5" s="1"/>
  <c r="G818" i="5"/>
  <c r="R817" i="5"/>
  <c r="O817" i="5"/>
  <c r="L817" i="5"/>
  <c r="P817" i="5" s="1"/>
  <c r="Q817" i="5" s="1"/>
  <c r="G817" i="5"/>
  <c r="R816" i="5"/>
  <c r="O816" i="5"/>
  <c r="L816" i="5"/>
  <c r="P816" i="5" s="1"/>
  <c r="Q816" i="5" s="1"/>
  <c r="G816" i="5"/>
  <c r="R815" i="5"/>
  <c r="O815" i="5"/>
  <c r="L815" i="5"/>
  <c r="P815" i="5" s="1"/>
  <c r="Q815" i="5" s="1"/>
  <c r="G815" i="5"/>
  <c r="R814" i="5"/>
  <c r="O814" i="5"/>
  <c r="L814" i="5"/>
  <c r="P814" i="5" s="1"/>
  <c r="Q814" i="5" s="1"/>
  <c r="G814" i="5"/>
  <c r="R813" i="5"/>
  <c r="O813" i="5"/>
  <c r="L813" i="5"/>
  <c r="P813" i="5" s="1"/>
  <c r="Q813" i="5" s="1"/>
  <c r="G813" i="5"/>
  <c r="R812" i="5"/>
  <c r="O812" i="5"/>
  <c r="L812" i="5"/>
  <c r="P812" i="5" s="1"/>
  <c r="Q812" i="5" s="1"/>
  <c r="G812" i="5"/>
  <c r="R811" i="5"/>
  <c r="O811" i="5"/>
  <c r="L811" i="5"/>
  <c r="P811" i="5" s="1"/>
  <c r="Q811" i="5" s="1"/>
  <c r="G811" i="5"/>
  <c r="R810" i="5"/>
  <c r="O810" i="5"/>
  <c r="L810" i="5"/>
  <c r="P810" i="5" s="1"/>
  <c r="Q810" i="5" s="1"/>
  <c r="G810" i="5"/>
  <c r="R809" i="5"/>
  <c r="O809" i="5"/>
  <c r="L809" i="5"/>
  <c r="P809" i="5" s="1"/>
  <c r="Q809" i="5" s="1"/>
  <c r="G809" i="5"/>
  <c r="R808" i="5"/>
  <c r="O808" i="5"/>
  <c r="L808" i="5"/>
  <c r="P808" i="5" s="1"/>
  <c r="Q808" i="5" s="1"/>
  <c r="G808" i="5"/>
  <c r="R807" i="5"/>
  <c r="O807" i="5"/>
  <c r="L807" i="5"/>
  <c r="P807" i="5" s="1"/>
  <c r="Q807" i="5" s="1"/>
  <c r="G807" i="5"/>
  <c r="R806" i="5"/>
  <c r="O806" i="5"/>
  <c r="L806" i="5"/>
  <c r="P806" i="5" s="1"/>
  <c r="Q806" i="5" s="1"/>
  <c r="G806" i="5"/>
  <c r="R805" i="5"/>
  <c r="O805" i="5"/>
  <c r="L805" i="5"/>
  <c r="P805" i="5" s="1"/>
  <c r="Q805" i="5" s="1"/>
  <c r="G805" i="5"/>
  <c r="R804" i="5"/>
  <c r="O804" i="5"/>
  <c r="L804" i="5"/>
  <c r="P804" i="5" s="1"/>
  <c r="Q804" i="5" s="1"/>
  <c r="G804" i="5"/>
  <c r="R803" i="5"/>
  <c r="O803" i="5"/>
  <c r="L803" i="5"/>
  <c r="P803" i="5" s="1"/>
  <c r="Q803" i="5" s="1"/>
  <c r="G803" i="5"/>
  <c r="R802" i="5"/>
  <c r="O802" i="5"/>
  <c r="L802" i="5"/>
  <c r="P802" i="5" s="1"/>
  <c r="Q802" i="5" s="1"/>
  <c r="G802" i="5"/>
  <c r="R801" i="5"/>
  <c r="O801" i="5"/>
  <c r="L801" i="5"/>
  <c r="P801" i="5" s="1"/>
  <c r="Q801" i="5" s="1"/>
  <c r="G801" i="5"/>
  <c r="R800" i="5"/>
  <c r="O800" i="5"/>
  <c r="L800" i="5"/>
  <c r="P800" i="5" s="1"/>
  <c r="Q800" i="5" s="1"/>
  <c r="G800" i="5"/>
  <c r="R799" i="5"/>
  <c r="O799" i="5"/>
  <c r="L799" i="5"/>
  <c r="P799" i="5" s="1"/>
  <c r="Q799" i="5" s="1"/>
  <c r="G799" i="5"/>
  <c r="R798" i="5"/>
  <c r="O798" i="5"/>
  <c r="L798" i="5"/>
  <c r="P798" i="5" s="1"/>
  <c r="Q798" i="5" s="1"/>
  <c r="G798" i="5"/>
  <c r="R797" i="5"/>
  <c r="O797" i="5"/>
  <c r="L797" i="5"/>
  <c r="P797" i="5" s="1"/>
  <c r="Q797" i="5" s="1"/>
  <c r="G797" i="5"/>
  <c r="R796" i="5"/>
  <c r="O796" i="5"/>
  <c r="L796" i="5"/>
  <c r="P796" i="5" s="1"/>
  <c r="Q796" i="5" s="1"/>
  <c r="G796" i="5"/>
  <c r="R795" i="5"/>
  <c r="O795" i="5"/>
  <c r="L795" i="5"/>
  <c r="P795" i="5" s="1"/>
  <c r="Q795" i="5" s="1"/>
  <c r="G795" i="5"/>
  <c r="R794" i="5"/>
  <c r="O794" i="5"/>
  <c r="L794" i="5"/>
  <c r="P794" i="5" s="1"/>
  <c r="Q794" i="5" s="1"/>
  <c r="G794" i="5"/>
  <c r="R793" i="5"/>
  <c r="O793" i="5"/>
  <c r="L793" i="5"/>
  <c r="P793" i="5" s="1"/>
  <c r="Q793" i="5" s="1"/>
  <c r="G793" i="5"/>
  <c r="R792" i="5"/>
  <c r="O792" i="5"/>
  <c r="L792" i="5"/>
  <c r="P792" i="5" s="1"/>
  <c r="Q792" i="5" s="1"/>
  <c r="G792" i="5"/>
  <c r="R791" i="5"/>
  <c r="O791" i="5"/>
  <c r="L791" i="5"/>
  <c r="P791" i="5" s="1"/>
  <c r="Q791" i="5" s="1"/>
  <c r="G791" i="5"/>
  <c r="R790" i="5"/>
  <c r="O790" i="5"/>
  <c r="L790" i="5"/>
  <c r="P790" i="5" s="1"/>
  <c r="Q790" i="5" s="1"/>
  <c r="G790" i="5"/>
  <c r="R789" i="5"/>
  <c r="O789" i="5"/>
  <c r="L789" i="5"/>
  <c r="P789" i="5" s="1"/>
  <c r="Q789" i="5" s="1"/>
  <c r="G789" i="5"/>
  <c r="R788" i="5"/>
  <c r="O788" i="5"/>
  <c r="L788" i="5"/>
  <c r="P788" i="5" s="1"/>
  <c r="Q788" i="5" s="1"/>
  <c r="G788" i="5"/>
  <c r="R787" i="5"/>
  <c r="O787" i="5"/>
  <c r="L787" i="5"/>
  <c r="P787" i="5" s="1"/>
  <c r="Q787" i="5" s="1"/>
  <c r="G787" i="5"/>
  <c r="R786" i="5"/>
  <c r="O786" i="5"/>
  <c r="L786" i="5"/>
  <c r="P786" i="5" s="1"/>
  <c r="Q786" i="5" s="1"/>
  <c r="G786" i="5"/>
  <c r="R785" i="5"/>
  <c r="O785" i="5"/>
  <c r="L785" i="5"/>
  <c r="P785" i="5" s="1"/>
  <c r="Q785" i="5" s="1"/>
  <c r="G785" i="5"/>
  <c r="R784" i="5"/>
  <c r="O784" i="5"/>
  <c r="L784" i="5"/>
  <c r="P784" i="5" s="1"/>
  <c r="Q784" i="5" s="1"/>
  <c r="G784" i="5"/>
  <c r="R783" i="5"/>
  <c r="O783" i="5"/>
  <c r="L783" i="5"/>
  <c r="P783" i="5" s="1"/>
  <c r="Q783" i="5" s="1"/>
  <c r="G783" i="5"/>
  <c r="R782" i="5"/>
  <c r="O782" i="5"/>
  <c r="L782" i="5"/>
  <c r="P782" i="5" s="1"/>
  <c r="Q782" i="5" s="1"/>
  <c r="G782" i="5"/>
  <c r="R781" i="5"/>
  <c r="O781" i="5"/>
  <c r="L781" i="5"/>
  <c r="P781" i="5" s="1"/>
  <c r="Q781" i="5" s="1"/>
  <c r="G781" i="5"/>
  <c r="R780" i="5"/>
  <c r="O780" i="5"/>
  <c r="L780" i="5"/>
  <c r="P780" i="5" s="1"/>
  <c r="Q780" i="5" s="1"/>
  <c r="G780" i="5"/>
  <c r="R779" i="5"/>
  <c r="O779" i="5"/>
  <c r="L779" i="5"/>
  <c r="P779" i="5" s="1"/>
  <c r="Q779" i="5" s="1"/>
  <c r="G779" i="5"/>
  <c r="R778" i="5"/>
  <c r="O778" i="5"/>
  <c r="L778" i="5"/>
  <c r="P778" i="5" s="1"/>
  <c r="Q778" i="5" s="1"/>
  <c r="G778" i="5"/>
  <c r="R777" i="5"/>
  <c r="O777" i="5"/>
  <c r="L777" i="5"/>
  <c r="P777" i="5" s="1"/>
  <c r="Q777" i="5" s="1"/>
  <c r="G777" i="5"/>
  <c r="R776" i="5"/>
  <c r="O776" i="5"/>
  <c r="L776" i="5"/>
  <c r="P776" i="5" s="1"/>
  <c r="Q776" i="5" s="1"/>
  <c r="G776" i="5"/>
  <c r="R775" i="5"/>
  <c r="O775" i="5"/>
  <c r="L775" i="5"/>
  <c r="P775" i="5" s="1"/>
  <c r="Q775" i="5" s="1"/>
  <c r="G775" i="5"/>
  <c r="R774" i="5"/>
  <c r="O774" i="5"/>
  <c r="L774" i="5"/>
  <c r="P774" i="5" s="1"/>
  <c r="Q774" i="5" s="1"/>
  <c r="G774" i="5"/>
  <c r="R773" i="5"/>
  <c r="O773" i="5"/>
  <c r="L773" i="5"/>
  <c r="P773" i="5" s="1"/>
  <c r="Q773" i="5" s="1"/>
  <c r="G773" i="5"/>
  <c r="R772" i="5"/>
  <c r="O772" i="5"/>
  <c r="L772" i="5"/>
  <c r="P772" i="5" s="1"/>
  <c r="Q772" i="5" s="1"/>
  <c r="G772" i="5"/>
  <c r="R771" i="5"/>
  <c r="O771" i="5"/>
  <c r="L771" i="5"/>
  <c r="P771" i="5" s="1"/>
  <c r="Q771" i="5" s="1"/>
  <c r="G771" i="5"/>
  <c r="R770" i="5"/>
  <c r="O770" i="5"/>
  <c r="L770" i="5"/>
  <c r="P770" i="5" s="1"/>
  <c r="Q770" i="5" s="1"/>
  <c r="G770" i="5"/>
  <c r="R769" i="5"/>
  <c r="O769" i="5"/>
  <c r="L769" i="5"/>
  <c r="P769" i="5" s="1"/>
  <c r="Q769" i="5" s="1"/>
  <c r="G769" i="5"/>
  <c r="R768" i="5"/>
  <c r="O768" i="5"/>
  <c r="L768" i="5"/>
  <c r="P768" i="5" s="1"/>
  <c r="Q768" i="5" s="1"/>
  <c r="G768" i="5"/>
  <c r="R767" i="5"/>
  <c r="O767" i="5"/>
  <c r="L767" i="5"/>
  <c r="P767" i="5" s="1"/>
  <c r="Q767" i="5" s="1"/>
  <c r="G767" i="5"/>
  <c r="R766" i="5"/>
  <c r="O766" i="5"/>
  <c r="L766" i="5"/>
  <c r="P766" i="5" s="1"/>
  <c r="Q766" i="5" s="1"/>
  <c r="G766" i="5"/>
  <c r="R765" i="5"/>
  <c r="O765" i="5"/>
  <c r="L765" i="5"/>
  <c r="P765" i="5" s="1"/>
  <c r="Q765" i="5" s="1"/>
  <c r="G765" i="5"/>
  <c r="R764" i="5"/>
  <c r="O764" i="5"/>
  <c r="L764" i="5"/>
  <c r="P764" i="5" s="1"/>
  <c r="Q764" i="5" s="1"/>
  <c r="G764" i="5"/>
  <c r="R763" i="5"/>
  <c r="O763" i="5"/>
  <c r="L763" i="5"/>
  <c r="P763" i="5" s="1"/>
  <c r="Q763" i="5" s="1"/>
  <c r="G763" i="5"/>
  <c r="R762" i="5"/>
  <c r="O762" i="5"/>
  <c r="L762" i="5"/>
  <c r="P762" i="5" s="1"/>
  <c r="Q762" i="5" s="1"/>
  <c r="G762" i="5"/>
  <c r="R761" i="5"/>
  <c r="O761" i="5"/>
  <c r="L761" i="5"/>
  <c r="P761" i="5" s="1"/>
  <c r="Q761" i="5" s="1"/>
  <c r="G761" i="5"/>
  <c r="R760" i="5"/>
  <c r="O760" i="5"/>
  <c r="L760" i="5"/>
  <c r="P760" i="5" s="1"/>
  <c r="Q760" i="5" s="1"/>
  <c r="G760" i="5"/>
  <c r="R759" i="5"/>
  <c r="O759" i="5"/>
  <c r="L759" i="5"/>
  <c r="P759" i="5" s="1"/>
  <c r="Q759" i="5" s="1"/>
  <c r="G759" i="5"/>
  <c r="R758" i="5"/>
  <c r="O758" i="5"/>
  <c r="L758" i="5"/>
  <c r="P758" i="5" s="1"/>
  <c r="Q758" i="5" s="1"/>
  <c r="G758" i="5"/>
  <c r="R757" i="5"/>
  <c r="O757" i="5"/>
  <c r="L757" i="5"/>
  <c r="P757" i="5" s="1"/>
  <c r="Q757" i="5" s="1"/>
  <c r="G757" i="5"/>
  <c r="R756" i="5"/>
  <c r="O756" i="5"/>
  <c r="L756" i="5"/>
  <c r="P756" i="5" s="1"/>
  <c r="Q756" i="5" s="1"/>
  <c r="G756" i="5"/>
  <c r="R755" i="5"/>
  <c r="O755" i="5"/>
  <c r="L755" i="5"/>
  <c r="P755" i="5" s="1"/>
  <c r="Q755" i="5" s="1"/>
  <c r="G755" i="5"/>
  <c r="R754" i="5"/>
  <c r="O754" i="5"/>
  <c r="L754" i="5"/>
  <c r="P754" i="5" s="1"/>
  <c r="Q754" i="5" s="1"/>
  <c r="G754" i="5"/>
  <c r="R753" i="5"/>
  <c r="O753" i="5"/>
  <c r="L753" i="5"/>
  <c r="P753" i="5" s="1"/>
  <c r="Q753" i="5" s="1"/>
  <c r="G753" i="5"/>
  <c r="R752" i="5"/>
  <c r="O752" i="5"/>
  <c r="L752" i="5"/>
  <c r="P752" i="5" s="1"/>
  <c r="Q752" i="5" s="1"/>
  <c r="G752" i="5"/>
  <c r="R751" i="5"/>
  <c r="O751" i="5"/>
  <c r="L751" i="5"/>
  <c r="P751" i="5" s="1"/>
  <c r="Q751" i="5" s="1"/>
  <c r="G751" i="5"/>
  <c r="R750" i="5"/>
  <c r="O750" i="5"/>
  <c r="L750" i="5"/>
  <c r="P750" i="5" s="1"/>
  <c r="Q750" i="5" s="1"/>
  <c r="G750" i="5"/>
  <c r="R749" i="5"/>
  <c r="O749" i="5"/>
  <c r="L749" i="5"/>
  <c r="P749" i="5" s="1"/>
  <c r="Q749" i="5" s="1"/>
  <c r="G749" i="5"/>
  <c r="R748" i="5"/>
  <c r="O748" i="5"/>
  <c r="L748" i="5"/>
  <c r="P748" i="5" s="1"/>
  <c r="Q748" i="5" s="1"/>
  <c r="G748" i="5"/>
  <c r="R747" i="5"/>
  <c r="O747" i="5"/>
  <c r="L747" i="5"/>
  <c r="P747" i="5" s="1"/>
  <c r="Q747" i="5" s="1"/>
  <c r="G747" i="5"/>
  <c r="R746" i="5"/>
  <c r="O746" i="5"/>
  <c r="L746" i="5"/>
  <c r="P746" i="5" s="1"/>
  <c r="Q746" i="5" s="1"/>
  <c r="G746" i="5"/>
  <c r="R745" i="5"/>
  <c r="O745" i="5"/>
  <c r="L745" i="5"/>
  <c r="P745" i="5" s="1"/>
  <c r="Q745" i="5" s="1"/>
  <c r="G745" i="5"/>
  <c r="R744" i="5"/>
  <c r="O744" i="5"/>
  <c r="L744" i="5"/>
  <c r="P744" i="5" s="1"/>
  <c r="Q744" i="5" s="1"/>
  <c r="G744" i="5"/>
  <c r="R743" i="5"/>
  <c r="O743" i="5"/>
  <c r="L743" i="5"/>
  <c r="P743" i="5" s="1"/>
  <c r="Q743" i="5" s="1"/>
  <c r="G743" i="5"/>
  <c r="R742" i="5"/>
  <c r="O742" i="5"/>
  <c r="L742" i="5"/>
  <c r="P742" i="5" s="1"/>
  <c r="Q742" i="5" s="1"/>
  <c r="G742" i="5"/>
  <c r="R741" i="5"/>
  <c r="O741" i="5"/>
  <c r="L741" i="5"/>
  <c r="P741" i="5" s="1"/>
  <c r="Q741" i="5" s="1"/>
  <c r="G741" i="5"/>
  <c r="R740" i="5"/>
  <c r="O740" i="5"/>
  <c r="L740" i="5"/>
  <c r="P740" i="5" s="1"/>
  <c r="Q740" i="5" s="1"/>
  <c r="G740" i="5"/>
  <c r="R739" i="5"/>
  <c r="O739" i="5"/>
  <c r="L739" i="5"/>
  <c r="P739" i="5" s="1"/>
  <c r="Q739" i="5" s="1"/>
  <c r="G739" i="5"/>
  <c r="R738" i="5"/>
  <c r="O738" i="5"/>
  <c r="L738" i="5"/>
  <c r="P738" i="5" s="1"/>
  <c r="Q738" i="5" s="1"/>
  <c r="G738" i="5"/>
  <c r="R737" i="5"/>
  <c r="O737" i="5"/>
  <c r="L737" i="5"/>
  <c r="P737" i="5" s="1"/>
  <c r="Q737" i="5" s="1"/>
  <c r="G737" i="5"/>
  <c r="R736" i="5"/>
  <c r="O736" i="5"/>
  <c r="L736" i="5"/>
  <c r="P736" i="5" s="1"/>
  <c r="Q736" i="5" s="1"/>
  <c r="G736" i="5"/>
  <c r="R735" i="5"/>
  <c r="O735" i="5"/>
  <c r="L735" i="5"/>
  <c r="P735" i="5" s="1"/>
  <c r="Q735" i="5" s="1"/>
  <c r="G735" i="5"/>
  <c r="R734" i="5"/>
  <c r="O734" i="5"/>
  <c r="L734" i="5"/>
  <c r="P734" i="5" s="1"/>
  <c r="Q734" i="5" s="1"/>
  <c r="G734" i="5"/>
  <c r="R733" i="5"/>
  <c r="O733" i="5"/>
  <c r="L733" i="5"/>
  <c r="P733" i="5" s="1"/>
  <c r="Q733" i="5" s="1"/>
  <c r="G733" i="5"/>
  <c r="R732" i="5"/>
  <c r="O732" i="5"/>
  <c r="L732" i="5"/>
  <c r="P732" i="5" s="1"/>
  <c r="Q732" i="5" s="1"/>
  <c r="G732" i="5"/>
  <c r="R731" i="5"/>
  <c r="O731" i="5"/>
  <c r="L731" i="5"/>
  <c r="P731" i="5" s="1"/>
  <c r="Q731" i="5" s="1"/>
  <c r="G731" i="5"/>
  <c r="R730" i="5"/>
  <c r="O730" i="5"/>
  <c r="L730" i="5"/>
  <c r="P730" i="5" s="1"/>
  <c r="Q730" i="5" s="1"/>
  <c r="G730" i="5"/>
  <c r="R729" i="5"/>
  <c r="O729" i="5"/>
  <c r="L729" i="5"/>
  <c r="P729" i="5" s="1"/>
  <c r="Q729" i="5" s="1"/>
  <c r="G729" i="5"/>
  <c r="R728" i="5"/>
  <c r="O728" i="5"/>
  <c r="L728" i="5"/>
  <c r="P728" i="5" s="1"/>
  <c r="Q728" i="5" s="1"/>
  <c r="G728" i="5"/>
  <c r="R727" i="5"/>
  <c r="O727" i="5"/>
  <c r="L727" i="5"/>
  <c r="P727" i="5" s="1"/>
  <c r="Q727" i="5" s="1"/>
  <c r="G727" i="5"/>
  <c r="R726" i="5"/>
  <c r="O726" i="5"/>
  <c r="L726" i="5"/>
  <c r="P726" i="5" s="1"/>
  <c r="Q726" i="5" s="1"/>
  <c r="G726" i="5"/>
  <c r="R725" i="5"/>
  <c r="O725" i="5"/>
  <c r="L725" i="5"/>
  <c r="P725" i="5" s="1"/>
  <c r="Q725" i="5" s="1"/>
  <c r="G725" i="5"/>
  <c r="R724" i="5"/>
  <c r="O724" i="5"/>
  <c r="L724" i="5"/>
  <c r="P724" i="5" s="1"/>
  <c r="Q724" i="5" s="1"/>
  <c r="G724" i="5"/>
  <c r="R723" i="5"/>
  <c r="O723" i="5"/>
  <c r="L723" i="5"/>
  <c r="P723" i="5" s="1"/>
  <c r="Q723" i="5" s="1"/>
  <c r="G723" i="5"/>
  <c r="R722" i="5"/>
  <c r="O722" i="5"/>
  <c r="L722" i="5"/>
  <c r="P722" i="5" s="1"/>
  <c r="Q722" i="5" s="1"/>
  <c r="G722" i="5"/>
  <c r="R721" i="5"/>
  <c r="O721" i="5"/>
  <c r="L721" i="5"/>
  <c r="P721" i="5" s="1"/>
  <c r="Q721" i="5" s="1"/>
  <c r="G721" i="5"/>
  <c r="R720" i="5"/>
  <c r="O720" i="5"/>
  <c r="L720" i="5"/>
  <c r="P720" i="5" s="1"/>
  <c r="Q720" i="5" s="1"/>
  <c r="G720" i="5"/>
  <c r="R719" i="5"/>
  <c r="O719" i="5"/>
  <c r="L719" i="5"/>
  <c r="P719" i="5" s="1"/>
  <c r="Q719" i="5" s="1"/>
  <c r="G719" i="5"/>
  <c r="R718" i="5"/>
  <c r="O718" i="5"/>
  <c r="L718" i="5"/>
  <c r="P718" i="5" s="1"/>
  <c r="Q718" i="5" s="1"/>
  <c r="G718" i="5"/>
  <c r="R717" i="5"/>
  <c r="O717" i="5"/>
  <c r="L717" i="5"/>
  <c r="P717" i="5" s="1"/>
  <c r="Q717" i="5" s="1"/>
  <c r="G717" i="5"/>
  <c r="R716" i="5"/>
  <c r="O716" i="5"/>
  <c r="L716" i="5"/>
  <c r="P716" i="5" s="1"/>
  <c r="Q716" i="5" s="1"/>
  <c r="G716" i="5"/>
  <c r="R715" i="5"/>
  <c r="O715" i="5"/>
  <c r="L715" i="5"/>
  <c r="P715" i="5" s="1"/>
  <c r="Q715" i="5" s="1"/>
  <c r="G715" i="5"/>
  <c r="R714" i="5"/>
  <c r="O714" i="5"/>
  <c r="L714" i="5"/>
  <c r="P714" i="5" s="1"/>
  <c r="Q714" i="5" s="1"/>
  <c r="G714" i="5"/>
  <c r="R713" i="5"/>
  <c r="O713" i="5"/>
  <c r="L713" i="5"/>
  <c r="P713" i="5" s="1"/>
  <c r="Q713" i="5" s="1"/>
  <c r="G713" i="5"/>
  <c r="R712" i="5"/>
  <c r="O712" i="5"/>
  <c r="L712" i="5"/>
  <c r="P712" i="5" s="1"/>
  <c r="Q712" i="5" s="1"/>
  <c r="G712" i="5"/>
  <c r="R711" i="5"/>
  <c r="O711" i="5"/>
  <c r="L711" i="5"/>
  <c r="P711" i="5" s="1"/>
  <c r="Q711" i="5" s="1"/>
  <c r="G711" i="5"/>
  <c r="R710" i="5"/>
  <c r="O710" i="5"/>
  <c r="L710" i="5"/>
  <c r="P710" i="5" s="1"/>
  <c r="Q710" i="5" s="1"/>
  <c r="G710" i="5"/>
  <c r="R709" i="5"/>
  <c r="O709" i="5"/>
  <c r="L709" i="5"/>
  <c r="P709" i="5" s="1"/>
  <c r="Q709" i="5" s="1"/>
  <c r="G709" i="5"/>
  <c r="R708" i="5"/>
  <c r="O708" i="5"/>
  <c r="L708" i="5"/>
  <c r="P708" i="5" s="1"/>
  <c r="Q708" i="5" s="1"/>
  <c r="G708" i="5"/>
  <c r="R707" i="5"/>
  <c r="O707" i="5"/>
  <c r="L707" i="5"/>
  <c r="P707" i="5" s="1"/>
  <c r="Q707" i="5" s="1"/>
  <c r="G707" i="5"/>
  <c r="R706" i="5"/>
  <c r="O706" i="5"/>
  <c r="L706" i="5"/>
  <c r="P706" i="5" s="1"/>
  <c r="Q706" i="5" s="1"/>
  <c r="G706" i="5"/>
  <c r="R705" i="5"/>
  <c r="O705" i="5"/>
  <c r="L705" i="5"/>
  <c r="P705" i="5" s="1"/>
  <c r="Q705" i="5" s="1"/>
  <c r="G705" i="5"/>
  <c r="R704" i="5"/>
  <c r="O704" i="5"/>
  <c r="L704" i="5"/>
  <c r="P704" i="5" s="1"/>
  <c r="Q704" i="5" s="1"/>
  <c r="G704" i="5"/>
  <c r="R703" i="5"/>
  <c r="O703" i="5"/>
  <c r="L703" i="5"/>
  <c r="P703" i="5" s="1"/>
  <c r="Q703" i="5" s="1"/>
  <c r="G703" i="5"/>
  <c r="R702" i="5"/>
  <c r="O702" i="5"/>
  <c r="L702" i="5"/>
  <c r="P702" i="5" s="1"/>
  <c r="Q702" i="5" s="1"/>
  <c r="G702" i="5"/>
  <c r="R701" i="5"/>
  <c r="O701" i="5"/>
  <c r="L701" i="5"/>
  <c r="P701" i="5" s="1"/>
  <c r="Q701" i="5" s="1"/>
  <c r="G701" i="5"/>
  <c r="R700" i="5"/>
  <c r="O700" i="5"/>
  <c r="L700" i="5"/>
  <c r="P700" i="5" s="1"/>
  <c r="Q700" i="5" s="1"/>
  <c r="G700" i="5"/>
  <c r="R699" i="5"/>
  <c r="O699" i="5"/>
  <c r="L699" i="5"/>
  <c r="P699" i="5" s="1"/>
  <c r="Q699" i="5" s="1"/>
  <c r="G699" i="5"/>
  <c r="R698" i="5"/>
  <c r="O698" i="5"/>
  <c r="L698" i="5"/>
  <c r="P698" i="5" s="1"/>
  <c r="Q698" i="5" s="1"/>
  <c r="G698" i="5"/>
  <c r="R697" i="5"/>
  <c r="O697" i="5"/>
  <c r="L697" i="5"/>
  <c r="P697" i="5" s="1"/>
  <c r="Q697" i="5" s="1"/>
  <c r="G697" i="5"/>
  <c r="R696" i="5"/>
  <c r="O696" i="5"/>
  <c r="L696" i="5"/>
  <c r="P696" i="5" s="1"/>
  <c r="Q696" i="5" s="1"/>
  <c r="G696" i="5"/>
  <c r="R695" i="5"/>
  <c r="O695" i="5"/>
  <c r="L695" i="5"/>
  <c r="P695" i="5" s="1"/>
  <c r="Q695" i="5" s="1"/>
  <c r="G695" i="5"/>
  <c r="R694" i="5"/>
  <c r="O694" i="5"/>
  <c r="L694" i="5"/>
  <c r="P694" i="5" s="1"/>
  <c r="Q694" i="5" s="1"/>
  <c r="G694" i="5"/>
  <c r="R693" i="5"/>
  <c r="O693" i="5"/>
  <c r="L693" i="5"/>
  <c r="P693" i="5" s="1"/>
  <c r="Q693" i="5" s="1"/>
  <c r="G693" i="5"/>
  <c r="R692" i="5"/>
  <c r="O692" i="5"/>
  <c r="L692" i="5"/>
  <c r="P692" i="5" s="1"/>
  <c r="Q692" i="5" s="1"/>
  <c r="G692" i="5"/>
  <c r="R691" i="5"/>
  <c r="O691" i="5"/>
  <c r="L691" i="5"/>
  <c r="P691" i="5" s="1"/>
  <c r="Q691" i="5" s="1"/>
  <c r="G691" i="5"/>
  <c r="R690" i="5"/>
  <c r="O690" i="5"/>
  <c r="L690" i="5"/>
  <c r="P690" i="5" s="1"/>
  <c r="Q690" i="5" s="1"/>
  <c r="G690" i="5"/>
  <c r="R689" i="5"/>
  <c r="O689" i="5"/>
  <c r="L689" i="5"/>
  <c r="P689" i="5" s="1"/>
  <c r="Q689" i="5" s="1"/>
  <c r="G689" i="5"/>
  <c r="R688" i="5"/>
  <c r="O688" i="5"/>
  <c r="L688" i="5"/>
  <c r="P688" i="5" s="1"/>
  <c r="Q688" i="5" s="1"/>
  <c r="G688" i="5"/>
  <c r="R687" i="5"/>
  <c r="O687" i="5"/>
  <c r="L687" i="5"/>
  <c r="P687" i="5" s="1"/>
  <c r="Q687" i="5" s="1"/>
  <c r="G687" i="5"/>
  <c r="R686" i="5"/>
  <c r="O686" i="5"/>
  <c r="L686" i="5"/>
  <c r="P686" i="5" s="1"/>
  <c r="Q686" i="5" s="1"/>
  <c r="G686" i="5"/>
  <c r="R685" i="5"/>
  <c r="O685" i="5"/>
  <c r="L685" i="5"/>
  <c r="P685" i="5" s="1"/>
  <c r="Q685" i="5" s="1"/>
  <c r="G685" i="5"/>
  <c r="R684" i="5"/>
  <c r="O684" i="5"/>
  <c r="L684" i="5"/>
  <c r="P684" i="5" s="1"/>
  <c r="Q684" i="5" s="1"/>
  <c r="G684" i="5"/>
  <c r="R683" i="5"/>
  <c r="O683" i="5"/>
  <c r="L683" i="5"/>
  <c r="P683" i="5" s="1"/>
  <c r="Q683" i="5" s="1"/>
  <c r="G683" i="5"/>
  <c r="R682" i="5"/>
  <c r="O682" i="5"/>
  <c r="L682" i="5"/>
  <c r="P682" i="5" s="1"/>
  <c r="Q682" i="5" s="1"/>
  <c r="G682" i="5"/>
  <c r="R681" i="5"/>
  <c r="O681" i="5"/>
  <c r="L681" i="5"/>
  <c r="P681" i="5" s="1"/>
  <c r="Q681" i="5" s="1"/>
  <c r="G681" i="5"/>
  <c r="R680" i="5"/>
  <c r="O680" i="5"/>
  <c r="L680" i="5"/>
  <c r="P680" i="5" s="1"/>
  <c r="Q680" i="5" s="1"/>
  <c r="G680" i="5"/>
  <c r="R679" i="5"/>
  <c r="O679" i="5"/>
  <c r="L679" i="5"/>
  <c r="P679" i="5" s="1"/>
  <c r="Q679" i="5" s="1"/>
  <c r="G679" i="5"/>
  <c r="R678" i="5"/>
  <c r="O678" i="5"/>
  <c r="L678" i="5"/>
  <c r="P678" i="5" s="1"/>
  <c r="Q678" i="5" s="1"/>
  <c r="G678" i="5"/>
  <c r="R677" i="5"/>
  <c r="O677" i="5"/>
  <c r="L677" i="5"/>
  <c r="P677" i="5" s="1"/>
  <c r="Q677" i="5" s="1"/>
  <c r="G677" i="5"/>
  <c r="R676" i="5"/>
  <c r="O676" i="5"/>
  <c r="L676" i="5"/>
  <c r="P676" i="5" s="1"/>
  <c r="Q676" i="5" s="1"/>
  <c r="G676" i="5"/>
  <c r="R675" i="5"/>
  <c r="O675" i="5"/>
  <c r="L675" i="5"/>
  <c r="P675" i="5" s="1"/>
  <c r="Q675" i="5" s="1"/>
  <c r="G675" i="5"/>
  <c r="R674" i="5"/>
  <c r="O674" i="5"/>
  <c r="L674" i="5"/>
  <c r="P674" i="5" s="1"/>
  <c r="Q674" i="5" s="1"/>
  <c r="G674" i="5"/>
  <c r="R673" i="5"/>
  <c r="O673" i="5"/>
  <c r="L673" i="5"/>
  <c r="P673" i="5" s="1"/>
  <c r="Q673" i="5" s="1"/>
  <c r="G673" i="5"/>
  <c r="R672" i="5"/>
  <c r="O672" i="5"/>
  <c r="L672" i="5"/>
  <c r="P672" i="5" s="1"/>
  <c r="Q672" i="5" s="1"/>
  <c r="G672" i="5"/>
  <c r="R671" i="5"/>
  <c r="O671" i="5"/>
  <c r="L671" i="5"/>
  <c r="P671" i="5" s="1"/>
  <c r="Q671" i="5" s="1"/>
  <c r="G671" i="5"/>
  <c r="R670" i="5"/>
  <c r="O670" i="5"/>
  <c r="L670" i="5"/>
  <c r="P670" i="5" s="1"/>
  <c r="Q670" i="5" s="1"/>
  <c r="G670" i="5"/>
  <c r="R669" i="5"/>
  <c r="O669" i="5"/>
  <c r="L669" i="5"/>
  <c r="P669" i="5" s="1"/>
  <c r="Q669" i="5" s="1"/>
  <c r="G669" i="5"/>
  <c r="R668" i="5"/>
  <c r="O668" i="5"/>
  <c r="L668" i="5"/>
  <c r="P668" i="5" s="1"/>
  <c r="Q668" i="5" s="1"/>
  <c r="G668" i="5"/>
  <c r="R667" i="5"/>
  <c r="O667" i="5"/>
  <c r="L667" i="5"/>
  <c r="P667" i="5" s="1"/>
  <c r="Q667" i="5" s="1"/>
  <c r="G667" i="5"/>
  <c r="R666" i="5"/>
  <c r="O666" i="5"/>
  <c r="L666" i="5"/>
  <c r="P666" i="5" s="1"/>
  <c r="Q666" i="5" s="1"/>
  <c r="G666" i="5"/>
  <c r="R665" i="5"/>
  <c r="O665" i="5"/>
  <c r="L665" i="5"/>
  <c r="P665" i="5" s="1"/>
  <c r="Q665" i="5" s="1"/>
  <c r="G665" i="5"/>
  <c r="R664" i="5"/>
  <c r="O664" i="5"/>
  <c r="L664" i="5"/>
  <c r="P664" i="5" s="1"/>
  <c r="Q664" i="5" s="1"/>
  <c r="G664" i="5"/>
  <c r="R663" i="5"/>
  <c r="O663" i="5"/>
  <c r="L663" i="5"/>
  <c r="P663" i="5" s="1"/>
  <c r="Q663" i="5" s="1"/>
  <c r="G663" i="5"/>
  <c r="R662" i="5"/>
  <c r="O662" i="5"/>
  <c r="L662" i="5"/>
  <c r="P662" i="5" s="1"/>
  <c r="Q662" i="5" s="1"/>
  <c r="G662" i="5"/>
  <c r="R661" i="5"/>
  <c r="O661" i="5"/>
  <c r="L661" i="5"/>
  <c r="P661" i="5" s="1"/>
  <c r="Q661" i="5" s="1"/>
  <c r="G661" i="5"/>
  <c r="R660" i="5"/>
  <c r="O660" i="5"/>
  <c r="L660" i="5"/>
  <c r="P660" i="5" s="1"/>
  <c r="Q660" i="5" s="1"/>
  <c r="G660" i="5"/>
  <c r="R659" i="5"/>
  <c r="O659" i="5"/>
  <c r="L659" i="5"/>
  <c r="P659" i="5" s="1"/>
  <c r="Q659" i="5" s="1"/>
  <c r="G659" i="5"/>
  <c r="R658" i="5"/>
  <c r="O658" i="5"/>
  <c r="L658" i="5"/>
  <c r="P658" i="5" s="1"/>
  <c r="Q658" i="5" s="1"/>
  <c r="G658" i="5"/>
  <c r="R657" i="5"/>
  <c r="O657" i="5"/>
  <c r="L657" i="5"/>
  <c r="P657" i="5" s="1"/>
  <c r="Q657" i="5" s="1"/>
  <c r="G657" i="5"/>
  <c r="R656" i="5"/>
  <c r="O656" i="5"/>
  <c r="L656" i="5"/>
  <c r="P656" i="5" s="1"/>
  <c r="Q656" i="5" s="1"/>
  <c r="G656" i="5"/>
  <c r="R655" i="5"/>
  <c r="O655" i="5"/>
  <c r="L655" i="5"/>
  <c r="P655" i="5" s="1"/>
  <c r="Q655" i="5" s="1"/>
  <c r="G655" i="5"/>
  <c r="R654" i="5"/>
  <c r="O654" i="5"/>
  <c r="L654" i="5"/>
  <c r="P654" i="5" s="1"/>
  <c r="Q654" i="5" s="1"/>
  <c r="G654" i="5"/>
  <c r="R653" i="5"/>
  <c r="O653" i="5"/>
  <c r="L653" i="5"/>
  <c r="P653" i="5" s="1"/>
  <c r="Q653" i="5" s="1"/>
  <c r="G653" i="5"/>
  <c r="R652" i="5"/>
  <c r="O652" i="5"/>
  <c r="L652" i="5"/>
  <c r="P652" i="5" s="1"/>
  <c r="Q652" i="5" s="1"/>
  <c r="G652" i="5"/>
  <c r="R651" i="5"/>
  <c r="O651" i="5"/>
  <c r="L651" i="5"/>
  <c r="P651" i="5" s="1"/>
  <c r="Q651" i="5" s="1"/>
  <c r="G651" i="5"/>
  <c r="R650" i="5"/>
  <c r="O650" i="5"/>
  <c r="L650" i="5"/>
  <c r="P650" i="5" s="1"/>
  <c r="Q650" i="5" s="1"/>
  <c r="G650" i="5"/>
  <c r="R649" i="5"/>
  <c r="O649" i="5"/>
  <c r="L649" i="5"/>
  <c r="P649" i="5" s="1"/>
  <c r="Q649" i="5" s="1"/>
  <c r="G649" i="5"/>
  <c r="R648" i="5"/>
  <c r="O648" i="5"/>
  <c r="L648" i="5"/>
  <c r="P648" i="5" s="1"/>
  <c r="Q648" i="5" s="1"/>
  <c r="G648" i="5"/>
  <c r="R647" i="5"/>
  <c r="O647" i="5"/>
  <c r="L647" i="5"/>
  <c r="P647" i="5" s="1"/>
  <c r="Q647" i="5" s="1"/>
  <c r="G647" i="5"/>
  <c r="R646" i="5"/>
  <c r="O646" i="5"/>
  <c r="L646" i="5"/>
  <c r="P646" i="5" s="1"/>
  <c r="Q646" i="5" s="1"/>
  <c r="G646" i="5"/>
  <c r="R645" i="5"/>
  <c r="O645" i="5"/>
  <c r="L645" i="5"/>
  <c r="P645" i="5" s="1"/>
  <c r="Q645" i="5" s="1"/>
  <c r="G645" i="5"/>
  <c r="R644" i="5"/>
  <c r="O644" i="5"/>
  <c r="L644" i="5"/>
  <c r="P644" i="5" s="1"/>
  <c r="Q644" i="5" s="1"/>
  <c r="G644" i="5"/>
  <c r="R643" i="5"/>
  <c r="O643" i="5"/>
  <c r="L643" i="5"/>
  <c r="P643" i="5" s="1"/>
  <c r="Q643" i="5" s="1"/>
  <c r="G643" i="5"/>
  <c r="R642" i="5"/>
  <c r="O642" i="5"/>
  <c r="L642" i="5"/>
  <c r="P642" i="5" s="1"/>
  <c r="Q642" i="5" s="1"/>
  <c r="G642" i="5"/>
  <c r="R641" i="5"/>
  <c r="O641" i="5"/>
  <c r="L641" i="5"/>
  <c r="P641" i="5" s="1"/>
  <c r="Q641" i="5" s="1"/>
  <c r="G641" i="5"/>
  <c r="R640" i="5"/>
  <c r="O640" i="5"/>
  <c r="L640" i="5"/>
  <c r="P640" i="5" s="1"/>
  <c r="Q640" i="5" s="1"/>
  <c r="G640" i="5"/>
  <c r="R639" i="5"/>
  <c r="O639" i="5"/>
  <c r="L639" i="5"/>
  <c r="P639" i="5" s="1"/>
  <c r="Q639" i="5" s="1"/>
  <c r="G639" i="5"/>
  <c r="R638" i="5"/>
  <c r="O638" i="5"/>
  <c r="L638" i="5"/>
  <c r="P638" i="5" s="1"/>
  <c r="Q638" i="5" s="1"/>
  <c r="G638" i="5"/>
  <c r="R637" i="5"/>
  <c r="O637" i="5"/>
  <c r="L637" i="5"/>
  <c r="P637" i="5" s="1"/>
  <c r="Q637" i="5" s="1"/>
  <c r="G637" i="5"/>
  <c r="R636" i="5"/>
  <c r="O636" i="5"/>
  <c r="L636" i="5"/>
  <c r="P636" i="5" s="1"/>
  <c r="Q636" i="5" s="1"/>
  <c r="G636" i="5"/>
  <c r="R635" i="5"/>
  <c r="O635" i="5"/>
  <c r="L635" i="5"/>
  <c r="P635" i="5" s="1"/>
  <c r="Q635" i="5" s="1"/>
  <c r="G635" i="5"/>
  <c r="R634" i="5"/>
  <c r="O634" i="5"/>
  <c r="L634" i="5"/>
  <c r="P634" i="5" s="1"/>
  <c r="Q634" i="5" s="1"/>
  <c r="G634" i="5"/>
  <c r="R633" i="5"/>
  <c r="O633" i="5"/>
  <c r="L633" i="5"/>
  <c r="P633" i="5" s="1"/>
  <c r="Q633" i="5" s="1"/>
  <c r="G633" i="5"/>
  <c r="R632" i="5"/>
  <c r="O632" i="5"/>
  <c r="L632" i="5"/>
  <c r="P632" i="5" s="1"/>
  <c r="Q632" i="5" s="1"/>
  <c r="G632" i="5"/>
  <c r="R631" i="5"/>
  <c r="O631" i="5"/>
  <c r="L631" i="5"/>
  <c r="P631" i="5" s="1"/>
  <c r="Q631" i="5" s="1"/>
  <c r="G631" i="5"/>
  <c r="R630" i="5"/>
  <c r="O630" i="5"/>
  <c r="L630" i="5"/>
  <c r="P630" i="5" s="1"/>
  <c r="Q630" i="5" s="1"/>
  <c r="G630" i="5"/>
  <c r="R629" i="5"/>
  <c r="O629" i="5"/>
  <c r="L629" i="5"/>
  <c r="P629" i="5" s="1"/>
  <c r="Q629" i="5" s="1"/>
  <c r="G629" i="5"/>
  <c r="R628" i="5"/>
  <c r="O628" i="5"/>
  <c r="L628" i="5"/>
  <c r="P628" i="5" s="1"/>
  <c r="Q628" i="5" s="1"/>
  <c r="G628" i="5"/>
  <c r="R627" i="5"/>
  <c r="O627" i="5"/>
  <c r="L627" i="5"/>
  <c r="P627" i="5" s="1"/>
  <c r="Q627" i="5" s="1"/>
  <c r="G627" i="5"/>
  <c r="R626" i="5"/>
  <c r="O626" i="5"/>
  <c r="L626" i="5"/>
  <c r="P626" i="5" s="1"/>
  <c r="Q626" i="5" s="1"/>
  <c r="G626" i="5"/>
  <c r="R625" i="5"/>
  <c r="O625" i="5"/>
  <c r="L625" i="5"/>
  <c r="P625" i="5" s="1"/>
  <c r="Q625" i="5" s="1"/>
  <c r="G625" i="5"/>
  <c r="R624" i="5"/>
  <c r="O624" i="5"/>
  <c r="L624" i="5"/>
  <c r="P624" i="5" s="1"/>
  <c r="Q624" i="5" s="1"/>
  <c r="G624" i="5"/>
  <c r="R623" i="5"/>
  <c r="O623" i="5"/>
  <c r="L623" i="5"/>
  <c r="P623" i="5" s="1"/>
  <c r="Q623" i="5" s="1"/>
  <c r="G623" i="5"/>
  <c r="R622" i="5"/>
  <c r="O622" i="5"/>
  <c r="L622" i="5"/>
  <c r="P622" i="5" s="1"/>
  <c r="Q622" i="5" s="1"/>
  <c r="G622" i="5"/>
  <c r="R621" i="5"/>
  <c r="O621" i="5"/>
  <c r="L621" i="5"/>
  <c r="P621" i="5" s="1"/>
  <c r="Q621" i="5" s="1"/>
  <c r="G621" i="5"/>
  <c r="R620" i="5"/>
  <c r="O620" i="5"/>
  <c r="L620" i="5"/>
  <c r="P620" i="5" s="1"/>
  <c r="Q620" i="5" s="1"/>
  <c r="G620" i="5"/>
  <c r="R619" i="5"/>
  <c r="O619" i="5"/>
  <c r="L619" i="5"/>
  <c r="P619" i="5" s="1"/>
  <c r="Q619" i="5" s="1"/>
  <c r="G619" i="5"/>
  <c r="R618" i="5"/>
  <c r="O618" i="5"/>
  <c r="L618" i="5"/>
  <c r="P618" i="5" s="1"/>
  <c r="Q618" i="5" s="1"/>
  <c r="G618" i="5"/>
  <c r="R617" i="5"/>
  <c r="O617" i="5"/>
  <c r="L617" i="5"/>
  <c r="P617" i="5" s="1"/>
  <c r="Q617" i="5" s="1"/>
  <c r="G617" i="5"/>
  <c r="R616" i="5"/>
  <c r="O616" i="5"/>
  <c r="L616" i="5"/>
  <c r="P616" i="5" s="1"/>
  <c r="Q616" i="5" s="1"/>
  <c r="G616" i="5"/>
  <c r="R615" i="5"/>
  <c r="O615" i="5"/>
  <c r="L615" i="5"/>
  <c r="P615" i="5" s="1"/>
  <c r="Q615" i="5" s="1"/>
  <c r="G615" i="5"/>
  <c r="R614" i="5"/>
  <c r="O614" i="5"/>
  <c r="L614" i="5"/>
  <c r="P614" i="5" s="1"/>
  <c r="Q614" i="5" s="1"/>
  <c r="G614" i="5"/>
  <c r="R613" i="5"/>
  <c r="O613" i="5"/>
  <c r="L613" i="5"/>
  <c r="P613" i="5" s="1"/>
  <c r="Q613" i="5" s="1"/>
  <c r="G613" i="5"/>
  <c r="R612" i="5"/>
  <c r="O612" i="5"/>
  <c r="L612" i="5"/>
  <c r="P612" i="5" s="1"/>
  <c r="Q612" i="5" s="1"/>
  <c r="G612" i="5"/>
  <c r="R611" i="5"/>
  <c r="O611" i="5"/>
  <c r="L611" i="5"/>
  <c r="P611" i="5" s="1"/>
  <c r="Q611" i="5" s="1"/>
  <c r="G611" i="5"/>
  <c r="R610" i="5"/>
  <c r="O610" i="5"/>
  <c r="L610" i="5"/>
  <c r="P610" i="5" s="1"/>
  <c r="Q610" i="5" s="1"/>
  <c r="G610" i="5"/>
  <c r="R609" i="5"/>
  <c r="O609" i="5"/>
  <c r="L609" i="5"/>
  <c r="P609" i="5" s="1"/>
  <c r="Q609" i="5" s="1"/>
  <c r="G609" i="5"/>
  <c r="R608" i="5"/>
  <c r="O608" i="5"/>
  <c r="L608" i="5"/>
  <c r="P608" i="5" s="1"/>
  <c r="Q608" i="5" s="1"/>
  <c r="G608" i="5"/>
  <c r="R607" i="5"/>
  <c r="O607" i="5"/>
  <c r="L607" i="5"/>
  <c r="P607" i="5" s="1"/>
  <c r="Q607" i="5" s="1"/>
  <c r="G607" i="5"/>
  <c r="R606" i="5"/>
  <c r="O606" i="5"/>
  <c r="L606" i="5"/>
  <c r="P606" i="5" s="1"/>
  <c r="Q606" i="5" s="1"/>
  <c r="G606" i="5"/>
  <c r="R605" i="5"/>
  <c r="O605" i="5"/>
  <c r="L605" i="5"/>
  <c r="P605" i="5" s="1"/>
  <c r="Q605" i="5" s="1"/>
  <c r="G605" i="5"/>
  <c r="R604" i="5"/>
  <c r="O604" i="5"/>
  <c r="L604" i="5"/>
  <c r="P604" i="5" s="1"/>
  <c r="Q604" i="5" s="1"/>
  <c r="G604" i="5"/>
  <c r="R603" i="5"/>
  <c r="O603" i="5"/>
  <c r="L603" i="5"/>
  <c r="P603" i="5" s="1"/>
  <c r="Q603" i="5" s="1"/>
  <c r="G603" i="5"/>
  <c r="R602" i="5"/>
  <c r="O602" i="5"/>
  <c r="L602" i="5"/>
  <c r="P602" i="5" s="1"/>
  <c r="Q602" i="5" s="1"/>
  <c r="G602" i="5"/>
  <c r="R601" i="5"/>
  <c r="O601" i="5"/>
  <c r="L601" i="5"/>
  <c r="P601" i="5" s="1"/>
  <c r="Q601" i="5" s="1"/>
  <c r="G601" i="5"/>
  <c r="R600" i="5"/>
  <c r="O600" i="5"/>
  <c r="L600" i="5"/>
  <c r="P600" i="5" s="1"/>
  <c r="Q600" i="5" s="1"/>
  <c r="G600" i="5"/>
  <c r="R599" i="5"/>
  <c r="O599" i="5"/>
  <c r="L599" i="5"/>
  <c r="P599" i="5" s="1"/>
  <c r="Q599" i="5" s="1"/>
  <c r="G599" i="5"/>
  <c r="R598" i="5"/>
  <c r="O598" i="5"/>
  <c r="L598" i="5"/>
  <c r="P598" i="5" s="1"/>
  <c r="Q598" i="5" s="1"/>
  <c r="G598" i="5"/>
  <c r="R597" i="5"/>
  <c r="O597" i="5"/>
  <c r="L597" i="5"/>
  <c r="P597" i="5" s="1"/>
  <c r="Q597" i="5" s="1"/>
  <c r="G597" i="5"/>
  <c r="R596" i="5"/>
  <c r="O596" i="5"/>
  <c r="L596" i="5"/>
  <c r="P596" i="5" s="1"/>
  <c r="Q596" i="5" s="1"/>
  <c r="G596" i="5"/>
  <c r="R595" i="5"/>
  <c r="O595" i="5"/>
  <c r="L595" i="5"/>
  <c r="P595" i="5" s="1"/>
  <c r="Q595" i="5" s="1"/>
  <c r="G595" i="5"/>
  <c r="R594" i="5"/>
  <c r="O594" i="5"/>
  <c r="L594" i="5"/>
  <c r="P594" i="5" s="1"/>
  <c r="Q594" i="5" s="1"/>
  <c r="G594" i="5"/>
  <c r="R593" i="5"/>
  <c r="O593" i="5"/>
  <c r="L593" i="5"/>
  <c r="P593" i="5" s="1"/>
  <c r="Q593" i="5" s="1"/>
  <c r="G593" i="5"/>
  <c r="R592" i="5"/>
  <c r="O592" i="5"/>
  <c r="L592" i="5"/>
  <c r="P592" i="5" s="1"/>
  <c r="Q592" i="5" s="1"/>
  <c r="G592" i="5"/>
  <c r="R591" i="5"/>
  <c r="O591" i="5"/>
  <c r="L591" i="5"/>
  <c r="P591" i="5" s="1"/>
  <c r="Q591" i="5" s="1"/>
  <c r="G591" i="5"/>
  <c r="R590" i="5"/>
  <c r="O590" i="5"/>
  <c r="L590" i="5"/>
  <c r="P590" i="5" s="1"/>
  <c r="Q590" i="5" s="1"/>
  <c r="G590" i="5"/>
  <c r="R589" i="5"/>
  <c r="O589" i="5"/>
  <c r="L589" i="5"/>
  <c r="P589" i="5" s="1"/>
  <c r="Q589" i="5" s="1"/>
  <c r="G589" i="5"/>
  <c r="R588" i="5"/>
  <c r="O588" i="5"/>
  <c r="L588" i="5"/>
  <c r="P588" i="5" s="1"/>
  <c r="Q588" i="5" s="1"/>
  <c r="G588" i="5"/>
  <c r="R587" i="5"/>
  <c r="O587" i="5"/>
  <c r="L587" i="5"/>
  <c r="P587" i="5" s="1"/>
  <c r="Q587" i="5" s="1"/>
  <c r="G587" i="5"/>
  <c r="R586" i="5"/>
  <c r="O586" i="5"/>
  <c r="L586" i="5"/>
  <c r="P586" i="5" s="1"/>
  <c r="Q586" i="5" s="1"/>
  <c r="G586" i="5"/>
  <c r="R585" i="5"/>
  <c r="O585" i="5"/>
  <c r="L585" i="5"/>
  <c r="P585" i="5" s="1"/>
  <c r="Q585" i="5" s="1"/>
  <c r="G585" i="5"/>
  <c r="R584" i="5"/>
  <c r="O584" i="5"/>
  <c r="L584" i="5"/>
  <c r="P584" i="5" s="1"/>
  <c r="Q584" i="5" s="1"/>
  <c r="G584" i="5"/>
  <c r="R583" i="5"/>
  <c r="O583" i="5"/>
  <c r="L583" i="5"/>
  <c r="P583" i="5" s="1"/>
  <c r="Q583" i="5" s="1"/>
  <c r="G583" i="5"/>
  <c r="R582" i="5"/>
  <c r="O582" i="5"/>
  <c r="L582" i="5"/>
  <c r="P582" i="5" s="1"/>
  <c r="Q582" i="5" s="1"/>
  <c r="G582" i="5"/>
  <c r="R581" i="5"/>
  <c r="O581" i="5"/>
  <c r="L581" i="5"/>
  <c r="P581" i="5" s="1"/>
  <c r="Q581" i="5" s="1"/>
  <c r="G581" i="5"/>
  <c r="R580" i="5"/>
  <c r="O580" i="5"/>
  <c r="L580" i="5"/>
  <c r="P580" i="5" s="1"/>
  <c r="Q580" i="5" s="1"/>
  <c r="G580" i="5"/>
  <c r="R579" i="5"/>
  <c r="O579" i="5"/>
  <c r="L579" i="5"/>
  <c r="P579" i="5" s="1"/>
  <c r="Q579" i="5" s="1"/>
  <c r="G579" i="5"/>
  <c r="R578" i="5"/>
  <c r="O578" i="5"/>
  <c r="L578" i="5"/>
  <c r="P578" i="5" s="1"/>
  <c r="Q578" i="5" s="1"/>
  <c r="G578" i="5"/>
  <c r="R577" i="5"/>
  <c r="O577" i="5"/>
  <c r="L577" i="5"/>
  <c r="P577" i="5" s="1"/>
  <c r="Q577" i="5" s="1"/>
  <c r="G577" i="5"/>
  <c r="R576" i="5"/>
  <c r="O576" i="5"/>
  <c r="L576" i="5"/>
  <c r="P576" i="5" s="1"/>
  <c r="Q576" i="5" s="1"/>
  <c r="G576" i="5"/>
  <c r="R575" i="5"/>
  <c r="O575" i="5"/>
  <c r="L575" i="5"/>
  <c r="P575" i="5" s="1"/>
  <c r="Q575" i="5" s="1"/>
  <c r="G575" i="5"/>
  <c r="R574" i="5"/>
  <c r="O574" i="5"/>
  <c r="L574" i="5"/>
  <c r="P574" i="5" s="1"/>
  <c r="Q574" i="5" s="1"/>
  <c r="G574" i="5"/>
  <c r="R573" i="5"/>
  <c r="O573" i="5"/>
  <c r="L573" i="5"/>
  <c r="P573" i="5" s="1"/>
  <c r="Q573" i="5" s="1"/>
  <c r="G573" i="5"/>
  <c r="R572" i="5"/>
  <c r="O572" i="5"/>
  <c r="L572" i="5"/>
  <c r="P572" i="5" s="1"/>
  <c r="Q572" i="5" s="1"/>
  <c r="G572" i="5"/>
  <c r="R571" i="5"/>
  <c r="O571" i="5"/>
  <c r="L571" i="5"/>
  <c r="P571" i="5" s="1"/>
  <c r="Q571" i="5" s="1"/>
  <c r="G571" i="5"/>
  <c r="R570" i="5"/>
  <c r="O570" i="5"/>
  <c r="L570" i="5"/>
  <c r="P570" i="5" s="1"/>
  <c r="Q570" i="5" s="1"/>
  <c r="G570" i="5"/>
  <c r="R569" i="5"/>
  <c r="O569" i="5"/>
  <c r="L569" i="5"/>
  <c r="P569" i="5" s="1"/>
  <c r="Q569" i="5" s="1"/>
  <c r="G569" i="5"/>
  <c r="R568" i="5"/>
  <c r="O568" i="5"/>
  <c r="L568" i="5"/>
  <c r="P568" i="5" s="1"/>
  <c r="Q568" i="5" s="1"/>
  <c r="G568" i="5"/>
  <c r="R567" i="5"/>
  <c r="O567" i="5"/>
  <c r="L567" i="5"/>
  <c r="P567" i="5" s="1"/>
  <c r="Q567" i="5" s="1"/>
  <c r="G567" i="5"/>
  <c r="R566" i="5"/>
  <c r="O566" i="5"/>
  <c r="L566" i="5"/>
  <c r="P566" i="5" s="1"/>
  <c r="Q566" i="5" s="1"/>
  <c r="G566" i="5"/>
  <c r="R565" i="5"/>
  <c r="O565" i="5"/>
  <c r="L565" i="5"/>
  <c r="P565" i="5" s="1"/>
  <c r="Q565" i="5" s="1"/>
  <c r="G565" i="5"/>
  <c r="R564" i="5"/>
  <c r="O564" i="5"/>
  <c r="L564" i="5"/>
  <c r="P564" i="5" s="1"/>
  <c r="Q564" i="5" s="1"/>
  <c r="G564" i="5"/>
  <c r="R563" i="5"/>
  <c r="O563" i="5"/>
  <c r="L563" i="5"/>
  <c r="P563" i="5" s="1"/>
  <c r="Q563" i="5" s="1"/>
  <c r="G563" i="5"/>
  <c r="R562" i="5"/>
  <c r="O562" i="5"/>
  <c r="L562" i="5"/>
  <c r="P562" i="5" s="1"/>
  <c r="Q562" i="5" s="1"/>
  <c r="G562" i="5"/>
  <c r="R561" i="5"/>
  <c r="O561" i="5"/>
  <c r="L561" i="5"/>
  <c r="P561" i="5" s="1"/>
  <c r="Q561" i="5" s="1"/>
  <c r="G561" i="5"/>
  <c r="R560" i="5"/>
  <c r="O560" i="5"/>
  <c r="L560" i="5"/>
  <c r="P560" i="5" s="1"/>
  <c r="Q560" i="5" s="1"/>
  <c r="G560" i="5"/>
  <c r="R559" i="5"/>
  <c r="O559" i="5"/>
  <c r="L559" i="5"/>
  <c r="P559" i="5" s="1"/>
  <c r="Q559" i="5" s="1"/>
  <c r="G559" i="5"/>
  <c r="R558" i="5"/>
  <c r="O558" i="5"/>
  <c r="L558" i="5"/>
  <c r="P558" i="5" s="1"/>
  <c r="Q558" i="5" s="1"/>
  <c r="G558" i="5"/>
  <c r="R557" i="5"/>
  <c r="O557" i="5"/>
  <c r="L557" i="5"/>
  <c r="P557" i="5" s="1"/>
  <c r="Q557" i="5" s="1"/>
  <c r="G557" i="5"/>
  <c r="R556" i="5"/>
  <c r="O556" i="5"/>
  <c r="L556" i="5"/>
  <c r="P556" i="5" s="1"/>
  <c r="Q556" i="5" s="1"/>
  <c r="G556" i="5"/>
  <c r="R555" i="5"/>
  <c r="O555" i="5"/>
  <c r="L555" i="5"/>
  <c r="P555" i="5" s="1"/>
  <c r="Q555" i="5" s="1"/>
  <c r="G555" i="5"/>
  <c r="R554" i="5"/>
  <c r="O554" i="5"/>
  <c r="L554" i="5"/>
  <c r="P554" i="5" s="1"/>
  <c r="Q554" i="5" s="1"/>
  <c r="G554" i="5"/>
  <c r="R553" i="5"/>
  <c r="O553" i="5"/>
  <c r="L553" i="5"/>
  <c r="P553" i="5" s="1"/>
  <c r="Q553" i="5" s="1"/>
  <c r="G553" i="5"/>
  <c r="R552" i="5"/>
  <c r="O552" i="5"/>
  <c r="L552" i="5"/>
  <c r="P552" i="5" s="1"/>
  <c r="Q552" i="5" s="1"/>
  <c r="G552" i="5"/>
  <c r="R551" i="5"/>
  <c r="O551" i="5"/>
  <c r="L551" i="5"/>
  <c r="P551" i="5" s="1"/>
  <c r="Q551" i="5" s="1"/>
  <c r="G551" i="5"/>
  <c r="R550" i="5"/>
  <c r="O550" i="5"/>
  <c r="L550" i="5"/>
  <c r="P550" i="5" s="1"/>
  <c r="Q550" i="5" s="1"/>
  <c r="G550" i="5"/>
  <c r="R549" i="5"/>
  <c r="O549" i="5"/>
  <c r="L549" i="5"/>
  <c r="P549" i="5" s="1"/>
  <c r="Q549" i="5" s="1"/>
  <c r="G549" i="5"/>
  <c r="R548" i="5"/>
  <c r="O548" i="5"/>
  <c r="L548" i="5"/>
  <c r="P548" i="5" s="1"/>
  <c r="Q548" i="5" s="1"/>
  <c r="G548" i="5"/>
  <c r="R547" i="5"/>
  <c r="O547" i="5"/>
  <c r="L547" i="5"/>
  <c r="P547" i="5" s="1"/>
  <c r="Q547" i="5" s="1"/>
  <c r="G547" i="5"/>
  <c r="R546" i="5"/>
  <c r="O546" i="5"/>
  <c r="L546" i="5"/>
  <c r="P546" i="5" s="1"/>
  <c r="Q546" i="5" s="1"/>
  <c r="G546" i="5"/>
  <c r="R545" i="5"/>
  <c r="O545" i="5"/>
  <c r="L545" i="5"/>
  <c r="P545" i="5" s="1"/>
  <c r="Q545" i="5" s="1"/>
  <c r="G545" i="5"/>
  <c r="R544" i="5"/>
  <c r="O544" i="5"/>
  <c r="L544" i="5"/>
  <c r="P544" i="5" s="1"/>
  <c r="Q544" i="5" s="1"/>
  <c r="G544" i="5"/>
  <c r="R543" i="5"/>
  <c r="O543" i="5"/>
  <c r="L543" i="5"/>
  <c r="P543" i="5" s="1"/>
  <c r="Q543" i="5" s="1"/>
  <c r="G543" i="5"/>
  <c r="R542" i="5"/>
  <c r="O542" i="5"/>
  <c r="L542" i="5"/>
  <c r="P542" i="5" s="1"/>
  <c r="Q542" i="5" s="1"/>
  <c r="G542" i="5"/>
  <c r="R541" i="5"/>
  <c r="O541" i="5"/>
  <c r="L541" i="5"/>
  <c r="P541" i="5" s="1"/>
  <c r="Q541" i="5" s="1"/>
  <c r="G541" i="5"/>
  <c r="R540" i="5"/>
  <c r="O540" i="5"/>
  <c r="L540" i="5"/>
  <c r="P540" i="5" s="1"/>
  <c r="Q540" i="5" s="1"/>
  <c r="G540" i="5"/>
  <c r="R539" i="5"/>
  <c r="O539" i="5"/>
  <c r="L539" i="5"/>
  <c r="P539" i="5" s="1"/>
  <c r="Q539" i="5" s="1"/>
  <c r="G539" i="5"/>
  <c r="R538" i="5"/>
  <c r="O538" i="5"/>
  <c r="L538" i="5"/>
  <c r="P538" i="5" s="1"/>
  <c r="Q538" i="5" s="1"/>
  <c r="G538" i="5"/>
  <c r="R537" i="5"/>
  <c r="O537" i="5"/>
  <c r="L537" i="5"/>
  <c r="P537" i="5" s="1"/>
  <c r="Q537" i="5" s="1"/>
  <c r="G537" i="5"/>
  <c r="R536" i="5"/>
  <c r="O536" i="5"/>
  <c r="L536" i="5"/>
  <c r="P536" i="5" s="1"/>
  <c r="Q536" i="5" s="1"/>
  <c r="G536" i="5"/>
  <c r="R535" i="5"/>
  <c r="O535" i="5"/>
  <c r="L535" i="5"/>
  <c r="P535" i="5" s="1"/>
  <c r="Q535" i="5" s="1"/>
  <c r="G535" i="5"/>
  <c r="R534" i="5"/>
  <c r="O534" i="5"/>
  <c r="L534" i="5"/>
  <c r="P534" i="5" s="1"/>
  <c r="Q534" i="5" s="1"/>
  <c r="G534" i="5"/>
  <c r="R533" i="5"/>
  <c r="O533" i="5"/>
  <c r="L533" i="5"/>
  <c r="P533" i="5" s="1"/>
  <c r="Q533" i="5" s="1"/>
  <c r="G533" i="5"/>
  <c r="R532" i="5"/>
  <c r="O532" i="5"/>
  <c r="L532" i="5"/>
  <c r="P532" i="5" s="1"/>
  <c r="Q532" i="5" s="1"/>
  <c r="G532" i="5"/>
  <c r="R531" i="5"/>
  <c r="O531" i="5"/>
  <c r="L531" i="5"/>
  <c r="P531" i="5" s="1"/>
  <c r="Q531" i="5" s="1"/>
  <c r="G531" i="5"/>
  <c r="R530" i="5"/>
  <c r="O530" i="5"/>
  <c r="L530" i="5"/>
  <c r="P530" i="5" s="1"/>
  <c r="Q530" i="5" s="1"/>
  <c r="G530" i="5"/>
  <c r="R529" i="5"/>
  <c r="O529" i="5"/>
  <c r="L529" i="5"/>
  <c r="P529" i="5" s="1"/>
  <c r="Q529" i="5" s="1"/>
  <c r="G529" i="5"/>
  <c r="R528" i="5"/>
  <c r="O528" i="5"/>
  <c r="L528" i="5"/>
  <c r="P528" i="5" s="1"/>
  <c r="Q528" i="5" s="1"/>
  <c r="G528" i="5"/>
  <c r="R527" i="5"/>
  <c r="O527" i="5"/>
  <c r="L527" i="5"/>
  <c r="P527" i="5" s="1"/>
  <c r="Q527" i="5" s="1"/>
  <c r="G527" i="5"/>
  <c r="R526" i="5"/>
  <c r="O526" i="5"/>
  <c r="L526" i="5"/>
  <c r="P526" i="5" s="1"/>
  <c r="Q526" i="5" s="1"/>
  <c r="G526" i="5"/>
  <c r="R525" i="5"/>
  <c r="O525" i="5"/>
  <c r="L525" i="5"/>
  <c r="P525" i="5" s="1"/>
  <c r="Q525" i="5" s="1"/>
  <c r="G525" i="5"/>
  <c r="R524" i="5"/>
  <c r="O524" i="5"/>
  <c r="L524" i="5"/>
  <c r="P524" i="5" s="1"/>
  <c r="Q524" i="5" s="1"/>
  <c r="G524" i="5"/>
  <c r="R523" i="5"/>
  <c r="O523" i="5"/>
  <c r="L523" i="5"/>
  <c r="P523" i="5" s="1"/>
  <c r="Q523" i="5" s="1"/>
  <c r="G523" i="5"/>
  <c r="R522" i="5"/>
  <c r="O522" i="5"/>
  <c r="L522" i="5"/>
  <c r="P522" i="5" s="1"/>
  <c r="Q522" i="5" s="1"/>
  <c r="G522" i="5"/>
  <c r="R521" i="5"/>
  <c r="O521" i="5"/>
  <c r="L521" i="5"/>
  <c r="P521" i="5" s="1"/>
  <c r="Q521" i="5" s="1"/>
  <c r="G521" i="5"/>
  <c r="R520" i="5"/>
  <c r="O520" i="5"/>
  <c r="L520" i="5"/>
  <c r="P520" i="5" s="1"/>
  <c r="Q520" i="5" s="1"/>
  <c r="G520" i="5"/>
  <c r="R519" i="5"/>
  <c r="O519" i="5"/>
  <c r="L519" i="5"/>
  <c r="P519" i="5" s="1"/>
  <c r="Q519" i="5" s="1"/>
  <c r="G519" i="5"/>
  <c r="R518" i="5"/>
  <c r="O518" i="5"/>
  <c r="L518" i="5"/>
  <c r="P518" i="5" s="1"/>
  <c r="Q518" i="5" s="1"/>
  <c r="G518" i="5"/>
  <c r="R517" i="5"/>
  <c r="O517" i="5"/>
  <c r="L517" i="5"/>
  <c r="P517" i="5" s="1"/>
  <c r="Q517" i="5" s="1"/>
  <c r="G517" i="5"/>
  <c r="R516" i="5"/>
  <c r="O516" i="5"/>
  <c r="L516" i="5"/>
  <c r="P516" i="5" s="1"/>
  <c r="Q516" i="5" s="1"/>
  <c r="G516" i="5"/>
  <c r="R515" i="5"/>
  <c r="O515" i="5"/>
  <c r="L515" i="5"/>
  <c r="P515" i="5" s="1"/>
  <c r="Q515" i="5" s="1"/>
  <c r="G515" i="5"/>
  <c r="R514" i="5"/>
  <c r="O514" i="5"/>
  <c r="L514" i="5"/>
  <c r="P514" i="5" s="1"/>
  <c r="Q514" i="5" s="1"/>
  <c r="G514" i="5"/>
  <c r="R513" i="5"/>
  <c r="O513" i="5"/>
  <c r="L513" i="5"/>
  <c r="P513" i="5" s="1"/>
  <c r="Q513" i="5" s="1"/>
  <c r="G513" i="5"/>
  <c r="R512" i="5"/>
  <c r="O512" i="5"/>
  <c r="L512" i="5"/>
  <c r="P512" i="5" s="1"/>
  <c r="Q512" i="5" s="1"/>
  <c r="G512" i="5"/>
  <c r="R511" i="5"/>
  <c r="O511" i="5"/>
  <c r="L511" i="5"/>
  <c r="P511" i="5" s="1"/>
  <c r="Q511" i="5" s="1"/>
  <c r="G511" i="5"/>
  <c r="R510" i="5"/>
  <c r="O510" i="5"/>
  <c r="L510" i="5"/>
  <c r="P510" i="5" s="1"/>
  <c r="Q510" i="5" s="1"/>
  <c r="G510" i="5"/>
  <c r="R509" i="5"/>
  <c r="O509" i="5"/>
  <c r="L509" i="5"/>
  <c r="P509" i="5" s="1"/>
  <c r="Q509" i="5" s="1"/>
  <c r="G509" i="5"/>
  <c r="R508" i="5"/>
  <c r="O508" i="5"/>
  <c r="L508" i="5"/>
  <c r="P508" i="5" s="1"/>
  <c r="Q508" i="5" s="1"/>
  <c r="G508" i="5"/>
  <c r="R507" i="5"/>
  <c r="O507" i="5"/>
  <c r="L507" i="5"/>
  <c r="P507" i="5" s="1"/>
  <c r="Q507" i="5" s="1"/>
  <c r="G507" i="5"/>
  <c r="R506" i="5"/>
  <c r="O506" i="5"/>
  <c r="L506" i="5"/>
  <c r="P506" i="5" s="1"/>
  <c r="Q506" i="5" s="1"/>
  <c r="G506" i="5"/>
  <c r="R505" i="5"/>
  <c r="O505" i="5"/>
  <c r="L505" i="5"/>
  <c r="P505" i="5" s="1"/>
  <c r="Q505" i="5" s="1"/>
  <c r="G505" i="5"/>
  <c r="R504" i="5"/>
  <c r="O504" i="5"/>
  <c r="L504" i="5"/>
  <c r="P504" i="5" s="1"/>
  <c r="Q504" i="5" s="1"/>
  <c r="G504" i="5"/>
  <c r="R503" i="5"/>
  <c r="O503" i="5"/>
  <c r="L503" i="5"/>
  <c r="P503" i="5" s="1"/>
  <c r="Q503" i="5" s="1"/>
  <c r="G503" i="5"/>
  <c r="R502" i="5"/>
  <c r="O502" i="5"/>
  <c r="L502" i="5"/>
  <c r="P502" i="5" s="1"/>
  <c r="Q502" i="5" s="1"/>
  <c r="G502" i="5"/>
  <c r="R501" i="5"/>
  <c r="O501" i="5"/>
  <c r="L501" i="5"/>
  <c r="P501" i="5" s="1"/>
  <c r="Q501" i="5" s="1"/>
  <c r="G501" i="5"/>
  <c r="R500" i="5"/>
  <c r="O500" i="5"/>
  <c r="L500" i="5"/>
  <c r="P500" i="5" s="1"/>
  <c r="Q500" i="5" s="1"/>
  <c r="G500" i="5"/>
  <c r="R499" i="5"/>
  <c r="O499" i="5"/>
  <c r="L499" i="5"/>
  <c r="P499" i="5" s="1"/>
  <c r="Q499" i="5" s="1"/>
  <c r="G499" i="5"/>
  <c r="R498" i="5"/>
  <c r="O498" i="5"/>
  <c r="L498" i="5"/>
  <c r="P498" i="5" s="1"/>
  <c r="Q498" i="5" s="1"/>
  <c r="G498" i="5"/>
  <c r="R497" i="5"/>
  <c r="O497" i="5"/>
  <c r="L497" i="5"/>
  <c r="P497" i="5" s="1"/>
  <c r="Q497" i="5" s="1"/>
  <c r="G497" i="5"/>
  <c r="R496" i="5"/>
  <c r="O496" i="5"/>
  <c r="L496" i="5"/>
  <c r="P496" i="5" s="1"/>
  <c r="Q496" i="5" s="1"/>
  <c r="G496" i="5"/>
  <c r="R495" i="5"/>
  <c r="O495" i="5"/>
  <c r="L495" i="5"/>
  <c r="P495" i="5" s="1"/>
  <c r="Q495" i="5" s="1"/>
  <c r="G495" i="5"/>
  <c r="R494" i="5"/>
  <c r="O494" i="5"/>
  <c r="L494" i="5"/>
  <c r="P494" i="5" s="1"/>
  <c r="Q494" i="5" s="1"/>
  <c r="G494" i="5"/>
  <c r="R493" i="5"/>
  <c r="O493" i="5"/>
  <c r="L493" i="5"/>
  <c r="P493" i="5" s="1"/>
  <c r="Q493" i="5" s="1"/>
  <c r="G493" i="5"/>
  <c r="R492" i="5"/>
  <c r="O492" i="5"/>
  <c r="L492" i="5"/>
  <c r="P492" i="5" s="1"/>
  <c r="Q492" i="5" s="1"/>
  <c r="G492" i="5"/>
  <c r="R491" i="5"/>
  <c r="O491" i="5"/>
  <c r="L491" i="5"/>
  <c r="P491" i="5" s="1"/>
  <c r="Q491" i="5" s="1"/>
  <c r="G491" i="5"/>
  <c r="R490" i="5"/>
  <c r="O490" i="5"/>
  <c r="L490" i="5"/>
  <c r="P490" i="5" s="1"/>
  <c r="Q490" i="5" s="1"/>
  <c r="G490" i="5"/>
  <c r="R489" i="5"/>
  <c r="O489" i="5"/>
  <c r="L489" i="5"/>
  <c r="P489" i="5" s="1"/>
  <c r="Q489" i="5" s="1"/>
  <c r="G489" i="5"/>
  <c r="R488" i="5"/>
  <c r="O488" i="5"/>
  <c r="L488" i="5"/>
  <c r="P488" i="5" s="1"/>
  <c r="Q488" i="5" s="1"/>
  <c r="G488" i="5"/>
  <c r="R487" i="5"/>
  <c r="O487" i="5"/>
  <c r="L487" i="5"/>
  <c r="P487" i="5" s="1"/>
  <c r="Q487" i="5" s="1"/>
  <c r="G487" i="5"/>
  <c r="R486" i="5"/>
  <c r="O486" i="5"/>
  <c r="L486" i="5"/>
  <c r="P486" i="5" s="1"/>
  <c r="Q486" i="5" s="1"/>
  <c r="G486" i="5"/>
  <c r="R485" i="5"/>
  <c r="O485" i="5"/>
  <c r="L485" i="5"/>
  <c r="P485" i="5" s="1"/>
  <c r="Q485" i="5" s="1"/>
  <c r="G485" i="5"/>
  <c r="R484" i="5"/>
  <c r="O484" i="5"/>
  <c r="L484" i="5"/>
  <c r="P484" i="5" s="1"/>
  <c r="Q484" i="5" s="1"/>
  <c r="G484" i="5"/>
  <c r="R483" i="5"/>
  <c r="O483" i="5"/>
  <c r="L483" i="5"/>
  <c r="P483" i="5" s="1"/>
  <c r="Q483" i="5" s="1"/>
  <c r="G483" i="5"/>
  <c r="R482" i="5"/>
  <c r="O482" i="5"/>
  <c r="L482" i="5"/>
  <c r="P482" i="5" s="1"/>
  <c r="Q482" i="5" s="1"/>
  <c r="G482" i="5"/>
  <c r="R481" i="5"/>
  <c r="O481" i="5"/>
  <c r="L481" i="5"/>
  <c r="P481" i="5" s="1"/>
  <c r="Q481" i="5" s="1"/>
  <c r="G481" i="5"/>
  <c r="R480" i="5"/>
  <c r="O480" i="5"/>
  <c r="L480" i="5"/>
  <c r="P480" i="5" s="1"/>
  <c r="Q480" i="5" s="1"/>
  <c r="G480" i="5"/>
  <c r="R479" i="5"/>
  <c r="L479" i="5"/>
  <c r="P479" i="5" s="1"/>
  <c r="G479" i="5"/>
  <c r="R478" i="5"/>
  <c r="L478" i="5"/>
  <c r="P478" i="5" s="1"/>
  <c r="G478" i="5"/>
  <c r="R477" i="5"/>
  <c r="O477" i="5"/>
  <c r="L477" i="5"/>
  <c r="P477" i="5" s="1"/>
  <c r="Q477" i="5" s="1"/>
  <c r="G477" i="5"/>
  <c r="R476" i="5"/>
  <c r="O476" i="5"/>
  <c r="L476" i="5"/>
  <c r="P476" i="5" s="1"/>
  <c r="Q476" i="5" s="1"/>
  <c r="G476" i="5"/>
  <c r="R475" i="5"/>
  <c r="O475" i="5"/>
  <c r="L475" i="5"/>
  <c r="P475" i="5" s="1"/>
  <c r="Q475" i="5" s="1"/>
  <c r="G475" i="5"/>
  <c r="R474" i="5"/>
  <c r="O474" i="5"/>
  <c r="L474" i="5"/>
  <c r="P474" i="5" s="1"/>
  <c r="Q474" i="5" s="1"/>
  <c r="G474" i="5"/>
  <c r="R473" i="5"/>
  <c r="L473" i="5"/>
  <c r="P473" i="5" s="1"/>
  <c r="G473" i="5"/>
  <c r="R472" i="5"/>
  <c r="L472" i="5"/>
  <c r="P472" i="5" s="1"/>
  <c r="G472" i="5"/>
  <c r="R471" i="5"/>
  <c r="L471" i="5"/>
  <c r="P471" i="5" s="1"/>
  <c r="G471" i="5"/>
  <c r="R470" i="5"/>
  <c r="O470" i="5"/>
  <c r="L470" i="5"/>
  <c r="P470" i="5" s="1"/>
  <c r="Q470" i="5" s="1"/>
  <c r="G470" i="5"/>
  <c r="R469" i="5"/>
  <c r="L469" i="5"/>
  <c r="P469" i="5" s="1"/>
  <c r="G469" i="5"/>
  <c r="R468" i="5"/>
  <c r="L468" i="5"/>
  <c r="P468" i="5" s="1"/>
  <c r="G468" i="5"/>
  <c r="R467" i="5"/>
  <c r="O467" i="5"/>
  <c r="L467" i="5"/>
  <c r="P467" i="5" s="1"/>
  <c r="Q467" i="5" s="1"/>
  <c r="G467" i="5"/>
  <c r="R466" i="5"/>
  <c r="L466" i="5"/>
  <c r="P466" i="5" s="1"/>
  <c r="G466" i="5"/>
  <c r="R465" i="5"/>
  <c r="L465" i="5"/>
  <c r="P465" i="5" s="1"/>
  <c r="Q465" i="5" s="1"/>
  <c r="G465" i="5"/>
  <c r="R464" i="5"/>
  <c r="L464" i="5"/>
  <c r="P464" i="5" s="1"/>
  <c r="Q464" i="5" s="1"/>
  <c r="G464" i="5"/>
  <c r="O463" i="5"/>
  <c r="L463" i="5"/>
  <c r="P463" i="5" s="1"/>
  <c r="Q463" i="5" s="1"/>
  <c r="G463" i="5"/>
  <c r="R462" i="5"/>
  <c r="O462" i="5"/>
  <c r="L462" i="5"/>
  <c r="P462" i="5" s="1"/>
  <c r="Q462" i="5" s="1"/>
  <c r="G462" i="5"/>
  <c r="R461" i="5"/>
  <c r="L461" i="5"/>
  <c r="P461" i="5" s="1"/>
  <c r="G461" i="5"/>
  <c r="R460" i="5"/>
  <c r="L460" i="5"/>
  <c r="P460" i="5" s="1"/>
  <c r="G460" i="5"/>
  <c r="R459" i="5"/>
  <c r="L459" i="5"/>
  <c r="P459" i="5" s="1"/>
  <c r="G459" i="5"/>
  <c r="R458" i="5"/>
  <c r="L458" i="5"/>
  <c r="P458" i="5" s="1"/>
  <c r="G458" i="5"/>
  <c r="R457" i="5"/>
  <c r="L457" i="5"/>
  <c r="P457" i="5" s="1"/>
  <c r="G457" i="5"/>
  <c r="R456" i="5"/>
  <c r="L456" i="5"/>
  <c r="P456" i="5" s="1"/>
  <c r="G456" i="5"/>
  <c r="R455" i="5"/>
  <c r="L455" i="5"/>
  <c r="P455" i="5" s="1"/>
  <c r="G455" i="5"/>
  <c r="R454" i="5"/>
  <c r="L454" i="5"/>
  <c r="P454" i="5" s="1"/>
  <c r="G454" i="5"/>
  <c r="R453" i="5"/>
  <c r="L453" i="5"/>
  <c r="P453" i="5" s="1"/>
  <c r="G453" i="5"/>
  <c r="R452" i="5"/>
  <c r="L452" i="5"/>
  <c r="P452" i="5" s="1"/>
  <c r="G452" i="5"/>
  <c r="R451" i="5"/>
  <c r="L451" i="5"/>
  <c r="P451" i="5" s="1"/>
  <c r="G451" i="5"/>
  <c r="R450" i="5"/>
  <c r="L450" i="5"/>
  <c r="P450" i="5" s="1"/>
  <c r="G450" i="5"/>
  <c r="R449" i="5"/>
  <c r="L449" i="5"/>
  <c r="P449" i="5" s="1"/>
  <c r="G449" i="5"/>
  <c r="R448" i="5"/>
  <c r="L448" i="5"/>
  <c r="P448" i="5" s="1"/>
  <c r="G448" i="5"/>
  <c r="R447" i="5"/>
  <c r="L447" i="5"/>
  <c r="P447" i="5" s="1"/>
  <c r="G447" i="5"/>
  <c r="R446" i="5"/>
  <c r="L446" i="5"/>
  <c r="P446" i="5" s="1"/>
  <c r="G446" i="5"/>
  <c r="R445" i="5"/>
  <c r="L445" i="5"/>
  <c r="P445" i="5" s="1"/>
  <c r="G445" i="5"/>
  <c r="R444" i="5"/>
  <c r="L444" i="5"/>
  <c r="P444" i="5" s="1"/>
  <c r="G444" i="5"/>
  <c r="R443" i="5"/>
  <c r="L443" i="5"/>
  <c r="P443" i="5" s="1"/>
  <c r="G443" i="5"/>
  <c r="R442" i="5"/>
  <c r="L442" i="5"/>
  <c r="P442" i="5" s="1"/>
  <c r="G442" i="5"/>
  <c r="R441" i="5"/>
  <c r="L441" i="5"/>
  <c r="P441" i="5" s="1"/>
  <c r="G441" i="5"/>
  <c r="R440" i="5"/>
  <c r="L440" i="5"/>
  <c r="P440" i="5" s="1"/>
  <c r="G440" i="5"/>
  <c r="R439" i="5"/>
  <c r="L439" i="5"/>
  <c r="P439" i="5" s="1"/>
  <c r="G439" i="5"/>
  <c r="R438" i="5"/>
  <c r="L438" i="5"/>
  <c r="P438" i="5" s="1"/>
  <c r="G438" i="5"/>
  <c r="R437" i="5"/>
  <c r="L437" i="5"/>
  <c r="P437" i="5" s="1"/>
  <c r="G437" i="5"/>
  <c r="R436" i="5"/>
  <c r="L436" i="5"/>
  <c r="P436" i="5" s="1"/>
  <c r="G436" i="5"/>
  <c r="R435" i="5"/>
  <c r="L435" i="5"/>
  <c r="P435" i="5" s="1"/>
  <c r="G435" i="5"/>
  <c r="R434" i="5"/>
  <c r="L434" i="5"/>
  <c r="P434" i="5" s="1"/>
  <c r="G434" i="5"/>
  <c r="R433" i="5"/>
  <c r="L433" i="5"/>
  <c r="P433" i="5" s="1"/>
  <c r="G433" i="5"/>
  <c r="R432" i="5"/>
  <c r="L432" i="5"/>
  <c r="P432" i="5" s="1"/>
  <c r="G432" i="5"/>
  <c r="R431" i="5"/>
  <c r="L431" i="5"/>
  <c r="P431" i="5" s="1"/>
  <c r="G431" i="5"/>
  <c r="R430" i="5"/>
  <c r="L430" i="5"/>
  <c r="P430" i="5" s="1"/>
  <c r="G430" i="5"/>
  <c r="R429" i="5"/>
  <c r="L429" i="5"/>
  <c r="P429" i="5" s="1"/>
  <c r="G429" i="5"/>
  <c r="R428" i="5"/>
  <c r="L428" i="5"/>
  <c r="P428" i="5" s="1"/>
  <c r="G428" i="5"/>
  <c r="R427" i="5"/>
  <c r="L427" i="5"/>
  <c r="P427" i="5" s="1"/>
  <c r="G427" i="5"/>
  <c r="R426" i="5"/>
  <c r="L426" i="5"/>
  <c r="P426" i="5" s="1"/>
  <c r="G426" i="5"/>
  <c r="R425" i="5"/>
  <c r="L425" i="5"/>
  <c r="P425" i="5" s="1"/>
  <c r="G425" i="5"/>
  <c r="R424" i="5"/>
  <c r="L424" i="5"/>
  <c r="P424" i="5" s="1"/>
  <c r="G424" i="5"/>
  <c r="R423" i="5"/>
  <c r="L423" i="5"/>
  <c r="P423" i="5" s="1"/>
  <c r="G423" i="5"/>
  <c r="R422" i="5"/>
  <c r="L422" i="5"/>
  <c r="P422" i="5" s="1"/>
  <c r="G422" i="5"/>
  <c r="R421" i="5"/>
  <c r="L421" i="5"/>
  <c r="P421" i="5" s="1"/>
  <c r="G421" i="5"/>
  <c r="R420" i="5"/>
  <c r="L420" i="5"/>
  <c r="P420" i="5" s="1"/>
  <c r="G420" i="5"/>
  <c r="R419" i="5"/>
  <c r="L419" i="5"/>
  <c r="P419" i="5" s="1"/>
  <c r="G419" i="5"/>
  <c r="R418" i="5"/>
  <c r="L418" i="5"/>
  <c r="P418" i="5" s="1"/>
  <c r="G418" i="5"/>
  <c r="R417" i="5"/>
  <c r="L417" i="5"/>
  <c r="P417" i="5" s="1"/>
  <c r="G417" i="5"/>
  <c r="R416" i="5"/>
  <c r="L416" i="5"/>
  <c r="P416" i="5" s="1"/>
  <c r="G416" i="5"/>
  <c r="R415" i="5"/>
  <c r="O415" i="5"/>
  <c r="L415" i="5"/>
  <c r="P415" i="5" s="1"/>
  <c r="Q415" i="5" s="1"/>
  <c r="G415" i="5"/>
  <c r="R414" i="5"/>
  <c r="O414" i="5"/>
  <c r="L414" i="5"/>
  <c r="P414" i="5" s="1"/>
  <c r="Q414" i="5" s="1"/>
  <c r="G414" i="5"/>
  <c r="R413" i="5"/>
  <c r="L413" i="5"/>
  <c r="P413" i="5" s="1"/>
  <c r="G413" i="5"/>
  <c r="R412" i="5"/>
  <c r="L412" i="5"/>
  <c r="P412" i="5" s="1"/>
  <c r="G412" i="5"/>
  <c r="R411" i="5"/>
  <c r="L411" i="5"/>
  <c r="P411" i="5" s="1"/>
  <c r="G411" i="5"/>
  <c r="R410" i="5"/>
  <c r="L410" i="5"/>
  <c r="P410" i="5" s="1"/>
  <c r="G410" i="5"/>
  <c r="R409" i="5"/>
  <c r="L409" i="5"/>
  <c r="P409" i="5" s="1"/>
  <c r="G409" i="5"/>
  <c r="R408" i="5"/>
  <c r="L408" i="5"/>
  <c r="P408" i="5" s="1"/>
  <c r="G408" i="5"/>
  <c r="R407" i="5"/>
  <c r="L407" i="5"/>
  <c r="P407" i="5" s="1"/>
  <c r="G407" i="5"/>
  <c r="R406" i="5"/>
  <c r="L406" i="5"/>
  <c r="P406" i="5" s="1"/>
  <c r="G406" i="5"/>
  <c r="R405" i="5"/>
  <c r="L405" i="5"/>
  <c r="P405" i="5" s="1"/>
  <c r="G405" i="5"/>
  <c r="R404" i="5"/>
  <c r="L404" i="5"/>
  <c r="P404" i="5" s="1"/>
  <c r="G404" i="5"/>
  <c r="R403" i="5"/>
  <c r="L403" i="5"/>
  <c r="P403" i="5" s="1"/>
  <c r="G403" i="5"/>
  <c r="R402" i="5"/>
  <c r="L402" i="5"/>
  <c r="P402" i="5" s="1"/>
  <c r="G402" i="5"/>
  <c r="R401" i="5"/>
  <c r="O401" i="5"/>
  <c r="L401" i="5"/>
  <c r="P401" i="5" s="1"/>
  <c r="Q401" i="5" s="1"/>
  <c r="G401" i="5"/>
  <c r="R400" i="5"/>
  <c r="L400" i="5"/>
  <c r="P400" i="5" s="1"/>
  <c r="G400" i="5"/>
  <c r="R399" i="5"/>
  <c r="L399" i="5"/>
  <c r="P399" i="5" s="1"/>
  <c r="G399" i="5"/>
  <c r="R398" i="5"/>
  <c r="L398" i="5"/>
  <c r="P398" i="5" s="1"/>
  <c r="G398" i="5"/>
  <c r="R397" i="5"/>
  <c r="L397" i="5"/>
  <c r="P397" i="5" s="1"/>
  <c r="G397" i="5"/>
  <c r="R396" i="5"/>
  <c r="L396" i="5"/>
  <c r="P396" i="5" s="1"/>
  <c r="G396" i="5"/>
  <c r="R395" i="5"/>
  <c r="L395" i="5"/>
  <c r="P395" i="5" s="1"/>
  <c r="G395" i="5"/>
  <c r="R394" i="5"/>
  <c r="L394" i="5"/>
  <c r="P394" i="5" s="1"/>
  <c r="G394" i="5"/>
  <c r="R393" i="5"/>
  <c r="L393" i="5"/>
  <c r="P393" i="5" s="1"/>
  <c r="G393" i="5"/>
  <c r="R392" i="5"/>
  <c r="L392" i="5"/>
  <c r="P392" i="5" s="1"/>
  <c r="G392" i="5"/>
  <c r="R391" i="5"/>
  <c r="L391" i="5"/>
  <c r="P391" i="5" s="1"/>
  <c r="G391" i="5"/>
  <c r="R390" i="5"/>
  <c r="L390" i="5"/>
  <c r="P390" i="5" s="1"/>
  <c r="G390" i="5"/>
  <c r="R389" i="5"/>
  <c r="L389" i="5"/>
  <c r="P389" i="5" s="1"/>
  <c r="G389" i="5"/>
  <c r="R388" i="5"/>
  <c r="L388" i="5"/>
  <c r="P388" i="5" s="1"/>
  <c r="G388" i="5"/>
  <c r="R387" i="5"/>
  <c r="L387" i="5"/>
  <c r="P387" i="5" s="1"/>
  <c r="G387" i="5"/>
  <c r="R386" i="5"/>
  <c r="L386" i="5"/>
  <c r="P386" i="5" s="1"/>
  <c r="G386" i="5"/>
  <c r="R385" i="5"/>
  <c r="L385" i="5"/>
  <c r="P385" i="5" s="1"/>
  <c r="G385" i="5"/>
  <c r="R384" i="5"/>
  <c r="L384" i="5"/>
  <c r="P384" i="5" s="1"/>
  <c r="G384" i="5"/>
  <c r="R383" i="5"/>
  <c r="L383" i="5"/>
  <c r="P383" i="5" s="1"/>
  <c r="G383" i="5"/>
  <c r="R382" i="5"/>
  <c r="L382" i="5"/>
  <c r="P382" i="5" s="1"/>
  <c r="G382" i="5"/>
  <c r="R381" i="5"/>
  <c r="L381" i="5"/>
  <c r="P381" i="5" s="1"/>
  <c r="G381" i="5"/>
  <c r="R380" i="5"/>
  <c r="L380" i="5"/>
  <c r="P380" i="5" s="1"/>
  <c r="G380" i="5"/>
  <c r="R379" i="5"/>
  <c r="L379" i="5"/>
  <c r="P379" i="5" s="1"/>
  <c r="G379" i="5"/>
  <c r="R378" i="5"/>
  <c r="L378" i="5"/>
  <c r="P378" i="5" s="1"/>
  <c r="G378" i="5"/>
  <c r="R377" i="5"/>
  <c r="L377" i="5"/>
  <c r="P377" i="5" s="1"/>
  <c r="G377" i="5"/>
  <c r="R376" i="5"/>
  <c r="L376" i="5"/>
  <c r="P376" i="5" s="1"/>
  <c r="G376" i="5"/>
  <c r="R375" i="5"/>
  <c r="L375" i="5"/>
  <c r="P375" i="5" s="1"/>
  <c r="G375" i="5"/>
  <c r="R374" i="5"/>
  <c r="L374" i="5"/>
  <c r="P374" i="5" s="1"/>
  <c r="G374" i="5"/>
  <c r="R373" i="5"/>
  <c r="L373" i="5"/>
  <c r="P373" i="5" s="1"/>
  <c r="G373" i="5"/>
  <c r="R372" i="5"/>
  <c r="L372" i="5"/>
  <c r="P372" i="5" s="1"/>
  <c r="G372" i="5"/>
  <c r="R371" i="5"/>
  <c r="L371" i="5"/>
  <c r="P371" i="5" s="1"/>
  <c r="G371" i="5"/>
  <c r="R370" i="5"/>
  <c r="L370" i="5"/>
  <c r="P370" i="5" s="1"/>
  <c r="G370" i="5"/>
  <c r="R369" i="5"/>
  <c r="L369" i="5"/>
  <c r="P369" i="5" s="1"/>
  <c r="G369" i="5"/>
  <c r="R368" i="5"/>
  <c r="O368" i="5"/>
  <c r="L368" i="5"/>
  <c r="P368" i="5" s="1"/>
  <c r="Q368" i="5" s="1"/>
  <c r="G368" i="5"/>
  <c r="R367" i="5"/>
  <c r="L367" i="5"/>
  <c r="P367" i="5" s="1"/>
  <c r="G367" i="5"/>
  <c r="R366" i="5"/>
  <c r="L366" i="5"/>
  <c r="P366" i="5" s="1"/>
  <c r="G366" i="5"/>
  <c r="R365" i="5"/>
  <c r="L365" i="5"/>
  <c r="P365" i="5" s="1"/>
  <c r="G365" i="5"/>
  <c r="R364" i="5"/>
  <c r="L364" i="5"/>
  <c r="P364" i="5" s="1"/>
  <c r="G364" i="5"/>
  <c r="R363" i="5"/>
  <c r="L363" i="5"/>
  <c r="P363" i="5" s="1"/>
  <c r="G363" i="5"/>
  <c r="R362" i="5"/>
  <c r="L362" i="5"/>
  <c r="P362" i="5" s="1"/>
  <c r="G362" i="5"/>
  <c r="R361" i="5"/>
  <c r="O361" i="5"/>
  <c r="L361" i="5"/>
  <c r="P361" i="5" s="1"/>
  <c r="Q361" i="5" s="1"/>
  <c r="G361" i="5"/>
  <c r="R360" i="5"/>
  <c r="O360" i="5"/>
  <c r="L360" i="5"/>
  <c r="P360" i="5" s="1"/>
  <c r="Q360" i="5" s="1"/>
  <c r="G360" i="5"/>
  <c r="R359" i="5"/>
  <c r="L359" i="5"/>
  <c r="P359" i="5" s="1"/>
  <c r="G359" i="5"/>
  <c r="L358" i="5"/>
  <c r="L357" i="5"/>
  <c r="L355" i="5"/>
  <c r="L354" i="5"/>
  <c r="L347" i="5"/>
  <c r="R346" i="5"/>
  <c r="O346" i="5"/>
  <c r="L346" i="5"/>
  <c r="P346" i="5" s="1"/>
  <c r="Q346" i="5" s="1"/>
  <c r="G346" i="5"/>
  <c r="R345" i="5"/>
  <c r="L345" i="5"/>
  <c r="P345" i="5" s="1"/>
  <c r="G345" i="5"/>
  <c r="L344" i="5"/>
  <c r="L343" i="5"/>
  <c r="R342" i="5"/>
  <c r="O342" i="5"/>
  <c r="L342" i="5"/>
  <c r="P342" i="5" s="1"/>
  <c r="Q342" i="5" s="1"/>
  <c r="G342" i="5"/>
  <c r="R341" i="5"/>
  <c r="O341" i="5"/>
  <c r="L341" i="5"/>
  <c r="P341" i="5" s="1"/>
  <c r="Q341" i="5" s="1"/>
  <c r="G341" i="5"/>
  <c r="R340" i="5"/>
  <c r="O340" i="5"/>
  <c r="L340" i="5"/>
  <c r="P340" i="5" s="1"/>
  <c r="Q340" i="5" s="1"/>
  <c r="G340" i="5"/>
  <c r="R339" i="5"/>
  <c r="O339" i="5"/>
  <c r="L339" i="5"/>
  <c r="P339" i="5" s="1"/>
  <c r="Q339" i="5" s="1"/>
  <c r="G339" i="5"/>
  <c r="R338" i="5"/>
  <c r="O338" i="5"/>
  <c r="L338" i="5"/>
  <c r="P338" i="5" s="1"/>
  <c r="Q338" i="5" s="1"/>
  <c r="G338" i="5"/>
  <c r="R337" i="5"/>
  <c r="O337" i="5"/>
  <c r="L337" i="5"/>
  <c r="P337" i="5" s="1"/>
  <c r="Q337" i="5" s="1"/>
  <c r="G337" i="5"/>
  <c r="R336" i="5"/>
  <c r="O336" i="5"/>
  <c r="L336" i="5"/>
  <c r="P336" i="5" s="1"/>
  <c r="Q336" i="5" s="1"/>
  <c r="G336" i="5"/>
  <c r="R335" i="5"/>
  <c r="O335" i="5"/>
  <c r="L335" i="5"/>
  <c r="P335" i="5" s="1"/>
  <c r="Q335" i="5" s="1"/>
  <c r="G335" i="5"/>
  <c r="R334" i="5"/>
  <c r="O334" i="5"/>
  <c r="L334" i="5"/>
  <c r="P334" i="5" s="1"/>
  <c r="Q334" i="5" s="1"/>
  <c r="G334" i="5"/>
  <c r="R333" i="5"/>
  <c r="L333" i="5"/>
  <c r="P333" i="5" s="1"/>
  <c r="G333" i="5"/>
  <c r="L332" i="5"/>
  <c r="R331" i="5"/>
  <c r="L331" i="5"/>
  <c r="P331" i="5" s="1"/>
  <c r="G331" i="5"/>
  <c r="R330" i="5"/>
  <c r="L330" i="5"/>
  <c r="P330" i="5" s="1"/>
  <c r="G330" i="5"/>
  <c r="R329" i="5"/>
  <c r="L329" i="5"/>
  <c r="P329" i="5" s="1"/>
  <c r="G329" i="5"/>
  <c r="R328" i="5"/>
  <c r="O328" i="5"/>
  <c r="L328" i="5"/>
  <c r="P328" i="5" s="1"/>
  <c r="Q328" i="5" s="1"/>
  <c r="G328" i="5"/>
  <c r="L327" i="5"/>
  <c r="L326" i="5"/>
  <c r="R325" i="5"/>
  <c r="O325" i="5"/>
  <c r="L325" i="5"/>
  <c r="P325" i="5" s="1"/>
  <c r="Q325" i="5" s="1"/>
  <c r="G325" i="5"/>
  <c r="L324" i="5"/>
  <c r="L323" i="5"/>
  <c r="L322" i="5"/>
  <c r="R321" i="5"/>
  <c r="O321" i="5"/>
  <c r="L321" i="5"/>
  <c r="P321" i="5" s="1"/>
  <c r="Q321" i="5" s="1"/>
  <c r="G321" i="5"/>
  <c r="R320" i="5"/>
  <c r="L320" i="5"/>
  <c r="P320" i="5" s="1"/>
  <c r="G320" i="5"/>
  <c r="R319" i="5"/>
  <c r="L319" i="5"/>
  <c r="P319" i="5" s="1"/>
  <c r="G319" i="5"/>
  <c r="R318" i="5"/>
  <c r="O318" i="5"/>
  <c r="L318" i="5"/>
  <c r="P318" i="5" s="1"/>
  <c r="Q318" i="5" s="1"/>
  <c r="G318" i="5"/>
  <c r="R317" i="5"/>
  <c r="O317" i="5"/>
  <c r="L317" i="5"/>
  <c r="P317" i="5" s="1"/>
  <c r="Q317" i="5" s="1"/>
  <c r="G317" i="5"/>
  <c r="L316" i="5"/>
  <c r="R315" i="5"/>
  <c r="L315" i="5"/>
  <c r="P315" i="5" s="1"/>
  <c r="G315" i="5"/>
  <c r="R314" i="5"/>
  <c r="L314" i="5"/>
  <c r="P314" i="5" s="1"/>
  <c r="G314" i="5"/>
  <c r="O313" i="5"/>
  <c r="R312" i="5"/>
  <c r="L312" i="5"/>
  <c r="P312" i="5" s="1"/>
  <c r="G312" i="5"/>
  <c r="R311" i="5"/>
  <c r="L311" i="5"/>
  <c r="P311" i="5" s="1"/>
  <c r="G311" i="5"/>
  <c r="R310" i="5"/>
  <c r="L310" i="5"/>
  <c r="P310" i="5" s="1"/>
  <c r="G310" i="5"/>
  <c r="R309" i="5"/>
  <c r="L309" i="5"/>
  <c r="P309" i="5" s="1"/>
  <c r="G309" i="5"/>
  <c r="R308" i="5"/>
  <c r="O308" i="5"/>
  <c r="L308" i="5"/>
  <c r="P308" i="5" s="1"/>
  <c r="Q308" i="5" s="1"/>
  <c r="G308" i="5"/>
  <c r="R307" i="5"/>
  <c r="O307" i="5"/>
  <c r="L307" i="5"/>
  <c r="P307" i="5" s="1"/>
  <c r="Q307" i="5" s="1"/>
  <c r="G307" i="5"/>
  <c r="R306" i="5"/>
  <c r="O306" i="5"/>
  <c r="L306" i="5"/>
  <c r="P306" i="5" s="1"/>
  <c r="Q306" i="5" s="1"/>
  <c r="G306" i="5"/>
  <c r="R305" i="5"/>
  <c r="L305" i="5"/>
  <c r="P305" i="5" s="1"/>
  <c r="G305" i="5"/>
  <c r="R304" i="5"/>
  <c r="L304" i="5"/>
  <c r="P304" i="5" s="1"/>
  <c r="G304" i="5"/>
  <c r="R303" i="5"/>
  <c r="Q303" i="5"/>
  <c r="O303" i="5"/>
  <c r="L303" i="5"/>
  <c r="G303" i="5"/>
  <c r="R302" i="5"/>
  <c r="L302" i="5"/>
  <c r="P302" i="5" s="1"/>
  <c r="G302" i="5"/>
  <c r="R301" i="5"/>
  <c r="L301" i="5"/>
  <c r="P301" i="5" s="1"/>
  <c r="G301" i="5"/>
  <c r="R300" i="5"/>
  <c r="L300" i="5"/>
  <c r="P300" i="5" s="1"/>
  <c r="G300" i="5"/>
  <c r="R299" i="5"/>
  <c r="L299" i="5"/>
  <c r="P299" i="5" s="1"/>
  <c r="G299" i="5"/>
  <c r="R298" i="5"/>
  <c r="L298" i="5"/>
  <c r="P298" i="5" s="1"/>
  <c r="G298" i="5"/>
  <c r="R297" i="5"/>
  <c r="L297" i="5"/>
  <c r="P297" i="5" s="1"/>
  <c r="G297" i="5"/>
  <c r="R296" i="5"/>
  <c r="L296" i="5"/>
  <c r="P296" i="5" s="1"/>
  <c r="G296" i="5"/>
  <c r="R295" i="5"/>
  <c r="L295" i="5"/>
  <c r="P295" i="5" s="1"/>
  <c r="G295" i="5"/>
  <c r="R294" i="5"/>
  <c r="O294" i="5"/>
  <c r="L294" i="5"/>
  <c r="P294" i="5" s="1"/>
  <c r="Q294" i="5" s="1"/>
  <c r="G294" i="5"/>
  <c r="R293" i="5"/>
  <c r="L293" i="5"/>
  <c r="P293" i="5" s="1"/>
  <c r="G293" i="5"/>
  <c r="R292" i="5"/>
  <c r="L292" i="5"/>
  <c r="P292" i="5" s="1"/>
  <c r="G292" i="5"/>
  <c r="R291" i="5"/>
  <c r="L291" i="5"/>
  <c r="P291" i="5" s="1"/>
  <c r="G291" i="5"/>
  <c r="R290" i="5"/>
  <c r="L290" i="5"/>
  <c r="P290" i="5" s="1"/>
  <c r="G290" i="5"/>
  <c r="R289" i="5"/>
  <c r="L289" i="5"/>
  <c r="P289" i="5" s="1"/>
  <c r="G289" i="5"/>
  <c r="R288" i="5"/>
  <c r="L288" i="5"/>
  <c r="P288" i="5" s="1"/>
  <c r="G288" i="5"/>
  <c r="R287" i="5"/>
  <c r="O287" i="5"/>
  <c r="L287" i="5"/>
  <c r="P287" i="5" s="1"/>
  <c r="Q287" i="5" s="1"/>
  <c r="G287" i="5"/>
  <c r="R286" i="5"/>
  <c r="L286" i="5"/>
  <c r="P286" i="5" s="1"/>
  <c r="G286" i="5"/>
  <c r="R285" i="5"/>
  <c r="L285" i="5"/>
  <c r="P285" i="5" s="1"/>
  <c r="G285" i="5"/>
  <c r="L283" i="5"/>
  <c r="R282" i="5"/>
  <c r="L282" i="5"/>
  <c r="P282" i="5" s="1"/>
  <c r="G282" i="5"/>
  <c r="R281" i="5"/>
  <c r="L281" i="5"/>
  <c r="P281" i="5" s="1"/>
  <c r="G281" i="5"/>
  <c r="R280" i="5"/>
  <c r="L280" i="5"/>
  <c r="P280" i="5" s="1"/>
  <c r="G280" i="5"/>
  <c r="R279" i="5"/>
  <c r="L279" i="5"/>
  <c r="P279" i="5" s="1"/>
  <c r="G279" i="5"/>
  <c r="R278" i="5"/>
  <c r="L278" i="5"/>
  <c r="P278" i="5" s="1"/>
  <c r="G278" i="5"/>
  <c r="R277" i="5"/>
  <c r="L277" i="5"/>
  <c r="P277" i="5" s="1"/>
  <c r="G277" i="5"/>
  <c r="R276" i="5"/>
  <c r="O276" i="5"/>
  <c r="L276" i="5"/>
  <c r="P276" i="5" s="1"/>
  <c r="Q276" i="5" s="1"/>
  <c r="G276" i="5"/>
  <c r="R275" i="5"/>
  <c r="O275" i="5"/>
  <c r="L275" i="5"/>
  <c r="P275" i="5" s="1"/>
  <c r="Q275" i="5" s="1"/>
  <c r="G275" i="5"/>
  <c r="R274" i="5"/>
  <c r="O274" i="5"/>
  <c r="L274" i="5"/>
  <c r="G274" i="5"/>
  <c r="R273" i="5"/>
  <c r="O273" i="5"/>
  <c r="L273" i="5"/>
  <c r="P273" i="5" s="1"/>
  <c r="Q273" i="5" s="1"/>
  <c r="G273" i="5"/>
  <c r="R272" i="5"/>
  <c r="O272" i="5"/>
  <c r="L272" i="5"/>
  <c r="G272" i="5"/>
  <c r="R271" i="5"/>
  <c r="L271" i="5"/>
  <c r="P271" i="5" s="1"/>
  <c r="G271" i="5"/>
  <c r="L270" i="5"/>
  <c r="P270" i="5" s="1"/>
  <c r="G270" i="5"/>
  <c r="R269" i="5"/>
  <c r="O269" i="5"/>
  <c r="L269" i="5"/>
  <c r="G269" i="5"/>
  <c r="R268" i="5"/>
  <c r="L268" i="5"/>
  <c r="P268" i="5" s="1"/>
  <c r="G268" i="5"/>
  <c r="R267" i="5"/>
  <c r="O267" i="5"/>
  <c r="G267" i="5"/>
  <c r="R266" i="5"/>
  <c r="L266" i="5"/>
  <c r="P266" i="5" s="1"/>
  <c r="G266" i="5"/>
  <c r="R265" i="5"/>
  <c r="L265" i="5"/>
  <c r="P265" i="5" s="1"/>
  <c r="G265" i="5"/>
  <c r="R264" i="5"/>
  <c r="L264" i="5"/>
  <c r="P264" i="5" s="1"/>
  <c r="G264" i="5"/>
  <c r="R263" i="5"/>
  <c r="L263" i="5"/>
  <c r="P263" i="5" s="1"/>
  <c r="G263" i="5"/>
  <c r="R262" i="5"/>
  <c r="O262" i="5"/>
  <c r="R261" i="5"/>
  <c r="L261" i="5"/>
  <c r="P261" i="5" s="1"/>
  <c r="G261" i="5"/>
  <c r="R260" i="5"/>
  <c r="O260" i="5"/>
  <c r="L260" i="5"/>
  <c r="R259" i="5"/>
  <c r="O259" i="5"/>
  <c r="L259" i="5"/>
  <c r="R258" i="5"/>
  <c r="O258" i="5"/>
  <c r="L258" i="5"/>
  <c r="R257" i="5"/>
  <c r="L257" i="5"/>
  <c r="P257" i="5" s="1"/>
  <c r="G257" i="5"/>
  <c r="R256" i="5"/>
  <c r="L256" i="5"/>
  <c r="P256" i="5" s="1"/>
  <c r="G256" i="5"/>
  <c r="R255" i="5"/>
  <c r="L255" i="5"/>
  <c r="P255" i="5" s="1"/>
  <c r="G255" i="5"/>
  <c r="R254" i="5"/>
  <c r="L254" i="5"/>
  <c r="P254" i="5" s="1"/>
  <c r="G254" i="5"/>
  <c r="R253" i="5"/>
  <c r="L253" i="5"/>
  <c r="P253" i="5" s="1"/>
  <c r="G253" i="5"/>
  <c r="R252" i="5"/>
  <c r="L252" i="5"/>
  <c r="P252" i="5" s="1"/>
  <c r="G252" i="5"/>
  <c r="R251" i="5"/>
  <c r="L251" i="5"/>
  <c r="P251" i="5" s="1"/>
  <c r="G251" i="5"/>
  <c r="L250" i="5"/>
  <c r="P250" i="5" s="1"/>
  <c r="G250" i="5"/>
  <c r="L249" i="5"/>
  <c r="P249" i="5" s="1"/>
  <c r="G249" i="5"/>
  <c r="R248" i="5"/>
  <c r="L248" i="5"/>
  <c r="P248" i="5" s="1"/>
  <c r="G248" i="5"/>
  <c r="R247" i="5"/>
  <c r="L247" i="5"/>
  <c r="P247" i="5" s="1"/>
  <c r="G247" i="5"/>
  <c r="R246" i="5"/>
  <c r="O246" i="5"/>
  <c r="G246" i="5"/>
  <c r="R245" i="5"/>
  <c r="O245" i="5"/>
  <c r="L245" i="5"/>
  <c r="P245" i="5" s="1"/>
  <c r="Q245" i="5" s="1"/>
  <c r="G245" i="5"/>
  <c r="R244" i="5"/>
  <c r="L244" i="5"/>
  <c r="P244" i="5" s="1"/>
  <c r="G244" i="5"/>
  <c r="R243" i="5"/>
  <c r="L243" i="5"/>
  <c r="P243" i="5" s="1"/>
  <c r="G243" i="5"/>
  <c r="R242" i="5"/>
  <c r="L242" i="5"/>
  <c r="P242" i="5" s="1"/>
  <c r="G242" i="5"/>
  <c r="R241" i="5"/>
  <c r="L241" i="5"/>
  <c r="G241" i="5"/>
  <c r="R240" i="5"/>
  <c r="O240" i="5"/>
  <c r="L240" i="5"/>
  <c r="R239" i="5"/>
  <c r="O239" i="5"/>
  <c r="G239" i="5"/>
  <c r="R238" i="5"/>
  <c r="O238" i="5"/>
  <c r="G238" i="5"/>
  <c r="L237" i="5"/>
  <c r="R236" i="5"/>
  <c r="L236" i="5"/>
  <c r="R235" i="5"/>
  <c r="L235" i="5"/>
  <c r="P235" i="5" s="1"/>
  <c r="G235" i="5"/>
  <c r="R234" i="5"/>
  <c r="O234" i="5"/>
  <c r="L234" i="5"/>
  <c r="P234" i="5" s="1"/>
  <c r="Q234" i="5" s="1"/>
  <c r="G234" i="5"/>
  <c r="R233" i="5"/>
  <c r="O233" i="5"/>
  <c r="L233" i="5"/>
  <c r="P233" i="5" s="1"/>
  <c r="Q233" i="5" s="1"/>
  <c r="G233" i="5"/>
  <c r="R232" i="5"/>
  <c r="L232" i="5"/>
  <c r="G232" i="5"/>
  <c r="R231" i="5"/>
  <c r="L231" i="5"/>
  <c r="P231" i="5" s="1"/>
  <c r="G231" i="5"/>
  <c r="P230" i="5"/>
  <c r="Q230" i="5" s="1"/>
  <c r="O230" i="5"/>
  <c r="G230" i="5"/>
  <c r="R229" i="5"/>
  <c r="L229" i="5"/>
  <c r="P229" i="5" s="1"/>
  <c r="G229" i="5"/>
  <c r="L228" i="5"/>
  <c r="P228" i="5" s="1"/>
  <c r="G228" i="5"/>
  <c r="L227" i="5"/>
  <c r="P227" i="5" s="1"/>
  <c r="G227" i="5"/>
  <c r="R226" i="5"/>
  <c r="L226" i="5"/>
  <c r="P226" i="5" s="1"/>
  <c r="G226" i="5"/>
  <c r="L225" i="5"/>
  <c r="P225" i="5" s="1"/>
  <c r="G225" i="5"/>
  <c r="R224" i="5"/>
  <c r="O224" i="5"/>
  <c r="L224" i="5"/>
  <c r="P224" i="5" s="1"/>
  <c r="Q224" i="5" s="1"/>
  <c r="G224" i="5"/>
  <c r="R223" i="5"/>
  <c r="L223" i="5"/>
  <c r="P223" i="5" s="1"/>
  <c r="G223" i="5"/>
  <c r="R222" i="5"/>
  <c r="L222" i="5"/>
  <c r="P222" i="5" s="1"/>
  <c r="G222" i="5"/>
  <c r="R221" i="5"/>
  <c r="L221" i="5"/>
  <c r="P221" i="5" s="1"/>
  <c r="G221" i="5"/>
  <c r="R220" i="5"/>
  <c r="L220" i="5"/>
  <c r="P220" i="5" s="1"/>
  <c r="G220" i="5"/>
  <c r="R219" i="5"/>
  <c r="L219" i="5"/>
  <c r="P219" i="5" s="1"/>
  <c r="G219" i="5"/>
  <c r="R218" i="5"/>
  <c r="L218" i="5"/>
  <c r="P218" i="5" s="1"/>
  <c r="G218" i="5"/>
  <c r="R217" i="5"/>
  <c r="L217" i="5"/>
  <c r="P217" i="5" s="1"/>
  <c r="G217" i="5"/>
  <c r="R216" i="5"/>
  <c r="O216" i="5"/>
  <c r="L216" i="5"/>
  <c r="P216" i="5" s="1"/>
  <c r="Q216" i="5" s="1"/>
  <c r="G216" i="5"/>
  <c r="R215" i="5"/>
  <c r="O215" i="5"/>
  <c r="L215" i="5"/>
  <c r="P215" i="5" s="1"/>
  <c r="Q215" i="5" s="1"/>
  <c r="G215" i="5"/>
  <c r="R214" i="5"/>
  <c r="O214" i="5"/>
  <c r="L214" i="5"/>
  <c r="P214" i="5" s="1"/>
  <c r="Q214" i="5" s="1"/>
  <c r="G214" i="5"/>
  <c r="R213" i="5"/>
  <c r="O213" i="5"/>
  <c r="L213" i="5"/>
  <c r="P213" i="5" s="1"/>
  <c r="Q213" i="5" s="1"/>
  <c r="G213" i="5"/>
  <c r="R212" i="5"/>
  <c r="O212" i="5"/>
  <c r="L212" i="5"/>
  <c r="P212" i="5" s="1"/>
  <c r="Q212" i="5" s="1"/>
  <c r="G212" i="5"/>
  <c r="R211" i="5"/>
  <c r="L211" i="5"/>
  <c r="P211" i="5" s="1"/>
  <c r="G211" i="5"/>
  <c r="R210" i="5"/>
  <c r="Q210" i="5"/>
  <c r="O210" i="5"/>
  <c r="L210" i="5"/>
  <c r="G210" i="5"/>
  <c r="R209" i="5"/>
  <c r="L209" i="5"/>
  <c r="P209" i="5" s="1"/>
  <c r="Q209" i="5" s="1"/>
  <c r="G209" i="5"/>
  <c r="R208" i="5"/>
  <c r="L208" i="5"/>
  <c r="P208" i="5" s="1"/>
  <c r="G208" i="5"/>
  <c r="R207" i="5"/>
  <c r="O207" i="5"/>
  <c r="L207" i="5"/>
  <c r="P207" i="5" s="1"/>
  <c r="Q207" i="5" s="1"/>
  <c r="G207" i="5"/>
  <c r="R206" i="5"/>
  <c r="L206" i="5"/>
  <c r="P206" i="5" s="1"/>
  <c r="G206" i="5"/>
  <c r="R205" i="5"/>
  <c r="L205" i="5"/>
  <c r="P205" i="5" s="1"/>
  <c r="G205" i="5"/>
  <c r="R204" i="5"/>
  <c r="Q204" i="5"/>
  <c r="O204" i="5"/>
  <c r="L204" i="5"/>
  <c r="G204" i="5"/>
  <c r="R203" i="5"/>
  <c r="L203" i="5"/>
  <c r="G203" i="5"/>
  <c r="R202" i="5"/>
  <c r="L202" i="5"/>
  <c r="P202" i="5" s="1"/>
  <c r="G202" i="5"/>
  <c r="R201" i="5"/>
  <c r="L201" i="5"/>
  <c r="P201" i="5" s="1"/>
  <c r="G201" i="5"/>
  <c r="R200" i="5"/>
  <c r="O200" i="5"/>
  <c r="L200" i="5"/>
  <c r="P200" i="5" s="1"/>
  <c r="Q200" i="5" s="1"/>
  <c r="G200" i="5"/>
  <c r="R199" i="5"/>
  <c r="L199" i="5"/>
  <c r="P199" i="5" s="1"/>
  <c r="G199" i="5"/>
  <c r="R198" i="5"/>
  <c r="O198" i="5"/>
  <c r="R197" i="5"/>
  <c r="O197" i="5"/>
  <c r="L197" i="5"/>
  <c r="P197" i="5" s="1"/>
  <c r="Q197" i="5" s="1"/>
  <c r="G197" i="5"/>
  <c r="R196" i="5"/>
  <c r="L196" i="5"/>
  <c r="P196" i="5" s="1"/>
  <c r="G196" i="5"/>
  <c r="R195" i="5"/>
  <c r="L195" i="5"/>
  <c r="P195" i="5" s="1"/>
  <c r="G195" i="5"/>
  <c r="R194" i="5"/>
  <c r="O194" i="5"/>
  <c r="L194" i="5"/>
  <c r="P194" i="5" s="1"/>
  <c r="Q194" i="5" s="1"/>
  <c r="G194" i="5"/>
  <c r="R193" i="5"/>
  <c r="O193" i="5"/>
  <c r="L193" i="5"/>
  <c r="P193" i="5" s="1"/>
  <c r="Q193" i="5" s="1"/>
  <c r="G193" i="5"/>
  <c r="R192" i="5"/>
  <c r="O192" i="5"/>
  <c r="L192" i="5"/>
  <c r="P192" i="5" s="1"/>
  <c r="Q192" i="5" s="1"/>
  <c r="G192" i="5"/>
  <c r="R191" i="5"/>
  <c r="L191" i="5"/>
  <c r="P191" i="5" s="1"/>
  <c r="G191" i="5"/>
  <c r="R190" i="5"/>
  <c r="O190" i="5"/>
  <c r="L190" i="5"/>
  <c r="P190" i="5" s="1"/>
  <c r="Q190" i="5" s="1"/>
  <c r="G190" i="5"/>
  <c r="R189" i="5"/>
  <c r="L189" i="5"/>
  <c r="P189" i="5" s="1"/>
  <c r="G189" i="5"/>
  <c r="R188" i="5"/>
  <c r="L188" i="5"/>
  <c r="P188" i="5" s="1"/>
  <c r="G188" i="5"/>
  <c r="R187" i="5"/>
  <c r="Q187" i="5"/>
  <c r="O187" i="5"/>
  <c r="L187" i="5"/>
  <c r="G187" i="5"/>
  <c r="R186" i="5"/>
  <c r="L186" i="5"/>
  <c r="P186" i="5" s="1"/>
  <c r="G186" i="5"/>
  <c r="R185" i="5"/>
  <c r="L185" i="5"/>
  <c r="P185" i="5" s="1"/>
  <c r="G185" i="5"/>
  <c r="R184" i="5"/>
  <c r="O184" i="5"/>
  <c r="L184" i="5"/>
  <c r="P184" i="5" s="1"/>
  <c r="Q184" i="5" s="1"/>
  <c r="G184" i="5"/>
  <c r="R183" i="5"/>
  <c r="L183" i="5"/>
  <c r="P183" i="5" s="1"/>
  <c r="G183" i="5"/>
  <c r="R182" i="5"/>
  <c r="L182" i="5"/>
  <c r="P182" i="5" s="1"/>
  <c r="G182" i="5"/>
  <c r="R181" i="5"/>
  <c r="O181" i="5"/>
  <c r="L181" i="5"/>
  <c r="P181" i="5" s="1"/>
  <c r="Q181" i="5" s="1"/>
  <c r="G181" i="5"/>
  <c r="R180" i="5"/>
  <c r="L180" i="5"/>
  <c r="P180" i="5" s="1"/>
  <c r="G180" i="5"/>
  <c r="R179" i="5"/>
  <c r="L179" i="5"/>
  <c r="P179" i="5" s="1"/>
  <c r="G179" i="5"/>
  <c r="R178" i="5"/>
  <c r="O178" i="5"/>
  <c r="L178" i="5"/>
  <c r="P178" i="5" s="1"/>
  <c r="Q178" i="5" s="1"/>
  <c r="G178" i="5"/>
  <c r="R177" i="5"/>
  <c r="L177" i="5"/>
  <c r="G177" i="5"/>
  <c r="R176" i="5"/>
  <c r="Q176" i="5"/>
  <c r="O176" i="5"/>
  <c r="L176" i="5"/>
  <c r="G176" i="5"/>
  <c r="R175" i="5"/>
  <c r="O175" i="5"/>
  <c r="L175" i="5"/>
  <c r="P175" i="5" s="1"/>
  <c r="Q175" i="5" s="1"/>
  <c r="R174" i="5"/>
  <c r="L174" i="5"/>
  <c r="P174" i="5" s="1"/>
  <c r="G174" i="5"/>
  <c r="R173" i="5"/>
  <c r="L173" i="5"/>
  <c r="P173" i="5" s="1"/>
  <c r="G173" i="5"/>
  <c r="R172" i="5"/>
  <c r="O172" i="5"/>
  <c r="L172" i="5"/>
  <c r="P172" i="5" s="1"/>
  <c r="Q172" i="5" s="1"/>
  <c r="G172" i="5"/>
  <c r="R171" i="5"/>
  <c r="L171" i="5"/>
  <c r="P171" i="5" s="1"/>
  <c r="G171" i="5"/>
  <c r="R170" i="5"/>
  <c r="L170" i="5"/>
  <c r="P170" i="5" s="1"/>
  <c r="G170" i="5"/>
  <c r="R169" i="5"/>
  <c r="L169" i="5"/>
  <c r="P169" i="5" s="1"/>
  <c r="G169" i="5"/>
  <c r="R168" i="5"/>
  <c r="O168" i="5"/>
  <c r="L168" i="5"/>
  <c r="P168" i="5" s="1"/>
  <c r="Q168" i="5" s="1"/>
  <c r="G168" i="5"/>
  <c r="R167" i="5"/>
  <c r="L167" i="5"/>
  <c r="P167" i="5" s="1"/>
  <c r="G167" i="5"/>
  <c r="R166" i="5"/>
  <c r="O166" i="5"/>
  <c r="L166" i="5"/>
  <c r="P166" i="5" s="1"/>
  <c r="Q166" i="5" s="1"/>
  <c r="G166" i="5"/>
  <c r="R165" i="5"/>
  <c r="L165" i="5"/>
  <c r="G165" i="5"/>
  <c r="R164" i="5"/>
  <c r="L164" i="5"/>
  <c r="P164" i="5" s="1"/>
  <c r="G164" i="5"/>
  <c r="R163" i="5"/>
  <c r="O163" i="5"/>
  <c r="L163" i="5"/>
  <c r="P163" i="5" s="1"/>
  <c r="Q163" i="5" s="1"/>
  <c r="G163" i="5"/>
  <c r="R162" i="5"/>
  <c r="O162" i="5"/>
  <c r="L162" i="5"/>
  <c r="P162" i="5" s="1"/>
  <c r="Q162" i="5" s="1"/>
  <c r="G162" i="5"/>
  <c r="R161" i="5"/>
  <c r="Q161" i="5"/>
  <c r="O161" i="5"/>
  <c r="L161" i="5"/>
  <c r="G161" i="5"/>
  <c r="R160" i="5"/>
  <c r="L160" i="5"/>
  <c r="P160" i="5" s="1"/>
  <c r="G160" i="5"/>
  <c r="R159" i="5"/>
  <c r="O159" i="5"/>
  <c r="L159" i="5"/>
  <c r="P159" i="5" s="1"/>
  <c r="Q159" i="5" s="1"/>
  <c r="G159" i="5"/>
  <c r="R158" i="5"/>
  <c r="L158" i="5"/>
  <c r="P158" i="5" s="1"/>
  <c r="G158" i="5"/>
  <c r="R157" i="5"/>
  <c r="L157" i="5"/>
  <c r="P157" i="5" s="1"/>
  <c r="G157" i="5"/>
  <c r="R156" i="5"/>
  <c r="L156" i="5"/>
  <c r="P156" i="5" s="1"/>
  <c r="G156" i="5"/>
  <c r="R155" i="5"/>
  <c r="L155" i="5"/>
  <c r="P155" i="5" s="1"/>
  <c r="G155" i="5"/>
  <c r="R154" i="5"/>
  <c r="O154" i="5"/>
  <c r="L154" i="5"/>
  <c r="P154" i="5" s="1"/>
  <c r="Q154" i="5" s="1"/>
  <c r="G154" i="5"/>
  <c r="R153" i="5"/>
  <c r="O153" i="5"/>
  <c r="L153" i="5"/>
  <c r="P153" i="5" s="1"/>
  <c r="Q153" i="5" s="1"/>
  <c r="G153" i="5"/>
  <c r="R152" i="5"/>
  <c r="O152" i="5"/>
  <c r="L152" i="5"/>
  <c r="P152" i="5" s="1"/>
  <c r="Q152" i="5" s="1"/>
  <c r="G152" i="5"/>
  <c r="R151" i="5"/>
  <c r="L151" i="5"/>
  <c r="P151" i="5" s="1"/>
  <c r="G151" i="5"/>
  <c r="R150" i="5"/>
  <c r="L150" i="5"/>
  <c r="P150" i="5" s="1"/>
  <c r="G150" i="5"/>
  <c r="R149" i="5"/>
  <c r="L149" i="5"/>
  <c r="P149" i="5" s="1"/>
  <c r="G149" i="5"/>
  <c r="R148" i="5"/>
  <c r="L148" i="5"/>
  <c r="P148" i="5" s="1"/>
  <c r="G148" i="5"/>
  <c r="R147" i="5"/>
  <c r="L147" i="5"/>
  <c r="P147" i="5" s="1"/>
  <c r="G147" i="5"/>
  <c r="R146" i="5"/>
  <c r="L146" i="5"/>
  <c r="P146" i="5" s="1"/>
  <c r="G146" i="5"/>
  <c r="R145" i="5"/>
  <c r="L145" i="5"/>
  <c r="P145" i="5" s="1"/>
  <c r="G145" i="5"/>
  <c r="R144" i="5"/>
  <c r="L144" i="5"/>
  <c r="P144" i="5" s="1"/>
  <c r="G144" i="5"/>
  <c r="R143" i="5"/>
  <c r="L143" i="5"/>
  <c r="P143" i="5" s="1"/>
  <c r="G143" i="5"/>
  <c r="R142" i="5"/>
  <c r="L142" i="5"/>
  <c r="P142" i="5" s="1"/>
  <c r="G142" i="5"/>
  <c r="R141" i="5"/>
  <c r="L141" i="5"/>
  <c r="P141" i="5" s="1"/>
  <c r="G141" i="5"/>
  <c r="R140" i="5"/>
  <c r="L140" i="5"/>
  <c r="P140" i="5" s="1"/>
  <c r="G140" i="5"/>
  <c r="R139" i="5"/>
  <c r="O139" i="5"/>
  <c r="L139" i="5"/>
  <c r="P139" i="5" s="1"/>
  <c r="Q139" i="5" s="1"/>
  <c r="G139" i="5"/>
  <c r="R138" i="5"/>
  <c r="L138" i="5"/>
  <c r="P138" i="5" s="1"/>
  <c r="G138" i="5"/>
  <c r="R137" i="5"/>
  <c r="L137" i="5"/>
  <c r="P137" i="5" s="1"/>
  <c r="G137" i="5"/>
  <c r="R136" i="5"/>
  <c r="L136" i="5"/>
  <c r="P136" i="5" s="1"/>
  <c r="G136" i="5"/>
  <c r="R135" i="5"/>
  <c r="L135" i="5"/>
  <c r="P135" i="5" s="1"/>
  <c r="G135" i="5"/>
  <c r="R134" i="5"/>
  <c r="L134" i="5"/>
  <c r="P134" i="5" s="1"/>
  <c r="G134" i="5"/>
  <c r="R133" i="5"/>
  <c r="L133" i="5"/>
  <c r="P133" i="5" s="1"/>
  <c r="G133" i="5"/>
  <c r="R132" i="5"/>
  <c r="L132" i="5"/>
  <c r="P132" i="5" s="1"/>
  <c r="G132" i="5"/>
  <c r="R131" i="5"/>
  <c r="Q131" i="5"/>
  <c r="O131" i="5"/>
  <c r="L131" i="5"/>
  <c r="G131" i="5"/>
  <c r="R130" i="5"/>
  <c r="O130" i="5"/>
  <c r="L130" i="5"/>
  <c r="G130" i="5"/>
  <c r="R129" i="5"/>
  <c r="L129" i="5"/>
  <c r="R128" i="5"/>
  <c r="L128" i="5"/>
  <c r="P128" i="5" s="1"/>
  <c r="G128" i="5"/>
  <c r="R127" i="5"/>
  <c r="L127" i="5"/>
  <c r="P127" i="5" s="1"/>
  <c r="G127" i="5"/>
  <c r="R126" i="5"/>
  <c r="O126" i="5"/>
  <c r="L126" i="5"/>
  <c r="P126" i="5" s="1"/>
  <c r="Q126" i="5" s="1"/>
  <c r="G126" i="5"/>
  <c r="R125" i="5"/>
  <c r="O125" i="5"/>
  <c r="L125" i="5"/>
  <c r="P125" i="5" s="1"/>
  <c r="Q125" i="5" s="1"/>
  <c r="G125" i="5"/>
  <c r="R124" i="5"/>
  <c r="O124" i="5"/>
  <c r="L124" i="5"/>
  <c r="P124" i="5" s="1"/>
  <c r="Q124" i="5" s="1"/>
  <c r="G124" i="5"/>
  <c r="R123" i="5"/>
  <c r="L123" i="5"/>
  <c r="P123" i="5" s="1"/>
  <c r="O123" i="5" s="1"/>
  <c r="G123" i="5"/>
  <c r="R122" i="5"/>
  <c r="O122" i="5"/>
  <c r="L122" i="5"/>
  <c r="P122" i="5" s="1"/>
  <c r="Q122" i="5" s="1"/>
  <c r="G122" i="5"/>
  <c r="R121" i="5"/>
  <c r="O121" i="5"/>
  <c r="L121" i="5"/>
  <c r="P121" i="5" s="1"/>
  <c r="Q121" i="5" s="1"/>
  <c r="G121" i="5"/>
  <c r="R120" i="5"/>
  <c r="L120" i="5"/>
  <c r="P120" i="5" s="1"/>
  <c r="G120" i="5"/>
  <c r="R119" i="5"/>
  <c r="L119" i="5"/>
  <c r="P119" i="5" s="1"/>
  <c r="G119" i="5"/>
  <c r="R118" i="5"/>
  <c r="L118" i="5"/>
  <c r="P118" i="5" s="1"/>
  <c r="G118" i="5"/>
  <c r="R117" i="5"/>
  <c r="Q117" i="5"/>
  <c r="O117" i="5"/>
  <c r="L117" i="5"/>
  <c r="G117" i="5"/>
  <c r="R116" i="5"/>
  <c r="O116" i="5"/>
  <c r="L116" i="5"/>
  <c r="P116" i="5" s="1"/>
  <c r="Q116" i="5" s="1"/>
  <c r="G116" i="5"/>
  <c r="R115" i="5"/>
  <c r="O115" i="5"/>
  <c r="L115" i="5"/>
  <c r="P115" i="5" s="1"/>
  <c r="Q115" i="5" s="1"/>
  <c r="G115" i="5"/>
  <c r="R114" i="5"/>
  <c r="L114" i="5"/>
  <c r="P114" i="5" s="1"/>
  <c r="G114" i="5"/>
  <c r="R113" i="5"/>
  <c r="L113" i="5"/>
  <c r="P113" i="5" s="1"/>
  <c r="Q113" i="5" s="1"/>
  <c r="G113" i="5"/>
  <c r="R112" i="5"/>
  <c r="O112" i="5"/>
  <c r="L112" i="5"/>
  <c r="P112" i="5" s="1"/>
  <c r="Q112" i="5" s="1"/>
  <c r="G112" i="5"/>
  <c r="R111" i="5"/>
  <c r="O111" i="5"/>
  <c r="L111" i="5"/>
  <c r="P111" i="5" s="1"/>
  <c r="Q111" i="5" s="1"/>
  <c r="G111" i="5"/>
  <c r="R110" i="5"/>
  <c r="L110" i="5"/>
  <c r="P110" i="5" s="1"/>
  <c r="G110" i="5"/>
  <c r="R109" i="5"/>
  <c r="L109" i="5"/>
  <c r="P109" i="5" s="1"/>
  <c r="G109" i="5"/>
  <c r="R108" i="5"/>
  <c r="L108" i="5"/>
  <c r="P108" i="5" s="1"/>
  <c r="G108" i="5"/>
  <c r="R107" i="5"/>
  <c r="L107" i="5"/>
  <c r="P107" i="5" s="1"/>
  <c r="G107" i="5"/>
  <c r="R106" i="5"/>
  <c r="L106" i="5"/>
  <c r="P106" i="5" s="1"/>
  <c r="G106" i="5"/>
  <c r="R105" i="5"/>
  <c r="L105" i="5"/>
  <c r="P105" i="5" s="1"/>
  <c r="G105" i="5"/>
  <c r="R104" i="5"/>
  <c r="L104" i="5"/>
  <c r="P104" i="5" s="1"/>
  <c r="G104" i="5"/>
  <c r="R103" i="5"/>
  <c r="L103" i="5"/>
  <c r="P103" i="5" s="1"/>
  <c r="G103" i="5"/>
  <c r="R102" i="5"/>
  <c r="O102" i="5"/>
  <c r="L102" i="5"/>
  <c r="P102" i="5" s="1"/>
  <c r="Q102" i="5" s="1"/>
  <c r="G102" i="5"/>
  <c r="R101" i="5"/>
  <c r="L101" i="5"/>
  <c r="P101" i="5" s="1"/>
  <c r="G101" i="5"/>
  <c r="R100" i="5"/>
  <c r="L100" i="5"/>
  <c r="P100" i="5" s="1"/>
  <c r="G100" i="5"/>
  <c r="R99" i="5"/>
  <c r="L99" i="5"/>
  <c r="P99" i="5" s="1"/>
  <c r="G99" i="5"/>
  <c r="R98" i="5"/>
  <c r="L98" i="5"/>
  <c r="P98" i="5" s="1"/>
  <c r="G98" i="5"/>
  <c r="R97" i="5"/>
  <c r="L97" i="5"/>
  <c r="P97" i="5" s="1"/>
  <c r="G97" i="5"/>
  <c r="R96" i="5"/>
  <c r="L96" i="5"/>
  <c r="P96" i="5" s="1"/>
  <c r="G96" i="5"/>
  <c r="R95" i="5"/>
  <c r="L95" i="5"/>
  <c r="P95" i="5" s="1"/>
  <c r="G95" i="5"/>
  <c r="R94" i="5"/>
  <c r="L94" i="5"/>
  <c r="P94" i="5" s="1"/>
  <c r="G94" i="5"/>
  <c r="R93" i="5"/>
  <c r="L93" i="5"/>
  <c r="P93" i="5" s="1"/>
  <c r="G93" i="5"/>
  <c r="R92" i="5"/>
  <c r="O92" i="5"/>
  <c r="L92" i="5"/>
  <c r="P92" i="5" s="1"/>
  <c r="Q92" i="5" s="1"/>
  <c r="G92" i="5"/>
  <c r="R91" i="5"/>
  <c r="O91" i="5"/>
  <c r="L91" i="5"/>
  <c r="P91" i="5" s="1"/>
  <c r="Q91" i="5" s="1"/>
  <c r="G91" i="5"/>
  <c r="R90" i="5"/>
  <c r="O90" i="5"/>
  <c r="L90" i="5"/>
  <c r="G90" i="5"/>
  <c r="R89" i="5"/>
  <c r="O89" i="5"/>
  <c r="L89" i="5"/>
  <c r="G89" i="5"/>
  <c r="R88" i="5"/>
  <c r="O88" i="5"/>
  <c r="L88" i="5"/>
  <c r="P88" i="5" s="1"/>
  <c r="Q88" i="5" s="1"/>
  <c r="G88" i="5"/>
  <c r="R87" i="5"/>
  <c r="L87" i="5"/>
  <c r="P87" i="5" s="1"/>
  <c r="G87" i="5"/>
  <c r="R86" i="5"/>
  <c r="L86" i="5"/>
  <c r="P86" i="5" s="1"/>
  <c r="G86" i="5"/>
  <c r="R85" i="5"/>
  <c r="L85" i="5"/>
  <c r="P85" i="5" s="1"/>
  <c r="G85" i="5"/>
  <c r="R84" i="5"/>
  <c r="L84" i="5"/>
  <c r="P84" i="5" s="1"/>
  <c r="Q84" i="5" s="1"/>
  <c r="G84" i="5"/>
  <c r="R83" i="5"/>
  <c r="L83" i="5"/>
  <c r="P83" i="5" s="1"/>
  <c r="G83" i="5"/>
  <c r="R82" i="5"/>
  <c r="L82" i="5"/>
  <c r="P82" i="5" s="1"/>
  <c r="G82" i="5"/>
  <c r="R81" i="5"/>
  <c r="L81" i="5"/>
  <c r="P81" i="5" s="1"/>
  <c r="G81" i="5"/>
  <c r="R80" i="5"/>
  <c r="L80" i="5"/>
  <c r="P80" i="5" s="1"/>
  <c r="G80" i="5"/>
  <c r="R79" i="5"/>
  <c r="L79" i="5"/>
  <c r="P79" i="5" s="1"/>
  <c r="G79" i="5"/>
  <c r="R78" i="5"/>
  <c r="L78" i="5"/>
  <c r="P78" i="5" s="1"/>
  <c r="G78" i="5"/>
  <c r="R77" i="5"/>
  <c r="L77" i="5"/>
  <c r="P77" i="5" s="1"/>
  <c r="G77" i="5"/>
  <c r="R76" i="5"/>
  <c r="L76" i="5"/>
  <c r="P76" i="5" s="1"/>
  <c r="G76" i="5"/>
  <c r="R75" i="5"/>
  <c r="L75" i="5"/>
  <c r="P75" i="5" s="1"/>
  <c r="G75" i="5"/>
  <c r="R74" i="5"/>
  <c r="L74" i="5"/>
  <c r="P74" i="5" s="1"/>
  <c r="G74" i="5"/>
  <c r="R73" i="5"/>
  <c r="L73" i="5"/>
  <c r="P73" i="5" s="1"/>
  <c r="G73" i="5"/>
  <c r="R72" i="5"/>
  <c r="L72" i="5"/>
  <c r="P72" i="5" s="1"/>
  <c r="G72" i="5"/>
  <c r="R71" i="5"/>
  <c r="L71" i="5"/>
  <c r="P71" i="5" s="1"/>
  <c r="G71" i="5"/>
  <c r="R70" i="5"/>
  <c r="L70" i="5"/>
  <c r="P70" i="5" s="1"/>
  <c r="G70" i="5"/>
  <c r="R69" i="5"/>
  <c r="L69" i="5"/>
  <c r="P69" i="5" s="1"/>
  <c r="G69" i="5"/>
  <c r="R68" i="5"/>
  <c r="L68" i="5"/>
  <c r="P68" i="5" s="1"/>
  <c r="G68" i="5"/>
  <c r="R67" i="5"/>
  <c r="L67" i="5"/>
  <c r="P67" i="5" s="1"/>
  <c r="G67" i="5"/>
  <c r="R66" i="5"/>
  <c r="L66" i="5"/>
  <c r="P66" i="5" s="1"/>
  <c r="G66" i="5"/>
  <c r="R65" i="5"/>
  <c r="L65" i="5"/>
  <c r="P65" i="5" s="1"/>
  <c r="G65" i="5"/>
  <c r="R64" i="5"/>
  <c r="L64" i="5"/>
  <c r="P64" i="5" s="1"/>
  <c r="G64" i="5"/>
  <c r="R63" i="5"/>
  <c r="L63" i="5"/>
  <c r="P63" i="5" s="1"/>
  <c r="G63" i="5"/>
  <c r="R62" i="5"/>
  <c r="L62" i="5"/>
  <c r="P62" i="5" s="1"/>
  <c r="G62" i="5"/>
  <c r="R61" i="5"/>
  <c r="L61" i="5"/>
  <c r="P61" i="5" s="1"/>
  <c r="G61" i="5"/>
  <c r="R60" i="5"/>
  <c r="L60" i="5"/>
  <c r="P60" i="5" s="1"/>
  <c r="G60" i="5"/>
  <c r="R59" i="5"/>
  <c r="L59" i="5"/>
  <c r="P59" i="5" s="1"/>
  <c r="G59" i="5"/>
  <c r="R58" i="5"/>
  <c r="L58" i="5"/>
  <c r="P58" i="5" s="1"/>
  <c r="G58" i="5"/>
  <c r="R57" i="5"/>
  <c r="L57" i="5"/>
  <c r="P57" i="5" s="1"/>
  <c r="G57" i="5"/>
  <c r="R56" i="5"/>
  <c r="L56" i="5"/>
  <c r="P56" i="5" s="1"/>
  <c r="G56" i="5"/>
  <c r="R55" i="5"/>
  <c r="L55" i="5"/>
  <c r="P55" i="5" s="1"/>
  <c r="G55" i="5"/>
  <c r="R54" i="5"/>
  <c r="L54" i="5"/>
  <c r="P54" i="5" s="1"/>
  <c r="G54" i="5"/>
  <c r="R53" i="5"/>
  <c r="L53" i="5"/>
  <c r="P53" i="5" s="1"/>
  <c r="G53" i="5"/>
  <c r="R52" i="5"/>
  <c r="L52" i="5"/>
  <c r="P52" i="5" s="1"/>
  <c r="G52" i="5"/>
  <c r="R51" i="5"/>
  <c r="L51" i="5"/>
  <c r="P51" i="5" s="1"/>
  <c r="G51" i="5"/>
  <c r="R50" i="5"/>
  <c r="L50" i="5"/>
  <c r="P50" i="5" s="1"/>
  <c r="G50" i="5"/>
  <c r="R49" i="5"/>
  <c r="L49" i="5"/>
  <c r="P49" i="5" s="1"/>
  <c r="G49" i="5"/>
  <c r="R48" i="5"/>
  <c r="L48" i="5"/>
  <c r="P48" i="5" s="1"/>
  <c r="G48" i="5"/>
  <c r="R47" i="5"/>
  <c r="L47" i="5"/>
  <c r="P47" i="5" s="1"/>
  <c r="G47" i="5"/>
  <c r="R46" i="5"/>
  <c r="L46" i="5"/>
  <c r="P46" i="5" s="1"/>
  <c r="G46" i="5"/>
  <c r="R45" i="5"/>
  <c r="L45" i="5"/>
  <c r="P45" i="5" s="1"/>
  <c r="G45" i="5"/>
  <c r="R44" i="5"/>
  <c r="L44" i="5"/>
  <c r="P44" i="5" s="1"/>
  <c r="G44" i="5"/>
  <c r="R43" i="5"/>
  <c r="L43" i="5"/>
  <c r="P43" i="5" s="1"/>
  <c r="G43" i="5"/>
  <c r="R42" i="5"/>
  <c r="L42" i="5"/>
  <c r="P42" i="5" s="1"/>
  <c r="G42" i="5"/>
  <c r="R41" i="5"/>
  <c r="L41" i="5"/>
  <c r="P41" i="5" s="1"/>
  <c r="G41" i="5"/>
  <c r="R40" i="5"/>
  <c r="L40" i="5"/>
  <c r="P40" i="5" s="1"/>
  <c r="G40" i="5"/>
  <c r="R39" i="5"/>
  <c r="L39" i="5"/>
  <c r="P39" i="5" s="1"/>
  <c r="G39" i="5"/>
  <c r="R38" i="5"/>
  <c r="L38" i="5"/>
  <c r="P38" i="5" s="1"/>
  <c r="G38" i="5"/>
  <c r="R37" i="5"/>
  <c r="L37" i="5"/>
  <c r="P37" i="5" s="1"/>
  <c r="G37" i="5"/>
  <c r="R36" i="5"/>
  <c r="L36" i="5"/>
  <c r="P36" i="5" s="1"/>
  <c r="G36" i="5"/>
  <c r="R35" i="5"/>
  <c r="L35" i="5"/>
  <c r="P35" i="5" s="1"/>
  <c r="G35" i="5"/>
  <c r="R34" i="5"/>
  <c r="L34" i="5"/>
  <c r="P34" i="5" s="1"/>
  <c r="G34" i="5"/>
  <c r="R33" i="5"/>
  <c r="L33" i="5"/>
  <c r="P33" i="5" s="1"/>
  <c r="G33" i="5"/>
  <c r="R32" i="5"/>
  <c r="L32" i="5"/>
  <c r="P32" i="5" s="1"/>
  <c r="G32" i="5"/>
  <c r="R31" i="5"/>
  <c r="L31" i="5"/>
  <c r="P31" i="5" s="1"/>
  <c r="G31" i="5"/>
  <c r="R30" i="5"/>
  <c r="L30" i="5"/>
  <c r="P30" i="5" s="1"/>
  <c r="G30" i="5"/>
  <c r="R29" i="5"/>
  <c r="L29" i="5"/>
  <c r="P29" i="5" s="1"/>
  <c r="G29" i="5"/>
  <c r="R28" i="5"/>
  <c r="L28" i="5"/>
  <c r="P28" i="5" s="1"/>
  <c r="G28" i="5"/>
  <c r="R27" i="5"/>
  <c r="L27" i="5"/>
  <c r="P27" i="5" s="1"/>
  <c r="G27" i="5"/>
  <c r="R26" i="5"/>
  <c r="L26" i="5"/>
  <c r="P26" i="5" s="1"/>
  <c r="G26" i="5"/>
  <c r="R25" i="5"/>
  <c r="P25" i="5"/>
  <c r="Q25" i="5" s="1"/>
  <c r="O25" i="5"/>
  <c r="G25" i="5"/>
  <c r="R24" i="5"/>
  <c r="P24" i="5"/>
  <c r="Q24" i="5" s="1"/>
  <c r="O24" i="5"/>
  <c r="G24" i="5"/>
  <c r="R23" i="5"/>
  <c r="P23" i="5"/>
  <c r="Q23" i="5" s="1"/>
  <c r="O23" i="5"/>
  <c r="G23" i="5"/>
  <c r="R22" i="5"/>
  <c r="O22" i="5"/>
  <c r="L22" i="5"/>
  <c r="G22" i="5"/>
  <c r="R21" i="5"/>
  <c r="O21" i="5"/>
  <c r="L21" i="5"/>
  <c r="G21" i="5"/>
  <c r="R20" i="5"/>
  <c r="O20" i="5"/>
  <c r="L20" i="5"/>
  <c r="G20" i="5"/>
  <c r="R19" i="5"/>
  <c r="O19" i="5"/>
  <c r="L19" i="5"/>
  <c r="G19" i="5"/>
  <c r="R18" i="5"/>
  <c r="O18" i="5"/>
  <c r="L18" i="5"/>
  <c r="G18" i="5"/>
  <c r="R17" i="5"/>
  <c r="O17" i="5"/>
  <c r="L17" i="5"/>
  <c r="G17" i="5"/>
  <c r="R16" i="5"/>
  <c r="O16" i="5"/>
  <c r="L16" i="5"/>
  <c r="G16" i="5"/>
  <c r="R15" i="5"/>
  <c r="O15" i="5"/>
  <c r="L15" i="5"/>
  <c r="G15" i="5"/>
  <c r="R14" i="5"/>
  <c r="O14" i="5"/>
  <c r="L14" i="5"/>
  <c r="G14" i="5"/>
  <c r="R13" i="5"/>
  <c r="O13" i="5"/>
  <c r="L13" i="5"/>
  <c r="G13" i="5"/>
  <c r="R12" i="5"/>
  <c r="O12" i="5"/>
  <c r="L12" i="5"/>
  <c r="P12" i="5" s="1"/>
  <c r="Q12" i="5" s="1"/>
  <c r="G12" i="5"/>
  <c r="R11" i="5"/>
  <c r="L11" i="5"/>
  <c r="P11" i="5" s="1"/>
  <c r="G11" i="5"/>
  <c r="R10" i="5"/>
  <c r="L10" i="5"/>
  <c r="P10" i="5" s="1"/>
  <c r="G10" i="5"/>
  <c r="R9" i="5"/>
  <c r="L9" i="5"/>
  <c r="P9" i="5" s="1"/>
  <c r="R8" i="5"/>
  <c r="L8" i="5"/>
  <c r="P8" i="5" s="1"/>
  <c r="G8" i="5"/>
  <c r="R7" i="5"/>
  <c r="L7" i="5"/>
  <c r="P7" i="5" s="1"/>
  <c r="G7" i="5"/>
  <c r="R6" i="5"/>
  <c r="L6" i="5"/>
  <c r="P6" i="5" s="1"/>
  <c r="G6" i="5"/>
  <c r="R5" i="5"/>
  <c r="L5" i="5"/>
  <c r="P5" i="5" s="1"/>
  <c r="G5" i="5"/>
  <c r="R4" i="5"/>
  <c r="L4" i="5"/>
  <c r="P4" i="5" s="1"/>
  <c r="G4" i="5"/>
  <c r="R3" i="5"/>
  <c r="L3" i="5"/>
  <c r="P3" i="5" s="1"/>
  <c r="G3" i="5"/>
  <c r="R2" i="5"/>
  <c r="L2" i="5"/>
  <c r="P2" i="5" s="1"/>
  <c r="G2" i="5"/>
  <c r="L6" i="4"/>
  <c r="L5" i="4"/>
  <c r="L4" i="4"/>
  <c r="L3" i="4"/>
  <c r="N542" i="1" l="1"/>
  <c r="N64" i="1"/>
  <c r="N51" i="1"/>
  <c r="N29" i="1"/>
  <c r="N16" i="1"/>
  <c r="N85" i="1"/>
  <c r="N96" i="1"/>
  <c r="N431" i="1"/>
  <c r="N419" i="1"/>
  <c r="N534" i="1"/>
  <c r="N803" i="1"/>
  <c r="N834" i="1"/>
  <c r="N102" i="1"/>
  <c r="N216" i="1"/>
  <c r="N533" i="1"/>
  <c r="N2" i="1"/>
  <c r="N409" i="1"/>
  <c r="N535" i="1"/>
  <c r="N655" i="1"/>
  <c r="N831" i="1"/>
  <c r="N41" i="1"/>
  <c r="N28" i="1"/>
  <c r="N15" i="1"/>
  <c r="N90" i="1"/>
  <c r="N93" i="1"/>
  <c r="N298" i="1"/>
  <c r="N310" i="1"/>
  <c r="N411" i="1"/>
  <c r="N106" i="1"/>
  <c r="N299" i="1"/>
  <c r="N311" i="1"/>
  <c r="N414" i="1"/>
  <c r="N412" i="1"/>
  <c r="N430" i="1"/>
  <c r="N427" i="1"/>
  <c r="N640" i="1"/>
  <c r="N641" i="1"/>
  <c r="N536" i="1"/>
  <c r="N836" i="1"/>
  <c r="N53" i="1"/>
  <c r="N40" i="1"/>
  <c r="N27" i="1"/>
  <c r="N5" i="1"/>
  <c r="N70" i="1"/>
  <c r="N101" i="1"/>
  <c r="N226" i="1"/>
  <c r="N108" i="1"/>
  <c r="N657" i="1"/>
  <c r="N235" i="1"/>
  <c r="N9" i="1"/>
  <c r="N87" i="1"/>
  <c r="N227" i="1"/>
  <c r="N661" i="1"/>
  <c r="N810" i="1"/>
  <c r="N435" i="1"/>
  <c r="N423" i="1"/>
  <c r="N643" i="1"/>
  <c r="N798" i="1"/>
  <c r="N660" i="1"/>
  <c r="N48" i="1"/>
  <c r="N35" i="1"/>
  <c r="N13" i="1"/>
  <c r="N91" i="1"/>
  <c r="N67" i="1"/>
  <c r="N52" i="1"/>
  <c r="N39" i="1"/>
  <c r="N17" i="1"/>
  <c r="N4" i="1"/>
  <c r="N73" i="1"/>
  <c r="N304" i="1"/>
  <c r="N316" i="1"/>
  <c r="N434" i="1"/>
  <c r="N422" i="1"/>
  <c r="N644" i="1"/>
  <c r="N809" i="1"/>
  <c r="P297" i="1"/>
  <c r="N416" i="1"/>
  <c r="N428" i="1"/>
  <c r="N540" i="1"/>
  <c r="N68" i="1"/>
  <c r="N58" i="1"/>
  <c r="N54" i="1"/>
  <c r="N50" i="1"/>
  <c r="N46" i="1"/>
  <c r="N42" i="1"/>
  <c r="N38" i="1"/>
  <c r="N34" i="1"/>
  <c r="N30" i="1"/>
  <c r="N26" i="1"/>
  <c r="N22" i="1"/>
  <c r="N18" i="1"/>
  <c r="N14" i="1"/>
  <c r="N10" i="1"/>
  <c r="N6" i="1"/>
  <c r="N229" i="1"/>
  <c r="N105" i="1"/>
  <c r="P309" i="1"/>
  <c r="P321" i="1"/>
  <c r="N69" i="1"/>
  <c r="N76" i="1"/>
  <c r="N72" i="1"/>
  <c r="N86" i="1"/>
  <c r="N82" i="1"/>
  <c r="N92" i="1"/>
  <c r="N99" i="1"/>
  <c r="N228" i="1"/>
  <c r="N842" i="1"/>
  <c r="N843" i="1"/>
  <c r="N659" i="1"/>
  <c r="N835" i="1"/>
  <c r="N652" i="1"/>
  <c r="N98" i="1"/>
  <c r="N432" i="1"/>
  <c r="N420" i="1"/>
  <c r="N654" i="1"/>
  <c r="N78" i="1"/>
  <c r="N74" i="1"/>
  <c r="N79" i="1"/>
  <c r="N84" i="1"/>
  <c r="N80" i="1"/>
  <c r="N89" i="1"/>
  <c r="N66" i="1"/>
  <c r="N218" i="1"/>
  <c r="N642" i="1"/>
  <c r="N811" i="1"/>
  <c r="P844" i="1"/>
  <c r="N844" i="1"/>
  <c r="P845" i="1"/>
  <c r="N845" i="1"/>
  <c r="P846" i="1"/>
  <c r="N846" i="1"/>
  <c r="N95" i="1"/>
  <c r="Q2" i="5"/>
  <c r="O2" i="5"/>
  <c r="Q3" i="5"/>
  <c r="O3" i="5"/>
  <c r="Q4" i="5"/>
  <c r="O4" i="5"/>
  <c r="Q5" i="5"/>
  <c r="O5" i="5"/>
  <c r="Q6" i="5"/>
  <c r="O6" i="5"/>
  <c r="Q7" i="5"/>
  <c r="O7" i="5"/>
  <c r="Q8" i="5"/>
  <c r="O8" i="5"/>
  <c r="Q9" i="5"/>
  <c r="O9" i="5"/>
  <c r="Q10" i="5"/>
  <c r="O10" i="5"/>
  <c r="Q11" i="5"/>
  <c r="O11" i="5"/>
  <c r="Q26" i="5"/>
  <c r="O26" i="5"/>
  <c r="Q27" i="5"/>
  <c r="O27" i="5"/>
  <c r="Q28" i="5"/>
  <c r="O28" i="5"/>
  <c r="Q29" i="5"/>
  <c r="O29" i="5"/>
  <c r="Q30" i="5"/>
  <c r="O30" i="5"/>
  <c r="Q31" i="5"/>
  <c r="O31" i="5"/>
  <c r="Q32" i="5"/>
  <c r="O32" i="5"/>
  <c r="Q33" i="5"/>
  <c r="O33" i="5"/>
  <c r="Q34" i="5"/>
  <c r="O34" i="5"/>
  <c r="Q35" i="5"/>
  <c r="O35" i="5"/>
  <c r="Q36" i="5"/>
  <c r="O36" i="5"/>
  <c r="Q37" i="5"/>
  <c r="O37" i="5"/>
  <c r="Q38" i="5"/>
  <c r="O38" i="5"/>
  <c r="Q39" i="5"/>
  <c r="O39" i="5"/>
  <c r="Q40" i="5"/>
  <c r="O40" i="5"/>
  <c r="Q41" i="5"/>
  <c r="O41" i="5"/>
  <c r="Q42" i="5"/>
  <c r="O42" i="5"/>
  <c r="Q43" i="5"/>
  <c r="O43" i="5"/>
  <c r="Q44" i="5"/>
  <c r="O44" i="5"/>
  <c r="Q45" i="5"/>
  <c r="O45" i="5"/>
  <c r="Q46" i="5"/>
  <c r="O46" i="5"/>
  <c r="Q47" i="5"/>
  <c r="O47" i="5"/>
  <c r="Q48" i="5"/>
  <c r="O48" i="5"/>
  <c r="Q49" i="5"/>
  <c r="O49" i="5"/>
  <c r="Q50" i="5"/>
  <c r="O50" i="5"/>
  <c r="Q51" i="5"/>
  <c r="O51" i="5"/>
  <c r="Q52" i="5"/>
  <c r="O52" i="5"/>
  <c r="Q53" i="5"/>
  <c r="O53" i="5"/>
  <c r="Q54" i="5"/>
  <c r="O54" i="5"/>
  <c r="Q55" i="5"/>
  <c r="O55" i="5"/>
  <c r="Q56" i="5"/>
  <c r="O56" i="5"/>
  <c r="Q57" i="5"/>
  <c r="O57" i="5"/>
  <c r="Q58" i="5"/>
  <c r="O58" i="5"/>
  <c r="Q59" i="5"/>
  <c r="O59" i="5"/>
  <c r="Q60" i="5"/>
  <c r="O60" i="5"/>
  <c r="Q61" i="5"/>
  <c r="O61" i="5"/>
  <c r="Q62" i="5"/>
  <c r="O62" i="5"/>
  <c r="Q63" i="5"/>
  <c r="O63" i="5"/>
  <c r="Q64" i="5"/>
  <c r="O64" i="5"/>
  <c r="Q65" i="5"/>
  <c r="O65" i="5"/>
  <c r="Q66" i="5"/>
  <c r="O66" i="5"/>
  <c r="Q67" i="5"/>
  <c r="O67" i="5"/>
  <c r="Q68" i="5"/>
  <c r="O68" i="5"/>
  <c r="Q69" i="5"/>
  <c r="O69" i="5"/>
  <c r="Q70" i="5"/>
  <c r="O70" i="5"/>
  <c r="Q71" i="5"/>
  <c r="O71" i="5"/>
  <c r="Q72" i="5"/>
  <c r="O72" i="5"/>
  <c r="Q73" i="5"/>
  <c r="O73" i="5"/>
  <c r="Q74" i="5"/>
  <c r="O74" i="5"/>
  <c r="Q75" i="5"/>
  <c r="O75" i="5"/>
  <c r="Q76" i="5"/>
  <c r="O76" i="5"/>
  <c r="Q77" i="5"/>
  <c r="O77" i="5"/>
  <c r="Q78" i="5"/>
  <c r="O78" i="5"/>
  <c r="Q79" i="5"/>
  <c r="O79" i="5"/>
  <c r="Q80" i="5"/>
  <c r="O80" i="5"/>
  <c r="Q81" i="5"/>
  <c r="O81" i="5"/>
  <c r="Q82" i="5"/>
  <c r="O82" i="5"/>
  <c r="Q83" i="5"/>
  <c r="O83" i="5"/>
  <c r="Q85" i="5"/>
  <c r="O85" i="5"/>
  <c r="Q86" i="5"/>
  <c r="O86" i="5"/>
  <c r="Q87" i="5"/>
  <c r="O87" i="5"/>
  <c r="Q93" i="5"/>
  <c r="O93" i="5"/>
  <c r="Q94" i="5"/>
  <c r="O94" i="5"/>
  <c r="Q95" i="5"/>
  <c r="O95" i="5"/>
  <c r="Q96" i="5"/>
  <c r="O96" i="5"/>
  <c r="Q97" i="5"/>
  <c r="O97" i="5"/>
  <c r="Q98" i="5"/>
  <c r="O98" i="5"/>
  <c r="Q99" i="5"/>
  <c r="O99" i="5"/>
  <c r="Q100" i="5"/>
  <c r="O100" i="5"/>
  <c r="Q101" i="5"/>
  <c r="O101" i="5"/>
  <c r="Q103" i="5"/>
  <c r="O103" i="5"/>
  <c r="Q104" i="5"/>
  <c r="O104" i="5"/>
  <c r="Q105" i="5"/>
  <c r="O105" i="5"/>
  <c r="Q106" i="5"/>
  <c r="O106" i="5"/>
  <c r="Q107" i="5"/>
  <c r="O107" i="5"/>
  <c r="Q108" i="5"/>
  <c r="O108" i="5"/>
  <c r="Q109" i="5"/>
  <c r="O109" i="5"/>
  <c r="Q110" i="5"/>
  <c r="O110" i="5"/>
  <c r="Q114" i="5"/>
  <c r="O114" i="5"/>
  <c r="Q118" i="5"/>
  <c r="O118" i="5"/>
  <c r="Q119" i="5"/>
  <c r="O119" i="5"/>
  <c r="Q120" i="5"/>
  <c r="O120" i="5"/>
  <c r="Q127" i="5"/>
  <c r="O127" i="5"/>
  <c r="Q128" i="5"/>
  <c r="O128" i="5"/>
  <c r="Q132" i="5"/>
  <c r="O132" i="5"/>
  <c r="Q133" i="5"/>
  <c r="O133" i="5"/>
  <c r="Q134" i="5"/>
  <c r="O134" i="5"/>
  <c r="Q135" i="5"/>
  <c r="O135" i="5"/>
  <c r="Q136" i="5"/>
  <c r="O136" i="5"/>
  <c r="Q137" i="5"/>
  <c r="O137" i="5"/>
  <c r="Q138" i="5"/>
  <c r="O138" i="5"/>
  <c r="Q140" i="5"/>
  <c r="O140" i="5"/>
  <c r="Q141" i="5"/>
  <c r="O141" i="5"/>
  <c r="Q142" i="5"/>
  <c r="O142" i="5"/>
  <c r="Q143" i="5"/>
  <c r="O143" i="5"/>
  <c r="Q144" i="5"/>
  <c r="O144" i="5"/>
  <c r="Q145" i="5"/>
  <c r="O145" i="5"/>
  <c r="Q146" i="5"/>
  <c r="O146" i="5"/>
  <c r="Q147" i="5"/>
  <c r="O147" i="5"/>
  <c r="Q148" i="5"/>
  <c r="O148" i="5"/>
  <c r="Q149" i="5"/>
  <c r="O149" i="5"/>
  <c r="Q150" i="5"/>
  <c r="O150" i="5"/>
  <c r="Q151" i="5"/>
  <c r="O151" i="5"/>
  <c r="Q155" i="5"/>
  <c r="O155" i="5"/>
  <c r="Q156" i="5"/>
  <c r="O156" i="5"/>
  <c r="Q157" i="5"/>
  <c r="O157" i="5"/>
  <c r="Q158" i="5"/>
  <c r="O158" i="5"/>
  <c r="Q160" i="5"/>
  <c r="O160" i="5"/>
  <c r="Q164" i="5"/>
  <c r="O164" i="5"/>
  <c r="Q167" i="5"/>
  <c r="O167" i="5"/>
  <c r="Q169" i="5"/>
  <c r="O169" i="5"/>
  <c r="Q170" i="5"/>
  <c r="O170" i="5"/>
  <c r="Q171" i="5"/>
  <c r="O171" i="5"/>
  <c r="Q173" i="5"/>
  <c r="O173" i="5"/>
  <c r="Q174" i="5"/>
  <c r="O174" i="5"/>
  <c r="Q179" i="5"/>
  <c r="O179" i="5"/>
  <c r="Q180" i="5"/>
  <c r="O180" i="5"/>
  <c r="Q182" i="5"/>
  <c r="O182" i="5"/>
  <c r="Q183" i="5"/>
  <c r="O183" i="5"/>
  <c r="Q185" i="5"/>
  <c r="O185" i="5"/>
  <c r="Q186" i="5"/>
  <c r="O186" i="5"/>
  <c r="Q188" i="5"/>
  <c r="O188" i="5"/>
  <c r="Q189" i="5"/>
  <c r="O189" i="5"/>
  <c r="Q191" i="5"/>
  <c r="O191" i="5"/>
  <c r="Q195" i="5"/>
  <c r="O195" i="5"/>
  <c r="Q196" i="5"/>
  <c r="O196" i="5"/>
  <c r="Q199" i="5"/>
  <c r="O199" i="5"/>
  <c r="Q201" i="5"/>
  <c r="O201" i="5"/>
  <c r="Q202" i="5"/>
  <c r="O202" i="5"/>
  <c r="Q205" i="5"/>
  <c r="O205" i="5"/>
  <c r="Q206" i="5"/>
  <c r="O206" i="5"/>
  <c r="Q208" i="5"/>
  <c r="O208" i="5"/>
  <c r="Q211" i="5"/>
  <c r="O211" i="5"/>
  <c r="Q217" i="5"/>
  <c r="O217" i="5"/>
  <c r="Q218" i="5"/>
  <c r="O218" i="5"/>
  <c r="Q219" i="5"/>
  <c r="O219" i="5"/>
  <c r="Q220" i="5"/>
  <c r="O220" i="5"/>
  <c r="Q221" i="5"/>
  <c r="O221" i="5"/>
  <c r="Q222" i="5"/>
  <c r="O222" i="5"/>
  <c r="Q223" i="5"/>
  <c r="O223" i="5"/>
  <c r="Q225" i="5"/>
  <c r="O225" i="5"/>
  <c r="Q226" i="5"/>
  <c r="O226" i="5"/>
  <c r="Q227" i="5"/>
  <c r="O227" i="5"/>
  <c r="Q228" i="5"/>
  <c r="O228" i="5"/>
  <c r="Q229" i="5"/>
  <c r="O229" i="5"/>
  <c r="Q231" i="5"/>
  <c r="O231" i="5"/>
  <c r="Q235" i="5"/>
  <c r="O235" i="5"/>
  <c r="Q242" i="5"/>
  <c r="O242" i="5"/>
  <c r="Q243" i="5"/>
  <c r="O243" i="5"/>
  <c r="Q244" i="5"/>
  <c r="O244" i="5"/>
  <c r="Q247" i="5"/>
  <c r="O247" i="5"/>
  <c r="Q248" i="5"/>
  <c r="O248" i="5"/>
  <c r="Q249" i="5"/>
  <c r="O249" i="5"/>
  <c r="Q250" i="5"/>
  <c r="O250" i="5"/>
  <c r="Q251" i="5"/>
  <c r="O251" i="5"/>
  <c r="Q252" i="5"/>
  <c r="O252" i="5"/>
  <c r="Q253" i="5"/>
  <c r="O253" i="5"/>
  <c r="Q254" i="5"/>
  <c r="O254" i="5"/>
  <c r="Q255" i="5"/>
  <c r="O255" i="5"/>
  <c r="Q256" i="5"/>
  <c r="O256" i="5"/>
  <c r="Q257" i="5"/>
  <c r="O257" i="5"/>
  <c r="Q261" i="5"/>
  <c r="O261" i="5"/>
  <c r="Q263" i="5"/>
  <c r="O263" i="5"/>
  <c r="Q264" i="5"/>
  <c r="O264" i="5"/>
  <c r="Q265" i="5"/>
  <c r="O265" i="5"/>
  <c r="Q266" i="5"/>
  <c r="O266" i="5"/>
  <c r="Q268" i="5"/>
  <c r="O268" i="5"/>
  <c r="Q270" i="5"/>
  <c r="O270" i="5"/>
  <c r="Q271" i="5"/>
  <c r="O271" i="5"/>
  <c r="Q277" i="5"/>
  <c r="O277" i="5"/>
  <c r="Q278" i="5"/>
  <c r="O278" i="5"/>
  <c r="Q279" i="5"/>
  <c r="O279" i="5"/>
  <c r="Q280" i="5"/>
  <c r="O280" i="5"/>
  <c r="Q281" i="5"/>
  <c r="O281" i="5"/>
  <c r="Q282" i="5"/>
  <c r="O282" i="5"/>
  <c r="Q285" i="5"/>
  <c r="O285" i="5"/>
  <c r="Q286" i="5"/>
  <c r="O286" i="5"/>
  <c r="Q288" i="5"/>
  <c r="O288" i="5"/>
  <c r="Q289" i="5"/>
  <c r="O289" i="5"/>
  <c r="Q290" i="5"/>
  <c r="O290" i="5"/>
  <c r="Q291" i="5"/>
  <c r="O291" i="5"/>
  <c r="Q292" i="5"/>
  <c r="O292" i="5"/>
  <c r="Q293" i="5"/>
  <c r="O293" i="5"/>
  <c r="Q295" i="5"/>
  <c r="O295" i="5"/>
  <c r="Q296" i="5"/>
  <c r="O296" i="5"/>
  <c r="Q297" i="5"/>
  <c r="O297" i="5"/>
  <c r="Q298" i="5"/>
  <c r="O298" i="5"/>
  <c r="Q299" i="5"/>
  <c r="O299" i="5"/>
  <c r="Q300" i="5"/>
  <c r="O300" i="5"/>
  <c r="Q301" i="5"/>
  <c r="O301" i="5"/>
  <c r="Q302" i="5"/>
  <c r="O302" i="5"/>
  <c r="Q304" i="5"/>
  <c r="O304" i="5"/>
  <c r="Q305" i="5"/>
  <c r="O305" i="5"/>
  <c r="Q309" i="5"/>
  <c r="O309" i="5"/>
  <c r="Q310" i="5"/>
  <c r="O310" i="5"/>
  <c r="Q311" i="5"/>
  <c r="O311" i="5"/>
  <c r="Q312" i="5"/>
  <c r="O312" i="5"/>
  <c r="Q314" i="5"/>
  <c r="O314" i="5"/>
  <c r="Q315" i="5"/>
  <c r="O315" i="5"/>
  <c r="Q319" i="5"/>
  <c r="O319" i="5"/>
  <c r="Q320" i="5"/>
  <c r="O320" i="5"/>
  <c r="Q329" i="5"/>
  <c r="O329" i="5"/>
  <c r="Q330" i="5"/>
  <c r="O330" i="5"/>
  <c r="Q331" i="5"/>
  <c r="O331" i="5"/>
  <c r="Q333" i="5"/>
  <c r="O333" i="5"/>
  <c r="Q345" i="5"/>
  <c r="O345" i="5"/>
  <c r="Q359" i="5"/>
  <c r="O359" i="5"/>
  <c r="Q362" i="5"/>
  <c r="O362" i="5"/>
  <c r="Q363" i="5"/>
  <c r="O363" i="5"/>
  <c r="Q364" i="5"/>
  <c r="O364" i="5"/>
  <c r="Q365" i="5"/>
  <c r="O365" i="5"/>
  <c r="Q366" i="5"/>
  <c r="O366" i="5"/>
  <c r="Q367" i="5"/>
  <c r="O367" i="5"/>
  <c r="Q369" i="5"/>
  <c r="O369" i="5"/>
  <c r="Q370" i="5"/>
  <c r="O370" i="5"/>
  <c r="Q371" i="5"/>
  <c r="O371" i="5"/>
  <c r="Q372" i="5"/>
  <c r="O372" i="5"/>
  <c r="Q373" i="5"/>
  <c r="O373" i="5"/>
  <c r="Q374" i="5"/>
  <c r="O374" i="5"/>
  <c r="Q375" i="5"/>
  <c r="O375" i="5"/>
  <c r="Q376" i="5"/>
  <c r="O376" i="5"/>
  <c r="Q377" i="5"/>
  <c r="O377" i="5"/>
  <c r="Q378" i="5"/>
  <c r="O378" i="5"/>
  <c r="Q379" i="5"/>
  <c r="O379" i="5"/>
  <c r="Q380" i="5"/>
  <c r="O380" i="5"/>
  <c r="Q381" i="5"/>
  <c r="O381" i="5"/>
  <c r="Q382" i="5"/>
  <c r="O382" i="5"/>
  <c r="Q383" i="5"/>
  <c r="O383" i="5"/>
  <c r="Q384" i="5"/>
  <c r="O384" i="5"/>
  <c r="Q385" i="5"/>
  <c r="O385" i="5"/>
  <c r="Q386" i="5"/>
  <c r="O386" i="5"/>
  <c r="Q387" i="5"/>
  <c r="O387" i="5"/>
  <c r="Q388" i="5"/>
  <c r="O388" i="5"/>
  <c r="Q389" i="5"/>
  <c r="O389" i="5"/>
  <c r="Q390" i="5"/>
  <c r="O390" i="5"/>
  <c r="Q391" i="5"/>
  <c r="O391" i="5"/>
  <c r="Q392" i="5"/>
  <c r="O392" i="5"/>
  <c r="Q393" i="5"/>
  <c r="O393" i="5"/>
  <c r="Q394" i="5"/>
  <c r="O394" i="5"/>
  <c r="Q395" i="5"/>
  <c r="O395" i="5"/>
  <c r="Q396" i="5"/>
  <c r="O396" i="5"/>
  <c r="Q397" i="5"/>
  <c r="O397" i="5"/>
  <c r="Q398" i="5"/>
  <c r="O398" i="5"/>
  <c r="Q399" i="5"/>
  <c r="O399" i="5"/>
  <c r="Q400" i="5"/>
  <c r="O400" i="5"/>
  <c r="Q402" i="5"/>
  <c r="O402" i="5"/>
  <c r="Q403" i="5"/>
  <c r="O403" i="5"/>
  <c r="Q404" i="5"/>
  <c r="O404" i="5"/>
  <c r="Q405" i="5"/>
  <c r="O405" i="5"/>
  <c r="Q406" i="5"/>
  <c r="O406" i="5"/>
  <c r="Q407" i="5"/>
  <c r="O407" i="5"/>
  <c r="Q408" i="5"/>
  <c r="O408" i="5"/>
  <c r="Q409" i="5"/>
  <c r="O409" i="5"/>
  <c r="Q410" i="5"/>
  <c r="O410" i="5"/>
  <c r="Q411" i="5"/>
  <c r="O411" i="5"/>
  <c r="Q412" i="5"/>
  <c r="O412" i="5"/>
  <c r="Q413" i="5"/>
  <c r="O413" i="5"/>
  <c r="Q416" i="5"/>
  <c r="O416" i="5"/>
  <c r="Q417" i="5"/>
  <c r="O417" i="5"/>
  <c r="Q418" i="5"/>
  <c r="O418" i="5"/>
  <c r="Q419" i="5"/>
  <c r="O419" i="5"/>
  <c r="Q420" i="5"/>
  <c r="O420" i="5"/>
  <c r="Q421" i="5"/>
  <c r="O421" i="5"/>
  <c r="Q422" i="5"/>
  <c r="O422" i="5"/>
  <c r="Q423" i="5"/>
  <c r="O423" i="5"/>
  <c r="Q424" i="5"/>
  <c r="O424" i="5"/>
  <c r="Q425" i="5"/>
  <c r="O425" i="5"/>
  <c r="Q426" i="5"/>
  <c r="O426" i="5"/>
  <c r="Q427" i="5"/>
  <c r="O427" i="5"/>
  <c r="Q428" i="5"/>
  <c r="O428" i="5"/>
  <c r="Q429" i="5"/>
  <c r="O429" i="5"/>
  <c r="Q430" i="5"/>
  <c r="O430" i="5"/>
  <c r="Q431" i="5"/>
  <c r="O431" i="5"/>
  <c r="Q432" i="5"/>
  <c r="O432" i="5"/>
  <c r="Q433" i="5"/>
  <c r="O433" i="5"/>
  <c r="Q434" i="5"/>
  <c r="O434" i="5"/>
  <c r="Q435" i="5"/>
  <c r="O435" i="5"/>
  <c r="Q436" i="5"/>
  <c r="O436" i="5"/>
  <c r="Q437" i="5"/>
  <c r="O437" i="5"/>
  <c r="Q438" i="5"/>
  <c r="O438" i="5"/>
  <c r="Q439" i="5"/>
  <c r="O439" i="5"/>
  <c r="Q440" i="5"/>
  <c r="O440" i="5"/>
  <c r="Q441" i="5"/>
  <c r="O441" i="5"/>
  <c r="Q442" i="5"/>
  <c r="O442" i="5"/>
  <c r="Q443" i="5"/>
  <c r="O443" i="5"/>
  <c r="Q444" i="5"/>
  <c r="O444" i="5"/>
  <c r="Q445" i="5"/>
  <c r="O445" i="5"/>
  <c r="Q446" i="5"/>
  <c r="O446" i="5"/>
  <c r="Q447" i="5"/>
  <c r="O447" i="5"/>
  <c r="Q448" i="5"/>
  <c r="O448" i="5"/>
  <c r="Q449" i="5"/>
  <c r="O449" i="5"/>
  <c r="Q450" i="5"/>
  <c r="O450" i="5"/>
  <c r="Q451" i="5"/>
  <c r="O451" i="5"/>
  <c r="Q452" i="5"/>
  <c r="O452" i="5"/>
  <c r="Q453" i="5"/>
  <c r="O453" i="5"/>
  <c r="Q454" i="5"/>
  <c r="O454" i="5"/>
  <c r="Q455" i="5"/>
  <c r="O455" i="5"/>
  <c r="Q456" i="5"/>
  <c r="O456" i="5"/>
  <c r="Q457" i="5"/>
  <c r="O457" i="5"/>
  <c r="Q458" i="5"/>
  <c r="O458" i="5"/>
  <c r="Q459" i="5"/>
  <c r="O459" i="5"/>
  <c r="Q460" i="5"/>
  <c r="O460" i="5"/>
  <c r="Q461" i="5"/>
  <c r="O461" i="5"/>
  <c r="Q466" i="5"/>
  <c r="O466" i="5"/>
  <c r="Q468" i="5"/>
  <c r="O468" i="5"/>
  <c r="Q469" i="5"/>
  <c r="O469" i="5"/>
  <c r="Q471" i="5"/>
  <c r="O471" i="5"/>
  <c r="Q472" i="5"/>
  <c r="O472" i="5"/>
  <c r="Q473" i="5"/>
  <c r="O473" i="5"/>
  <c r="Q478" i="5"/>
  <c r="O478" i="5"/>
  <c r="Q479" i="5"/>
  <c r="O479" i="5"/>
</calcChain>
</file>

<file path=xl/comments1.xml><?xml version="1.0" encoding="utf-8"?>
<comments xmlns="http://schemas.openxmlformats.org/spreadsheetml/2006/main">
  <authors>
    <author/>
  </authors>
  <commentList>
    <comment ref="H3" authorId="0">
      <text>
        <r>
          <rPr>
            <sz val="10"/>
            <color rgb="FF000000"/>
            <rFont val="Arial"/>
            <scheme val="minor"/>
          </rPr>
          <t>Solicitação feita pelo Sr Armando</t>
        </r>
      </text>
    </comment>
    <comment ref="H4" authorId="0">
      <text>
        <r>
          <rPr>
            <sz val="10"/>
            <color rgb="FF000000"/>
            <rFont val="Arial"/>
            <scheme val="minor"/>
          </rPr>
          <t xml:space="preserve">Substituição da colaboradora Natcha Almeida Nunes que foi transferida para BV
</t>
        </r>
      </text>
    </comment>
    <comment ref="H5" authorId="0">
      <text>
        <r>
          <rPr>
            <sz val="10"/>
            <color rgb="FF000000"/>
            <rFont val="Arial"/>
            <scheme val="minor"/>
          </rPr>
          <t>Substituição da colaboradora Ariele Brinto Teixeira que foi transferida para BV</t>
        </r>
      </text>
    </comment>
    <comment ref="H6" authorId="0">
      <text>
        <r>
          <rPr>
            <sz val="10"/>
            <color rgb="FF000000"/>
            <rFont val="Arial"/>
            <scheme val="minor"/>
          </rPr>
          <t>Substituição do colaborador Mike Lopes que foi desligado.</t>
        </r>
      </text>
    </comment>
    <comment ref="H7" authorId="0">
      <text>
        <r>
          <rPr>
            <sz val="10"/>
            <color rgb="FF000000"/>
            <rFont val="Arial"/>
            <scheme val="minor"/>
          </rPr>
          <t>Solicitação feita pelo Sr Josias (Vaga sigilosa)</t>
        </r>
      </text>
    </comment>
    <comment ref="H8" authorId="0">
      <text>
        <r>
          <rPr>
            <sz val="10"/>
            <color rgb="FF000000"/>
            <rFont val="Arial"/>
            <scheme val="minor"/>
          </rPr>
          <t>Solicitação feita pelo Sr Josias (Vaga sigilosa)</t>
        </r>
      </text>
    </comment>
    <comment ref="H9" authorId="0">
      <text>
        <r>
          <rPr>
            <sz val="10"/>
            <color rgb="FF000000"/>
            <rFont val="Arial"/>
            <scheme val="minor"/>
          </rPr>
          <t>Substituição da ex-colaboradora Ingrid Eduarda</t>
        </r>
      </text>
    </comment>
    <comment ref="H10" authorId="0">
      <text>
        <r>
          <rPr>
            <sz val="10"/>
            <color rgb="FF000000"/>
            <rFont val="Arial"/>
            <scheme val="minor"/>
          </rPr>
          <t>Solicitação feita pelor sr Wilson (Vaga sigilosa)</t>
        </r>
      </text>
    </comment>
    <comment ref="H11" authorId="0">
      <text>
        <r>
          <rPr>
            <sz val="10"/>
            <color rgb="FF000000"/>
            <rFont val="Arial"/>
            <scheme val="minor"/>
          </rPr>
          <t>Substituição do colaborador Peterson Amud que foi transferido para MAO</t>
        </r>
      </text>
    </comment>
    <comment ref="H12" authorId="0">
      <text>
        <r>
          <rPr>
            <sz val="10"/>
            <color rgb="FF000000"/>
            <rFont val="Arial"/>
            <scheme val="minor"/>
          </rPr>
          <t>Aumento de Quadro</t>
        </r>
      </text>
    </comment>
    <comment ref="H84" authorId="0">
      <text>
        <r>
          <rPr>
            <sz val="10"/>
            <color rgb="FF000000"/>
            <rFont val="Arial"/>
            <scheme val="minor"/>
          </rPr>
          <t>Substituição do Colaborador José, aprovado no Talento Interno</t>
        </r>
      </text>
    </comment>
    <comment ref="H85" authorId="0">
      <text>
        <r>
          <rPr>
            <sz val="10"/>
            <color rgb="FF000000"/>
            <rFont val="Arial"/>
            <scheme val="minor"/>
          </rPr>
          <t>Substituição do ex-colaborador Lucas Brito</t>
        </r>
      </text>
    </comment>
    <comment ref="H117" authorId="0">
      <text>
        <r>
          <rPr>
            <sz val="10"/>
            <color rgb="FF000000"/>
            <rFont val="Arial"/>
            <scheme val="minor"/>
          </rPr>
          <t>Substituição</t>
        </r>
      </text>
    </comment>
    <comment ref="H118" authorId="0">
      <text>
        <r>
          <rPr>
            <sz val="10"/>
            <color rgb="FF000000"/>
            <rFont val="Arial"/>
            <scheme val="minor"/>
          </rPr>
          <t>Substituição</t>
        </r>
      </text>
    </comment>
    <comment ref="H120" authorId="0">
      <text>
        <r>
          <rPr>
            <sz val="10"/>
            <color rgb="FF000000"/>
            <rFont val="Arial"/>
            <scheme val="minor"/>
          </rPr>
          <t>Substituição</t>
        </r>
      </text>
    </comment>
    <comment ref="J121" authorId="0">
      <text>
        <r>
          <rPr>
            <sz val="10"/>
            <color rgb="FF000000"/>
            <rFont val="Arial"/>
            <scheme val="minor"/>
          </rPr>
          <t>Vaga foi duplicada no sistema
	-Pamela Lopes</t>
        </r>
      </text>
    </comment>
    <comment ref="H123" authorId="0">
      <text>
        <r>
          <rPr>
            <sz val="10"/>
            <color rgb="FF000000"/>
            <rFont val="Arial"/>
            <scheme val="minor"/>
          </rPr>
          <t>Substituição de colaborador desligada</t>
        </r>
      </text>
    </comment>
    <comment ref="J124" authorId="0">
      <text>
        <r>
          <rPr>
            <sz val="10"/>
            <color rgb="FF000000"/>
            <rFont val="Arial"/>
            <scheme val="minor"/>
          </rPr>
          <t>Vaga foi duplicada, a vaga real foi fechada (5204)
	-Pamela Lopes</t>
        </r>
      </text>
    </comment>
    <comment ref="J125" authorId="0">
      <text>
        <r>
          <rPr>
            <sz val="10"/>
            <color rgb="FF000000"/>
            <rFont val="Arial"/>
            <scheme val="minor"/>
          </rPr>
          <t>Conforme tratativa com o gestor, a vaga foi cancelada.
	-Pamela Lopes</t>
        </r>
      </text>
    </comment>
    <comment ref="M175" authorId="0">
      <text>
        <r>
          <rPr>
            <sz val="10"/>
            <color rgb="FF000000"/>
            <rFont val="Arial"/>
            <scheme val="minor"/>
          </rPr>
          <t>Vaga cancelada, visto que tratava-se de ajuste de QLP (Redução no quadro)
	-Evelyn Teodósio</t>
        </r>
      </text>
    </comment>
    <comment ref="J212" authorId="0">
      <text>
        <r>
          <rPr>
            <sz val="10"/>
            <color rgb="FF000000"/>
            <rFont val="Arial"/>
            <scheme val="minor"/>
          </rPr>
          <t>Consta vaga cancelada na senior
	-Pamela Lopes</t>
        </r>
      </text>
    </comment>
    <comment ref="M245" authorId="0">
      <text>
        <r>
          <rPr>
            <sz val="10"/>
            <color rgb="FF000000"/>
            <rFont val="Arial"/>
            <scheme val="minor"/>
          </rPr>
          <t>Vaga cancelada. Gerente Peterson Amud solicitou promoção de colaborador internamente.
	-Evelyn Teodósio</t>
        </r>
      </text>
    </comment>
    <comment ref="M272" authorId="0">
      <text>
        <r>
          <rPr>
            <sz val="10"/>
            <color rgb="FF000000"/>
            <rFont val="Arial"/>
            <scheme val="minor"/>
          </rPr>
          <t>Gerente da loja Cash Silves fez movimentação interna para fechamento da vaga.
	-Evelyn Teodósio</t>
        </r>
      </text>
    </comment>
    <comment ref="M273" authorId="0">
      <text>
        <r>
          <rPr>
            <sz val="10"/>
            <color rgb="FF000000"/>
            <rFont val="Arial"/>
            <scheme val="minor"/>
          </rPr>
          <t>Gerente fez movimentação entre lojas (Transferência e promoção)
	-Evelyn Teodósio</t>
        </r>
      </text>
    </comment>
    <comment ref="M274" authorId="0">
      <text>
        <r>
          <rPr>
            <sz val="10"/>
            <color rgb="FF000000"/>
            <rFont val="Arial"/>
            <scheme val="minor"/>
          </rPr>
          <t>Gerente do Cash Silves irá fazer uma movimentação interna.
	-Evelyn Teodósio</t>
        </r>
      </text>
    </comment>
    <comment ref="J276" authorId="0">
      <text>
        <r>
          <rPr>
            <sz val="10"/>
            <color rgb="FF000000"/>
            <rFont val="Arial"/>
            <scheme val="minor"/>
          </rPr>
          <t>Movimentação interna.
	-Evelyn Teodósio</t>
        </r>
      </text>
    </comment>
    <comment ref="A297" authorId="0">
      <text>
        <r>
          <rPr>
            <sz val="10"/>
            <color rgb="FF000000"/>
            <rFont val="Arial"/>
            <scheme val="minor"/>
          </rPr>
          <t>9 Posições
Concluídas
	-Evelyn Teodósio</t>
        </r>
      </text>
    </comment>
    <comment ref="A298" authorId="0">
      <text>
        <r>
          <rPr>
            <sz val="10"/>
            <color rgb="FF000000"/>
            <rFont val="Arial"/>
            <scheme val="minor"/>
          </rPr>
          <t>5 Posições
Todas concluídas
	-Evelyn Teodósio
----
5 Posições
2 Posições concluídas
	-Evelyn Teodósio</t>
        </r>
      </text>
    </comment>
    <comment ref="A299" authorId="0">
      <text>
        <r>
          <rPr>
            <sz val="10"/>
            <color rgb="FF000000"/>
            <rFont val="Arial"/>
            <scheme val="minor"/>
          </rPr>
          <t>8 posições
3 posições concluídas
	-Evelyn Teodósio</t>
        </r>
      </text>
    </comment>
    <comment ref="A301" authorId="0">
      <text>
        <r>
          <rPr>
            <sz val="10"/>
            <color rgb="FF000000"/>
            <rFont val="Arial"/>
            <scheme val="minor"/>
          </rPr>
          <t>8 posições
6 posições concluídas
	-Evelyn Teodósio</t>
        </r>
      </text>
    </comment>
    <comment ref="A302" authorId="0">
      <text>
        <r>
          <rPr>
            <sz val="10"/>
            <color rgb="FF000000"/>
            <rFont val="Arial"/>
            <scheme val="minor"/>
          </rPr>
          <t>3 Posições
	-Evelyn Teodósio</t>
        </r>
      </text>
    </comment>
    <comment ref="A305" authorId="0">
      <text>
        <r>
          <rPr>
            <sz val="10"/>
            <color rgb="FF000000"/>
            <rFont val="Arial"/>
            <scheme val="minor"/>
          </rPr>
          <t>2 posições | Concluídas
	-Evelyn Teodósio</t>
        </r>
      </text>
    </comment>
    <comment ref="J339" authorId="0">
      <text>
        <r>
          <rPr>
            <sz val="10"/>
            <color rgb="FF000000"/>
            <rFont val="Arial"/>
            <scheme val="minor"/>
          </rPr>
          <t>Movimentação interna
	-Evelyn Teodósio</t>
        </r>
      </text>
    </comment>
    <comment ref="H363" authorId="0">
      <text>
        <r>
          <rPr>
            <sz val="10"/>
            <color rgb="FF000000"/>
            <rFont val="Arial"/>
            <scheme val="minor"/>
          </rPr>
          <t>Transferência do colaborador 11759 GLEISON PAIVA PRATA, para a Filial CASH FLORES, Setor FRIOS-CASH FLORES, Cargo REPOSITOR</t>
        </r>
      </text>
    </comment>
    <comment ref="H364" authorId="0">
      <text>
        <r>
          <rPr>
            <sz val="10"/>
            <color rgb="FF000000"/>
            <rFont val="Arial"/>
            <scheme val="minor"/>
          </rPr>
          <t>Desligamento Imediato com substituição posterior do colaborador 17085 ABRAHAO LINCOLN CRUZ DE OLIVEIRA.</t>
        </r>
      </text>
    </comment>
    <comment ref="H365" authorId="0">
      <text>
        <r>
          <rPr>
            <sz val="10"/>
            <color rgb="FF000000"/>
            <rFont val="Arial"/>
            <scheme val="minor"/>
          </rPr>
          <t>Desligamento Pedido de demissão do colaborador 17003 MARIO TEIXEIRA DE SOUZA NETO .</t>
        </r>
      </text>
    </comment>
    <comment ref="H366" authorId="0">
      <text>
        <r>
          <rPr>
            <sz val="10"/>
            <color rgb="FF000000"/>
            <rFont val="Arial"/>
            <scheme val="minor"/>
          </rPr>
          <t>Desligamento Pedido de demissão do colaborador 15474 HELENA DA SILVA BARBOSA .</t>
        </r>
      </text>
    </comment>
    <comment ref="H367" authorId="0">
      <text>
        <r>
          <rPr>
            <sz val="10"/>
            <color rgb="FF000000"/>
            <rFont val="Arial"/>
            <scheme val="minor"/>
          </rPr>
          <t>Desligamento Imediato com substituição posterior do colaborador 14321 RAISSA CRISTINA LIMA DE CARVALHO</t>
        </r>
      </text>
    </comment>
    <comment ref="H368" authorId="0">
      <text>
        <r>
          <rPr>
            <sz val="10"/>
            <color rgb="FF000000"/>
            <rFont val="Arial"/>
            <scheme val="minor"/>
          </rPr>
          <t>Desligamento Pedido de demissão do colaborador 15457 LUILSON MICHAEL DA SILVA DANIEL .</t>
        </r>
      </text>
    </comment>
    <comment ref="H369" authorId="0">
      <text>
        <r>
          <rPr>
            <sz val="10"/>
            <color rgb="FF000000"/>
            <rFont val="Arial"/>
            <scheme val="minor"/>
          </rPr>
          <t>Desligamento Após a substituição do colaborador 15454 FABIO DA CRUZ GONCALVES.</t>
        </r>
      </text>
    </comment>
    <comment ref="H370" authorId="0">
      <text>
        <r>
          <rPr>
            <sz val="10"/>
            <color rgb="FF000000"/>
            <rFont val="Arial"/>
            <scheme val="minor"/>
          </rPr>
          <t>Desligamento Após a substituição do colaborador 15619 FABIANO FARIAS TAPAJOS.</t>
        </r>
      </text>
    </comment>
    <comment ref="H371" authorId="0">
      <text>
        <r>
          <rPr>
            <sz val="10"/>
            <color rgb="FF000000"/>
            <rFont val="Arial"/>
            <scheme val="minor"/>
          </rPr>
          <t>Transferência do colaborador 13908 IASMIN DE SOUZA PASSOS , para a Filial CASH VIVER MELHOR, Setor PREV.E PERDAS-VIVER MELHOR, Cargo FISCAL DE PREV DE PERDAS</t>
        </r>
      </text>
    </comment>
    <comment ref="H372" authorId="0">
      <text>
        <r>
          <rPr>
            <sz val="10"/>
            <color rgb="FF000000"/>
            <rFont val="Arial"/>
            <scheme val="minor"/>
          </rPr>
          <t>Transferência do colaborador 17402 MATEUS GABRIEL ALMEIDA NEGREIROS , para a Filial CASH FLORES, Setor PREV.E PERDAS-CASH FLORES, Cargo FISCAL DE PREV DE PERDAS</t>
        </r>
      </text>
    </comment>
    <comment ref="H373" authorId="0">
      <text>
        <r>
          <rPr>
            <sz val="10"/>
            <color rgb="FF000000"/>
            <rFont val="Arial"/>
            <scheme val="minor"/>
          </rPr>
          <t>Desligamento Pedido de demissão do colaborador 16854 MARCOS DA SILVA MOURAO .</t>
        </r>
      </text>
    </comment>
    <comment ref="H374" authorId="0">
      <text>
        <r>
          <rPr>
            <sz val="10"/>
            <color rgb="FF000000"/>
            <rFont val="Arial"/>
            <scheme val="minor"/>
          </rPr>
          <t>Desligamento Pedido de demissão do colaborador 13510 AROLDO PEREIRA DA SILVA.</t>
        </r>
      </text>
    </comment>
    <comment ref="H375" authorId="0">
      <text>
        <r>
          <rPr>
            <sz val="10"/>
            <color rgb="FF000000"/>
            <rFont val="Arial"/>
            <scheme val="minor"/>
          </rPr>
          <t>Desligamento Imediato com substituição posterior do colaborador 000000 CANDIDO EZIMAR SILVA DE SOUZA NETO.</t>
        </r>
      </text>
    </comment>
    <comment ref="H376" authorId="0">
      <text>
        <r>
          <rPr>
            <sz val="10"/>
            <color rgb="FF000000"/>
            <rFont val="Arial"/>
            <scheme val="minor"/>
          </rPr>
          <t>Desligamento Imediato com substituição posterior do colaborador 000000 RYAN FARIAS DE BRITO.</t>
        </r>
      </text>
    </comment>
    <comment ref="H377" authorId="0">
      <text>
        <r>
          <rPr>
            <sz val="10"/>
            <color rgb="FF000000"/>
            <rFont val="Arial"/>
            <scheme val="minor"/>
          </rPr>
          <t>Desligamento Imediato com substituição posterior do colaborador 000000 ERIK MENEZES QUIEROZ.</t>
        </r>
      </text>
    </comment>
    <comment ref="H378" authorId="0">
      <text>
        <r>
          <rPr>
            <sz val="10"/>
            <color rgb="FF000000"/>
            <rFont val="Arial"/>
            <scheme val="minor"/>
          </rPr>
          <t>Desligamento Imediato com substituição posterior do colaborador 16513 LEOMAR COTA DE ALMEIDA .</t>
        </r>
      </text>
    </comment>
    <comment ref="H379" authorId="0">
      <text>
        <r>
          <rPr>
            <sz val="10"/>
            <color rgb="FF000000"/>
            <rFont val="Arial"/>
            <scheme val="minor"/>
          </rPr>
          <t>Desligamento Imediato com substituição posterior do colaborador 10112 BRUNO LIMA DE SOUZA.</t>
        </r>
      </text>
    </comment>
    <comment ref="H380" authorId="0">
      <text>
        <r>
          <rPr>
            <sz val="10"/>
            <color rgb="FF000000"/>
            <rFont val="Arial"/>
            <scheme val="minor"/>
          </rPr>
          <t>Realizando a abertura da vaga com ciência do sr Adriano, pois o mesmo não esta conseguindo realizar via sistema.</t>
        </r>
      </text>
    </comment>
    <comment ref="H381" authorId="0">
      <text>
        <r>
          <rPr>
            <sz val="10"/>
            <color rgb="FF000000"/>
            <rFont val="Arial"/>
            <scheme val="minor"/>
          </rPr>
          <t>Pediu a demissão por motivos pessoais - 16050 - THAIS PERES FERREIRA</t>
        </r>
      </text>
    </comment>
    <comment ref="H382" authorId="0">
      <text>
        <r>
          <rPr>
            <sz val="10"/>
            <color rgb="FF000000"/>
            <rFont val="Arial"/>
            <scheme val="minor"/>
          </rPr>
          <t>Promoção do colaborador 11025 LUIZ MIGUEL SOUZA DO ESPIRITO SANTO , para a Filial CD VAREJO, Setor FLV#2FPERECIVEIS-CD VAREJO, Cargo CONFERENTE</t>
        </r>
      </text>
    </comment>
    <comment ref="H383" authorId="0">
      <text>
        <r>
          <rPr>
            <sz val="10"/>
            <color rgb="FF000000"/>
            <rFont val="Arial"/>
            <scheme val="minor"/>
          </rPr>
          <t>Desligamento Imediato com substituição posterior do colaborador 17339 SABRINA CASSIA DE OLIVEIRA BARROS.</t>
        </r>
      </text>
    </comment>
    <comment ref="H384" authorId="0">
      <text>
        <r>
          <rPr>
            <sz val="10"/>
            <color rgb="FF000000"/>
            <rFont val="Arial"/>
            <scheme val="minor"/>
          </rPr>
          <t>Desligamento Pedido de demissão do colaborador 18441 TAMARA OLIVEIRA DE BARROS.</t>
        </r>
      </text>
    </comment>
    <comment ref="H385" authorId="0">
      <text>
        <r>
          <rPr>
            <sz val="10"/>
            <color rgb="FF000000"/>
            <rFont val="Arial"/>
            <scheme val="minor"/>
          </rPr>
          <t>Transferência do colaborador 15801 CIENA DA SILVA BATISTA, para a Filial CASH SILVES, Setor CHECK-OUT-CASH SILVES, Cargo OPERADOR(A) DE CAIXA</t>
        </r>
      </text>
    </comment>
    <comment ref="H386" authorId="0">
      <text>
        <r>
          <rPr>
            <sz val="10"/>
            <color rgb="FF000000"/>
            <rFont val="Arial"/>
            <scheme val="minor"/>
          </rPr>
          <t>Transferência do colaborador 14545 CRISTIANO ALVES DE MELO JUNIOR, para a Filial CASH COMPENSA, Setor FRIOS-CASH COMPENSA, Cargo REPOSITOR</t>
        </r>
      </text>
    </comment>
    <comment ref="H387" authorId="0">
      <text>
        <r>
          <rPr>
            <sz val="10"/>
            <color rgb="FF000000"/>
            <rFont val="Arial"/>
            <scheme val="minor"/>
          </rPr>
          <t>Promoção do colaborador 14165 JUAN VITOR LOPES DE SOUZA, para a Filial CASH CENTRO, Setor LOGISTICA-CASH CENTRO, Cargo AUXILIAR ADMINISTRATIVO</t>
        </r>
      </text>
    </comment>
    <comment ref="H388" authorId="0">
      <text>
        <r>
          <rPr>
            <sz val="10"/>
            <color rgb="FF000000"/>
            <rFont val="Arial"/>
            <scheme val="minor"/>
          </rPr>
          <t>Desligamento Pedido de demissão do colaborador 15693 ISABELLE CRISTINE SANTOS DA SILVA.</t>
        </r>
      </text>
    </comment>
    <comment ref="H389" authorId="0">
      <text>
        <r>
          <rPr>
            <sz val="10"/>
            <color rgb="FF000000"/>
            <rFont val="Arial"/>
            <scheme val="minor"/>
          </rPr>
          <t>Transferência do colaborador 16995 PAMELA PENHA MENDES, para a Filial CASH PONTE, Setor CHECK-OUT-CASH PONTE, Cargo OPERADOR(A) DE CAIXA</t>
        </r>
      </text>
    </comment>
    <comment ref="H390" authorId="0">
      <text>
        <r>
          <rPr>
            <sz val="10"/>
            <color rgb="FF000000"/>
            <rFont val="Arial"/>
            <scheme val="minor"/>
          </rPr>
          <t>Desligamento Pedido de demissão do colaborador 16103 ERICK RAFAEL MENDES LIMA.</t>
        </r>
      </text>
    </comment>
    <comment ref="H391" authorId="0">
      <text>
        <r>
          <rPr>
            <sz val="10"/>
            <color rgb="FF000000"/>
            <rFont val="Arial"/>
            <scheme val="minor"/>
          </rPr>
          <t>Desligamento Pedido de demissão do colaborador 16374 EDSON RAMON MARAT PEREIRA .</t>
        </r>
      </text>
    </comment>
    <comment ref="H392" authorId="0">
      <text>
        <r>
          <rPr>
            <sz val="10"/>
            <color rgb="FF000000"/>
            <rFont val="Arial"/>
            <scheme val="minor"/>
          </rPr>
          <t>Transferência do colaborador 11516 ADEILSON SILVA DE CASTRO, para a Filial CASH PONTE, Setor FLV-CASH PONTE, Cargo AUXILIAR DE LOJA</t>
        </r>
      </text>
    </comment>
    <comment ref="H393" authorId="0">
      <text>
        <r>
          <rPr>
            <sz val="10"/>
            <color rgb="FF000000"/>
            <rFont val="Arial"/>
            <scheme val="minor"/>
          </rPr>
          <t>Transferência do colaborador 16887 JAIRO GABRIEL DA SILVA GOES , para a Filial PRONTO+COMPENSA, Setor PREV.E PERDAS- COMPENSA BP, Cargo FISCAL DE PREV DE PERDAS</t>
        </r>
      </text>
    </comment>
    <comment ref="H394" authorId="0">
      <text>
        <r>
          <rPr>
            <sz val="10"/>
            <color rgb="FF000000"/>
            <rFont val="Arial"/>
            <scheme val="minor"/>
          </rPr>
          <t>Promoção do colaborador 6582 MARCIA MARIA DA SILVA RAMOS, para a Filial CASH FLORES, Setor LOGISTICA-CASH FLORES, Cargo ASSIST.ADM I</t>
        </r>
      </text>
    </comment>
    <comment ref="H395" authorId="0">
      <text>
        <r>
          <rPr>
            <sz val="10"/>
            <color rgb="FF000000"/>
            <rFont val="Arial"/>
            <scheme val="minor"/>
          </rPr>
          <t>Desligamento Pedido de demissão do colaborador 17403 CAROLINE SOUSA DINIZ.</t>
        </r>
      </text>
    </comment>
    <comment ref="H396" authorId="0">
      <text>
        <r>
          <rPr>
            <sz val="10"/>
            <color rgb="FF000000"/>
            <rFont val="Arial"/>
            <scheme val="minor"/>
          </rPr>
          <t>Desligamento Pedido de demissão do colaborador 15809 JOSUE MACIEL DE SOUZA.</t>
        </r>
      </text>
    </comment>
    <comment ref="H397" authorId="0">
      <text>
        <r>
          <rPr>
            <sz val="10"/>
            <color rgb="FF000000"/>
            <rFont val="Arial"/>
            <scheme val="minor"/>
          </rPr>
          <t>Desligamento Pedido de demissão do colaborador 17584 KLICIA DE SOUZA DE OLIVEIRA.</t>
        </r>
      </text>
    </comment>
    <comment ref="H398" authorId="0">
      <text>
        <r>
          <rPr>
            <sz val="10"/>
            <color rgb="FF000000"/>
            <rFont val="Arial"/>
            <scheme val="minor"/>
          </rPr>
          <t>Desligamento Pedido de demissão do colaborador 14438 VANESSA CRISTINA FERREIRA DA SILVA.</t>
        </r>
      </text>
    </comment>
    <comment ref="H399" authorId="0">
      <text>
        <r>
          <rPr>
            <sz val="10"/>
            <color rgb="FF000000"/>
            <rFont val="Arial"/>
            <scheme val="minor"/>
          </rPr>
          <t>Desligamento Pedido de demissão do colaborador 14422 GUSTAVO DA SILVA MOREIRA.</t>
        </r>
      </text>
    </comment>
    <comment ref="H400" authorId="0">
      <text>
        <r>
          <rPr>
            <sz val="10"/>
            <color rgb="FF000000"/>
            <rFont val="Arial"/>
            <scheme val="minor"/>
          </rPr>
          <t>Desligamento Pedido de demissão do colaborador 16842 JULIANA ANDRADE DA SILVA .</t>
        </r>
      </text>
    </comment>
    <comment ref="H401" authorId="0">
      <text>
        <r>
          <rPr>
            <sz val="10"/>
            <color rgb="FF000000"/>
            <rFont val="Arial"/>
            <scheme val="minor"/>
          </rPr>
          <t>Desligamento Imediato com substituição posterior do colaborador 17277 MARIA VITORIA NUNES DE ARAUJO .</t>
        </r>
      </text>
    </comment>
    <comment ref="H402" authorId="0">
      <text>
        <r>
          <rPr>
            <sz val="10"/>
            <color rgb="FF000000"/>
            <rFont val="Arial"/>
            <scheme val="minor"/>
          </rPr>
          <t>Desligamento Pedido de demissão do colaborador 10785 JEANE VALENTE GOMES.</t>
        </r>
      </text>
    </comment>
    <comment ref="H403" authorId="0">
      <text>
        <r>
          <rPr>
            <sz val="10"/>
            <color rgb="FF000000"/>
            <rFont val="Arial"/>
            <scheme val="minor"/>
          </rPr>
          <t>Desligamento Pedido de demissão do colaborador 16573 LIVIA SILVANA DA SILVA OLIVEIRA.</t>
        </r>
      </text>
    </comment>
    <comment ref="H404" authorId="0">
      <text>
        <r>
          <rPr>
            <sz val="10"/>
            <color rgb="FF000000"/>
            <rFont val="Arial"/>
            <scheme val="minor"/>
          </rPr>
          <t>Desligamento Pedido de demissão do colaborador 16856 DAILANE MACHADO DE SANTANA .</t>
        </r>
      </text>
    </comment>
    <comment ref="H405" authorId="0">
      <text>
        <r>
          <rPr>
            <sz val="10"/>
            <color rgb="FF000000"/>
            <rFont val="Arial"/>
            <scheme val="minor"/>
          </rPr>
          <t>Desligamento Pedido de demissão do colaborador 16050 THAIS PERES FERREIRA .</t>
        </r>
      </text>
    </comment>
    <comment ref="H406" authorId="0">
      <text>
        <r>
          <rPr>
            <sz val="10"/>
            <color rgb="FF000000"/>
            <rFont val="Arial"/>
            <scheme val="minor"/>
          </rPr>
          <t>Desligamento Pedido de demissão do colaborador 15252 AMANDA BARBOSA DE SOUZA .</t>
        </r>
      </text>
    </comment>
    <comment ref="H407" authorId="0">
      <text>
        <r>
          <rPr>
            <sz val="10"/>
            <color rgb="FF000000"/>
            <rFont val="Arial"/>
            <scheme val="minor"/>
          </rPr>
          <t>Desligamento Pedido de demissão do colaborador 14816 RUSBELY ALEXANDRA ARREAZA CAMPOS.</t>
        </r>
      </text>
    </comment>
    <comment ref="H408" authorId="0">
      <text>
        <r>
          <rPr>
            <sz val="10"/>
            <color rgb="FF000000"/>
            <rFont val="Arial"/>
            <scheme val="minor"/>
          </rPr>
          <t>Desligamento Pedido de demissão do colaborador 15820 BRUNO MACIEL DA SILVA.</t>
        </r>
      </text>
    </comment>
    <comment ref="H409" authorId="0">
      <text>
        <r>
          <rPr>
            <sz val="10"/>
            <color rgb="FF000000"/>
            <rFont val="Arial"/>
            <scheme val="minor"/>
          </rPr>
          <t>Transferência do colaborador 11189 DAIANE RAFAELA SANTOS DA SILVA, para a Filial CD VAREJO, Setor PREV.E PERDAS-CD VAREJO, Cargo FISCAL DE PREV DE PERDAS</t>
        </r>
      </text>
    </comment>
    <comment ref="H410" authorId="0">
      <text>
        <r>
          <rPr>
            <sz val="10"/>
            <color rgb="FF000000"/>
            <rFont val="Arial"/>
            <scheme val="minor"/>
          </rPr>
          <t>Desligamento Pedido de demissão do colaborador 16999 IGOR GONCALVES DE CASTRO.</t>
        </r>
      </text>
    </comment>
    <comment ref="H411" authorId="0">
      <text>
        <r>
          <rPr>
            <sz val="10"/>
            <color rgb="FF000000"/>
            <rFont val="Arial"/>
            <scheme val="minor"/>
          </rPr>
          <t>Desligamento Pedido de demissão do colaborador 17897 JORGE OLIVEIRA SILVA NETO.</t>
        </r>
      </text>
    </comment>
    <comment ref="H412" authorId="0">
      <text>
        <r>
          <rPr>
            <sz val="10"/>
            <color rgb="FF000000"/>
            <rFont val="Arial"/>
            <scheme val="minor"/>
          </rPr>
          <t>Desligamento Pedido de demissão do colaborador 17905 LARISSA DA CUNHA LIMA .</t>
        </r>
      </text>
    </comment>
    <comment ref="H413" authorId="0">
      <text>
        <r>
          <rPr>
            <sz val="10"/>
            <color rgb="FF000000"/>
            <rFont val="Arial"/>
            <scheme val="minor"/>
          </rPr>
          <t>Desligamento Imediato com substituição posterior do colaborador 17125 ADSON DOS SANTOS MACIEL .</t>
        </r>
      </text>
    </comment>
    <comment ref="H414" authorId="0">
      <text>
        <r>
          <rPr>
            <sz val="10"/>
            <color rgb="FF000000"/>
            <rFont val="Arial"/>
            <scheme val="minor"/>
          </rPr>
          <t>Transferência do colaborador 16458 FELIPE MAYARD VALE SILVA, para a Filial CASH TORRES, Setor MERCEARIA-CASH TORRES, Cargo REPOSITOR</t>
        </r>
      </text>
    </comment>
    <comment ref="H415" authorId="0">
      <text>
        <r>
          <rPr>
            <sz val="10"/>
            <color rgb="FF000000"/>
            <rFont val="Arial"/>
            <scheme val="minor"/>
          </rPr>
          <t>Desligamento Pedido de demissão do colaborador 16639 JAQUELINE DA SILVA CARDOSO .</t>
        </r>
      </text>
    </comment>
    <comment ref="H416" authorId="0">
      <text>
        <r>
          <rPr>
            <sz val="10"/>
            <color rgb="FF000000"/>
            <rFont val="Arial"/>
            <scheme val="minor"/>
          </rPr>
          <t>Promoção do colaborador 10897 RAILSON CHARLES COELHO CAMPOS, para a Filial CASH SILVES, Setor PREV.E PERDAS-CASH SILVES, Cargo ENCARREGADO DE PREV PERDAS I</t>
        </r>
      </text>
    </comment>
    <comment ref="H417" authorId="0">
      <text>
        <r>
          <rPr>
            <sz val="10"/>
            <color rgb="FF000000"/>
            <rFont val="Arial"/>
            <scheme val="minor"/>
          </rPr>
          <t>Desligamento Pedido de demissão do colaborador 17060 MARYJHANE FIGUEIRA VINENTE.</t>
        </r>
      </text>
    </comment>
    <comment ref="H418" authorId="0">
      <text>
        <r>
          <rPr>
            <sz val="10"/>
            <color rgb="FF000000"/>
            <rFont val="Arial"/>
            <scheme val="minor"/>
          </rPr>
          <t>Transferência do colaborador 13466 JOSUE KALEBE SERRAO ROCHA, para a Filial CASH BARREIRA, Setor FRIOS-CASH BARREIRA, Cargo REPOSITOR</t>
        </r>
      </text>
    </comment>
    <comment ref="H419" authorId="0">
      <text>
        <r>
          <rPr>
            <sz val="10"/>
            <color rgb="FF000000"/>
            <rFont val="Arial"/>
            <scheme val="minor"/>
          </rPr>
          <t>Transferência do colaborador 17183 MATEUS LEAL DA SILVA, para a Filial CASH VIA NORTE, Setor MERCEARIA-CASH VIA NORTE, Cargo REPOSITOR</t>
        </r>
      </text>
    </comment>
    <comment ref="H420" authorId="0">
      <text>
        <r>
          <rPr>
            <sz val="10"/>
            <color rgb="FF000000"/>
            <rFont val="Arial"/>
            <scheme val="minor"/>
          </rPr>
          <t>Desligamento Imediato com substituição posterior do colaborador 18397 ANASTACIA FRANCA DA COSTA.</t>
        </r>
      </text>
    </comment>
    <comment ref="H421" authorId="0">
      <text>
        <r>
          <rPr>
            <sz val="10"/>
            <color rgb="FF000000"/>
            <rFont val="Arial"/>
            <scheme val="minor"/>
          </rPr>
          <t>Substitiur colaboradora que foi promovida.</t>
        </r>
      </text>
    </comment>
    <comment ref="H422" authorId="0">
      <text>
        <r>
          <rPr>
            <sz val="10"/>
            <color rgb="FF000000"/>
            <rFont val="Arial"/>
            <scheme val="minor"/>
          </rPr>
          <t>Solicitação de movimentação de admissão criada, pois o colaborador 8615 - FABIO JUNIOR SILVA DE SOUZA foi desligado da lotação Filial 6 - CASH COMPENSA, Setor 965 - CORPORATIVO-CASH COMPENSA, no Cargo 182 - AUXILIAR DE LOJA, e o mesmo informa que deseja substituí-lo contratando um novo colaborador.</t>
        </r>
      </text>
    </comment>
    <comment ref="H423" authorId="0">
      <text>
        <r>
          <rPr>
            <sz val="10"/>
            <color rgb="FF000000"/>
            <rFont val="Arial"/>
            <scheme val="minor"/>
          </rPr>
          <t>Em substituição a Colaborador Promovido .</t>
        </r>
      </text>
    </comment>
    <comment ref="H424" authorId="0">
      <text>
        <r>
          <rPr>
            <sz val="10"/>
            <color rgb="FF000000"/>
            <rFont val="Arial"/>
            <scheme val="minor"/>
          </rPr>
          <t>Em substituição a colaborador desligado</t>
        </r>
      </text>
    </comment>
    <comment ref="H425" authorId="0">
      <text>
        <r>
          <rPr>
            <sz val="10"/>
            <color rgb="FF000000"/>
            <rFont val="Arial"/>
            <scheme val="minor"/>
          </rPr>
          <t>Solicito o desligamento da colaboradora no término de contrato de experiência.</t>
        </r>
      </text>
    </comment>
    <comment ref="H426" authorId="0">
      <text>
        <r>
          <rPr>
            <sz val="10"/>
            <color rgb="FF000000"/>
            <rFont val="Arial"/>
            <scheme val="minor"/>
          </rPr>
          <t>Substituir desligamento.</t>
        </r>
      </text>
    </comment>
    <comment ref="H427" authorId="0">
      <text>
        <r>
          <rPr>
            <sz val="10"/>
            <color rgb="FF000000"/>
            <rFont val="Arial"/>
            <scheme val="minor"/>
          </rPr>
          <t>Solicitação de movimentação de admissão criada, pois o colaborador 16106 - SHEILA DE SOUSA PEREIRA foi transferido da lotação Filial 31 - CASH CENTRO, Setor 928 - CHECK-OUT-CASH CENTRO, no Cargo 163 - OPERADOR(A) DE CAIXA, e o mesmo informa que deseja substituí-lo contratando um novo colaborador.</t>
        </r>
      </text>
    </comment>
    <comment ref="H428" authorId="0">
      <text>
        <r>
          <rPr>
            <sz val="10"/>
            <color rgb="FF000000"/>
            <rFont val="Arial"/>
            <scheme val="minor"/>
          </rPr>
          <t>Substituição de desligamento.</t>
        </r>
      </text>
    </comment>
    <comment ref="H429" authorId="0">
      <text>
        <r>
          <rPr>
            <sz val="10"/>
            <color rgb="FF000000"/>
            <rFont val="Arial"/>
            <scheme val="minor"/>
          </rPr>
          <t>Desligamento Após a substituição do colaborador 16576 EMERSON COUTINHO DA SILVA .</t>
        </r>
      </text>
    </comment>
    <comment ref="H430" authorId="0">
      <text>
        <r>
          <rPr>
            <sz val="10"/>
            <color rgb="FF000000"/>
            <rFont val="Arial"/>
            <scheme val="minor"/>
          </rPr>
          <t>Desligamento Imediato com substituição posterior do colaborador 11017 MARCELINE AUGIRIS.</t>
        </r>
      </text>
    </comment>
    <comment ref="H431" authorId="0">
      <text>
        <r>
          <rPr>
            <sz val="10"/>
            <color rgb="FF000000"/>
            <rFont val="Arial"/>
            <scheme val="minor"/>
          </rPr>
          <t>Desligamento Pedido de demissão do colaborador 18081 OZENILTON BARBOSA DE SOUZA .</t>
        </r>
      </text>
    </comment>
    <comment ref="H432" authorId="0">
      <text>
        <r>
          <rPr>
            <sz val="10"/>
            <color rgb="FF000000"/>
            <rFont val="Arial"/>
            <scheme val="minor"/>
          </rPr>
          <t>Desligamento Pedido de demissão do colaborador 18374 WIVENNA FERNANDA PEREIRA DE SOUZA .</t>
        </r>
      </text>
    </comment>
    <comment ref="H433" authorId="0">
      <text>
        <r>
          <rPr>
            <sz val="10"/>
            <color rgb="FF000000"/>
            <rFont val="Arial"/>
            <scheme val="minor"/>
          </rPr>
          <t>Promoção do colaborador 13467 JEFERSON COELHO DOS SANTOS, para a Filial CASH PONTE, Setor CHECK-OUT-CASH PONTE, Cargo FISCAL DE CAIXA</t>
        </r>
      </text>
    </comment>
    <comment ref="H434" authorId="0">
      <text>
        <r>
          <rPr>
            <sz val="10"/>
            <color rgb="FF000000"/>
            <rFont val="Arial"/>
            <scheme val="minor"/>
          </rPr>
          <t>Desligamento Pedido de demissão do colaborador 17778 ITALO YURI SERRAO DE ALMEIDA .</t>
        </r>
      </text>
    </comment>
    <comment ref="H435" authorId="0">
      <text>
        <r>
          <rPr>
            <sz val="10"/>
            <color rgb="FF000000"/>
            <rFont val="Arial"/>
            <scheme val="minor"/>
          </rPr>
          <t>Promoção do colaborador 14594 ROBERT WENDREL PEREIRA DOS SANTOS, para a Filial CASH PONTE, Setor PREV.E PERDAS-CASH PONTE, Cargo AUX. OPERACIONAL ADM</t>
        </r>
      </text>
    </comment>
    <comment ref="H436" authorId="0">
      <text>
        <r>
          <rPr>
            <sz val="10"/>
            <color rgb="FF000000"/>
            <rFont val="Arial"/>
            <scheme val="minor"/>
          </rPr>
          <t>O colaborador não atende as expectativas, e não entrega resultado e as metas,</t>
        </r>
      </text>
    </comment>
    <comment ref="H437" authorId="0">
      <text>
        <r>
          <rPr>
            <sz val="10"/>
            <color rgb="FF000000"/>
            <rFont val="Arial"/>
            <scheme val="minor"/>
          </rPr>
          <t>Desligamento Imediato com substituição posterior do colaborador 17917 FABIANO GUADALUPE DE SOUZA.</t>
        </r>
      </text>
    </comment>
    <comment ref="H438" authorId="0">
      <text>
        <r>
          <rPr>
            <sz val="10"/>
            <color rgb="FF000000"/>
            <rFont val="Arial"/>
            <scheme val="minor"/>
          </rPr>
          <t>Promoção do colaborador 16649 ADRIANO MACIEL NEGREIROS , para a Filial CASH PONTE, Setor LOGISTICA-CASH PONTE, Cargo CONFERENTE</t>
        </r>
      </text>
    </comment>
    <comment ref="H439" authorId="0">
      <text>
        <r>
          <rPr>
            <sz val="10"/>
            <color rgb="FF000000"/>
            <rFont val="Arial"/>
            <scheme val="minor"/>
          </rPr>
          <t>Desligamento Pedido de demissão do colaborador 18141 GLEICIANE NONATO DE LIMA.</t>
        </r>
      </text>
    </comment>
    <comment ref="H440" authorId="0">
      <text>
        <r>
          <rPr>
            <sz val="10"/>
            <color rgb="FF000000"/>
            <rFont val="Arial"/>
            <scheme val="minor"/>
          </rPr>
          <t>Desligamento Imediato com substituição posterior do colaborador 11661 RAFAEL NOLASCO RABELO.</t>
        </r>
      </text>
    </comment>
    <comment ref="H441" authorId="0">
      <text>
        <r>
          <rPr>
            <sz val="10"/>
            <color rgb="FF000000"/>
            <rFont val="Arial"/>
            <scheme val="minor"/>
          </rPr>
          <t>Transferência do colaborador 16765 FABIANO LEAL DA SILVA , para a Filial CASH TORRES, Setor MERCEARIA-CASH TORRES, Cargo REPOSITOR</t>
        </r>
      </text>
    </comment>
    <comment ref="H442" authorId="0">
      <text>
        <r>
          <rPr>
            <sz val="10"/>
            <color rgb="FF000000"/>
            <rFont val="Arial"/>
            <scheme val="minor"/>
          </rPr>
          <t>Transferência do colaborador 16458 FELIPE MAYARD VALE SILVA, para a Filial CASH TORRES, Setor MERCEARIA-CASH TORRES, Cargo REPOSITOR</t>
        </r>
      </text>
    </comment>
    <comment ref="H443" authorId="0">
      <text>
        <r>
          <rPr>
            <sz val="10"/>
            <color rgb="FF000000"/>
            <rFont val="Arial"/>
            <scheme val="minor"/>
          </rPr>
          <t>Desligamento Após a substituição do colaborador 14945 LAZARO FELIX DA SILVA .</t>
        </r>
      </text>
    </comment>
    <comment ref="H444" authorId="0">
      <text>
        <r>
          <rPr>
            <sz val="10"/>
            <color rgb="FF000000"/>
            <rFont val="Arial"/>
            <scheme val="minor"/>
          </rPr>
          <t>Transferência do colaborador 14935 STEPHANIE CARVALHO DA SILVA, para a Filial CASH CIDADE DE DEUS, Setor MERCEARIA-CASH CIDADE DE DEUS, Cargo REPOSITOR</t>
        </r>
      </text>
    </comment>
    <comment ref="H445" authorId="0">
      <text>
        <r>
          <rPr>
            <sz val="10"/>
            <color rgb="FF000000"/>
            <rFont val="Arial"/>
            <scheme val="minor"/>
          </rPr>
          <t>Transferência do colaborador 11331 MAGALY DE SOUZA LIMA, para a Filial CASH CIDADE DE DEUS, Setor PADARIA-CASH CIDADE DE DEUS, Cargo ATENDENTE DE PADARIA</t>
        </r>
      </text>
    </comment>
    <comment ref="H446" authorId="0">
      <text>
        <r>
          <rPr>
            <sz val="10"/>
            <color rgb="FF000000"/>
            <rFont val="Arial"/>
            <scheme val="minor"/>
          </rPr>
          <t>Promoção do colaborador 16578 MARIA VITORIA RAMOS RODRIGUES , para a Filial CD VAREJO, Setor COMPRAS-CD VAREJO, Cargo ASSIST.ADM I</t>
        </r>
      </text>
    </comment>
    <comment ref="H447" authorId="0">
      <text>
        <r>
          <rPr>
            <sz val="10"/>
            <color rgb="FF000000"/>
            <rFont val="Arial"/>
            <scheme val="minor"/>
          </rPr>
          <t>Desligamento Pedido de demissão do colaborador 18024 JULIO CESAR FERREIRA DOS SANTOS.</t>
        </r>
      </text>
    </comment>
    <comment ref="H448" authorId="0">
      <text>
        <r>
          <rPr>
            <sz val="10"/>
            <color rgb="FF000000"/>
            <rFont val="Arial"/>
            <scheme val="minor"/>
          </rPr>
          <t>Desligamento Após a substituição do colaborador 11191 JHONATHAN HERBERT DA SILVA COELHO.</t>
        </r>
      </text>
    </comment>
    <comment ref="H449" authorId="0">
      <text>
        <r>
          <rPr>
            <sz val="10"/>
            <color rgb="FF000000"/>
            <rFont val="Arial"/>
            <scheme val="minor"/>
          </rPr>
          <t>Transferência do colaborador 18374 WIVENNA FERNANDA PEREIRA DE SOUZA , para a Filial CASH VIA NORTE, Setor CHECK-OUT-CASH VN, Cargo OPERADOR(A) DE CAIXA</t>
        </r>
      </text>
    </comment>
    <comment ref="H450" authorId="0">
      <text>
        <r>
          <rPr>
            <sz val="10"/>
            <color rgb="FF000000"/>
            <rFont val="Arial"/>
            <scheme val="minor"/>
          </rPr>
          <t>Desligamento Imediato com substituição posterior do colaborador 17171 ELIAS COELHO RODRIGUES .</t>
        </r>
      </text>
    </comment>
    <comment ref="H451" authorId="0">
      <text>
        <r>
          <rPr>
            <sz val="10"/>
            <color rgb="FF000000"/>
            <rFont val="Arial"/>
            <scheme val="minor"/>
          </rPr>
          <t>Promoção do colaborador 15617 ELIZANDRA DA CONCEICAO , para a Filial NOVA ERA MAO, Setor CORP. FINANCEIRO-MNE MAO, Cargo AUX DE TESOURARIA</t>
        </r>
      </text>
    </comment>
    <comment ref="H452" authorId="0">
      <text>
        <r>
          <rPr>
            <sz val="10"/>
            <color rgb="FF000000"/>
            <rFont val="Arial"/>
            <scheme val="minor"/>
          </rPr>
          <t>Desligamento Pedido de demissão do colaborador 17732 ELLEN CRISTINA GOMES DE ARAUJO.</t>
        </r>
      </text>
    </comment>
    <comment ref="H453" authorId="0">
      <text>
        <r>
          <rPr>
            <sz val="10"/>
            <color rgb="FF000000"/>
            <rFont val="Arial"/>
            <scheme val="minor"/>
          </rPr>
          <t>Desligamento Pedido de demissão do colaborador 12135 ANDRE MARTINS DOS SANTOS MESQUITA.</t>
        </r>
      </text>
    </comment>
    <comment ref="H454" authorId="0">
      <text>
        <r>
          <rPr>
            <sz val="10"/>
            <color rgb="FF000000"/>
            <rFont val="Arial"/>
            <scheme val="minor"/>
          </rPr>
          <t>Transferência do colaborador 15482 ALTEMAR MAGALHAES DE SOUZA JUNIOR, para a Filial CASH GRANDE CIRCULAR, Setor FRIOS-CASH GC, Cargo REPOSITOR</t>
        </r>
      </text>
    </comment>
    <comment ref="H455" authorId="0">
      <text>
        <r>
          <rPr>
            <sz val="10"/>
            <color rgb="FF000000"/>
            <rFont val="Arial"/>
            <scheme val="minor"/>
          </rPr>
          <t>Transferência do colaborador 12491 ANDREI NONATO DOS SANTOS FERNANDES, para a Filial CASH GRANDE CIRCULAR, Setor MERCEARIA-CASH GRANDE CIRCULAR, Cargo REPOSITOR</t>
        </r>
      </text>
    </comment>
    <comment ref="H456" authorId="0">
      <text>
        <r>
          <rPr>
            <sz val="10"/>
            <color rgb="FF000000"/>
            <rFont val="Arial"/>
            <scheme val="minor"/>
          </rPr>
          <t>Promoção do colaborador 16680 MAYARA LIMA DOS SANTOS, para a Filial CD VAREJO, Setor CORP.PREVENCAO E PERDAS-CD VAREJO, Cargo AUX. OPERACIONAL ADM</t>
        </r>
      </text>
    </comment>
    <comment ref="H457" authorId="0">
      <text>
        <r>
          <rPr>
            <sz val="10"/>
            <color rgb="FF000000"/>
            <rFont val="Arial"/>
            <scheme val="minor"/>
          </rPr>
          <t>Desligamento Pedido de demissão do colaborador 14849 CASSIO JUNIOR AGUIAR FLEXA.</t>
        </r>
      </text>
    </comment>
    <comment ref="H458" authorId="0">
      <text>
        <r>
          <rPr>
            <sz val="10"/>
            <color rgb="FF000000"/>
            <rFont val="Arial"/>
            <scheme val="minor"/>
          </rPr>
          <t>Desligamento Pedido de demissão do colaborador 18549 MESSIAS GONCALVES DOS SANTOS.</t>
        </r>
      </text>
    </comment>
    <comment ref="H459" authorId="0">
      <text>
        <r>
          <rPr>
            <sz val="10"/>
            <color rgb="FF000000"/>
            <rFont val="Arial"/>
            <scheme val="minor"/>
          </rPr>
          <t>Aumento de Quadro</t>
        </r>
      </text>
    </comment>
    <comment ref="H460" authorId="0">
      <text>
        <r>
          <rPr>
            <sz val="10"/>
            <color rgb="FF000000"/>
            <rFont val="Arial"/>
            <scheme val="minor"/>
          </rPr>
          <t>Desligamento Pedido de demissão do colaborador 16871 DEISE ANCHIETA DA ROCHA.</t>
        </r>
      </text>
    </comment>
    <comment ref="H461" authorId="0">
      <text>
        <r>
          <rPr>
            <sz val="10"/>
            <color rgb="FF000000"/>
            <rFont val="Arial"/>
            <scheme val="minor"/>
          </rPr>
          <t>Transferência do colaborador 12300 ROBERT DE LIMA COSTA, para a Filial CASH COMPENSA, Setor CHECK-OUT- CASH COMPENSA, Cargo FISCAL DE CAIXA</t>
        </r>
      </text>
    </comment>
    <comment ref="H462" authorId="0">
      <text>
        <r>
          <rPr>
            <sz val="10"/>
            <color rgb="FF000000"/>
            <rFont val="Arial"/>
            <scheme val="minor"/>
          </rPr>
          <t>Desligamento Pedido de demissão do colaborador 13951 SINETO CARVALHO MENEZES.</t>
        </r>
      </text>
    </comment>
  </commentList>
</comments>
</file>

<file path=xl/sharedStrings.xml><?xml version="1.0" encoding="utf-8"?>
<sst xmlns="http://schemas.openxmlformats.org/spreadsheetml/2006/main" count="16672" uniqueCount="1091">
  <si>
    <t xml:space="preserve">RECEBIMENTO </t>
  </si>
  <si>
    <t>CARGO</t>
  </si>
  <si>
    <t xml:space="preserve">SETOR </t>
  </si>
  <si>
    <t xml:space="preserve">MOTIVO DA VAGA </t>
  </si>
  <si>
    <t xml:space="preserve">COLABORADOR DA SOLICITAÇÃO </t>
  </si>
  <si>
    <t xml:space="preserve">NOVO COLABORADOR </t>
  </si>
  <si>
    <t>TURNO DA VAGA</t>
  </si>
  <si>
    <t xml:space="preserve">DATA DE INTEGRAÇÃO </t>
  </si>
  <si>
    <t>RECRUTADOR (A)</t>
  </si>
  <si>
    <t>STATUS DA VAGA</t>
  </si>
  <si>
    <t xml:space="preserve">TIPO DE VAGA </t>
  </si>
  <si>
    <t>PRAZO (DIAS)</t>
  </si>
  <si>
    <t xml:space="preserve">DATA DE FECHAMENTO </t>
  </si>
  <si>
    <t>Status</t>
  </si>
  <si>
    <t>Data Previsão</t>
  </si>
  <si>
    <t>Prazo (Status)</t>
  </si>
  <si>
    <t>Prazo Real. (Dias)</t>
  </si>
  <si>
    <t>AGENTE DE COLETA</t>
  </si>
  <si>
    <t>PODACAO</t>
  </si>
  <si>
    <t xml:space="preserve">SUBSTITUIÇÃO </t>
  </si>
  <si>
    <t>3821-IVANILSON ROQUE CAUASSA - PCD</t>
  </si>
  <si>
    <t>ALAN SILVA FONTENELLE</t>
  </si>
  <si>
    <t xml:space="preserve">NOTURNO </t>
  </si>
  <si>
    <t>INGRID EDUARDA</t>
  </si>
  <si>
    <t>FECHADA</t>
  </si>
  <si>
    <t>OPERACIONAL</t>
  </si>
  <si>
    <t>MOTORISTA</t>
  </si>
  <si>
    <t>COLETA DOMICILIAR</t>
  </si>
  <si>
    <t>FABIO JERRY FERREIRA FONSECA</t>
  </si>
  <si>
    <t>JOSE DANIEL LORCA DE LA ROSA</t>
  </si>
  <si>
    <t>FRANCISCO DE ASSIS SANTOS JUNIOR</t>
  </si>
  <si>
    <t>SOLDADOR</t>
  </si>
  <si>
    <t>MANUTENCAO</t>
  </si>
  <si>
    <t>JANDEILSON</t>
  </si>
  <si>
    <t>ISAAC PEREIRA DE SOUZA</t>
  </si>
  <si>
    <t>1 TURNO</t>
  </si>
  <si>
    <t>AJUDANTE DE ATERRO</t>
  </si>
  <si>
    <t>OPERACAO E MANUTENCAO DO ATERRO SANITARIO</t>
  </si>
  <si>
    <t>CARLOS JUNIO SOUZA BARBOSA</t>
  </si>
  <si>
    <t>BRENO RODRIGUES FERREIRA</t>
  </si>
  <si>
    <t>GLEDSON PEREIRA DA SILVA - PCD</t>
  </si>
  <si>
    <t>LEANDRO REIS SANTOS</t>
  </si>
  <si>
    <t>VIANEI NASCIMENTO DE LIMA</t>
  </si>
  <si>
    <t>VANDRE DA SILVA ALMEIDA</t>
  </si>
  <si>
    <t>3860-EMERSON PEREIRA DA SILVA</t>
  </si>
  <si>
    <t>EDMUNDO DE SOUSA GARCIA</t>
  </si>
  <si>
    <t>3506-CHARLES CRUZ DA SILVA</t>
  </si>
  <si>
    <t>LUCAS NASCIMENTO GUERREIRO</t>
  </si>
  <si>
    <t>DIURNO</t>
  </si>
  <si>
    <t>3852-WANDSON MACIEL CAXIAS</t>
  </si>
  <si>
    <t>WENDEL LIMA ARAUJO</t>
  </si>
  <si>
    <t>3863-MAIKO JUNIOR RODRIGUES DE SOUZA</t>
  </si>
  <si>
    <t>DEMIDON PEREIRA BEZERRA</t>
  </si>
  <si>
    <t>LAVADOR</t>
  </si>
  <si>
    <t>RODRIGO DOS SANTOS MAIA</t>
  </si>
  <si>
    <t>SERÁ FECHADA INTERNAMENTE - TALENTO INTERNO</t>
  </si>
  <si>
    <t>3572-JAMISON FERREIRA DA SILVA</t>
  </si>
  <si>
    <t>SERÁ FECHADA INTERNAMENTE - CFC (JOÃO)</t>
  </si>
  <si>
    <t>3462-FRANCISCO CELSO DA SILVA NETO</t>
  </si>
  <si>
    <t>SERÁ FECHADA INTERNAMENTE - CFC (FABIANO)</t>
  </si>
  <si>
    <t>3738-BRUNO EDUARDO FERREIRA DE MATOS</t>
  </si>
  <si>
    <t>REINALDO ALY BATISTA</t>
  </si>
  <si>
    <t>3788-DIEGO SILVA DE OLIVEIRA</t>
  </si>
  <si>
    <t>GABRIEL SANTANA DA SILVA</t>
  </si>
  <si>
    <t>3343-LUCAS MATHEUS DE ALMEIDA DIAS</t>
  </si>
  <si>
    <t>JOSUE FREITAS BEZERRA</t>
  </si>
  <si>
    <t>3653-EVERTON JHONATAN TAVARES JOCA</t>
  </si>
  <si>
    <t>ADEILDO BRAGA FERREIRA JUNIOR</t>
  </si>
  <si>
    <t>3532-RAIMUNDO MARCILIO GOMES DE SOUZA</t>
  </si>
  <si>
    <t>CHARLES WESLEY FERREIRA DA COSTA</t>
  </si>
  <si>
    <t>3261-RICHARD GUEDES MELO</t>
  </si>
  <si>
    <t>ALEXANDRE QUEIROZ DOS SANTOS CONSTÂNCIO</t>
  </si>
  <si>
    <t>3685-PEDRO PAULO DOS SANTOS MONIZ</t>
  </si>
  <si>
    <t>MALYSON GABRIEL VIANA DA COSTA</t>
  </si>
  <si>
    <t>3568-EDUARDO PESSOA CASTELO</t>
  </si>
  <si>
    <t>GERLEY MAR DOS ANJOS</t>
  </si>
  <si>
    <t>3620-LEANDRO RODRIGUES DO VALE</t>
  </si>
  <si>
    <t>RUBEM CHARLES COSTA DOS SANTOS</t>
  </si>
  <si>
    <t>3570-SAMUEL MARCELO SANTIAGO DE OLIVEIRA</t>
  </si>
  <si>
    <t xml:space="preserve">LUCAS GOMES BARREIROS </t>
  </si>
  <si>
    <t>3832-RAFAEL RAMIRES DA COSTA</t>
  </si>
  <si>
    <t>KELTON ENDRYO DIAS SOBRINHO</t>
  </si>
  <si>
    <t>3487-RICARDO LIMA DA SILVA</t>
  </si>
  <si>
    <t>WELLINGTON DA SILVA AGUIAR</t>
  </si>
  <si>
    <t>3840-RAFAEL PINHEIRO NASCIMENTO</t>
  </si>
  <si>
    <t>CLAUDIO DA CRUZ DIRANE</t>
  </si>
  <si>
    <t>AUXILIAR ADMINISTRATIVO/APRENDIZ</t>
  </si>
  <si>
    <t>IGOR VINICIUS DA SILVA LELIS</t>
  </si>
  <si>
    <t>JOAO PAULO PINHEIRO SILVA</t>
  </si>
  <si>
    <t>TARDE</t>
  </si>
  <si>
    <t>3623-LINO ABRAHAN PARRA SUAREZ</t>
  </si>
  <si>
    <t>LUAN LIMA FURTADO</t>
  </si>
  <si>
    <t>3766-LEONARDO FERREIRA DA COSTA</t>
  </si>
  <si>
    <t>IGOR CORREA MOREIRA</t>
  </si>
  <si>
    <t>3566-JESUS RAMON MEDINA RAMOS</t>
  </si>
  <si>
    <t>LUCIANO DE SOUZA BARGA</t>
  </si>
  <si>
    <t>2210-GIAN DOMINGOS SAMPAIO CASTRO</t>
  </si>
  <si>
    <t>KENNEDY COSTA DA SILVA</t>
  </si>
  <si>
    <t>3885-FERNANDO WILLIAM OLIVEIRA DA SILVA</t>
  </si>
  <si>
    <t>MAX STANLEY SOUZA MONTEIRO</t>
  </si>
  <si>
    <t>3884-JOSE LUCAS PEREIRA FARIAS</t>
  </si>
  <si>
    <t>WILLIAM SILVA DE CARVALHO</t>
  </si>
  <si>
    <t>3806-ALESSANDRO DE MENEZES RUZO</t>
  </si>
  <si>
    <t>EVERTON TIAGO SANTOS DA SILVA</t>
  </si>
  <si>
    <t>3687-AUGUSTO ALEXANDRE REGES IZEL</t>
  </si>
  <si>
    <t>CARLOS EDUARDO BELEM BESSA</t>
  </si>
  <si>
    <t>OPERADOR DE ROCADEIRA</t>
  </si>
  <si>
    <t>VALDERSON LIMA DOS SANTOS</t>
  </si>
  <si>
    <t>FRANK DA CONCEICAO DO NASCIMENTO</t>
  </si>
  <si>
    <t>OSMAR CAVALCANTE DA SILVA JUNIOR</t>
  </si>
  <si>
    <t>FRANCIVALDO GOMES VIEIRA</t>
  </si>
  <si>
    <t>JOCENILDO SANTIAGO</t>
  </si>
  <si>
    <t>HELIZEU FARUK BRANDAO DOS SANTOS</t>
  </si>
  <si>
    <t>HARLEYSON MARQUES DE LIMA</t>
  </si>
  <si>
    <t>MARILSON BRITO LOPES</t>
  </si>
  <si>
    <t>COLABORADOR CLEUDOMAR NÃO FOI MAIS EFETIVADO PARA A VAGA</t>
  </si>
  <si>
    <t>COLETA EM AREA DE DIFICIL ACESSO II</t>
  </si>
  <si>
    <t>3071-FRANCISCO DE OLIVEIRA GODINHO NETO</t>
  </si>
  <si>
    <t>EDICARLOS DE SOUZA MOTA</t>
  </si>
  <si>
    <t>2909-LUIZ AUGUSTO PRAIA REIS</t>
  </si>
  <si>
    <t>THIAGO FELLIPE CAMPOS GOMES</t>
  </si>
  <si>
    <t>ADMINISTRATIVO FINANCEIRO</t>
  </si>
  <si>
    <t>LUCAS DE SOUZA MORAES</t>
  </si>
  <si>
    <t>FECHADA INTERNAMENTE - APRENDIZ MARLISON</t>
  </si>
  <si>
    <t>EDUCACAO AMBIENTAL</t>
  </si>
  <si>
    <t>3646-LORENA CHAVES DE SOUSA E SOUSA</t>
  </si>
  <si>
    <t>MICHELLE CRISTINA DOS SANTOS HERCULANO</t>
  </si>
  <si>
    <t>MANHÃ</t>
  </si>
  <si>
    <t>3669-MARLISON DA SILVA GOMES</t>
  </si>
  <si>
    <t>RITA DE CASSIA ALVES CARDOSO</t>
  </si>
  <si>
    <t>3549-JOAO PEDRO RODRIGUES DO AMARAL</t>
  </si>
  <si>
    <t>MARCOS EDUARDO PEDROSA GOMES</t>
  </si>
  <si>
    <t>3410-ANDERSON BATISTA SOARES</t>
  </si>
  <si>
    <t>LUIZ HENRIQUE MONTENEGRO DA SILVA</t>
  </si>
  <si>
    <t>3868-LUCAS SOUZA SALES</t>
  </si>
  <si>
    <t>ALESSANDRO REIS DA CUNHA</t>
  </si>
  <si>
    <t>3894-CHARLES WESLEY FERREIRA COSTA</t>
  </si>
  <si>
    <t>DEYVID CAMPOS DOS SANTOS</t>
  </si>
  <si>
    <t>3872-SALATIEL SANTOS</t>
  </si>
  <si>
    <t>JOSE MENEZES DA SILVA</t>
  </si>
  <si>
    <t>3877-RODOLFO KELVYSON PAULINO MARTINS</t>
  </si>
  <si>
    <t>ODIVANILSON CAVALCANTE DA SILVA</t>
  </si>
  <si>
    <t>3864-OSMARINO PEREIRA GOMES JUNIOR</t>
  </si>
  <si>
    <t>ERISVAN LIMA DA SILVA</t>
  </si>
  <si>
    <t>3848-ELIAS SANTOS NASCIMENTO</t>
  </si>
  <si>
    <t>ALDERLANDO MENDES FREIRE</t>
  </si>
  <si>
    <t>3845-MIKAELL MOLDES DA SILVA</t>
  </si>
  <si>
    <t>RIVAN SILVA PAES</t>
  </si>
  <si>
    <t>3300-ELYTON DE CARVALHO ALMEIDA</t>
  </si>
  <si>
    <t>MAICON ALVES DA SILVA</t>
  </si>
  <si>
    <t>3740-CRISTIANO HENRIQUE SAMPAIO BESSA</t>
  </si>
  <si>
    <t>FABRICIO SILVA DE LIMA</t>
  </si>
  <si>
    <t>3672-HADSON SILVEIRA SOUZA</t>
  </si>
  <si>
    <t>MAXWELL BRAGA DPS SANTOS</t>
  </si>
  <si>
    <t>3283-LEONARDO OLIVEIRA LIMA</t>
  </si>
  <si>
    <t>JOSUE CORREA DA SILVA</t>
  </si>
  <si>
    <t>2624-KENNEDY SILVA DA SILVA</t>
  </si>
  <si>
    <t>ADAILSON VERISSIO LIMA MAIA</t>
  </si>
  <si>
    <t>AJUSTE DE QUADRO</t>
  </si>
  <si>
    <t>VAGA COROADO</t>
  </si>
  <si>
    <t>CONGELADA</t>
  </si>
  <si>
    <t>PRECISA SER INDICAÇÃO, AS 3 TENTATIVAS AINDA NÃO DERAM CERTO</t>
  </si>
  <si>
    <t>AUXILIAR DE LOGISTICA</t>
  </si>
  <si>
    <t>TRAFEGO</t>
  </si>
  <si>
    <t>3421-MARCOS ANDRE GUEDES MARTINS</t>
  </si>
  <si>
    <t xml:space="preserve">VAGA CANCELADA </t>
  </si>
  <si>
    <t>AMANDA CRUZ</t>
  </si>
  <si>
    <t>ESTRATÉGICA</t>
  </si>
  <si>
    <t>FISCAL DE OPERACOES PL</t>
  </si>
  <si>
    <t>3161-LUIS ARMANDO DA SILVA FREITAS JUNIOR</t>
  </si>
  <si>
    <t>3435-GIOVANA SILVA DE ASSUNCAO</t>
  </si>
  <si>
    <t>ANTONIO VINICIUS ARAUJO E ARAUJO</t>
  </si>
  <si>
    <t>3817-EVERALDO DE SOUSA OLIVEIRA</t>
  </si>
  <si>
    <t>EDUARDO RODRIGUES DA SILVA</t>
  </si>
  <si>
    <t>FISCAL DE OPERACOES JR</t>
  </si>
  <si>
    <t>REMOCAO MANUAL</t>
  </si>
  <si>
    <t>AUMENTO DE QUADRO</t>
  </si>
  <si>
    <t xml:space="preserve">ABRAÃO FONSECA DE OLIVEIRA </t>
  </si>
  <si>
    <t>ESTAVA SENDO TRABALHADA INTERNAMENTE</t>
  </si>
  <si>
    <t>2675-MAURICIO DE SOUZA ANDRADE</t>
  </si>
  <si>
    <t>WELLINGTON OLIVEIRA DOS SANTOS</t>
  </si>
  <si>
    <t>3020-MATHEUS MORAES DA SILVA</t>
  </si>
  <si>
    <t>LEONARDO DOS SANTOS VASCONCELOS</t>
  </si>
  <si>
    <t>3919-WELLINGTON DA SILVA AGUIAR</t>
  </si>
  <si>
    <t>JOSE THONIS ANJOS DE CASTRO</t>
  </si>
  <si>
    <t>3887-EZEQUIEL NOGUEIRA DE SOUZA</t>
  </si>
  <si>
    <t>MESLQUESEDEQUE FERREIRA DE SOUZA</t>
  </si>
  <si>
    <t>3503-EMERSON VITAL DE MEDEIROS</t>
  </si>
  <si>
    <t>GABRIEL ALMEIDA DO NASCIMENTO</t>
  </si>
  <si>
    <t>3765-CLEMER ROBERTO ARAUJO DA ROCHA</t>
  </si>
  <si>
    <t>KLEBER LUCAS NASCIMENTO DA SILVA</t>
  </si>
  <si>
    <t>3890-ALEXANDRE FERREIRA DE SOUZA</t>
  </si>
  <si>
    <t>JO OLIVEIRA DA SILVA</t>
  </si>
  <si>
    <t>3266-MAGNO DA SILVA OLIVEIRA</t>
  </si>
  <si>
    <t>JONATHAN NEVES DE SOUZA</t>
  </si>
  <si>
    <t>3028-GLEICIOMAR SILVA DA COSTA</t>
  </si>
  <si>
    <t>MADSON JOSE DA SILVA MARTINS</t>
  </si>
  <si>
    <t>3378-GUILHERME SANTOS DOS REIS</t>
  </si>
  <si>
    <t>GEONEY MAR DOS ANJOS</t>
  </si>
  <si>
    <t>3276-LEONARDO DO NASCIMENTO FERREIRA</t>
  </si>
  <si>
    <t>WUANDERSON PEREIRA DA SILVA</t>
  </si>
  <si>
    <t>3531-ADRIANO SILVA DE SOUSA</t>
  </si>
  <si>
    <t>LUIZ FELIPE GAMA LIRA</t>
  </si>
  <si>
    <t>3822-ADRIEL LIMA MARQUES</t>
  </si>
  <si>
    <t>HUDSON JOHN LOPES DOS SANTOS</t>
  </si>
  <si>
    <t>JHONATAN BRITO LIMA</t>
  </si>
  <si>
    <t>07:00 ÀS 17:00</t>
  </si>
  <si>
    <t>3930-LUIZ HENRIQUE MONTENEGRO DA SILVA</t>
  </si>
  <si>
    <t>LUCAS RIBEIRO DE SOUZA</t>
  </si>
  <si>
    <t>3873-DIEGO ABREU NASCIMENTO</t>
  </si>
  <si>
    <t>YORBERT JOSUE CARDEA MARQUES</t>
  </si>
  <si>
    <t>3929-MARCOS EDUARDO PEDROSA GOMES</t>
  </si>
  <si>
    <t>EVERSON DE OLIVEIRA DA SILVA</t>
  </si>
  <si>
    <t>3931-CARLOS EDUARDO BELEM BESSA</t>
  </si>
  <si>
    <t>ANDREW GUILHERME SOUZA DA CUNHA</t>
  </si>
  <si>
    <t>3911-KELTON ENDRYO DIAS SOBRINHO</t>
  </si>
  <si>
    <t>GABRIEL DE LIRA PINHEIRO</t>
  </si>
  <si>
    <t>3879-ALAN SILVA FONTENELLE</t>
  </si>
  <si>
    <t>MOISES TEIXEIRA CRUZ</t>
  </si>
  <si>
    <t>1125-VANDELSON ALVES DE FREITAS</t>
  </si>
  <si>
    <t>ANTONIO MARTIMIANA GERMANO</t>
  </si>
  <si>
    <t>3829-JANILSO DOS REIS GARCIA</t>
  </si>
  <si>
    <t>ALEXANDRE DE ARAUJO RAMOS</t>
  </si>
  <si>
    <t>3779-JOAO PEDRO ANDRADE DE LIMA</t>
  </si>
  <si>
    <t>RUSSIAN MELO DA SILVA</t>
  </si>
  <si>
    <t>WELLINGTTON SILVA DE PAULA VERAS</t>
  </si>
  <si>
    <t>JACKSON MATEUS MARTINS MUNIZ</t>
  </si>
  <si>
    <t>05:00 ÀS 13:20</t>
  </si>
  <si>
    <t>JULINHO DOMINGOS DOS SANTOS</t>
  </si>
  <si>
    <t>AUXILIAR ADMINISTRATIVO/PCD</t>
  </si>
  <si>
    <t>IVAN MATHEUS OLIVEIRA DE AZEVEDO</t>
  </si>
  <si>
    <t>KLYVIA VIEIRA CRUZ RIVOREDO</t>
  </si>
  <si>
    <t>07:00 ÀS 16:00</t>
  </si>
  <si>
    <t>JADEILSON JOSE MENDES</t>
  </si>
  <si>
    <t>FRANCINEY MACIEL BEZERRA</t>
  </si>
  <si>
    <t>12:00 ÀS 20:20</t>
  </si>
  <si>
    <t>RICHARD DE SOUZA CHAGAS</t>
  </si>
  <si>
    <t xml:space="preserve">2984-DAVI DOS SANTOS BATISTA </t>
  </si>
  <si>
    <t>LUCAS FERREIRA CORREIA</t>
  </si>
  <si>
    <t>3959-LUIZ FELIPE GAMA LIRA</t>
  </si>
  <si>
    <t>EZAQUIEL SANTOS DA SILVA</t>
  </si>
  <si>
    <t>MARCELO DE LIMA SOARES</t>
  </si>
  <si>
    <t xml:space="preserve">DARLISON </t>
  </si>
  <si>
    <t xml:space="preserve">2207-RAIMUNDO DA SILVA SANTOS </t>
  </si>
  <si>
    <t>BRUNO SEBASTIÃO SILVA DA CRUZ</t>
  </si>
  <si>
    <t>3972 - EVERSON DE OLIVEIRA DA SILVA</t>
  </si>
  <si>
    <t xml:space="preserve">CARLISON SANTOS DA SILVA </t>
  </si>
  <si>
    <t xml:space="preserve">ANAISA SANTOS </t>
  </si>
  <si>
    <t>ESTA SENDO TRABALHADA INTERNAMENTE</t>
  </si>
  <si>
    <t>3839- DARIO DAS CHAGAS PEREIRA</t>
  </si>
  <si>
    <t>JEAN VITA DE SOUZA</t>
  </si>
  <si>
    <t>3943- ERISVAN LIMA DA SILVA</t>
  </si>
  <si>
    <t>LUCIANO HENRIQUE DA SILVA ARAUJO</t>
  </si>
  <si>
    <t>3842 - RICARDO FERREIRA LOPES</t>
  </si>
  <si>
    <t xml:space="preserve">CARLOS EDUARDO MATOS GUSMÃO </t>
  </si>
  <si>
    <t xml:space="preserve">CARLOS VICTOR DE SOUZA LOPES </t>
  </si>
  <si>
    <t>3413 - GIOVANE SANTOS DA SILVA</t>
  </si>
  <si>
    <t xml:space="preserve">CHRISTIAN HENRIQUE CALDAS SA </t>
  </si>
  <si>
    <t>3952 - GABRIEL ALMEIDA DO NASCIMENTO</t>
  </si>
  <si>
    <t>CLODOMIR CARLOS DE SOUZA NETO</t>
  </si>
  <si>
    <t xml:space="preserve">DARLISON VICTOR DOS SANTOS SOUZA </t>
  </si>
  <si>
    <t xml:space="preserve">DAVI OLIVEIRA DA COSTA </t>
  </si>
  <si>
    <t>AUXILIAR DE OPERACOES</t>
  </si>
  <si>
    <t xml:space="preserve">DEBORA PINHEIRO DA SILVA </t>
  </si>
  <si>
    <t>2204 - DANIEL MENES PERES</t>
  </si>
  <si>
    <t>ABERTA</t>
  </si>
  <si>
    <t>3960- MADSON JOSE DA SILVA MARTINS</t>
  </si>
  <si>
    <t>DEFERSON KAUE VIEIRA RAMOS</t>
  </si>
  <si>
    <t>3265 - RENETH PAZ NUNES</t>
  </si>
  <si>
    <t xml:space="preserve">ERIK JOSE FALCÃO DE SOUZA </t>
  </si>
  <si>
    <t>3785-GLEDSON COSTA DE MENEZES</t>
  </si>
  <si>
    <t>FRANCISCO GOMES DE FREITAS</t>
  </si>
  <si>
    <t>EDILSON LUIZ CARVALHO DE SOUZA</t>
  </si>
  <si>
    <t xml:space="preserve">IZAEL DA SILVA CARANHA </t>
  </si>
  <si>
    <t xml:space="preserve">JHONATAN MORAIS LOPES </t>
  </si>
  <si>
    <t>EDSON CARLOS DA SILVA RAMOS</t>
  </si>
  <si>
    <t xml:space="preserve">JOÃO VICTOR LIMA DE SIQUEIRA </t>
  </si>
  <si>
    <t xml:space="preserve">LEANDRO RODRIGUES DO VALE </t>
  </si>
  <si>
    <t>JOSE ABSALON FERNANDES DE SOUZA JUNIOR</t>
  </si>
  <si>
    <t>3819 - ELDO CABRAL DOS SANTOS</t>
  </si>
  <si>
    <t>JULIO BARBOSA DA SILVA</t>
  </si>
  <si>
    <t xml:space="preserve">LUCAS RAMOS DE LIMA </t>
  </si>
  <si>
    <t xml:space="preserve">3282 - JAIRO SANTOS DE MELO </t>
  </si>
  <si>
    <t>MALONE COSTA DE SOUZA</t>
  </si>
  <si>
    <t>OZEQUIEL DE OLIVEIRA MACIEL</t>
  </si>
  <si>
    <t>MARCELINO GOMES ALVES</t>
  </si>
  <si>
    <t xml:space="preserve">MARCO ISAAC CORREA SILVA DE OLIVEIRA </t>
  </si>
  <si>
    <t>2792 - DANILO CUNHA DOS SANTOS</t>
  </si>
  <si>
    <t xml:space="preserve">MATEUS TOMÉ SILVA BARROSO </t>
  </si>
  <si>
    <t xml:space="preserve">MATHEUS HENRIQUE SOUZA </t>
  </si>
  <si>
    <t>BORRACHEIRO</t>
  </si>
  <si>
    <t>MARCIO MALAQUIAS DA SILVA</t>
  </si>
  <si>
    <t xml:space="preserve">MAXSON SOARES ARAUJO </t>
  </si>
  <si>
    <t>VANDRE DA SILVA ALMDEIDA</t>
  </si>
  <si>
    <t>NELSON DOS SANTOS PINTO</t>
  </si>
  <si>
    <t>VAGA CANCELADA</t>
  </si>
  <si>
    <t>CANCELADA</t>
  </si>
  <si>
    <t xml:space="preserve">3503 - EMERSON VITAL DE MEDEIROS </t>
  </si>
  <si>
    <t xml:space="preserve">RENAN HENRIQUE QUEIROZ NEPONUCENO </t>
  </si>
  <si>
    <t>3887 - EZEQUIEL NOGUEIRA DE SOUZA</t>
  </si>
  <si>
    <t>ROBERT CURSINO BRAZ</t>
  </si>
  <si>
    <t>ROBSON DOS SANTOS SANTEIRO</t>
  </si>
  <si>
    <t>3484 - ALEXON JAIME DA CUNHA MARANHÃO</t>
  </si>
  <si>
    <t xml:space="preserve">TARSÍCIO CORREA LISBOA </t>
  </si>
  <si>
    <t>3940-DEYVID CAMPOS DOS SANTOS</t>
  </si>
  <si>
    <t>ANDRESON DOS SANTOS DE AQUINO</t>
  </si>
  <si>
    <t>3360-LEANDRESON SALES DE LIMA</t>
  </si>
  <si>
    <t>AXEL RODRIGUES DE MIRANDA</t>
  </si>
  <si>
    <t>3878-EMERSON COSTA CAMPOS</t>
  </si>
  <si>
    <t>GABRIEL DA SILVA CARANHA</t>
  </si>
  <si>
    <t>3920-EDICARLOS DE SOUZA MOTA</t>
  </si>
  <si>
    <t>LUCAS QUEIROZ RODRIGUES</t>
  </si>
  <si>
    <t>3011-CARLOS ALBERTO PERES DE OLIVEIRA</t>
  </si>
  <si>
    <t>ANGELO DANIEL BRASIL DE SOUZA</t>
  </si>
  <si>
    <t>3674-WESCLY FEITOSA VIEIRA</t>
  </si>
  <si>
    <t>NADYSON FARAH TRAVASOS</t>
  </si>
  <si>
    <t>3970-ALEXANDRE DE ARUJO RAMOS</t>
  </si>
  <si>
    <t>JOSE CARLOS DA SILVA MARTINS</t>
  </si>
  <si>
    <t>3805-LUCAS GONÇALO CARDOSO</t>
  </si>
  <si>
    <t>WANDERSON DA SILVA LEAL</t>
  </si>
  <si>
    <t>3811-RAMON DA SILVA CASTRO</t>
  </si>
  <si>
    <t>EWERSON GABRIEL NASCIMENTO DA SILVA</t>
  </si>
  <si>
    <t>3613-GERALDO LIMA DE ANDRADE FILHO</t>
  </si>
  <si>
    <t>MARCOS JESUS PEREIRA LOPES</t>
  </si>
  <si>
    <t>ANDREI SOUZA DE OLIVIERA</t>
  </si>
  <si>
    <t>FRANCISCO FORTES DA SILVA</t>
  </si>
  <si>
    <t>TECNICO EM SEGURANCA DO TRABALHO</t>
  </si>
  <si>
    <t>SESMT</t>
  </si>
  <si>
    <t>3771-ANDRIELE PANTOJSA BATISTA</t>
  </si>
  <si>
    <t>JESSICA ANJOS DOS SANTOS BEZERRA</t>
  </si>
  <si>
    <t>3707-DHEFFERSON EMILIO DUTRA LIMA</t>
  </si>
  <si>
    <t>KARLISON DA SILVA VIEIRA</t>
  </si>
  <si>
    <t>3912-LUAN LIMA FURTADO</t>
  </si>
  <si>
    <t>LUIZ ARTHUR PONTES MARINHO</t>
  </si>
  <si>
    <t>3968-RUSSIAN MELO DA SILVA</t>
  </si>
  <si>
    <t>CAUÃ DE SOUZA MONTEIRO</t>
  </si>
  <si>
    <t>ROZIEL FERREIRA DOS SANTOS</t>
  </si>
  <si>
    <t>EDINELSON BATALHA DA SILVA</t>
  </si>
  <si>
    <t>3861-WESLEN MENDES DA COSTA</t>
  </si>
  <si>
    <t>SAMUEL BATISTA DA SILVEIRA</t>
  </si>
  <si>
    <t>3988-LUCAS FERREIRA CORREIA</t>
  </si>
  <si>
    <t>GABRIEL BENTO VIEIRA PEREIRA</t>
  </si>
  <si>
    <t>3992-CLODOMIR CARLOS DE SOUZA NETO</t>
  </si>
  <si>
    <t>MATHEUS JESUS DE SOUZA</t>
  </si>
  <si>
    <t>3958-HUDSON JOHN LOPES DOS SANTOS</t>
  </si>
  <si>
    <t>AYRTON MENESES LIRA</t>
  </si>
  <si>
    <t>3986 - EZQUIEL SANTOS DA SILVA</t>
  </si>
  <si>
    <t>GABRIEL SARMENTO DE SOUZA</t>
  </si>
  <si>
    <t>3773 - TAYSON SOARES DAS CHAGAS</t>
  </si>
  <si>
    <t>GERSON PEREIRA RIBEIRO</t>
  </si>
  <si>
    <t>2897 - SHARLISON DE OLIVEIRA CHAGAS</t>
  </si>
  <si>
    <t>DALISSON LOPES RODRIGUES</t>
  </si>
  <si>
    <t>2624 - KENNEDY SILVA DA SILVA</t>
  </si>
  <si>
    <t>RAFAEL VIANA CARVALHO</t>
  </si>
  <si>
    <t>4010 - CARLISON SANTOS DA SILVA</t>
  </si>
  <si>
    <t>JAILTON CASTRO DOS ANJOS</t>
  </si>
  <si>
    <t>LIANDREI CAMPOS VINHOTE</t>
  </si>
  <si>
    <t>ABRAÃO DA SILVA CARVALHO</t>
  </si>
  <si>
    <t xml:space="preserve">AUMENTO DE QUADRO </t>
  </si>
  <si>
    <t>CHARLES PONTES ALBUQUERQUE</t>
  </si>
  <si>
    <t>CICERO PINTO GOMES</t>
  </si>
  <si>
    <t>DENISNAY NASCIMENTO DE LIMA</t>
  </si>
  <si>
    <t>GEOVANI NOGUEIRA FIGUEIRA</t>
  </si>
  <si>
    <t>ITALO MARTINS DE LIMA</t>
  </si>
  <si>
    <t>JEFFERSON DE BRITO MARQUES</t>
  </si>
  <si>
    <t>LEON THYERRY DA SILVA LIMA</t>
  </si>
  <si>
    <t>MADYSSON JOSE DE SOUSA OLIVEIRA</t>
  </si>
  <si>
    <t>MARCOS ROBERTO PEREIRA SOUZA</t>
  </si>
  <si>
    <t>MATHEUS MORAES LOPES</t>
  </si>
  <si>
    <t>VITOR RONALD MOREIRA SERRÃO</t>
  </si>
  <si>
    <t xml:space="preserve">NILTON FILHO NAZARIO DE MENDONÇA </t>
  </si>
  <si>
    <t xml:space="preserve">JOAO VICTOR ALVES LEMOS </t>
  </si>
  <si>
    <t xml:space="preserve">MARCLEI GABRIEL MENDONÇA DE OLIVIO </t>
  </si>
  <si>
    <t xml:space="preserve">JOAQUIM DE SOUSA MITERI </t>
  </si>
  <si>
    <t xml:space="preserve">PEDRO PAULO SILVA DA SILVA </t>
  </si>
  <si>
    <t xml:space="preserve">DENILSON DOS SANTOS FARIAS </t>
  </si>
  <si>
    <t>GABRIEL FERREIRA SOARES</t>
  </si>
  <si>
    <t xml:space="preserve">TONY CARSON DE SOUZA TEIXEIRA </t>
  </si>
  <si>
    <t xml:space="preserve">ROBERT MACEDO PEREIRA </t>
  </si>
  <si>
    <t>REMOCAO MECANIZADA</t>
  </si>
  <si>
    <t>VICTOR HUGO CARVALHO VILAÇA</t>
  </si>
  <si>
    <t>THALISSON PAIVA DA COSTA</t>
  </si>
  <si>
    <t>HIAN MARCELO ASSUNÇÃO NASCIMENTO</t>
  </si>
  <si>
    <t>JOSÉ DIEGO OLIVEIRA LIMA</t>
  </si>
  <si>
    <t>JARDISON ITALO DOS SANTOS PEREIRA</t>
  </si>
  <si>
    <t>CARLOS DE SOUZA BORGES</t>
  </si>
  <si>
    <t>3831 - LUIS FELIPE QUADROS DA SILVA</t>
  </si>
  <si>
    <t>3861 - JONATHAN NEVES DE SOUZA</t>
  </si>
  <si>
    <t>VITOR DA SILVA SANTOS</t>
  </si>
  <si>
    <t>2433 - GECIVALDO DA CONCEIÇÃO SILVA</t>
  </si>
  <si>
    <t>ANTONIO HUDSON PEREIRA RODRIGUES</t>
  </si>
  <si>
    <t>4025 - LUIZ ARTHUR PONTES MARINHO</t>
  </si>
  <si>
    <t>RODRIGO OLIVEIRA DA COSTA</t>
  </si>
  <si>
    <t>2943 - HEVERTON BELARMINO MACENA</t>
  </si>
  <si>
    <t>TIAGO DA SILVA PEREIRA</t>
  </si>
  <si>
    <t>3896 - WIRLLON MENDES DE OLIVEIRA</t>
  </si>
  <si>
    <t>IZAEL BARBOSA DIAS</t>
  </si>
  <si>
    <t>2793 - LUCAS DA COSTA CALDEIRA</t>
  </si>
  <si>
    <t>MESSIAS THAYLON MARQUES DA COSTA</t>
  </si>
  <si>
    <t>3844 - DOUGLAS PANTOJA BARBOSA</t>
  </si>
  <si>
    <t>RAFAEL DE SOUZA ARAUJO</t>
  </si>
  <si>
    <t>3735 - JHONATAN BELEM DE LIMA</t>
  </si>
  <si>
    <t>RONISON BARROSO GALVÃO</t>
  </si>
  <si>
    <t xml:space="preserve">AGILDO RODRIGUES BARBOSA </t>
  </si>
  <si>
    <t>MECANICO</t>
  </si>
  <si>
    <t>JHONATA MICHAEL SIMPLICIO SILVA</t>
  </si>
  <si>
    <t xml:space="preserve">RAIMUNDO MARQUES FURTADO </t>
  </si>
  <si>
    <t>AUXILIAR/APRENDIZ</t>
  </si>
  <si>
    <t>HELOISA MARJORIE DAMASCENO BARBOSA</t>
  </si>
  <si>
    <t>THALITA WANDA FEITOSA FREIRE</t>
  </si>
  <si>
    <t>3987 - LUCIANO HENRIQUE DA SILVA ARAUJO</t>
  </si>
  <si>
    <t>BRUNO COSTA DOS SANTOS</t>
  </si>
  <si>
    <t>2105 - RAIMUNDO LIMA DE ANDRADE FILHO</t>
  </si>
  <si>
    <t>LUIZ HENRIQUE BRITO LIMA</t>
  </si>
  <si>
    <t>3514 - JOSE GREGORIO GIRON AGUINAGALDE</t>
  </si>
  <si>
    <t>DEUBERT BATISTA DE SOUZA</t>
  </si>
  <si>
    <t>3596 - LUIS ENRIQUE CUENCA GAMBOA</t>
  </si>
  <si>
    <t>WILDSON ARAUJO DA SILVA</t>
  </si>
  <si>
    <t>3543 - TAYLON DA SILVA DO VALE</t>
  </si>
  <si>
    <t xml:space="preserve">LEONARDO ALVES DE AMORIM </t>
  </si>
  <si>
    <t>3625 - RAYKAR MOURA DE SOUZA</t>
  </si>
  <si>
    <t>LUIZ FELIPE SOUZA DO NASCIMENTO</t>
  </si>
  <si>
    <t>BÁRBARA BIANCA RIBEIRO DE SOUZA</t>
  </si>
  <si>
    <t>VITORIA DE VASCONCELOS CERDEIRA</t>
  </si>
  <si>
    <t xml:space="preserve">ANA BEATRIZ DANTAS MONTEIRO </t>
  </si>
  <si>
    <t xml:space="preserve">3687- AUGUSTO ALEXANDRE REGES IZEL </t>
  </si>
  <si>
    <t>SAULO DOS SANTOS NOGUEIRA</t>
  </si>
  <si>
    <t>3776- GUILHERME MORAES SOARES</t>
  </si>
  <si>
    <t>GERBESON LOPES DA  SILVA</t>
  </si>
  <si>
    <t>3807 - LEANDRO BARBOSA PEREIRA</t>
  </si>
  <si>
    <t>CELIO CLYFORD GUIMARAES DOS SANTOS</t>
  </si>
  <si>
    <t>3909 - MAX STANLEY SOUZA MONTEIRO</t>
  </si>
  <si>
    <t xml:space="preserve">JARDILSON DOS SANTOS MAIA </t>
  </si>
  <si>
    <t>3996 - MATHEUS HENRIQUE SOUZA RIBEIRO</t>
  </si>
  <si>
    <t>DAVI SAULO PEREIRA BENTES</t>
  </si>
  <si>
    <t>2340 - FRANCISCO DA SILVA ANTUNES</t>
  </si>
  <si>
    <t>FELIPE BRUNO DANTAS DE SOUZA</t>
  </si>
  <si>
    <t>2379 - ANTONIO FERREIRA DE SOUZA JUNIOR</t>
  </si>
  <si>
    <t xml:space="preserve">3963- JO OLIVEIRA DA SILVA </t>
  </si>
  <si>
    <t xml:space="preserve">EUDOMAR LELIS MEDEIROS </t>
  </si>
  <si>
    <t xml:space="preserve">2842- JOCI CAETANO DE SOUZA </t>
  </si>
  <si>
    <t xml:space="preserve">RODRIGO DE OLIVEIRA PEREIRA </t>
  </si>
  <si>
    <t>3998 - DEFERSON KAUE VIEIRA RAMOS</t>
  </si>
  <si>
    <t xml:space="preserve">LUIZ DAVID SILVA DOS SANTOS </t>
  </si>
  <si>
    <t xml:space="preserve">3999 - ROBSON DOS SANTOS SANTEIRO </t>
  </si>
  <si>
    <t xml:space="preserve">JOAO PAULO MALVEIRA DE SOUZA FILHO </t>
  </si>
  <si>
    <t xml:space="preserve">JACKSON MATEUS MARTINS MUNIZ </t>
  </si>
  <si>
    <t>ANDRÉ FELIPE CARVALHO LOURENÇO</t>
  </si>
  <si>
    <t>4040- JÉSSICA ANJOS DOS SANTOS BEZERRA</t>
  </si>
  <si>
    <t xml:space="preserve">RENATA CIBELLE PINTO </t>
  </si>
  <si>
    <t xml:space="preserve">CAUA BRAGA DA SILVA </t>
  </si>
  <si>
    <t xml:space="preserve">MAIENE VITORIA PEREIRA DA SILVA </t>
  </si>
  <si>
    <t>GEOVANNA RAMOS</t>
  </si>
  <si>
    <t xml:space="preserve">MAURICIO DA SILVA DOURADO </t>
  </si>
  <si>
    <t>NOTURNO</t>
  </si>
  <si>
    <t>3514- JOSE GREGORIO GIRON AGUINAGALDE</t>
  </si>
  <si>
    <t xml:space="preserve">DIOGO DA SILVA MUNIZ </t>
  </si>
  <si>
    <t xml:space="preserve">4011- CHRISTIAN HENRIQUE CALDAS SA </t>
  </si>
  <si>
    <t>KEVERSON FERREIRA DE SOUZA</t>
  </si>
  <si>
    <t>ANAISA DOS SANTOS FREITAS</t>
  </si>
  <si>
    <t>2886- GABRIEL LIRA TRINDADE</t>
  </si>
  <si>
    <t>AMADEU BRAZ DO NASCIMENTO</t>
  </si>
  <si>
    <t xml:space="preserve">3451- HENRIQUE MATHEUS DA SILVA PINTO </t>
  </si>
  <si>
    <t xml:space="preserve">DANIEL HUMAYMACARI DA SILVA </t>
  </si>
  <si>
    <t xml:space="preserve">3652- MAXWEL GOMES DA SILVA </t>
  </si>
  <si>
    <t>CARLOS VINICIYS REBELO PEREIRA</t>
  </si>
  <si>
    <t>3718- HERCULANO ARAUJO BENEZAR</t>
  </si>
  <si>
    <t>RAFAEL ANDRADE DE ALMEIDA</t>
  </si>
  <si>
    <t xml:space="preserve">3905- REINADO ALY BATISTA </t>
  </si>
  <si>
    <t>EDNEY DE MELO GOMES</t>
  </si>
  <si>
    <t xml:space="preserve">3962 - EDUARDO RODRIGUES DA SILVA </t>
  </si>
  <si>
    <t>3688 - ELINALDO DOS SANTOS MACEDO</t>
  </si>
  <si>
    <t>ELIZEU DA SILVA</t>
  </si>
  <si>
    <t xml:space="preserve">3293- FERNANDO MARQUES DA ROCHA </t>
  </si>
  <si>
    <t xml:space="preserve">FÁBIO RUFINO DA SILVA </t>
  </si>
  <si>
    <t>3605- LUCIANO GOMES PEREIRA</t>
  </si>
  <si>
    <t>DEMIS DA SILVA BARBOSA</t>
  </si>
  <si>
    <t>PAMELA MARIA PEDROSO SANTOS ( TRANSFERIDA PARA O TRÁFEGO SUBSTITUINDO YARA VITORIA QUE PEDIU DEMISSÃO)</t>
  </si>
  <si>
    <t>JUCIELY DA SILVA FERREIRA</t>
  </si>
  <si>
    <t>4085 - IZAEL BARBOSA DIAS</t>
  </si>
  <si>
    <t>VICTOR CAUÃ DE SENA MAQUINÉ</t>
  </si>
  <si>
    <t>3940 - DEYVID CAMPOS DOS SANTOS</t>
  </si>
  <si>
    <t>DINEIVALDO DO PORTO BASTOS</t>
  </si>
  <si>
    <t>4046 - TONY CARSON DE SOUZA TEIXEIRA</t>
  </si>
  <si>
    <t>MATEUS DA SILVA SANTOS</t>
  </si>
  <si>
    <t>4056 - HIAN MARCELO ASSUNCAO NASCIMENTO</t>
  </si>
  <si>
    <t>ABRAÃO FERREIRA SEABRA</t>
  </si>
  <si>
    <t>CLEEISSON REIS SILVA</t>
  </si>
  <si>
    <t>4035 - LUCAS QUEIROZ RODRIGUES</t>
  </si>
  <si>
    <t>RAYDSON PAIVA DINIZ</t>
  </si>
  <si>
    <t>4015 - BRUNO SEBASTIAO DA SILVA CRUZ</t>
  </si>
  <si>
    <t>4014 - JHONATAN MORAIS LOPES</t>
  </si>
  <si>
    <t>ALLAN HENRIQUE MONTEIRO FURTADO</t>
  </si>
  <si>
    <t>4013 - ERIKI JOSE FALCAO DE SOUZA</t>
  </si>
  <si>
    <t>KAUAN MATHEUS DO NASCIMENTO RODRIGUES</t>
  </si>
  <si>
    <t>4012 - DAVI OLIVEIRA DA COSTA</t>
  </si>
  <si>
    <t>EDVAN PEREIRA DA SILVA</t>
  </si>
  <si>
    <t>NATANAEL MAIA DA MOTA</t>
  </si>
  <si>
    <t>AUXILIAR ADM/ APRENDIZ</t>
  </si>
  <si>
    <t>CHRISMEL DOS SANTOS BARBOSA</t>
  </si>
  <si>
    <t>LARISSA DOS SANTOS OLIVEIRA</t>
  </si>
  <si>
    <t>AUXILIAR DE MANUTENÇÃO</t>
  </si>
  <si>
    <t>CALEBE ARIEL OLIVEIRO DO NASCIMENTO</t>
  </si>
  <si>
    <t>PINTOR DE AUTOS</t>
  </si>
  <si>
    <t>CHRISTIAM DAVID CAMPOS RIVERO</t>
  </si>
  <si>
    <t>07:00 - 17:00</t>
  </si>
  <si>
    <t>3969 - LUCAS RIBEIRO DE SOUZA</t>
  </si>
  <si>
    <t>3734 - MATHEUS VITOR DA SILVA SANTIAGO</t>
  </si>
  <si>
    <t>3942 - MAICON ALVES DA SILVA</t>
  </si>
  <si>
    <t>3559 - CLEITON DE LIMA ANDRADE</t>
  </si>
  <si>
    <t>MECÂNICO</t>
  </si>
  <si>
    <t>MANUTENÇÃO</t>
  </si>
  <si>
    <t>JONATHAS GOMES DE LIRA</t>
  </si>
  <si>
    <t>3882 - BRENO MOREIRA SIMPSON</t>
  </si>
  <si>
    <t>4097 - LEONARDO ALVES DE AMORIM</t>
  </si>
  <si>
    <t>4090 - BRUNO COSTA DOS SANTOS</t>
  </si>
  <si>
    <t xml:space="preserve">4026 - WANDERSON DA SILVA LEAL </t>
  </si>
  <si>
    <t>3901 - MALYSON GABRIEL VIANA DA COSTA</t>
  </si>
  <si>
    <t>AUXILIAR OPERAÇÕES</t>
  </si>
  <si>
    <t>TRÁFEGO</t>
  </si>
  <si>
    <t>3499 - GIOVANA SILVA DE ASSUNÇÃO</t>
  </si>
  <si>
    <t>06:00 - 14:20</t>
  </si>
  <si>
    <t>Filial</t>
  </si>
  <si>
    <t>Regional</t>
  </si>
  <si>
    <t>Cargo</t>
  </si>
  <si>
    <t>Descrição do Local</t>
  </si>
  <si>
    <t>Tipo de Vaga</t>
  </si>
  <si>
    <t>Início</t>
  </si>
  <si>
    <t>Data</t>
  </si>
  <si>
    <t>Feriado</t>
  </si>
  <si>
    <t>Tipo</t>
  </si>
  <si>
    <t xml:space="preserve">MARQUISE AMBIENTAL </t>
  </si>
  <si>
    <t xml:space="preserve">SAS MANAUS </t>
  </si>
  <si>
    <t>SAS MANAUS</t>
  </si>
  <si>
    <t>Fim</t>
  </si>
  <si>
    <t>Confraternização Universal</t>
  </si>
  <si>
    <t>Nacional</t>
  </si>
  <si>
    <t>Dias Ano (Todos os Dias)</t>
  </si>
  <si>
    <t>Aniversário de Manaus</t>
  </si>
  <si>
    <t>Estadual</t>
  </si>
  <si>
    <t>Dias Úteis (Segunda a Sexta)</t>
  </si>
  <si>
    <t>Tiradentes</t>
  </si>
  <si>
    <t>Dias Úteis (Exceto Domingo)</t>
  </si>
  <si>
    <t>Dia do Trabalho</t>
  </si>
  <si>
    <t>ASSISTENTE DE ALMOXARIFE</t>
  </si>
  <si>
    <t>Dias Úteis (Exceto Domingo e Feriados)</t>
  </si>
  <si>
    <t>Independência do Brasil</t>
  </si>
  <si>
    <t>APRENDIZ/ASG</t>
  </si>
  <si>
    <t>Status da Vaga</t>
  </si>
  <si>
    <t>Nossa Senhora Aparecida</t>
  </si>
  <si>
    <t>Finados</t>
  </si>
  <si>
    <t>Proclamação da República</t>
  </si>
  <si>
    <t>Dia da Consciência Negra</t>
  </si>
  <si>
    <t>Natal</t>
  </si>
  <si>
    <t>TRANSFERÊNCIA</t>
  </si>
  <si>
    <t>MANAUS</t>
  </si>
  <si>
    <t>PEDREIRO</t>
  </si>
  <si>
    <t>ASSISTENTE ADMINISTRATIVO/APRENDIZ</t>
  </si>
  <si>
    <t>Selecionador</t>
  </si>
  <si>
    <t>LIDER DE MANUTENCAO</t>
  </si>
  <si>
    <t>ENCARREGADO DE ALMOXARIFADO</t>
  </si>
  <si>
    <t>AUXILIAR DE MANUTENCAO</t>
  </si>
  <si>
    <t>APONTADOR</t>
  </si>
  <si>
    <t>ANALISTA DE PESSOAL</t>
  </si>
  <si>
    <t>LIMPEZA DE FEIRAS</t>
  </si>
  <si>
    <t>ASSISTENTE FINANCEIRO II</t>
  </si>
  <si>
    <t>ELETRICISTA DE AUTOS</t>
  </si>
  <si>
    <t>ENCARREGADO DE MANUTENCAO I</t>
  </si>
  <si>
    <t>ENCARREGADO DE TURMA</t>
  </si>
  <si>
    <t>VISTORIADOR DE FROTA</t>
  </si>
  <si>
    <t>AUXILIAR DE SERVICOS DE LIMPEZA E CONSERVACAO/APRENDIZ</t>
  </si>
  <si>
    <t>ANALISTA DE OPERACOES JR</t>
  </si>
  <si>
    <t>AUXILIAR DE MECANICO</t>
  </si>
  <si>
    <t>AUXILIAR DE ESCRITORIO/APRENDIZ</t>
  </si>
  <si>
    <t>AUTONOMO</t>
  </si>
  <si>
    <t>AUTONOMO SAS MANAUS</t>
  </si>
  <si>
    <t>EDUCADOR AMBIENTAL PL</t>
  </si>
  <si>
    <t>EDUCADOR AMBIENTAL JR</t>
  </si>
  <si>
    <t>SUPERVISOR ADMINISTRATIVO FINANCEIRO</t>
  </si>
  <si>
    <t>AUXILIAR DE MANUTENCAO PREDIAL</t>
  </si>
  <si>
    <t>AUXILIAR DE ELETRICISTA</t>
  </si>
  <si>
    <t>MECANICO LIDER</t>
  </si>
  <si>
    <t>ANALISTA DE LOGISTICA</t>
  </si>
  <si>
    <t>EDUCADOR AMBIENTAL</t>
  </si>
  <si>
    <t>MECANICO MONTADOR</t>
  </si>
  <si>
    <t xml:space="preserve">ASSISTENTE DE DEPARTAMENTO PESSOAL </t>
  </si>
  <si>
    <t>ASSISTENTE ADMINISTRATIVO</t>
  </si>
  <si>
    <t>ASSISTENTE ADMINISTRATIVO JR</t>
  </si>
  <si>
    <t>AUXILIAR DE MANUTENCAO PREDIAL LIDER</t>
  </si>
  <si>
    <t>ANALISTA DE GESTAO DE PESSOAS</t>
  </si>
  <si>
    <t>CONTROLADOR DE CUSTOS DE MANUTENCAO</t>
  </si>
  <si>
    <t>ASSISTENTE DE GESTAO DE PESSOAS</t>
  </si>
  <si>
    <t>ANALISTA DE PROCESSOS</t>
  </si>
  <si>
    <t>CONTROLADOR DE PNEUS</t>
  </si>
  <si>
    <t>SUPERVISOR DE MANUTENCAO</t>
  </si>
  <si>
    <t>AUXILIAR ADMINISTRATIVO</t>
  </si>
  <si>
    <t>AUXILIAR FINANCEIRO</t>
  </si>
  <si>
    <t>ASSISTENTE DE PESSOAL JR</t>
  </si>
  <si>
    <t>ESTAGIARIO</t>
  </si>
  <si>
    <t>CADISTA</t>
  </si>
  <si>
    <t>ECOMANAUS</t>
  </si>
  <si>
    <t>ALMOXARIFADO</t>
  </si>
  <si>
    <t>AUXILIAR DE PESSOAL</t>
  </si>
  <si>
    <t>AGENTE DE COLETA/PCD</t>
  </si>
  <si>
    <t>FISCAL DE COLETA SR</t>
  </si>
  <si>
    <t>ELETRICISTA</t>
  </si>
  <si>
    <t>MOLEIRO</t>
  </si>
  <si>
    <t>ALMOXARIFE</t>
  </si>
  <si>
    <t>MECANICO SOCORRISTA</t>
  </si>
  <si>
    <t>SUPERVISOR DE ATERRO</t>
  </si>
  <si>
    <t>COLETA HOSPITALAR</t>
  </si>
  <si>
    <t>ESPECIALISTA EM OPERACOES</t>
  </si>
  <si>
    <t>MOTORISTA SOCORRISTA</t>
  </si>
  <si>
    <t>PINTOR</t>
  </si>
  <si>
    <t>COLETA SELETIVA</t>
  </si>
  <si>
    <t>AUXILIAR DE GESTAO DE PESSOAS</t>
  </si>
  <si>
    <t>SUPERVISOR DE OPERACOES</t>
  </si>
  <si>
    <t>ADM OPERACAO</t>
  </si>
  <si>
    <t>AUXILIAR DE SERVICOS GERAIS</t>
  </si>
  <si>
    <t>ENGENHEIRO DE SEGURANCA DO TRABALHO</t>
  </si>
  <si>
    <t>MEDICO DO TRABALHO</t>
  </si>
  <si>
    <t>ASSISTENTE DE ALMOXARIFADO</t>
  </si>
  <si>
    <t>GERENTE DE OPERACOES</t>
  </si>
  <si>
    <t>COORDENADOR ADM FINANCEIRO</t>
  </si>
  <si>
    <t>FUNILEIRO MONTADOR</t>
  </si>
  <si>
    <t>SUPERINTENDENTE DE FILIAL</t>
  </si>
  <si>
    <t>SUPERINTENDENCIA SAS</t>
  </si>
  <si>
    <t>ASSISTENTE ADMINISTRATIVO PL</t>
  </si>
  <si>
    <t>COLETA DOMICILIAR II AVENIDAS</t>
  </si>
  <si>
    <t>ASSISTENTE FINANCEIRO</t>
  </si>
  <si>
    <t>ANALISTA DE OPERACOES PL</t>
  </si>
  <si>
    <t>ASSISTENTE SOCIAL</t>
  </si>
  <si>
    <t>AUXILIAR DE LOGISTICA JR</t>
  </si>
  <si>
    <t>MOTORISTA DE CAMINHAO CACAMBA</t>
  </si>
  <si>
    <t>ANALISTA ADMINISTRATIVO</t>
  </si>
  <si>
    <t>AUXILIAR DE TOPOGRAFO</t>
  </si>
  <si>
    <t>TECNICO EM SEGURANCA DO TRABALHO JR</t>
  </si>
  <si>
    <t>PEDREIRO LIDER</t>
  </si>
  <si>
    <t>AJUDANTE DE SOLDADOR</t>
  </si>
  <si>
    <t>ENCARREGADO DE MANUTENCAO III</t>
  </si>
  <si>
    <t>LUBRIFICADOR</t>
  </si>
  <si>
    <t>AUXILIAR DE PEDREIRO</t>
  </si>
  <si>
    <t>AUXILIAR DE VENDAS/APRENDIZ</t>
  </si>
  <si>
    <t>GERENTE DE FILIAL</t>
  </si>
  <si>
    <t>ENCARREGADO DE EQUIPE</t>
  </si>
  <si>
    <t>ANALISTA DE GESTAO DE PESSOAS JR</t>
  </si>
  <si>
    <t>FISCAL DE COLETA JR</t>
  </si>
  <si>
    <t>ASSISTENTE DE TRAFEGO</t>
  </si>
  <si>
    <t>TOPOGRAFO</t>
  </si>
  <si>
    <t>AUXILIAR DE OPERACOES DE ATERRO</t>
  </si>
  <si>
    <t>RECEPCIONISTA</t>
  </si>
  <si>
    <t>AUXILIAR DE TRAFEGO</t>
  </si>
  <si>
    <t>AUXILIAR DE ALMOXARIFADO</t>
  </si>
  <si>
    <t>ANALISTA DE OPERACOES</t>
  </si>
  <si>
    <t>ENCARREGADO DE MANUTENCAO</t>
  </si>
  <si>
    <t>GERENTE DE ATERRO</t>
  </si>
  <si>
    <t>ADMINISTRACAO DO ATERRO SANITARIO</t>
  </si>
  <si>
    <t>ASSISTENTE DE PESSOAL</t>
  </si>
  <si>
    <t>TECNICO DE ENFERMAGEM</t>
  </si>
  <si>
    <t>AUXILIAR DE LIMPEZA</t>
  </si>
  <si>
    <t>COORDENADOR AMBIENTAL</t>
  </si>
  <si>
    <t>TECNICO DE ATERRO</t>
  </si>
  <si>
    <t>MECANICO DIESEL</t>
  </si>
  <si>
    <t>AUXILIAR DE LOGISTICA II</t>
  </si>
  <si>
    <t>INSTRUTOR DE APRENDIZAGEM EM TRANSPORTES</t>
  </si>
  <si>
    <t>ASSISTENTE FINANCEIRO I</t>
  </si>
  <si>
    <t>AUXILIAR DE LOGISTICA I</t>
  </si>
  <si>
    <t>MECANICO HIDRAULICO</t>
  </si>
  <si>
    <t>ESPECIALISTA EM MANUTENCAO</t>
  </si>
  <si>
    <t>ANALISTA DE LOGISTICA JR</t>
  </si>
  <si>
    <t>OPERADOR DE MAQUINAS LEVES</t>
  </si>
  <si>
    <t>Nº da Solicitação</t>
  </si>
  <si>
    <t>Solicitação</t>
  </si>
  <si>
    <t>Recebimento</t>
  </si>
  <si>
    <t>Setor</t>
  </si>
  <si>
    <t>Motivo da Vaga</t>
  </si>
  <si>
    <t>Recrutador</t>
  </si>
  <si>
    <t>Prazo (Dias)</t>
  </si>
  <si>
    <t>Data de Fechamento</t>
  </si>
  <si>
    <t>Data de Integração</t>
  </si>
  <si>
    <t>PREV.E PERDAS-CASH GC</t>
  </si>
  <si>
    <t>CASH GRANDE CIRCULAR</t>
  </si>
  <si>
    <t>THIAGO LEAL</t>
  </si>
  <si>
    <t>GERENTE DE LOGISTICA</t>
  </si>
  <si>
    <t>OPERACAO LOGISTICA-MNE BV</t>
  </si>
  <si>
    <t>NOVA ERA BOA VISTA</t>
  </si>
  <si>
    <t>Nota</t>
  </si>
  <si>
    <t>FERNANDA CAVALCANTE</t>
  </si>
  <si>
    <t>ASSIST.ADM I</t>
  </si>
  <si>
    <t>COMPRAS-CD VAREJO</t>
  </si>
  <si>
    <t>CD VAREJO</t>
  </si>
  <si>
    <t>TÁTICA</t>
  </si>
  <si>
    <t>EVELYN DELGADO</t>
  </si>
  <si>
    <t>ENCARREGADO DE INVENTARIO</t>
  </si>
  <si>
    <t>CORPORATIVO-CASH BOA VISTA</t>
  </si>
  <si>
    <t>CASH BOA VISTA</t>
  </si>
  <si>
    <t>ANA MELO</t>
  </si>
  <si>
    <t>ENCARREGADO DE MERCEARIA I</t>
  </si>
  <si>
    <t>MERCEARIA-CASH FLORES</t>
  </si>
  <si>
    <t>CASH FLORES</t>
  </si>
  <si>
    <t>MERCEARIA-CASH VIA NORTE</t>
  </si>
  <si>
    <t>CASH VIA NORTE</t>
  </si>
  <si>
    <t>ANALISTA JURIDICO JR</t>
  </si>
  <si>
    <t>JURIDICO-MNE MAO</t>
  </si>
  <si>
    <t>NOVA ERA MAO</t>
  </si>
  <si>
    <t>CASH TORRES</t>
  </si>
  <si>
    <t>GERENTE DE OPERACOES JR</t>
  </si>
  <si>
    <t>CORPORATIVO-CASH FLORES</t>
  </si>
  <si>
    <t>AUXILIAR ADMINISTRATIVO-MANUTENCAO</t>
  </si>
  <si>
    <t>PLANEJAMENTO/EXPANSAO-MNE MAO</t>
  </si>
  <si>
    <t>Aprendiz-Magarefe</t>
  </si>
  <si>
    <t>Açougue</t>
  </si>
  <si>
    <t>Cash Barreira</t>
  </si>
  <si>
    <t>Cota</t>
  </si>
  <si>
    <t>Aprendiz</t>
  </si>
  <si>
    <t>Mercearia</t>
  </si>
  <si>
    <t>Cash Centro</t>
  </si>
  <si>
    <t>Cash Cidade de Deus</t>
  </si>
  <si>
    <t>Pg Morada do sol</t>
  </si>
  <si>
    <t>Cash Compensa</t>
  </si>
  <si>
    <t>Cash Flores</t>
  </si>
  <si>
    <t>Financeiro</t>
  </si>
  <si>
    <t>Cash Grande circular</t>
  </si>
  <si>
    <t>Cash Ponte</t>
  </si>
  <si>
    <t>Cash Torres</t>
  </si>
  <si>
    <t>Cash Via Norte</t>
  </si>
  <si>
    <t>Cash Silves</t>
  </si>
  <si>
    <t>Pg Djalma Batista</t>
  </si>
  <si>
    <t>Pg Adrianópolis</t>
  </si>
  <si>
    <t>Prevenção e perdas</t>
  </si>
  <si>
    <t>Corporativo</t>
  </si>
  <si>
    <t>CD Varejo</t>
  </si>
  <si>
    <t>Estoque e Qualidade</t>
  </si>
  <si>
    <t>RECEBIMENTO-CD VAREJO</t>
  </si>
  <si>
    <t>MERCEARIA-CASH VIVER MELHOR</t>
  </si>
  <si>
    <t>Cash Viver MELHOR</t>
  </si>
  <si>
    <t>MERCEARIA-CASH TORRES</t>
  </si>
  <si>
    <t>MERCEARIA-CASH CENTRO</t>
  </si>
  <si>
    <t>MERCEARIA-CASH SILVES</t>
  </si>
  <si>
    <t>MERCEARIA-CASH PONTE</t>
  </si>
  <si>
    <t>MERCEARIA PATIO GOURMET MORADA DO SOL</t>
  </si>
  <si>
    <t>ANALISTA DE SUPRIMENTOS JR</t>
  </si>
  <si>
    <t>CORP. SUPRIMENTOS-MNE MAO</t>
  </si>
  <si>
    <t>Vaga Duplicada</t>
  </si>
  <si>
    <t>ANALISTA DE COMUNICACAO JR</t>
  </si>
  <si>
    <t>CORP. RH-MNE MAO</t>
  </si>
  <si>
    <t>REPOSITOR</t>
  </si>
  <si>
    <t>MERCEARIA-CASH COMPENSA</t>
  </si>
  <si>
    <t>CASH COMPENSA</t>
  </si>
  <si>
    <t>-</t>
  </si>
  <si>
    <t>PADEIRO | MANAUS - AM</t>
  </si>
  <si>
    <t>PADARIA-PG ADRIANOPOLIS</t>
  </si>
  <si>
    <t>PATIO GOURMET ADRIANOPOLIS</t>
  </si>
  <si>
    <t>Vaga cancelada</t>
  </si>
  <si>
    <t>JULIANA PASSOS</t>
  </si>
  <si>
    <t>Analista de T&amp;D | Manaus-AM</t>
  </si>
  <si>
    <t>Analista de Suprimentos | Manaus-AM</t>
  </si>
  <si>
    <t>VENDEDOR INTERNO ELETRO</t>
  </si>
  <si>
    <t>ELETRO-CASH PONTE</t>
  </si>
  <si>
    <t>CASH PONTE</t>
  </si>
  <si>
    <t>LOGISTICA-CASH CENTRO</t>
  </si>
  <si>
    <t>CASH CENTRO</t>
  </si>
  <si>
    <t>FRIOS-CASH TORRES</t>
  </si>
  <si>
    <t>FRIOS-CASH FLORES</t>
  </si>
  <si>
    <t>AUX. OPERACIONAL ADM</t>
  </si>
  <si>
    <t>PREV.E PERDAS-CASH TORRES</t>
  </si>
  <si>
    <t>OPERADOR(A) DE CAIXA | MANAUS - AM</t>
  </si>
  <si>
    <t>CHECK-OUT-CASH GC</t>
  </si>
  <si>
    <t>REPOSITOR | MANAUS - AM</t>
  </si>
  <si>
    <t>MERCEARIA-CASH BARREIRA</t>
  </si>
  <si>
    <t>CASH BARREIRA</t>
  </si>
  <si>
    <t>OPERADOR(A) DE CAIXA</t>
  </si>
  <si>
    <t>CHECK-OUT-CASH COMPENSA</t>
  </si>
  <si>
    <t>Padeiro | Manaus - AM</t>
  </si>
  <si>
    <t>PADARIA-PG MORADA DO SOL</t>
  </si>
  <si>
    <t>PATIO GOURMET MORADA DO SOL</t>
  </si>
  <si>
    <t>Promoção</t>
  </si>
  <si>
    <t>CHECK-OUT-CASH TORRES</t>
  </si>
  <si>
    <t>CHECK-OUT-CASH PONTE</t>
  </si>
  <si>
    <t>CHECK-OUT-CASH CENTRO</t>
  </si>
  <si>
    <t>ENCARREGADO (A) DE ACOUGUE | MANAUS - AM</t>
  </si>
  <si>
    <t>ACOUGUE-CASH GC</t>
  </si>
  <si>
    <t>FRIOS-CASH BARREIRA</t>
  </si>
  <si>
    <t>CHEFE DE OPERACOES JR</t>
  </si>
  <si>
    <t>CORPORATIVO-CASH BARREIRA</t>
  </si>
  <si>
    <t>Vaga Cancelada</t>
  </si>
  <si>
    <t>ENCARREGADO (A) DE SETOR | MANAUS - AM</t>
  </si>
  <si>
    <t>AUXILIAR DE LOJA | MANAUS - AM</t>
  </si>
  <si>
    <t>CHECK-OUT-CASH BARREIRA</t>
  </si>
  <si>
    <t>COORDENADOR DE MANUTENCAO JR</t>
  </si>
  <si>
    <t>TEC. SEGURANCA DO TRABALHO PL</t>
  </si>
  <si>
    <t>OPERADOR DE MANUTENCAO | MANAUS - AM</t>
  </si>
  <si>
    <t>MANUTENCAO-PG ADRIANOPOLIS</t>
  </si>
  <si>
    <t>Substituição</t>
  </si>
  <si>
    <t>ARQUITETO</t>
  </si>
  <si>
    <t>OPERADOR DE EMPILHADEIRA I | MANAUS - AM</t>
  </si>
  <si>
    <t>LOGISTICA-CASH BARREIRA</t>
  </si>
  <si>
    <t>AUXILIAR DE SUSHIMAN | MANAUS - AM</t>
  </si>
  <si>
    <t>RESTAURANTE-PG DJALMA BATISTA</t>
  </si>
  <si>
    <t>PATIO GOURMET DJALMA</t>
  </si>
  <si>
    <t>ANALISTA RH JR</t>
  </si>
  <si>
    <t>ACOUGUEIRO | MANAUS - AM</t>
  </si>
  <si>
    <t>ACOUGUE-CASH VIVER MELHOR</t>
  </si>
  <si>
    <t>CASH VIVER MELHOR</t>
  </si>
  <si>
    <t>VENDEDOR INTERNO ELETRO | MANAUS - AM</t>
  </si>
  <si>
    <t>ELETRO-CASH GC</t>
  </si>
  <si>
    <t>VENDEDOR INTERNO TMK | MANAUS - AM</t>
  </si>
  <si>
    <t>TELEMARKETING-CASH FLORES</t>
  </si>
  <si>
    <t>AUXILIAR DE ACOUGUE | MANAUS - AM</t>
  </si>
  <si>
    <t>ACOUGUE-PG ADRIANOPOLIS</t>
  </si>
  <si>
    <t>COORDENADOR DE CONTROLADORIA</t>
  </si>
  <si>
    <t>CONTROLADORIA-MNE MAO</t>
  </si>
  <si>
    <t xml:space="preserve">NOVA ERA MAO </t>
  </si>
  <si>
    <t xml:space="preserve">DISTRIBUIDORA AM </t>
  </si>
  <si>
    <t xml:space="preserve"> Aguardando retorno do Gestor</t>
  </si>
  <si>
    <t>Vaga reabriu 21/08/2023</t>
  </si>
  <si>
    <t>Advogado Pleno (Cível/Consumerista) - Manaus-AM</t>
  </si>
  <si>
    <t>AUXILIAR ADMINISTRATIVO | MANAUS - AM</t>
  </si>
  <si>
    <t>CORP.TEU CARD-MNE MAO</t>
  </si>
  <si>
    <t>APRENDIZ (MAGAREFE) | MANAUS - AM</t>
  </si>
  <si>
    <t>ACOUGUE-CASH BARREIRA</t>
  </si>
  <si>
    <t>APRENDIZ (Comercio Varejista) | MANAUS - AM</t>
  </si>
  <si>
    <t>ACOUGUE-CASH COMPENSA</t>
  </si>
  <si>
    <t>ACOUGUE-CASH PONTE</t>
  </si>
  <si>
    <t>ACOUGUE-CASH SILVES</t>
  </si>
  <si>
    <t>CASH SILVES</t>
  </si>
  <si>
    <t>APRENDIZ | MANAUS - AM</t>
  </si>
  <si>
    <t>CORP.TRANSPORTE-CD VAREJO</t>
  </si>
  <si>
    <t>CHECK-OUT-CASH VN</t>
  </si>
  <si>
    <t>CHAPEIRO | MANAUS - AM</t>
  </si>
  <si>
    <t>CAFETERIA-PG ADRIANOPOLIS</t>
  </si>
  <si>
    <t>FISCAL DE PREV DE PERDAS | MANAUS - AM</t>
  </si>
  <si>
    <t>PREV.E PERDAS-CASH BARREIRA</t>
  </si>
  <si>
    <t>VAGA FECHADA - TALENTO INTERNO</t>
  </si>
  <si>
    <t>CHECK-OUT-CASH CIDADE DE DEUS</t>
  </si>
  <si>
    <t>CASH CIDADE DE DEUS</t>
  </si>
  <si>
    <t>FLV-CASH COMPENSA</t>
  </si>
  <si>
    <t>FRIOS-CASH COMPENSA</t>
  </si>
  <si>
    <t>CHECK-OUT-CASH FLORES</t>
  </si>
  <si>
    <t>AUXILIAR DE SERVICOS GERAIS | MANAUS - AM</t>
  </si>
  <si>
    <t>RESTAURANTE-PG MORADA DO SOL</t>
  </si>
  <si>
    <t>Substitução</t>
  </si>
  <si>
    <t>AUXILIAR DE LOGISTICA | MANAUS - AM</t>
  </si>
  <si>
    <t>RECEBIMENTO-PG MORADA DO SOL</t>
  </si>
  <si>
    <t>AUXILIAR DE CHURRASQUEIRO | MANAUS - AM</t>
  </si>
  <si>
    <t>Vaga duplicada</t>
  </si>
  <si>
    <t>ATENDENTE DE PADARIA | MANAUS - AM</t>
  </si>
  <si>
    <t>OPERACAO LOGISTICA- CD VAREJO</t>
  </si>
  <si>
    <t>PEIXEIRO | MANAUS - AM</t>
  </si>
  <si>
    <t>PEIXARIA-CASH VN</t>
  </si>
  <si>
    <t>21/072023</t>
  </si>
  <si>
    <t>LOGISTICA-CASH TORRES</t>
  </si>
  <si>
    <t>CHECK-OUT-CASH SILVES</t>
  </si>
  <si>
    <t>OPERADOR DE LOJA | MANAUS - AM</t>
  </si>
  <si>
    <t>OPERACIONAL-B.PRONTO COMPENS</t>
  </si>
  <si>
    <t xml:space="preserve">BARATO E PRONTO COMPENSA </t>
  </si>
  <si>
    <t>MAO 1</t>
  </si>
  <si>
    <t>VENDEDOR INTERNO TEUCARD | MANAUS - AM</t>
  </si>
  <si>
    <t>AUXILIAR DE PADARIA | MANAUS - AM</t>
  </si>
  <si>
    <t>PADARIA-PG DJALMA BATISTA</t>
  </si>
  <si>
    <t>Vaga não aparece no quadro de vagas</t>
  </si>
  <si>
    <t>FLV-CASH TORRES</t>
  </si>
  <si>
    <t>REPOSITOR P.A.S. | MANAUS - AM</t>
  </si>
  <si>
    <t>FRIOS-PG ADRIANOPOLIS</t>
  </si>
  <si>
    <t>AUXILIAR DE PEIXARIA | MANAUS - AM</t>
  </si>
  <si>
    <t>PEIXARIA-PG ADRIANOPOLIS</t>
  </si>
  <si>
    <t>PADARIA-CASH PONTE</t>
  </si>
  <si>
    <t>ACOUGUE-CASH FLORES</t>
  </si>
  <si>
    <t>FIscal de Prevenção | Manaus-AM</t>
  </si>
  <si>
    <t>PREV.E PERDAS-CD VAREJO</t>
  </si>
  <si>
    <t>ENCARREGADO DE ACOUGUE I | MANAUS - AM</t>
  </si>
  <si>
    <t>ACOUGUE-CASH VN</t>
  </si>
  <si>
    <t>PREV.E PERDAS-PG MORADA DO SOL</t>
  </si>
  <si>
    <t>AUXILIAR OPERACIONAL | MANAUS-AM</t>
  </si>
  <si>
    <t>PREV.E PERDAS-PG ADRIANOPOLIS</t>
  </si>
  <si>
    <t>AUXILIAR OPERACIONAL</t>
  </si>
  <si>
    <t>PREV. E PERDAS PATIO GOURMET</t>
  </si>
  <si>
    <t>PATIO</t>
  </si>
  <si>
    <t>ASSISTENTE ADMINISTRATIVO I | MANAUS - AM</t>
  </si>
  <si>
    <t>CORP. RECEITA E RENDIMENTO-MNE M</t>
  </si>
  <si>
    <t xml:space="preserve">Aguardando doação de vaga entre setores </t>
  </si>
  <si>
    <t>Arquiteto (a) | Manaus-AM</t>
  </si>
  <si>
    <t>PLANEJAMENTO/EXPANSAO-MNE MA</t>
  </si>
  <si>
    <t>Encarregado de Manutenção | Manaus - AM</t>
  </si>
  <si>
    <t>MANUTENCAO-CD VAREJO</t>
  </si>
  <si>
    <t>CANDIDATO INTERNO</t>
  </si>
  <si>
    <t>ENCARREGADO DE PREV PERDAS III | MANAUS - AM</t>
  </si>
  <si>
    <t>PREV.E PERDAS-PG DJALMA BATISTA</t>
  </si>
  <si>
    <t>ENCARREGADO DE SETOR I | MANAUS - AM</t>
  </si>
  <si>
    <t>MERCEARIA-CASH BOA VISTA</t>
  </si>
  <si>
    <t>Erro Sistema</t>
  </si>
  <si>
    <t>CHAPEIRO | MANAUS-AM</t>
  </si>
  <si>
    <t>CAFETERIA-PG DJALMA BATISTA</t>
  </si>
  <si>
    <t>OPERADOR DE LOJA | MANAUS-AM</t>
  </si>
  <si>
    <t>FLV-PG ADRIANOPOLIS</t>
  </si>
  <si>
    <t>FISCAL DE CAIXA | MANAUS-AM</t>
  </si>
  <si>
    <t>AUXILIAR DE LOJA | MANAUS-AM</t>
  </si>
  <si>
    <t>AUXILIAR DE PADARIA | MANAUS-AM</t>
  </si>
  <si>
    <t>PADARIA PRODUÇÃO-CASH VN</t>
  </si>
  <si>
    <t>AUXILIAR DE PEIXARIA | MANAUS-AM</t>
  </si>
  <si>
    <t>REPOSITOR | MANAUS-AM</t>
  </si>
  <si>
    <t>FLV-CASH VIVER MELHOR</t>
  </si>
  <si>
    <t>AUXILIAR DE LOGÍSTICA | MANAUS-AM</t>
  </si>
  <si>
    <t>FRIOS-CASH CENTRO</t>
  </si>
  <si>
    <t>OPERADOR DE CAIXA | MANAUS-AM</t>
  </si>
  <si>
    <t>FRIOS-CASH CIDADE DE DEUS</t>
  </si>
  <si>
    <t>PEIXARIA-CASH PONTE</t>
  </si>
  <si>
    <t>ANALISTA DE TI MASTER</t>
  </si>
  <si>
    <t>CORP. TI-DEV BI-MNE MAO</t>
  </si>
  <si>
    <t>Vaga Suspena</t>
  </si>
  <si>
    <t>PATIO  GOURMET ADRIANOPOLIS</t>
  </si>
  <si>
    <t>AUX. DE CONFEITARIA</t>
  </si>
  <si>
    <t>Coordenador de Sistemas (TECH LEAD) | Manaus-AM</t>
  </si>
  <si>
    <t>Candidato declinou dia 15/08</t>
  </si>
  <si>
    <t>ENCARREGADO DE FLV I</t>
  </si>
  <si>
    <t>FLV-CASH SILVES</t>
  </si>
  <si>
    <t>PEIXEIRO</t>
  </si>
  <si>
    <t>PEIXARIA TORRES</t>
  </si>
  <si>
    <t>AUXILIAR DE INVENTARIO</t>
  </si>
  <si>
    <t>Aumento de quadro</t>
  </si>
  <si>
    <t>FISCAL DE CAIXA</t>
  </si>
  <si>
    <t>ANALISTA DE SUPRIMENTOS SR</t>
  </si>
  <si>
    <t>ANALISTA DE SUPRIMENTOS PL</t>
  </si>
  <si>
    <t>CORP.LOGISTICA- CD VAREJO</t>
  </si>
  <si>
    <t>FISCAL DE PREV DE PERDAS</t>
  </si>
  <si>
    <t>PREV.E PERDAS-CASH COMPENSA</t>
  </si>
  <si>
    <t>ELETRO-CASH COMPENSA</t>
  </si>
  <si>
    <t>CHECK-OUT-CASH VIVER MELHOR</t>
  </si>
  <si>
    <t>FRIOS-CASH SILVES</t>
  </si>
  <si>
    <t>ELETRO-CASH SILVES</t>
  </si>
  <si>
    <t>CONFERENTE</t>
  </si>
  <si>
    <t>ACOUGUEIRO I</t>
  </si>
  <si>
    <t>AUX DE ACOUGUE</t>
  </si>
  <si>
    <t>ACOUGUE</t>
  </si>
  <si>
    <t>OPERADOR(A) DE CAIXA (INTERMITENTE)</t>
  </si>
  <si>
    <t>EMPACOTADOR (INTERMITENTE)</t>
  </si>
  <si>
    <t>AUXILIAR DE CONFEITARIA INTERMITENTE</t>
  </si>
  <si>
    <t>ATENDENTE DE CAFETERIA</t>
  </si>
  <si>
    <t>ENCARREGADO DE MERCEARIA</t>
  </si>
  <si>
    <t>APRENDIZ</t>
  </si>
  <si>
    <t>AUX DE LOGISTICA</t>
  </si>
  <si>
    <t>LOGISTICA</t>
  </si>
  <si>
    <t>Auxiliar Administrativo | Talento Interno</t>
  </si>
  <si>
    <t>CORP. FINANCEIRO-MNE MAO</t>
  </si>
  <si>
    <t>CASH ALVORADA</t>
  </si>
  <si>
    <t>CASH CIDADE NOVA</t>
  </si>
  <si>
    <t>OPERADOR DE LOJA</t>
  </si>
  <si>
    <t>AUXILIAR DE ACOUGUE (INTERMI)</t>
  </si>
  <si>
    <t>CHAPEIRO</t>
  </si>
  <si>
    <t>AUX. DE COZINHA</t>
  </si>
  <si>
    <t>CHECK-OUT</t>
  </si>
  <si>
    <t>ATENDENTE DE RESTAURANTE</t>
  </si>
  <si>
    <t>OPERADOR DE EMPILHADEIRA</t>
  </si>
  <si>
    <t>LOGÍSTICA</t>
  </si>
  <si>
    <t>OPERADOR DE CAIXA</t>
  </si>
  <si>
    <t>FISCAL DE PREVENÇÃO</t>
  </si>
  <si>
    <t>PREV.E PERDAS</t>
  </si>
  <si>
    <t>AUXILIAR DE LOJA</t>
  </si>
  <si>
    <t>MERCEARIA</t>
  </si>
  <si>
    <t xml:space="preserve">CASH CIDADE DE DEUS </t>
  </si>
  <si>
    <t>COZINHEIRO LIDER</t>
  </si>
  <si>
    <t>ATENDENTE DE PADARIA</t>
  </si>
  <si>
    <t>PADARIA</t>
  </si>
  <si>
    <t>EMPACOTADOR</t>
  </si>
  <si>
    <t>PATIO  GOURMET MORADA DO SOL</t>
  </si>
  <si>
    <t>Talento Interno | Fiscal de Caixa</t>
  </si>
  <si>
    <t>ENCARREGADO DE ACOUGUE I</t>
  </si>
  <si>
    <t>GERENTE DE PADARIA</t>
  </si>
  <si>
    <t>AUXILIAR DE SUSHIMAN II</t>
  </si>
  <si>
    <t>FRIOS</t>
  </si>
  <si>
    <t>012023-000013-MOV</t>
  </si>
  <si>
    <t>012023-000022-MOV</t>
  </si>
  <si>
    <t>ANALISTA DE LOGISTICA PL</t>
  </si>
  <si>
    <t>012023-000029-MOV</t>
  </si>
  <si>
    <t>012023-000040-MOV</t>
  </si>
  <si>
    <t>012023-000042-MOV</t>
  </si>
  <si>
    <t>APRENDIZ (MAGAREFE)</t>
  </si>
  <si>
    <t>012023-000050-MOV</t>
  </si>
  <si>
    <t>FRIOS-CASH VN</t>
  </si>
  <si>
    <t>012023-000052-MOV</t>
  </si>
  <si>
    <t>012023-000054-MOV</t>
  </si>
  <si>
    <t>012023-000068-MOV</t>
  </si>
  <si>
    <t>012023-000071-MOV</t>
  </si>
  <si>
    <t>CORP.PREVENCAO E PERDAS-CD VAREJO</t>
  </si>
  <si>
    <t>012023-000092-MOV</t>
  </si>
  <si>
    <t>PREV.E PERDAS-CASH CIDADE DE DEUS</t>
  </si>
  <si>
    <t>012023-000094-MOV</t>
  </si>
  <si>
    <t>PREV.E PERDAS-CASH VN</t>
  </si>
  <si>
    <t>012023-000287-MOV</t>
  </si>
  <si>
    <t>012023-000289-MOV</t>
  </si>
  <si>
    <t>012023-000291-MOV</t>
  </si>
  <si>
    <t>012023-000341-MOV</t>
  </si>
  <si>
    <t>AUX DE PADARIA</t>
  </si>
  <si>
    <t>PADARIA-CASH FLORES</t>
  </si>
  <si>
    <t>012023-000397-MOV</t>
  </si>
  <si>
    <t>012023-000475-MOV</t>
  </si>
  <si>
    <t>PLANEJAMENTO-MNE MAO</t>
  </si>
  <si>
    <t>022023-000097-MOV</t>
  </si>
  <si>
    <t>022023-000834-MOV</t>
  </si>
  <si>
    <t>022023-000853-MOV</t>
  </si>
  <si>
    <t>022023-000861-MOV</t>
  </si>
  <si>
    <t>022023-000862-MOV</t>
  </si>
  <si>
    <t>022023-000863-MOV</t>
  </si>
  <si>
    <t>022023-000866-MOV</t>
  </si>
  <si>
    <t>022023-000870-MOV</t>
  </si>
  <si>
    <t>022023-000872-MOV</t>
  </si>
  <si>
    <t>022023-000873-MOV</t>
  </si>
  <si>
    <t>022023-000874-MOV</t>
  </si>
  <si>
    <t>022023-000875-MOV</t>
  </si>
  <si>
    <t>022023-000910-MOV</t>
  </si>
  <si>
    <t>022023-000929-MOV</t>
  </si>
  <si>
    <t>022023-000935-MOV</t>
  </si>
  <si>
    <t>022023-000943-MOV</t>
  </si>
  <si>
    <t>022023-000945-MOV</t>
  </si>
  <si>
    <t>022023-000949-MOV</t>
  </si>
  <si>
    <t>022023-000951-MOV</t>
  </si>
  <si>
    <t>022023-000953-MOV</t>
  </si>
  <si>
    <t>022023-000955-MOV</t>
  </si>
  <si>
    <t>022023-000969-MOV</t>
  </si>
  <si>
    <t>022023-000971-MOV</t>
  </si>
  <si>
    <t>022023-000973-MOV</t>
  </si>
  <si>
    <t>022023-000975-MOV</t>
  </si>
  <si>
    <t>022023-000977-MOV</t>
  </si>
  <si>
    <t>022023-000980-MOV</t>
  </si>
  <si>
    <t>022023-000982-MOV</t>
  </si>
  <si>
    <t>032023-000020-MOV</t>
  </si>
  <si>
    <t>032023-000028-MOV</t>
  </si>
  <si>
    <t>032023-000038-MOV</t>
  </si>
  <si>
    <t>032023-000039-MOV</t>
  </si>
  <si>
    <t>032023-000041-MOV</t>
  </si>
  <si>
    <t>032023-000047-MOV</t>
  </si>
  <si>
    <t>CORPORATIVO-CASH TORRES</t>
  </si>
  <si>
    <t>032023-000057-MOV</t>
  </si>
  <si>
    <t>032023-000072-MOV</t>
  </si>
  <si>
    <t>032023-000084-MOV</t>
  </si>
  <si>
    <t>032023-000101-MOV</t>
  </si>
  <si>
    <t>032023-000103-MOV</t>
  </si>
  <si>
    <t>032023-000136-MOV</t>
  </si>
  <si>
    <t>032023-000144-MOV</t>
  </si>
  <si>
    <t>032023-000154-MOV</t>
  </si>
  <si>
    <t>CORPORATIVO-CASH COMPENSA</t>
  </si>
  <si>
    <t>032023-000167-MOV</t>
  </si>
  <si>
    <t>032023-000168-MOV</t>
  </si>
  <si>
    <t>032023-000178-MOV</t>
  </si>
  <si>
    <t>PREV.E PERDAS-CASH FLORES</t>
  </si>
  <si>
    <t>032023-000186-MOV</t>
  </si>
  <si>
    <t>032023-000189-MOV</t>
  </si>
  <si>
    <t>032023-000217-MOV</t>
  </si>
  <si>
    <t>032023-000221-MOV</t>
  </si>
  <si>
    <t>PADARIA SILVES</t>
  </si>
  <si>
    <t>032023-000227-MOV</t>
  </si>
  <si>
    <t>032023-000264-MOV</t>
  </si>
  <si>
    <t>CORPORATIVO-CASH PONTE</t>
  </si>
  <si>
    <t>032023-000273-MOV</t>
  </si>
  <si>
    <t>032023-000277-MOV</t>
  </si>
  <si>
    <t>032023-000291-MOV</t>
  </si>
  <si>
    <t>032023-000292-MOV</t>
  </si>
  <si>
    <t>032023-000314-MOV</t>
  </si>
  <si>
    <t>032023-000330-MOV</t>
  </si>
  <si>
    <t>032023-000331-MOV</t>
  </si>
  <si>
    <t>LOGISTICA-CASH PONTE</t>
  </si>
  <si>
    <t>032023-000353-MOV</t>
  </si>
  <si>
    <t>032023-000400-MOV</t>
  </si>
  <si>
    <t>042023-000016-MOV</t>
  </si>
  <si>
    <t>042023-000017-MOV</t>
  </si>
  <si>
    <t>042023-000053-MOV</t>
  </si>
  <si>
    <t>042023-000054-MOV</t>
  </si>
  <si>
    <t>042023-000057-MOV</t>
  </si>
  <si>
    <t>042023-000076-MOV</t>
  </si>
  <si>
    <t>042023-000081-MOV</t>
  </si>
  <si>
    <t>042023-000084-MOV</t>
  </si>
  <si>
    <t>042023-000095-MOV</t>
  </si>
  <si>
    <t>042023-000099-MOV</t>
  </si>
  <si>
    <t>042023-000100-MOV</t>
  </si>
  <si>
    <t>042023-000102-MOV</t>
  </si>
  <si>
    <t>042023-000104-MOV</t>
  </si>
  <si>
    <t>042023-000106-MOV</t>
  </si>
  <si>
    <t>042023-000115-MOV</t>
  </si>
  <si>
    <t>042023-000130-MOV</t>
  </si>
  <si>
    <t>042023-000132-MOV</t>
  </si>
  <si>
    <t>042023-000137-MOV</t>
  </si>
  <si>
    <t>042023-000139-MOV</t>
  </si>
  <si>
    <t>042023-000156-MOV</t>
  </si>
  <si>
    <t>072022-000185-MOV</t>
  </si>
  <si>
    <t>122022-000384-MOV</t>
  </si>
  <si>
    <t>VENDEDOR INTERNO</t>
  </si>
  <si>
    <t>CORP.TEUCARD</t>
  </si>
  <si>
    <t>Fechada</t>
  </si>
  <si>
    <t>OPERADORA DE CAIXA</t>
  </si>
  <si>
    <t>ENCARREGADO DE SETOR I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</si>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</sst>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/m/yyyy"/>
  </numFmts>
  <fonts count="21">
    <font>
      <sz val="10"/>
      <color rgb="FF000000"/>
      <name val="Arial"/>
      <scheme val="minor"/>
    </font>
    <font>
      <b/>
      <sz val="11"/>
      <color rgb="FF000000"/>
      <name val="Calibri"/>
    </font>
    <font>
      <sz val="10"/>
      <color rgb="FF000000"/>
      <name val="SansSerif"/>
    </font>
    <font>
      <sz val="8"/>
      <color theme="1"/>
      <name val="Calibri"/>
    </font>
    <font>
      <sz val="10"/>
      <color rgb="FF000000"/>
      <name val="Arial"/>
    </font>
    <font>
      <sz val="10"/>
      <color rgb="FF000000"/>
      <name val="Calibri"/>
    </font>
    <font>
      <sz val="10"/>
      <color rgb="FF006890"/>
      <name val="Calibri"/>
    </font>
    <font>
      <sz val="10"/>
      <color theme="1"/>
      <name val="Calibri"/>
    </font>
    <font>
      <sz val="10"/>
      <color rgb="FFFFFFFF"/>
      <name val="Calibri"/>
    </font>
    <font>
      <sz val="10"/>
      <color rgb="FFFFFFFF"/>
      <name val="Docs-Calibri"/>
    </font>
    <font>
      <sz val="10"/>
      <color theme="1"/>
      <name val="Arial"/>
    </font>
    <font>
      <sz val="10"/>
      <color theme="1"/>
      <name val="Arial"/>
      <scheme val="minor"/>
    </font>
    <font>
      <sz val="10"/>
      <color rgb="FF000000"/>
      <name val="Docs-Calibri"/>
    </font>
    <font>
      <sz val="10"/>
      <color theme="0"/>
      <name val="Calibri"/>
    </font>
    <font>
      <sz val="11"/>
      <color rgb="FF333333"/>
      <name val="Calibri"/>
    </font>
    <font>
      <sz val="11"/>
      <color rgb="FF000000"/>
      <name val="Calibri"/>
    </font>
    <font>
      <sz val="8"/>
      <color rgb="FF000000"/>
      <name val="Tahoma"/>
      <family val="2"/>
    </font>
    <font>
      <sz val="10"/>
      <color rgb="FFFF0000"/>
      <name val="Calibri"/>
    </font>
    <font>
      <sz val="10"/>
      <color rgb="FFFF0000"/>
      <name val="Arial"/>
      <scheme val="minor"/>
    </font>
    <font>
      <sz val="11"/>
      <color theme="1"/>
      <name val="Arial"/>
    </font>
    <font>
      <sz val="10"/>
      <color rgb="FF000000"/>
      <name val="SansSerif"/>
      <charset val="1"/>
    </font>
  </fonts>
  <fills count="13">
    <fill>
      <patternFill patternType="none"/>
    </fill>
    <fill>
      <patternFill patternType="gray125"/>
    </fill>
    <fill>
      <patternFill patternType="solid">
        <fgColor rgb="FFEAD1DC"/>
        <bgColor rgb="FFEAD1DC"/>
      </patternFill>
    </fill>
    <fill>
      <patternFill patternType="solid">
        <fgColor rgb="FFFFFFFF"/>
        <bgColor rgb="FFFFFFFF"/>
      </patternFill>
    </fill>
    <fill>
      <patternFill patternType="solid">
        <fgColor rgb="FF434343"/>
        <bgColor rgb="FF434343"/>
      </patternFill>
    </fill>
    <fill>
      <patternFill patternType="solid">
        <fgColor rgb="FF006890"/>
        <bgColor rgb="FF00689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/>
      <right/>
      <top style="thin">
        <color rgb="FFFFFFFF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/>
      <bottom style="thin">
        <color rgb="FFA9A9A9"/>
      </bottom>
      <diagonal/>
    </border>
    <border>
      <left/>
      <right style="thin">
        <color rgb="FFA9A9A9"/>
      </right>
      <top/>
      <bottom style="thin">
        <color rgb="FFA9A9A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5" fillId="0" borderId="0"/>
  </cellStyleXfs>
  <cellXfs count="99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3" borderId="0" xfId="0" applyFont="1" applyFill="1" applyAlignment="1">
      <alignment vertical="top"/>
    </xf>
    <xf numFmtId="164" fontId="2" fillId="3" borderId="0" xfId="0" applyNumberFormat="1" applyFont="1" applyFill="1" applyAlignment="1">
      <alignment horizontal="right" vertical="top"/>
    </xf>
    <xf numFmtId="0" fontId="3" fillId="0" borderId="0" xfId="0" applyFont="1" applyAlignment="1">
      <alignment horizontal="center"/>
    </xf>
    <xf numFmtId="0" fontId="4" fillId="3" borderId="0" xfId="0" applyFont="1" applyFill="1" applyAlignment="1">
      <alignment vertical="top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/>
    </xf>
    <xf numFmtId="14" fontId="7" fillId="0" borderId="0" xfId="0" applyNumberFormat="1" applyFont="1" applyAlignment="1">
      <alignment horizontal="center"/>
    </xf>
    <xf numFmtId="0" fontId="8" fillId="4" borderId="3" xfId="0" applyFont="1" applyFill="1" applyBorder="1"/>
    <xf numFmtId="0" fontId="8" fillId="4" borderId="1" xfId="0" applyFont="1" applyFill="1" applyBorder="1" applyAlignment="1">
      <alignment horizontal="left"/>
    </xf>
    <xf numFmtId="0" fontId="8" fillId="3" borderId="0" xfId="0" applyFont="1" applyFill="1"/>
    <xf numFmtId="0" fontId="8" fillId="4" borderId="1" xfId="0" applyFont="1" applyFill="1" applyBorder="1"/>
    <xf numFmtId="0" fontId="7" fillId="0" borderId="0" xfId="0" applyFont="1"/>
    <xf numFmtId="0" fontId="8" fillId="5" borderId="4" xfId="0" applyFont="1" applyFill="1" applyBorder="1"/>
    <xf numFmtId="0" fontId="10" fillId="0" borderId="0" xfId="0" applyFont="1"/>
    <xf numFmtId="0" fontId="8" fillId="4" borderId="3" xfId="0" applyFont="1" applyFill="1" applyBorder="1" applyAlignment="1">
      <alignment horizontal="center"/>
    </xf>
    <xf numFmtId="0" fontId="8" fillId="4" borderId="0" xfId="0" applyFont="1" applyFill="1"/>
    <xf numFmtId="0" fontId="5" fillId="0" borderId="0" xfId="0" applyFont="1"/>
    <xf numFmtId="0" fontId="5" fillId="0" borderId="0" xfId="0" applyFont="1" applyAlignment="1">
      <alignment horizontal="left"/>
    </xf>
    <xf numFmtId="0" fontId="5" fillId="3" borderId="0" xfId="0" applyFont="1" applyFill="1"/>
    <xf numFmtId="0" fontId="8" fillId="5" borderId="0" xfId="0" applyFont="1" applyFill="1"/>
    <xf numFmtId="14" fontId="7" fillId="6" borderId="5" xfId="0" applyNumberFormat="1" applyFont="1" applyFill="1" applyBorder="1" applyAlignment="1">
      <alignment horizontal="center"/>
    </xf>
    <xf numFmtId="0" fontId="7" fillId="6" borderId="5" xfId="0" applyFont="1" applyFill="1" applyBorder="1"/>
    <xf numFmtId="0" fontId="7" fillId="6" borderId="4" xfId="0" applyFont="1" applyFill="1" applyBorder="1"/>
    <xf numFmtId="3" fontId="7" fillId="6" borderId="4" xfId="0" applyNumberFormat="1" applyFont="1" applyFill="1" applyBorder="1" applyAlignment="1">
      <alignment horizontal="center"/>
    </xf>
    <xf numFmtId="0" fontId="7" fillId="6" borderId="3" xfId="0" applyFont="1" applyFill="1" applyBorder="1"/>
    <xf numFmtId="3" fontId="7" fillId="6" borderId="0" xfId="0" applyNumberFormat="1" applyFont="1" applyFill="1" applyAlignment="1">
      <alignment horizontal="center"/>
    </xf>
    <xf numFmtId="0" fontId="8" fillId="5" borderId="1" xfId="0" applyFont="1" applyFill="1" applyBorder="1" applyAlignment="1">
      <alignment horizontal="center"/>
    </xf>
    <xf numFmtId="14" fontId="10" fillId="0" borderId="0" xfId="0" applyNumberFormat="1" applyFont="1"/>
    <xf numFmtId="0" fontId="11" fillId="0" borderId="0" xfId="0" applyFont="1"/>
    <xf numFmtId="0" fontId="7" fillId="0" borderId="0" xfId="0" applyFont="1" applyAlignment="1">
      <alignment horizontal="left"/>
    </xf>
    <xf numFmtId="0" fontId="7" fillId="3" borderId="0" xfId="0" applyFont="1" applyFill="1"/>
    <xf numFmtId="14" fontId="8" fillId="5" borderId="1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12" fillId="3" borderId="0" xfId="0" applyFont="1" applyFill="1" applyAlignment="1">
      <alignment horizontal="center"/>
    </xf>
    <xf numFmtId="0" fontId="7" fillId="7" borderId="7" xfId="0" applyFont="1" applyFill="1" applyBorder="1" applyAlignment="1">
      <alignment horizontal="center"/>
    </xf>
    <xf numFmtId="0" fontId="7" fillId="8" borderId="0" xfId="0" applyFont="1" applyFill="1" applyAlignment="1">
      <alignment horizontal="center"/>
    </xf>
    <xf numFmtId="0" fontId="7" fillId="0" borderId="4" xfId="0" applyFont="1" applyBorder="1" applyAlignment="1">
      <alignment horizontal="center"/>
    </xf>
    <xf numFmtId="0" fontId="7" fillId="7" borderId="2" xfId="0" applyFont="1" applyFill="1" applyBorder="1" applyAlignment="1">
      <alignment horizontal="center"/>
    </xf>
    <xf numFmtId="0" fontId="7" fillId="0" borderId="0" xfId="0" applyFont="1" applyAlignment="1">
      <alignment horizontal="center" vertical="center"/>
    </xf>
    <xf numFmtId="14" fontId="7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7" fillId="9" borderId="0" xfId="0" applyFont="1" applyFill="1" applyAlignment="1">
      <alignment horizontal="center"/>
    </xf>
    <xf numFmtId="0" fontId="7" fillId="10" borderId="2" xfId="0" applyFont="1" applyFill="1" applyBorder="1" applyAlignment="1">
      <alignment horizontal="center"/>
    </xf>
    <xf numFmtId="0" fontId="7" fillId="3" borderId="0" xfId="0" applyFont="1" applyFill="1" applyAlignment="1">
      <alignment horizontal="center"/>
    </xf>
    <xf numFmtId="0" fontId="7" fillId="3" borderId="2" xfId="0" applyFont="1" applyFill="1" applyBorder="1" applyAlignment="1">
      <alignment horizontal="center"/>
    </xf>
    <xf numFmtId="0" fontId="5" fillId="0" borderId="0" xfId="0" applyFont="1" applyAlignment="1">
      <alignment horizontal="center" wrapText="1"/>
    </xf>
    <xf numFmtId="14" fontId="13" fillId="0" borderId="0" xfId="0" applyNumberFormat="1" applyFont="1" applyAlignment="1">
      <alignment horizontal="center"/>
    </xf>
    <xf numFmtId="14" fontId="12" fillId="3" borderId="0" xfId="0" applyNumberFormat="1" applyFont="1" applyFill="1" applyAlignment="1">
      <alignment horizontal="center"/>
    </xf>
    <xf numFmtId="14" fontId="5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4" fontId="5" fillId="3" borderId="0" xfId="0" applyNumberFormat="1" applyFont="1" applyFill="1" applyAlignment="1">
      <alignment horizontal="center"/>
    </xf>
    <xf numFmtId="0" fontId="14" fillId="3" borderId="0" xfId="0" applyFont="1" applyFill="1" applyAlignment="1">
      <alignment horizontal="center"/>
    </xf>
    <xf numFmtId="0" fontId="5" fillId="0" borderId="2" xfId="0" applyFont="1" applyBorder="1" applyAlignment="1">
      <alignment horizontal="center"/>
    </xf>
    <xf numFmtId="0" fontId="15" fillId="3" borderId="0" xfId="0" applyFont="1" applyFill="1" applyAlignment="1">
      <alignment horizontal="center"/>
    </xf>
    <xf numFmtId="0" fontId="7" fillId="0" borderId="0" xfId="0" applyFont="1" applyAlignment="1">
      <alignment horizontal="center" wrapText="1"/>
    </xf>
    <xf numFmtId="14" fontId="7" fillId="3" borderId="0" xfId="0" applyNumberFormat="1" applyFont="1" applyFill="1" applyAlignment="1">
      <alignment horizontal="center" wrapText="1"/>
    </xf>
    <xf numFmtId="0" fontId="7" fillId="3" borderId="0" xfId="0" applyFont="1" applyFill="1" applyAlignment="1">
      <alignment horizontal="center" wrapText="1"/>
    </xf>
    <xf numFmtId="0" fontId="5" fillId="3" borderId="0" xfId="0" applyFont="1" applyFill="1" applyAlignment="1">
      <alignment horizontal="center"/>
    </xf>
    <xf numFmtId="0" fontId="16" fillId="11" borderId="8" xfId="0" applyFont="1" applyFill="1" applyBorder="1" applyAlignment="1">
      <alignment readingOrder="1"/>
    </xf>
    <xf numFmtId="0" fontId="16" fillId="11" borderId="9" xfId="0" applyFont="1" applyFill="1" applyBorder="1" applyAlignment="1">
      <alignment readingOrder="1"/>
    </xf>
    <xf numFmtId="0" fontId="16" fillId="11" borderId="10" xfId="0" applyFont="1" applyFill="1" applyBorder="1" applyAlignment="1">
      <alignment readingOrder="1"/>
    </xf>
    <xf numFmtId="0" fontId="7" fillId="12" borderId="0" xfId="0" applyFont="1" applyFill="1"/>
    <xf numFmtId="0" fontId="0" fillId="12" borderId="0" xfId="0" applyFill="1"/>
    <xf numFmtId="0" fontId="8" fillId="12" borderId="1" xfId="0" applyFont="1" applyFill="1" applyBorder="1" applyAlignment="1">
      <alignment horizontal="center"/>
    </xf>
    <xf numFmtId="0" fontId="7" fillId="12" borderId="0" xfId="0" applyFont="1" applyFill="1" applyAlignment="1">
      <alignment horizontal="center"/>
    </xf>
    <xf numFmtId="14" fontId="2" fillId="3" borderId="0" xfId="0" applyNumberFormat="1" applyFont="1" applyFill="1" applyAlignment="1">
      <alignment horizontal="center" vertical="top"/>
    </xf>
    <xf numFmtId="14" fontId="6" fillId="0" borderId="0" xfId="0" applyNumberFormat="1" applyFont="1" applyAlignment="1">
      <alignment horizontal="center"/>
    </xf>
    <xf numFmtId="0" fontId="17" fillId="0" borderId="0" xfId="0" applyFont="1" applyAlignment="1">
      <alignment horizontal="center"/>
    </xf>
    <xf numFmtId="0" fontId="17" fillId="12" borderId="0" xfId="0" applyFont="1" applyFill="1" applyAlignment="1">
      <alignment horizontal="center"/>
    </xf>
    <xf numFmtId="0" fontId="17" fillId="0" borderId="2" xfId="0" applyFont="1" applyBorder="1" applyAlignment="1">
      <alignment horizontal="center"/>
    </xf>
    <xf numFmtId="0" fontId="18" fillId="0" borderId="0" xfId="0" applyFont="1"/>
    <xf numFmtId="0" fontId="5" fillId="0" borderId="0" xfId="0" applyFont="1" applyAlignment="1">
      <alignment wrapText="1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wrapText="1"/>
    </xf>
    <xf numFmtId="164" fontId="2" fillId="3" borderId="0" xfId="0" applyNumberFormat="1" applyFont="1" applyFill="1" applyAlignment="1">
      <alignment horizontal="right" vertical="center"/>
    </xf>
    <xf numFmtId="0" fontId="5" fillId="12" borderId="0" xfId="0" applyFont="1" applyFill="1" applyAlignment="1">
      <alignment horizontal="center"/>
    </xf>
    <xf numFmtId="164" fontId="2" fillId="12" borderId="0" xfId="0" applyNumberFormat="1" applyFont="1" applyFill="1" applyAlignment="1">
      <alignment horizontal="right" vertical="center"/>
    </xf>
    <xf numFmtId="0" fontId="6" fillId="12" borderId="0" xfId="0" applyFont="1" applyFill="1" applyAlignment="1">
      <alignment horizontal="center"/>
    </xf>
    <xf numFmtId="14" fontId="6" fillId="12" borderId="0" xfId="0" applyNumberFormat="1" applyFont="1" applyFill="1" applyAlignment="1">
      <alignment horizontal="center"/>
    </xf>
    <xf numFmtId="14" fontId="2" fillId="12" borderId="0" xfId="0" applyNumberFormat="1" applyFont="1" applyFill="1" applyAlignment="1">
      <alignment horizontal="center" vertical="top"/>
    </xf>
    <xf numFmtId="164" fontId="2" fillId="12" borderId="0" xfId="0" applyNumberFormat="1" applyFont="1" applyFill="1" applyAlignment="1">
      <alignment horizontal="right" vertical="top"/>
    </xf>
    <xf numFmtId="0" fontId="17" fillId="12" borderId="2" xfId="0" applyFont="1" applyFill="1" applyBorder="1" applyAlignment="1">
      <alignment horizontal="center"/>
    </xf>
    <xf numFmtId="14" fontId="5" fillId="12" borderId="0" xfId="0" applyNumberFormat="1" applyFont="1" applyFill="1" applyAlignment="1">
      <alignment horizontal="center"/>
    </xf>
    <xf numFmtId="0" fontId="19" fillId="12" borderId="11" xfId="0" applyFont="1" applyFill="1" applyBorder="1" applyAlignment="1">
      <alignment horizontal="center" vertical="center" wrapText="1"/>
    </xf>
    <xf numFmtId="0" fontId="20" fillId="0" borderId="0" xfId="0" applyFont="1"/>
    <xf numFmtId="14" fontId="0" fillId="0" borderId="0" xfId="0" applyNumberFormat="1"/>
    <xf numFmtId="14" fontId="0" fillId="0" borderId="0" xfId="0" applyNumberFormat="1" applyAlignment="1">
      <alignment horizontal="center"/>
    </xf>
    <xf numFmtId="0" fontId="6" fillId="0" borderId="0" xfId="0" applyFont="1" applyAlignment="1">
      <alignment horizontal="left" indent="3"/>
    </xf>
    <xf numFmtId="0" fontId="9" fillId="5" borderId="0" xfId="0" applyFont="1" applyFill="1" applyAlignment="1">
      <alignment horizontal="center"/>
    </xf>
    <xf numFmtId="0" fontId="0" fillId="0" borderId="0" xfId="0" applyAlignment="1"/>
  </cellXfs>
  <cellStyles count="2">
    <cellStyle name="Normal" xfId="0" builtinId="0"/>
    <cellStyle name="Normal 2" xfId="1"/>
  </cellStyles>
  <dxfs count="14">
    <dxf>
      <font>
        <color rgb="FFB45F06"/>
      </font>
      <fill>
        <patternFill patternType="none"/>
      </fill>
    </dxf>
    <dxf>
      <font>
        <color rgb="FF006890"/>
      </font>
      <fill>
        <patternFill patternType="none"/>
      </fill>
    </dxf>
    <dxf>
      <fill>
        <patternFill patternType="solid">
          <fgColor rgb="FFFBBC04"/>
          <bgColor rgb="FFFBBC04"/>
        </patternFill>
      </fill>
    </dxf>
    <dxf>
      <font>
        <color rgb="FFFFFFFF"/>
      </font>
      <fill>
        <patternFill patternType="solid">
          <fgColor rgb="FF980000"/>
          <bgColor rgb="FF980000"/>
        </patternFill>
      </fill>
    </dxf>
    <dxf>
      <font>
        <color rgb="FFFFFFFF"/>
      </font>
      <fill>
        <patternFill patternType="solid">
          <fgColor rgb="FF029A59"/>
          <bgColor rgb="FF029A59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6890"/>
      </font>
      <fill>
        <patternFill patternType="none"/>
      </fill>
    </dxf>
    <dxf>
      <font>
        <color rgb="FFB45F06"/>
      </font>
      <fill>
        <patternFill patternType="none"/>
      </fill>
    </dxf>
    <dxf>
      <font>
        <color rgb="FFB45F06"/>
      </font>
      <fill>
        <patternFill patternType="none"/>
      </fill>
    </dxf>
    <dxf>
      <font>
        <color rgb="FF006890"/>
      </font>
      <fill>
        <patternFill patternType="none"/>
      </fill>
    </dxf>
    <dxf>
      <font>
        <color rgb="FFB45F06"/>
      </font>
      <fill>
        <patternFill patternType="none"/>
      </fill>
    </dxf>
    <dxf>
      <fill>
        <patternFill patternType="solid">
          <fgColor rgb="FFFBBC04"/>
          <bgColor rgb="FFFBBC04"/>
        </patternFill>
      </fill>
    </dxf>
    <dxf>
      <font>
        <color rgb="FFFFFFFF"/>
      </font>
      <fill>
        <patternFill patternType="solid">
          <fgColor rgb="FF980000"/>
          <bgColor rgb="FF980000"/>
        </patternFill>
      </fill>
    </dxf>
    <dxf>
      <font>
        <color rgb="FFFFFFFF"/>
      </font>
      <fill>
        <patternFill patternType="solid">
          <fgColor rgb="FF029A59"/>
          <bgColor rgb="FF029A5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outlinePr summaryBelow="0" summaryRight="0"/>
  </sheetPr>
  <dimension ref="A1:R885"/>
  <sheetViews>
    <sheetView showGridLines="0" tabSelected="1" workbookViewId="0">
      <pane xSplit="1" topLeftCell="G1" activePane="topRight" state="frozen"/>
      <selection activeCell="A2" sqref="A2"/>
      <selection pane="topRight" activeCell="K16" sqref="K16"/>
    </sheetView>
  </sheetViews>
  <sheetFormatPr defaultColWidth="12.54296875" defaultRowHeight="15.75" customHeight="1" outlineLevelCol="1"/>
  <cols>
    <col min="1" max="1" width="13.7265625" customWidth="1"/>
    <col min="2" max="2" width="25.453125" customWidth="1"/>
    <col min="3" max="3" width="27.7265625" customWidth="1"/>
    <col min="4" max="4" width="20.7265625" bestFit="1" customWidth="1"/>
    <col min="5" max="5" width="39.1796875" customWidth="1" outlineLevel="1"/>
    <col min="6" max="6" width="32" customWidth="1" outlineLevel="1"/>
    <col min="7" max="7" width="17.1796875" customWidth="1" outlineLevel="1"/>
    <col min="8" max="8" width="18.81640625" customWidth="1" outlineLevel="1"/>
    <col min="9" max="9" width="18" customWidth="1"/>
    <col min="10" max="10" width="18.453125" customWidth="1"/>
    <col min="11" max="11" width="14.453125" customWidth="1" outlineLevel="1"/>
    <col min="12" max="12" width="11.81640625" customWidth="1" outlineLevel="1"/>
    <col min="13" max="13" width="21.81640625" style="81" customWidth="1" outlineLevel="1"/>
    <col min="14" max="14" width="15.453125" customWidth="1" outlineLevel="1"/>
    <col min="15" max="15" width="16.81640625" customWidth="1" outlineLevel="1"/>
    <col min="16" max="16" width="17" customWidth="1" outlineLevel="1"/>
    <col min="17" max="17" width="10.81640625" customWidth="1" outlineLevel="1"/>
  </cols>
  <sheetData>
    <row r="1" spans="1:17" ht="46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82" t="s">
        <v>16</v>
      </c>
    </row>
    <row r="2" spans="1:17" ht="13">
      <c r="A2" s="83">
        <v>46002</v>
      </c>
      <c r="B2" s="63" t="s">
        <v>17</v>
      </c>
      <c r="C2" s="63" t="s">
        <v>18</v>
      </c>
      <c r="D2" s="6" t="s">
        <v>19</v>
      </c>
      <c r="E2" s="7" t="s">
        <v>20</v>
      </c>
      <c r="F2" s="7" t="s">
        <v>21</v>
      </c>
      <c r="G2" s="7" t="s">
        <v>22</v>
      </c>
      <c r="H2" s="75">
        <v>46037</v>
      </c>
      <c r="I2" s="7" t="s">
        <v>23</v>
      </c>
      <c r="J2" s="8" t="s">
        <v>24</v>
      </c>
      <c r="K2" s="7" t="s">
        <v>25</v>
      </c>
      <c r="L2" s="8">
        <v>15</v>
      </c>
      <c r="M2" s="74">
        <v>46015</v>
      </c>
      <c r="N2" s="61" t="str">
        <f>IF(AND(A2="",K202=""),"",IF(Q2="","Em Andamento",IF(M2&lt;=O2,"Dentro do Prazo","Fora do Prazo")))</f>
        <v>Dentro do Prazo</v>
      </c>
      <c r="O2" s="57">
        <f t="shared" ref="O2" si="0">IF(OR(A2="",L2=""),"",A2+L2)</f>
        <v>46017</v>
      </c>
      <c r="P2" s="76" t="str">
        <f t="shared" ref="P2" ca="1" si="1">IF(O2="","",IF(O2-TODAY()=0,"Vence Hoje!",IF(O2-TODAY()&gt;=0,O2-TODAY()&amp;" Dia(s) para vencer","Prazo Vencido")))</f>
        <v>Prazo Vencido</v>
      </c>
      <c r="Q2" s="73">
        <f t="shared" ref="Q2" si="2">IF(OR(A2="",M2=""),"",M2-A2)</f>
        <v>13</v>
      </c>
    </row>
    <row r="3" spans="1:17" s="79" customFormat="1" ht="13">
      <c r="A3" s="83">
        <v>46021</v>
      </c>
      <c r="B3" s="54" t="s">
        <v>26</v>
      </c>
      <c r="C3" s="54" t="s">
        <v>27</v>
      </c>
      <c r="D3" s="6" t="s">
        <v>19</v>
      </c>
      <c r="E3" s="6" t="s">
        <v>28</v>
      </c>
      <c r="F3" s="7" t="s">
        <v>29</v>
      </c>
      <c r="G3" s="7" t="s">
        <v>22</v>
      </c>
      <c r="H3" s="57">
        <v>46037</v>
      </c>
      <c r="I3" s="6" t="s">
        <v>23</v>
      </c>
      <c r="J3" s="6" t="s">
        <v>24</v>
      </c>
      <c r="K3" s="6" t="s">
        <v>25</v>
      </c>
      <c r="L3" s="6">
        <v>15</v>
      </c>
      <c r="M3" s="74">
        <v>46029</v>
      </c>
      <c r="N3" s="78" t="str">
        <f t="shared" ref="N3:N29" si="3">IF(AND(A3="",K205=""),"",IF(Q3="","Em Andamento",IF(M3&lt;=O3,"Dentro do Prazo","Fora do Prazo")))</f>
        <v>Dentro do Prazo</v>
      </c>
      <c r="O3" s="57">
        <f t="shared" ref="O3" si="4">IF(OR(A3="",L3=""),"",A3+L3)</f>
        <v>46036</v>
      </c>
      <c r="P3" s="76" t="str">
        <f t="shared" ref="P3" ca="1" si="5">IF(O3="","",IF(O3-TODAY()=0,"Vence Hoje!",IF(O3-TODAY()&gt;=0,O3-TODAY()&amp;" Dia(s) para vencer","Prazo Vencido")))</f>
        <v>Prazo Vencido</v>
      </c>
      <c r="Q3" s="77">
        <f t="shared" ref="Q3" si="6">IF(OR(A3="",M3=""),"",M3-A3)</f>
        <v>8</v>
      </c>
    </row>
    <row r="4" spans="1:17" s="79" customFormat="1" ht="13">
      <c r="A4" s="83">
        <v>46021</v>
      </c>
      <c r="B4" s="54" t="s">
        <v>26</v>
      </c>
      <c r="C4" s="54" t="s">
        <v>27</v>
      </c>
      <c r="D4" s="6" t="s">
        <v>19</v>
      </c>
      <c r="E4" s="6" t="s">
        <v>30</v>
      </c>
      <c r="F4" s="6"/>
      <c r="G4" s="7" t="s">
        <v>22</v>
      </c>
      <c r="H4" s="57">
        <v>46037</v>
      </c>
      <c r="I4" s="6" t="s">
        <v>23</v>
      </c>
      <c r="J4" s="6" t="s">
        <v>24</v>
      </c>
      <c r="K4" s="6" t="s">
        <v>25</v>
      </c>
      <c r="L4" s="6">
        <v>15</v>
      </c>
      <c r="M4" s="74">
        <v>46030</v>
      </c>
      <c r="N4" s="78" t="str">
        <f t="shared" si="3"/>
        <v>Dentro do Prazo</v>
      </c>
      <c r="O4" s="57">
        <f t="shared" ref="O4:O64" si="7">IF(OR(A4="",L4=""),"",A4+L4)</f>
        <v>46036</v>
      </c>
      <c r="P4" s="76" t="str">
        <f t="shared" ref="P4:P64" ca="1" si="8">IF(O4="","",IF(O4-TODAY()=0,"Vence Hoje!",IF(O4-TODAY()&gt;=0,O4-TODAY()&amp;" Dia(s) para vencer","Prazo Vencido")))</f>
        <v>Prazo Vencido</v>
      </c>
      <c r="Q4" s="77">
        <f t="shared" ref="Q4:Q64" si="9">IF(OR(A4="",M4=""),"",M4-A4)</f>
        <v>9</v>
      </c>
    </row>
    <row r="5" spans="1:17" ht="13">
      <c r="A5" s="83">
        <v>46027</v>
      </c>
      <c r="B5" s="63" t="s">
        <v>31</v>
      </c>
      <c r="C5" s="63" t="s">
        <v>32</v>
      </c>
      <c r="D5" s="6" t="s">
        <v>19</v>
      </c>
      <c r="E5" s="7" t="s">
        <v>33</v>
      </c>
      <c r="F5" s="7" t="s">
        <v>34</v>
      </c>
      <c r="G5" s="7" t="s">
        <v>35</v>
      </c>
      <c r="H5" s="75">
        <v>46030</v>
      </c>
      <c r="I5" s="7" t="s">
        <v>23</v>
      </c>
      <c r="J5" s="8" t="s">
        <v>24</v>
      </c>
      <c r="K5" s="7" t="s">
        <v>25</v>
      </c>
      <c r="L5" s="8">
        <v>15</v>
      </c>
      <c r="M5" s="74">
        <v>45981</v>
      </c>
      <c r="N5" s="78" t="str">
        <f t="shared" si="3"/>
        <v>Dentro do Prazo</v>
      </c>
      <c r="O5" s="57">
        <f t="shared" si="7"/>
        <v>46042</v>
      </c>
      <c r="P5" s="76" t="str">
        <f t="shared" ca="1" si="8"/>
        <v>Prazo Vencido</v>
      </c>
      <c r="Q5" s="77">
        <f t="shared" si="9"/>
        <v>-46</v>
      </c>
    </row>
    <row r="6" spans="1:17" ht="13">
      <c r="A6" s="83">
        <v>46027</v>
      </c>
      <c r="B6" s="4" t="s">
        <v>36</v>
      </c>
      <c r="C6" s="4" t="s">
        <v>37</v>
      </c>
      <c r="D6" s="6" t="s">
        <v>19</v>
      </c>
      <c r="E6" s="7" t="s">
        <v>38</v>
      </c>
      <c r="F6" s="7" t="s">
        <v>39</v>
      </c>
      <c r="G6" s="7" t="s">
        <v>35</v>
      </c>
      <c r="H6" s="75">
        <v>46037</v>
      </c>
      <c r="I6" s="7" t="s">
        <v>23</v>
      </c>
      <c r="J6" s="8" t="s">
        <v>24</v>
      </c>
      <c r="K6" s="7" t="s">
        <v>25</v>
      </c>
      <c r="L6" s="8">
        <v>15</v>
      </c>
      <c r="M6" s="74">
        <v>46017</v>
      </c>
      <c r="N6" s="78" t="str">
        <f t="shared" si="3"/>
        <v>Dentro do Prazo</v>
      </c>
      <c r="O6" s="57">
        <f t="shared" si="7"/>
        <v>46042</v>
      </c>
      <c r="P6" s="76" t="str">
        <f t="shared" ca="1" si="8"/>
        <v>Prazo Vencido</v>
      </c>
      <c r="Q6" s="77">
        <f t="shared" si="9"/>
        <v>-10</v>
      </c>
    </row>
    <row r="7" spans="1:17" s="71" customFormat="1" ht="13">
      <c r="A7" s="85">
        <v>46027</v>
      </c>
      <c r="B7" s="4" t="s">
        <v>36</v>
      </c>
      <c r="C7" s="4" t="s">
        <v>37</v>
      </c>
      <c r="D7" s="84" t="s">
        <v>19</v>
      </c>
      <c r="E7" s="86" t="s">
        <v>40</v>
      </c>
      <c r="F7" s="86" t="s">
        <v>41</v>
      </c>
      <c r="G7" s="86" t="s">
        <v>35</v>
      </c>
      <c r="H7" s="87">
        <v>46037</v>
      </c>
      <c r="I7" s="86" t="s">
        <v>23</v>
      </c>
      <c r="J7" s="73" t="s">
        <v>24</v>
      </c>
      <c r="K7" s="86" t="s">
        <v>25</v>
      </c>
      <c r="L7" s="73">
        <v>15</v>
      </c>
      <c r="M7" s="88">
        <v>46041</v>
      </c>
      <c r="N7" s="78" t="str">
        <f t="shared" si="3"/>
        <v>Dentro do Prazo</v>
      </c>
      <c r="O7" s="57">
        <f t="shared" si="7"/>
        <v>46042</v>
      </c>
      <c r="P7" s="76" t="str">
        <f t="shared" ca="1" si="8"/>
        <v>Prazo Vencido</v>
      </c>
      <c r="Q7" s="77">
        <f t="shared" si="9"/>
        <v>14</v>
      </c>
    </row>
    <row r="8" spans="1:17" ht="13">
      <c r="A8" s="83">
        <v>46027</v>
      </c>
      <c r="B8" s="4" t="s">
        <v>36</v>
      </c>
      <c r="C8" s="4" t="s">
        <v>37</v>
      </c>
      <c r="D8" s="6" t="s">
        <v>19</v>
      </c>
      <c r="E8" s="7" t="s">
        <v>42</v>
      </c>
      <c r="F8" s="7" t="s">
        <v>43</v>
      </c>
      <c r="G8" s="7" t="s">
        <v>35</v>
      </c>
      <c r="H8" s="75">
        <v>46037</v>
      </c>
      <c r="I8" s="7" t="s">
        <v>23</v>
      </c>
      <c r="J8" s="8" t="s">
        <v>24</v>
      </c>
      <c r="K8" s="7" t="s">
        <v>25</v>
      </c>
      <c r="L8" s="8">
        <v>15</v>
      </c>
      <c r="M8" s="74">
        <v>46017</v>
      </c>
      <c r="N8" s="78" t="str">
        <f t="shared" si="3"/>
        <v>Dentro do Prazo</v>
      </c>
      <c r="O8" s="57">
        <f t="shared" si="7"/>
        <v>46042</v>
      </c>
      <c r="P8" s="76" t="str">
        <f t="shared" ca="1" si="8"/>
        <v>Prazo Vencido</v>
      </c>
      <c r="Q8" s="77">
        <f t="shared" si="9"/>
        <v>-10</v>
      </c>
    </row>
    <row r="9" spans="1:17" ht="13">
      <c r="A9" s="83">
        <v>46028</v>
      </c>
      <c r="B9" s="4" t="s">
        <v>17</v>
      </c>
      <c r="C9" s="4" t="s">
        <v>27</v>
      </c>
      <c r="D9" s="6" t="s">
        <v>19</v>
      </c>
      <c r="E9" s="7" t="s">
        <v>44</v>
      </c>
      <c r="F9" s="7" t="s">
        <v>45</v>
      </c>
      <c r="G9" s="7" t="s">
        <v>22</v>
      </c>
      <c r="H9" s="75">
        <v>46037</v>
      </c>
      <c r="I9" s="7" t="s">
        <v>23</v>
      </c>
      <c r="J9" s="8" t="s">
        <v>24</v>
      </c>
      <c r="K9" s="7" t="s">
        <v>25</v>
      </c>
      <c r="L9" s="8">
        <v>15</v>
      </c>
      <c r="M9" s="74">
        <v>46028</v>
      </c>
      <c r="N9" s="78" t="str">
        <f t="shared" si="3"/>
        <v>Dentro do Prazo</v>
      </c>
      <c r="O9" s="57">
        <f t="shared" si="7"/>
        <v>46043</v>
      </c>
      <c r="P9" s="76" t="str">
        <f t="shared" ca="1" si="8"/>
        <v>Prazo Vencido</v>
      </c>
      <c r="Q9" s="77">
        <f t="shared" si="9"/>
        <v>0</v>
      </c>
    </row>
    <row r="10" spans="1:17" ht="13">
      <c r="A10" s="83">
        <v>46028</v>
      </c>
      <c r="B10" s="4" t="s">
        <v>17</v>
      </c>
      <c r="C10" s="4" t="s">
        <v>27</v>
      </c>
      <c r="D10" s="6" t="s">
        <v>19</v>
      </c>
      <c r="E10" s="7" t="s">
        <v>46</v>
      </c>
      <c r="F10" s="7" t="s">
        <v>47</v>
      </c>
      <c r="G10" s="7" t="s">
        <v>48</v>
      </c>
      <c r="H10" s="75">
        <v>46058</v>
      </c>
      <c r="I10" s="7" t="s">
        <v>23</v>
      </c>
      <c r="J10" s="8" t="s">
        <v>24</v>
      </c>
      <c r="K10" s="7" t="s">
        <v>25</v>
      </c>
      <c r="L10" s="8">
        <v>15</v>
      </c>
      <c r="M10" s="74">
        <v>46042</v>
      </c>
      <c r="N10" s="78" t="str">
        <f t="shared" si="3"/>
        <v>Dentro do Prazo</v>
      </c>
      <c r="O10" s="57">
        <f t="shared" si="7"/>
        <v>46043</v>
      </c>
      <c r="P10" s="76" t="str">
        <f t="shared" ca="1" si="8"/>
        <v>Prazo Vencido</v>
      </c>
      <c r="Q10" s="77">
        <f t="shared" si="9"/>
        <v>14</v>
      </c>
    </row>
    <row r="11" spans="1:17" ht="13">
      <c r="A11" s="83">
        <v>46028</v>
      </c>
      <c r="B11" s="4" t="s">
        <v>17</v>
      </c>
      <c r="C11" s="4" t="s">
        <v>27</v>
      </c>
      <c r="D11" s="6" t="s">
        <v>19</v>
      </c>
      <c r="E11" s="7" t="s">
        <v>49</v>
      </c>
      <c r="F11" s="7" t="s">
        <v>50</v>
      </c>
      <c r="G11" s="7" t="s">
        <v>22</v>
      </c>
      <c r="H11" s="75">
        <v>46058</v>
      </c>
      <c r="I11" s="7" t="s">
        <v>23</v>
      </c>
      <c r="J11" s="8" t="s">
        <v>24</v>
      </c>
      <c r="K11" s="7" t="s">
        <v>25</v>
      </c>
      <c r="L11" s="8">
        <v>15</v>
      </c>
      <c r="M11" s="74">
        <v>46042</v>
      </c>
      <c r="N11" s="78" t="str">
        <f t="shared" si="3"/>
        <v>Dentro do Prazo</v>
      </c>
      <c r="O11" s="57">
        <f t="shared" si="7"/>
        <v>46043</v>
      </c>
      <c r="P11" s="76" t="str">
        <f t="shared" ca="1" si="8"/>
        <v>Prazo Vencido</v>
      </c>
      <c r="Q11" s="77">
        <f t="shared" si="9"/>
        <v>14</v>
      </c>
    </row>
    <row r="12" spans="1:17" ht="13">
      <c r="A12" s="83">
        <v>46028</v>
      </c>
      <c r="B12" s="4" t="s">
        <v>17</v>
      </c>
      <c r="C12" s="4" t="s">
        <v>27</v>
      </c>
      <c r="D12" s="6" t="s">
        <v>19</v>
      </c>
      <c r="E12" s="7" t="s">
        <v>51</v>
      </c>
      <c r="F12" s="7" t="s">
        <v>52</v>
      </c>
      <c r="G12" s="7" t="s">
        <v>22</v>
      </c>
      <c r="H12" s="75">
        <v>46058</v>
      </c>
      <c r="I12" s="7" t="s">
        <v>23</v>
      </c>
      <c r="J12" s="8" t="s">
        <v>24</v>
      </c>
      <c r="K12" s="7" t="s">
        <v>25</v>
      </c>
      <c r="L12" s="8">
        <v>15</v>
      </c>
      <c r="M12" s="74">
        <v>46042</v>
      </c>
      <c r="N12" s="78" t="str">
        <f t="shared" si="3"/>
        <v>Dentro do Prazo</v>
      </c>
      <c r="O12" s="57">
        <f t="shared" si="7"/>
        <v>46043</v>
      </c>
      <c r="P12" s="76" t="str">
        <f t="shared" ca="1" si="8"/>
        <v>Prazo Vencido</v>
      </c>
      <c r="Q12" s="77">
        <f t="shared" si="9"/>
        <v>14</v>
      </c>
    </row>
    <row r="13" spans="1:17" ht="13">
      <c r="A13" s="83">
        <v>46028</v>
      </c>
      <c r="B13" s="4" t="s">
        <v>53</v>
      </c>
      <c r="C13" s="4" t="s">
        <v>32</v>
      </c>
      <c r="D13" s="6" t="s">
        <v>19</v>
      </c>
      <c r="E13" s="7" t="s">
        <v>54</v>
      </c>
      <c r="F13" s="7" t="s">
        <v>55</v>
      </c>
      <c r="G13" s="7"/>
      <c r="H13" s="75"/>
      <c r="I13" s="7" t="s">
        <v>23</v>
      </c>
      <c r="J13" s="8" t="s">
        <v>24</v>
      </c>
      <c r="K13" s="7" t="s">
        <v>25</v>
      </c>
      <c r="L13" s="8">
        <v>15</v>
      </c>
      <c r="M13" s="74">
        <v>46023</v>
      </c>
      <c r="N13" s="78" t="str">
        <f t="shared" si="3"/>
        <v>Dentro do Prazo</v>
      </c>
      <c r="O13" s="57">
        <f t="shared" si="7"/>
        <v>46043</v>
      </c>
      <c r="P13" s="76" t="str">
        <f t="shared" ca="1" si="8"/>
        <v>Prazo Vencido</v>
      </c>
      <c r="Q13" s="77">
        <f t="shared" si="9"/>
        <v>-5</v>
      </c>
    </row>
    <row r="14" spans="1:17" ht="13">
      <c r="A14" s="83">
        <v>46028</v>
      </c>
      <c r="B14" s="4" t="s">
        <v>26</v>
      </c>
      <c r="C14" s="4" t="s">
        <v>27</v>
      </c>
      <c r="D14" s="6" t="s">
        <v>19</v>
      </c>
      <c r="E14" s="7" t="s">
        <v>56</v>
      </c>
      <c r="F14" s="7" t="s">
        <v>57</v>
      </c>
      <c r="G14" s="7" t="s">
        <v>48</v>
      </c>
      <c r="H14" s="75">
        <v>46054</v>
      </c>
      <c r="I14" s="7" t="s">
        <v>23</v>
      </c>
      <c r="J14" s="8" t="s">
        <v>24</v>
      </c>
      <c r="K14" s="7" t="s">
        <v>25</v>
      </c>
      <c r="L14" s="8">
        <v>15</v>
      </c>
      <c r="M14" s="74">
        <v>46027</v>
      </c>
      <c r="N14" s="78" t="str">
        <f t="shared" si="3"/>
        <v>Dentro do Prazo</v>
      </c>
      <c r="O14" s="57">
        <f t="shared" si="7"/>
        <v>46043</v>
      </c>
      <c r="P14" s="76" t="str">
        <f t="shared" ca="1" si="8"/>
        <v>Prazo Vencido</v>
      </c>
      <c r="Q14" s="77">
        <f t="shared" si="9"/>
        <v>-1</v>
      </c>
    </row>
    <row r="15" spans="1:17" ht="13">
      <c r="A15" s="83">
        <v>46028</v>
      </c>
      <c r="B15" s="4" t="s">
        <v>26</v>
      </c>
      <c r="C15" s="4" t="s">
        <v>27</v>
      </c>
      <c r="D15" s="6" t="s">
        <v>19</v>
      </c>
      <c r="E15" s="7" t="s">
        <v>58</v>
      </c>
      <c r="F15" s="7" t="s">
        <v>59</v>
      </c>
      <c r="G15" s="7" t="s">
        <v>48</v>
      </c>
      <c r="H15" s="75">
        <v>46054</v>
      </c>
      <c r="I15" s="7" t="s">
        <v>23</v>
      </c>
      <c r="J15" s="8" t="s">
        <v>24</v>
      </c>
      <c r="K15" s="7" t="s">
        <v>25</v>
      </c>
      <c r="L15" s="8">
        <v>15</v>
      </c>
      <c r="M15" s="74">
        <v>46027</v>
      </c>
      <c r="N15" s="78" t="str">
        <f t="shared" si="3"/>
        <v>Dentro do Prazo</v>
      </c>
      <c r="O15" s="57">
        <f t="shared" si="7"/>
        <v>46043</v>
      </c>
      <c r="P15" s="76" t="str">
        <f t="shared" ca="1" si="8"/>
        <v>Prazo Vencido</v>
      </c>
      <c r="Q15" s="77">
        <f t="shared" si="9"/>
        <v>-1</v>
      </c>
    </row>
    <row r="16" spans="1:17" ht="13">
      <c r="A16" s="83">
        <v>46048</v>
      </c>
      <c r="B16" s="4" t="s">
        <v>26</v>
      </c>
      <c r="C16" s="4" t="s">
        <v>27</v>
      </c>
      <c r="D16" s="6" t="s">
        <v>19</v>
      </c>
      <c r="E16" s="7" t="s">
        <v>60</v>
      </c>
      <c r="F16" s="7" t="s">
        <v>61</v>
      </c>
      <c r="G16" s="7" t="s">
        <v>22</v>
      </c>
      <c r="H16" s="75">
        <v>46058</v>
      </c>
      <c r="I16" s="7" t="s">
        <v>23</v>
      </c>
      <c r="J16" s="8" t="s">
        <v>24</v>
      </c>
      <c r="K16" s="7" t="s">
        <v>25</v>
      </c>
      <c r="L16" s="8">
        <v>15</v>
      </c>
      <c r="M16" s="74">
        <v>46044</v>
      </c>
      <c r="N16" s="78" t="str">
        <f t="shared" si="3"/>
        <v>Dentro do Prazo</v>
      </c>
      <c r="O16" s="57">
        <f t="shared" si="7"/>
        <v>46063</v>
      </c>
      <c r="P16" s="76" t="str">
        <f t="shared" ca="1" si="8"/>
        <v>Prazo Vencido</v>
      </c>
      <c r="Q16" s="77">
        <f t="shared" si="9"/>
        <v>-4</v>
      </c>
    </row>
    <row r="17" spans="1:17" ht="13">
      <c r="A17" s="83">
        <v>46048</v>
      </c>
      <c r="B17" s="4" t="s">
        <v>26</v>
      </c>
      <c r="C17" s="4" t="s">
        <v>27</v>
      </c>
      <c r="D17" s="6" t="s">
        <v>19</v>
      </c>
      <c r="E17" s="7" t="s">
        <v>62</v>
      </c>
      <c r="F17" s="7" t="s">
        <v>63</v>
      </c>
      <c r="G17" s="7" t="s">
        <v>22</v>
      </c>
      <c r="H17" s="75">
        <v>46058</v>
      </c>
      <c r="I17" s="7" t="s">
        <v>23</v>
      </c>
      <c r="J17" s="8" t="s">
        <v>24</v>
      </c>
      <c r="K17" s="7" t="s">
        <v>25</v>
      </c>
      <c r="L17" s="8">
        <v>15</v>
      </c>
      <c r="M17" s="74">
        <v>46044</v>
      </c>
      <c r="N17" s="78" t="str">
        <f t="shared" si="3"/>
        <v>Dentro do Prazo</v>
      </c>
      <c r="O17" s="57">
        <f t="shared" si="7"/>
        <v>46063</v>
      </c>
      <c r="P17" s="76" t="str">
        <f t="shared" ca="1" si="8"/>
        <v>Prazo Vencido</v>
      </c>
      <c r="Q17" s="77">
        <f t="shared" si="9"/>
        <v>-4</v>
      </c>
    </row>
    <row r="18" spans="1:17" ht="13">
      <c r="A18" s="83">
        <v>46048</v>
      </c>
      <c r="B18" s="4" t="s">
        <v>17</v>
      </c>
      <c r="C18" s="4" t="s">
        <v>27</v>
      </c>
      <c r="D18" s="6" t="s">
        <v>19</v>
      </c>
      <c r="E18" s="7" t="s">
        <v>64</v>
      </c>
      <c r="F18" s="7" t="s">
        <v>65</v>
      </c>
      <c r="G18" s="7" t="s">
        <v>22</v>
      </c>
      <c r="H18" s="75">
        <v>46058</v>
      </c>
      <c r="I18" s="7" t="s">
        <v>23</v>
      </c>
      <c r="J18" s="8" t="s">
        <v>24</v>
      </c>
      <c r="K18" s="7" t="s">
        <v>25</v>
      </c>
      <c r="L18" s="8">
        <v>15</v>
      </c>
      <c r="M18" s="74">
        <v>46044</v>
      </c>
      <c r="N18" s="78" t="str">
        <f t="shared" si="3"/>
        <v>Dentro do Prazo</v>
      </c>
      <c r="O18" s="57">
        <f t="shared" si="7"/>
        <v>46063</v>
      </c>
      <c r="P18" s="76" t="str">
        <f t="shared" ca="1" si="8"/>
        <v>Prazo Vencido</v>
      </c>
      <c r="Q18" s="77">
        <f t="shared" si="9"/>
        <v>-4</v>
      </c>
    </row>
    <row r="19" spans="1:17" ht="13">
      <c r="A19" s="83">
        <v>46048</v>
      </c>
      <c r="B19" s="4" t="s">
        <v>17</v>
      </c>
      <c r="C19" s="4" t="s">
        <v>27</v>
      </c>
      <c r="D19" s="6" t="s">
        <v>19</v>
      </c>
      <c r="E19" s="7" t="s">
        <v>66</v>
      </c>
      <c r="F19" s="7" t="s">
        <v>67</v>
      </c>
      <c r="G19" s="7" t="s">
        <v>48</v>
      </c>
      <c r="H19" s="75">
        <v>46058</v>
      </c>
      <c r="I19" s="7" t="s">
        <v>23</v>
      </c>
      <c r="J19" s="8" t="s">
        <v>24</v>
      </c>
      <c r="K19" s="7" t="s">
        <v>25</v>
      </c>
      <c r="L19" s="8">
        <v>15</v>
      </c>
      <c r="M19" s="74">
        <v>46044</v>
      </c>
      <c r="N19" s="78" t="str">
        <f t="shared" si="3"/>
        <v>Dentro do Prazo</v>
      </c>
      <c r="O19" s="57">
        <f t="shared" si="7"/>
        <v>46063</v>
      </c>
      <c r="P19" s="76" t="str">
        <f t="shared" ca="1" si="8"/>
        <v>Prazo Vencido</v>
      </c>
      <c r="Q19" s="77">
        <f t="shared" si="9"/>
        <v>-4</v>
      </c>
    </row>
    <row r="20" spans="1:17" ht="13">
      <c r="A20" s="83">
        <v>46048</v>
      </c>
      <c r="B20" s="4" t="s">
        <v>17</v>
      </c>
      <c r="C20" s="4" t="s">
        <v>27</v>
      </c>
      <c r="D20" s="6" t="s">
        <v>19</v>
      </c>
      <c r="E20" s="7" t="s">
        <v>68</v>
      </c>
      <c r="F20" s="7" t="s">
        <v>69</v>
      </c>
      <c r="G20" s="7" t="s">
        <v>48</v>
      </c>
      <c r="H20" s="75">
        <v>46058</v>
      </c>
      <c r="I20" s="7" t="s">
        <v>23</v>
      </c>
      <c r="J20" s="8" t="s">
        <v>24</v>
      </c>
      <c r="K20" s="7" t="s">
        <v>25</v>
      </c>
      <c r="L20" s="8">
        <v>15</v>
      </c>
      <c r="M20" s="74">
        <v>46044</v>
      </c>
      <c r="N20" s="78" t="str">
        <f t="shared" si="3"/>
        <v>Dentro do Prazo</v>
      </c>
      <c r="O20" s="57">
        <f t="shared" si="7"/>
        <v>46063</v>
      </c>
      <c r="P20" s="76" t="str">
        <f t="shared" ca="1" si="8"/>
        <v>Prazo Vencido</v>
      </c>
      <c r="Q20" s="77">
        <f t="shared" si="9"/>
        <v>-4</v>
      </c>
    </row>
    <row r="21" spans="1:17" ht="13">
      <c r="A21" s="83">
        <v>46048</v>
      </c>
      <c r="B21" s="4" t="s">
        <v>17</v>
      </c>
      <c r="C21" s="4" t="s">
        <v>27</v>
      </c>
      <c r="D21" s="6" t="s">
        <v>19</v>
      </c>
      <c r="E21" s="7" t="s">
        <v>70</v>
      </c>
      <c r="F21" s="7" t="s">
        <v>71</v>
      </c>
      <c r="G21" s="7" t="s">
        <v>22</v>
      </c>
      <c r="H21" s="75">
        <v>46058</v>
      </c>
      <c r="I21" s="7" t="s">
        <v>23</v>
      </c>
      <c r="J21" s="8" t="s">
        <v>24</v>
      </c>
      <c r="K21" s="7" t="s">
        <v>25</v>
      </c>
      <c r="L21" s="8">
        <v>15</v>
      </c>
      <c r="M21" s="74">
        <v>46044</v>
      </c>
      <c r="N21" s="78" t="str">
        <f t="shared" si="3"/>
        <v>Dentro do Prazo</v>
      </c>
      <c r="O21" s="57">
        <f t="shared" si="7"/>
        <v>46063</v>
      </c>
      <c r="P21" s="76" t="str">
        <f t="shared" ca="1" si="8"/>
        <v>Prazo Vencido</v>
      </c>
      <c r="Q21" s="77">
        <f t="shared" si="9"/>
        <v>-4</v>
      </c>
    </row>
    <row r="22" spans="1:17" ht="13">
      <c r="A22" s="83">
        <v>46048</v>
      </c>
      <c r="B22" s="4" t="s">
        <v>17</v>
      </c>
      <c r="C22" s="4" t="s">
        <v>27</v>
      </c>
      <c r="D22" s="6" t="s">
        <v>19</v>
      </c>
      <c r="E22" s="7" t="s">
        <v>72</v>
      </c>
      <c r="F22" s="7" t="s">
        <v>73</v>
      </c>
      <c r="G22" s="7" t="s">
        <v>22</v>
      </c>
      <c r="H22" s="75">
        <v>46058</v>
      </c>
      <c r="I22" s="7" t="s">
        <v>23</v>
      </c>
      <c r="J22" s="8" t="s">
        <v>24</v>
      </c>
      <c r="K22" s="7" t="s">
        <v>25</v>
      </c>
      <c r="L22" s="8">
        <v>15</v>
      </c>
      <c r="M22" s="74">
        <v>46044</v>
      </c>
      <c r="N22" s="78" t="str">
        <f t="shared" si="3"/>
        <v>Dentro do Prazo</v>
      </c>
      <c r="O22" s="57">
        <f t="shared" si="7"/>
        <v>46063</v>
      </c>
      <c r="P22" s="76" t="str">
        <f t="shared" ca="1" si="8"/>
        <v>Prazo Vencido</v>
      </c>
      <c r="Q22" s="77">
        <f t="shared" si="9"/>
        <v>-4</v>
      </c>
    </row>
    <row r="23" spans="1:17" ht="13">
      <c r="A23" s="83">
        <v>46048</v>
      </c>
      <c r="B23" s="4" t="s">
        <v>17</v>
      </c>
      <c r="C23" s="4" t="s">
        <v>27</v>
      </c>
      <c r="D23" s="6" t="s">
        <v>19</v>
      </c>
      <c r="E23" s="7" t="s">
        <v>74</v>
      </c>
      <c r="F23" s="7" t="s">
        <v>75</v>
      </c>
      <c r="G23" s="7" t="s">
        <v>48</v>
      </c>
      <c r="H23" s="75">
        <v>46086</v>
      </c>
      <c r="I23" s="7" t="s">
        <v>23</v>
      </c>
      <c r="J23" s="8" t="s">
        <v>24</v>
      </c>
      <c r="K23" s="7" t="s">
        <v>25</v>
      </c>
      <c r="L23" s="8">
        <v>15</v>
      </c>
      <c r="M23" s="74">
        <v>46063</v>
      </c>
      <c r="N23" s="78" t="str">
        <f t="shared" si="3"/>
        <v>Dentro do Prazo</v>
      </c>
      <c r="O23" s="57">
        <f t="shared" si="7"/>
        <v>46063</v>
      </c>
      <c r="P23" s="76" t="str">
        <f t="shared" ca="1" si="8"/>
        <v>Prazo Vencido</v>
      </c>
      <c r="Q23" s="77">
        <f t="shared" si="9"/>
        <v>15</v>
      </c>
    </row>
    <row r="24" spans="1:17" ht="13">
      <c r="A24" s="83">
        <v>46048</v>
      </c>
      <c r="B24" s="4" t="s">
        <v>17</v>
      </c>
      <c r="C24" s="4" t="s">
        <v>27</v>
      </c>
      <c r="D24" s="6" t="s">
        <v>19</v>
      </c>
      <c r="E24" s="7" t="s">
        <v>76</v>
      </c>
      <c r="F24" s="7" t="s">
        <v>77</v>
      </c>
      <c r="G24" s="7" t="s">
        <v>48</v>
      </c>
      <c r="H24" s="75">
        <v>46065</v>
      </c>
      <c r="I24" s="7" t="s">
        <v>23</v>
      </c>
      <c r="J24" s="8" t="s">
        <v>24</v>
      </c>
      <c r="K24" s="7" t="s">
        <v>25</v>
      </c>
      <c r="L24" s="8">
        <v>15</v>
      </c>
      <c r="M24" s="74">
        <v>46051</v>
      </c>
      <c r="N24" s="78" t="str">
        <f t="shared" si="3"/>
        <v>Dentro do Prazo</v>
      </c>
      <c r="O24" s="57">
        <f t="shared" si="7"/>
        <v>46063</v>
      </c>
      <c r="P24" s="76" t="str">
        <f t="shared" ca="1" si="8"/>
        <v>Prazo Vencido</v>
      </c>
      <c r="Q24" s="77">
        <f t="shared" si="9"/>
        <v>3</v>
      </c>
    </row>
    <row r="25" spans="1:17" ht="13">
      <c r="A25" s="83">
        <v>46048</v>
      </c>
      <c r="B25" s="4" t="s">
        <v>17</v>
      </c>
      <c r="C25" s="4" t="s">
        <v>27</v>
      </c>
      <c r="D25" s="6" t="s">
        <v>19</v>
      </c>
      <c r="E25" s="7" t="s">
        <v>78</v>
      </c>
      <c r="F25" s="7" t="s">
        <v>79</v>
      </c>
      <c r="G25" s="7" t="s">
        <v>48</v>
      </c>
      <c r="H25" s="75">
        <v>46065</v>
      </c>
      <c r="I25" s="7" t="s">
        <v>23</v>
      </c>
      <c r="J25" s="8" t="s">
        <v>24</v>
      </c>
      <c r="K25" s="7" t="s">
        <v>25</v>
      </c>
      <c r="L25" s="8">
        <v>15</v>
      </c>
      <c r="M25" s="74">
        <v>46051</v>
      </c>
      <c r="N25" s="78" t="str">
        <f t="shared" si="3"/>
        <v>Dentro do Prazo</v>
      </c>
      <c r="O25" s="57">
        <f t="shared" si="7"/>
        <v>46063</v>
      </c>
      <c r="P25" s="76" t="str">
        <f t="shared" ca="1" si="8"/>
        <v>Prazo Vencido</v>
      </c>
      <c r="Q25" s="77">
        <f t="shared" si="9"/>
        <v>3</v>
      </c>
    </row>
    <row r="26" spans="1:17" ht="13">
      <c r="A26" s="83">
        <v>46048</v>
      </c>
      <c r="B26" s="4" t="s">
        <v>17</v>
      </c>
      <c r="C26" s="4" t="s">
        <v>27</v>
      </c>
      <c r="D26" s="6" t="s">
        <v>19</v>
      </c>
      <c r="E26" s="7" t="s">
        <v>80</v>
      </c>
      <c r="F26" s="7" t="s">
        <v>81</v>
      </c>
      <c r="G26" s="7" t="s">
        <v>22</v>
      </c>
      <c r="H26" s="75">
        <v>46065</v>
      </c>
      <c r="I26" s="7" t="s">
        <v>23</v>
      </c>
      <c r="J26" s="8" t="s">
        <v>24</v>
      </c>
      <c r="K26" s="7" t="s">
        <v>25</v>
      </c>
      <c r="L26" s="8">
        <v>15</v>
      </c>
      <c r="M26" s="74">
        <v>46051</v>
      </c>
      <c r="N26" s="78" t="str">
        <f t="shared" si="3"/>
        <v>Dentro do Prazo</v>
      </c>
      <c r="O26" s="57">
        <f t="shared" si="7"/>
        <v>46063</v>
      </c>
      <c r="P26" s="76" t="str">
        <f t="shared" ca="1" si="8"/>
        <v>Prazo Vencido</v>
      </c>
      <c r="Q26" s="77">
        <f t="shared" si="9"/>
        <v>3</v>
      </c>
    </row>
    <row r="27" spans="1:17" ht="13">
      <c r="A27" s="83">
        <v>46048</v>
      </c>
      <c r="B27" s="4" t="s">
        <v>17</v>
      </c>
      <c r="C27" s="4" t="s">
        <v>27</v>
      </c>
      <c r="D27" s="6" t="s">
        <v>19</v>
      </c>
      <c r="E27" s="7" t="s">
        <v>82</v>
      </c>
      <c r="F27" s="7" t="s">
        <v>83</v>
      </c>
      <c r="G27" s="7" t="s">
        <v>48</v>
      </c>
      <c r="H27" s="75">
        <v>46065</v>
      </c>
      <c r="I27" s="7" t="s">
        <v>23</v>
      </c>
      <c r="J27" s="8" t="s">
        <v>24</v>
      </c>
      <c r="K27" s="7" t="s">
        <v>25</v>
      </c>
      <c r="L27" s="8">
        <v>15</v>
      </c>
      <c r="M27" s="74">
        <v>46051</v>
      </c>
      <c r="N27" s="78" t="str">
        <f t="shared" si="3"/>
        <v>Dentro do Prazo</v>
      </c>
      <c r="O27" s="57">
        <f t="shared" si="7"/>
        <v>46063</v>
      </c>
      <c r="P27" s="76" t="str">
        <f t="shared" ca="1" si="8"/>
        <v>Prazo Vencido</v>
      </c>
      <c r="Q27" s="77">
        <f t="shared" si="9"/>
        <v>3</v>
      </c>
    </row>
    <row r="28" spans="1:17" ht="13">
      <c r="A28" s="83">
        <v>46048</v>
      </c>
      <c r="B28" s="4" t="s">
        <v>17</v>
      </c>
      <c r="C28" s="4" t="s">
        <v>27</v>
      </c>
      <c r="D28" s="6" t="s">
        <v>19</v>
      </c>
      <c r="E28" s="7" t="s">
        <v>84</v>
      </c>
      <c r="F28" s="7" t="s">
        <v>85</v>
      </c>
      <c r="G28" s="7" t="s">
        <v>22</v>
      </c>
      <c r="H28" s="75">
        <v>46065</v>
      </c>
      <c r="I28" s="7" t="s">
        <v>23</v>
      </c>
      <c r="J28" s="8" t="s">
        <v>24</v>
      </c>
      <c r="K28" s="7" t="s">
        <v>25</v>
      </c>
      <c r="L28" s="8">
        <v>15</v>
      </c>
      <c r="M28" s="74">
        <v>46051</v>
      </c>
      <c r="N28" s="78" t="str">
        <f t="shared" si="3"/>
        <v>Dentro do Prazo</v>
      </c>
      <c r="O28" s="57">
        <f t="shared" si="7"/>
        <v>46063</v>
      </c>
      <c r="P28" s="76" t="str">
        <f t="shared" ca="1" si="8"/>
        <v>Prazo Vencido</v>
      </c>
      <c r="Q28" s="77">
        <f t="shared" si="9"/>
        <v>3</v>
      </c>
    </row>
    <row r="29" spans="1:17" ht="13">
      <c r="A29" s="83">
        <v>46052</v>
      </c>
      <c r="B29" s="4" t="s">
        <v>86</v>
      </c>
      <c r="C29" s="4" t="s">
        <v>32</v>
      </c>
      <c r="D29" s="6" t="s">
        <v>19</v>
      </c>
      <c r="E29" s="7" t="s">
        <v>87</v>
      </c>
      <c r="F29" s="7" t="s">
        <v>88</v>
      </c>
      <c r="G29" s="7" t="s">
        <v>89</v>
      </c>
      <c r="H29" s="75">
        <v>46086</v>
      </c>
      <c r="I29" s="7" t="s">
        <v>23</v>
      </c>
      <c r="J29" s="8" t="s">
        <v>24</v>
      </c>
      <c r="K29" s="7" t="s">
        <v>25</v>
      </c>
      <c r="L29" s="8">
        <v>15</v>
      </c>
      <c r="M29" s="74">
        <v>46065</v>
      </c>
      <c r="N29" s="78" t="str">
        <f t="shared" si="3"/>
        <v>Dentro do Prazo</v>
      </c>
      <c r="O29" s="57">
        <f t="shared" si="7"/>
        <v>46067</v>
      </c>
      <c r="P29" s="76" t="str">
        <f t="shared" ca="1" si="8"/>
        <v>Prazo Vencido</v>
      </c>
      <c r="Q29" s="77">
        <f t="shared" si="9"/>
        <v>13</v>
      </c>
    </row>
    <row r="30" spans="1:17" ht="13">
      <c r="A30" s="83">
        <v>46052</v>
      </c>
      <c r="B30" s="4" t="s">
        <v>17</v>
      </c>
      <c r="C30" s="4" t="s">
        <v>27</v>
      </c>
      <c r="D30" s="6" t="s">
        <v>19</v>
      </c>
      <c r="E30" s="7" t="s">
        <v>90</v>
      </c>
      <c r="F30" s="7" t="s">
        <v>91</v>
      </c>
      <c r="G30" s="7" t="s">
        <v>22</v>
      </c>
      <c r="H30" s="75">
        <v>46065</v>
      </c>
      <c r="I30" s="7" t="s">
        <v>23</v>
      </c>
      <c r="J30" s="8" t="s">
        <v>24</v>
      </c>
      <c r="K30" s="7" t="s">
        <v>25</v>
      </c>
      <c r="L30" s="8">
        <v>15</v>
      </c>
      <c r="M30" s="74">
        <v>46051</v>
      </c>
      <c r="N30" s="78" t="str">
        <f t="shared" ref="N30:N65" si="10">IF(AND(A30="",K231=""),"",IF(Q30="","Em Andamento",IF(M30&lt;=O30,"Dentro do Prazo","Fora do Prazo")))</f>
        <v>Dentro do Prazo</v>
      </c>
      <c r="O30" s="57">
        <f t="shared" si="7"/>
        <v>46067</v>
      </c>
      <c r="P30" s="76" t="str">
        <f t="shared" ca="1" si="8"/>
        <v>Prazo Vencido</v>
      </c>
      <c r="Q30" s="77">
        <f t="shared" si="9"/>
        <v>-1</v>
      </c>
    </row>
    <row r="31" spans="1:17" ht="13">
      <c r="A31" s="83">
        <v>46052</v>
      </c>
      <c r="B31" s="4" t="s">
        <v>17</v>
      </c>
      <c r="C31" s="4" t="s">
        <v>27</v>
      </c>
      <c r="D31" s="6" t="s">
        <v>19</v>
      </c>
      <c r="E31" s="7" t="s">
        <v>92</v>
      </c>
      <c r="F31" s="7" t="s">
        <v>93</v>
      </c>
      <c r="G31" s="7" t="s">
        <v>48</v>
      </c>
      <c r="H31" s="75">
        <v>46073</v>
      </c>
      <c r="I31" s="7" t="s">
        <v>23</v>
      </c>
      <c r="J31" s="8" t="s">
        <v>24</v>
      </c>
      <c r="K31" s="7" t="s">
        <v>25</v>
      </c>
      <c r="L31" s="8">
        <v>15</v>
      </c>
      <c r="M31" s="74">
        <v>46063</v>
      </c>
      <c r="N31" s="78" t="str">
        <f t="shared" si="10"/>
        <v>Dentro do Prazo</v>
      </c>
      <c r="O31" s="57">
        <f t="shared" si="7"/>
        <v>46067</v>
      </c>
      <c r="P31" s="76" t="str">
        <f t="shared" ca="1" si="8"/>
        <v>Prazo Vencido</v>
      </c>
      <c r="Q31" s="77">
        <f t="shared" si="9"/>
        <v>11</v>
      </c>
    </row>
    <row r="32" spans="1:17" ht="13">
      <c r="A32" s="83">
        <v>46052</v>
      </c>
      <c r="B32" s="4" t="s">
        <v>17</v>
      </c>
      <c r="C32" s="4" t="s">
        <v>27</v>
      </c>
      <c r="D32" s="6" t="s">
        <v>19</v>
      </c>
      <c r="E32" s="7" t="s">
        <v>94</v>
      </c>
      <c r="F32" s="7" t="s">
        <v>95</v>
      </c>
      <c r="G32" s="7" t="s">
        <v>48</v>
      </c>
      <c r="H32" s="75">
        <v>46073</v>
      </c>
      <c r="I32" s="7" t="s">
        <v>23</v>
      </c>
      <c r="J32" s="8" t="s">
        <v>24</v>
      </c>
      <c r="K32" s="7" t="s">
        <v>25</v>
      </c>
      <c r="L32" s="8">
        <v>15</v>
      </c>
      <c r="M32" s="74">
        <v>46063</v>
      </c>
      <c r="N32" s="78" t="str">
        <f t="shared" si="10"/>
        <v>Dentro do Prazo</v>
      </c>
      <c r="O32" s="57">
        <f t="shared" si="7"/>
        <v>46067</v>
      </c>
      <c r="P32" s="76" t="str">
        <f t="shared" ca="1" si="8"/>
        <v>Prazo Vencido</v>
      </c>
      <c r="Q32" s="77">
        <f t="shared" si="9"/>
        <v>11</v>
      </c>
    </row>
    <row r="33" spans="1:18" ht="13">
      <c r="A33" s="83">
        <v>46052</v>
      </c>
      <c r="B33" s="4" t="s">
        <v>17</v>
      </c>
      <c r="C33" s="4" t="s">
        <v>27</v>
      </c>
      <c r="D33" s="6" t="s">
        <v>19</v>
      </c>
      <c r="E33" s="7" t="s">
        <v>96</v>
      </c>
      <c r="F33" s="7" t="s">
        <v>97</v>
      </c>
      <c r="G33" s="7" t="s">
        <v>48</v>
      </c>
      <c r="H33" s="75">
        <v>46086</v>
      </c>
      <c r="I33" s="7" t="s">
        <v>23</v>
      </c>
      <c r="J33" s="8" t="s">
        <v>24</v>
      </c>
      <c r="K33" s="7" t="s">
        <v>25</v>
      </c>
      <c r="L33" s="8">
        <v>15</v>
      </c>
      <c r="M33" s="74">
        <v>46063</v>
      </c>
      <c r="N33" s="78" t="str">
        <f t="shared" si="10"/>
        <v>Dentro do Prazo</v>
      </c>
      <c r="O33" s="57">
        <f t="shared" si="7"/>
        <v>46067</v>
      </c>
      <c r="P33" s="76" t="str">
        <f t="shared" ca="1" si="8"/>
        <v>Prazo Vencido</v>
      </c>
      <c r="Q33" s="77">
        <f t="shared" si="9"/>
        <v>11</v>
      </c>
    </row>
    <row r="34" spans="1:18" ht="13">
      <c r="A34" s="83">
        <v>46058</v>
      </c>
      <c r="B34" s="4" t="s">
        <v>17</v>
      </c>
      <c r="C34" s="4" t="s">
        <v>27</v>
      </c>
      <c r="D34" s="6" t="s">
        <v>19</v>
      </c>
      <c r="E34" s="7" t="s">
        <v>98</v>
      </c>
      <c r="F34" s="7" t="s">
        <v>99</v>
      </c>
      <c r="G34" s="7" t="s">
        <v>22</v>
      </c>
      <c r="H34" s="75">
        <v>46073</v>
      </c>
      <c r="I34" s="7" t="s">
        <v>23</v>
      </c>
      <c r="J34" s="8" t="s">
        <v>24</v>
      </c>
      <c r="K34" s="7" t="s">
        <v>25</v>
      </c>
      <c r="L34" s="8">
        <v>15</v>
      </c>
      <c r="M34" s="74">
        <v>46063</v>
      </c>
      <c r="N34" s="78" t="str">
        <f t="shared" si="10"/>
        <v>Dentro do Prazo</v>
      </c>
      <c r="O34" s="57">
        <f t="shared" si="7"/>
        <v>46073</v>
      </c>
      <c r="P34" s="76" t="str">
        <f t="shared" ca="1" si="8"/>
        <v>Prazo Vencido</v>
      </c>
      <c r="Q34" s="77">
        <f t="shared" si="9"/>
        <v>5</v>
      </c>
    </row>
    <row r="35" spans="1:18" ht="13">
      <c r="A35" s="83">
        <v>46058</v>
      </c>
      <c r="B35" s="4" t="s">
        <v>17</v>
      </c>
      <c r="C35" s="4" t="s">
        <v>27</v>
      </c>
      <c r="D35" s="6" t="s">
        <v>19</v>
      </c>
      <c r="E35" s="7" t="s">
        <v>100</v>
      </c>
      <c r="F35" s="7" t="s">
        <v>101</v>
      </c>
      <c r="G35" s="7" t="s">
        <v>22</v>
      </c>
      <c r="H35" s="75">
        <v>46073</v>
      </c>
      <c r="I35" s="7" t="s">
        <v>23</v>
      </c>
      <c r="J35" s="8" t="s">
        <v>24</v>
      </c>
      <c r="K35" s="7" t="s">
        <v>25</v>
      </c>
      <c r="L35" s="8">
        <v>15</v>
      </c>
      <c r="M35" s="74">
        <v>46063</v>
      </c>
      <c r="N35" s="78" t="str">
        <f t="shared" si="10"/>
        <v>Dentro do Prazo</v>
      </c>
      <c r="O35" s="57">
        <f t="shared" si="7"/>
        <v>46073</v>
      </c>
      <c r="P35" s="76" t="str">
        <f t="shared" ca="1" si="8"/>
        <v>Prazo Vencido</v>
      </c>
      <c r="Q35" s="77">
        <f t="shared" si="9"/>
        <v>5</v>
      </c>
    </row>
    <row r="36" spans="1:18" ht="13">
      <c r="A36" s="83">
        <v>46058</v>
      </c>
      <c r="B36" s="4" t="s">
        <v>17</v>
      </c>
      <c r="C36" s="4" t="s">
        <v>27</v>
      </c>
      <c r="D36" s="6" t="s">
        <v>19</v>
      </c>
      <c r="E36" s="7" t="s">
        <v>102</v>
      </c>
      <c r="F36" s="7" t="s">
        <v>103</v>
      </c>
      <c r="G36" s="7" t="s">
        <v>22</v>
      </c>
      <c r="H36" s="75">
        <v>46073</v>
      </c>
      <c r="I36" s="7" t="s">
        <v>23</v>
      </c>
      <c r="J36" s="8" t="s">
        <v>24</v>
      </c>
      <c r="K36" s="7" t="s">
        <v>25</v>
      </c>
      <c r="L36" s="8">
        <v>15</v>
      </c>
      <c r="M36" s="74">
        <v>46063</v>
      </c>
      <c r="N36" s="78" t="str">
        <f t="shared" si="10"/>
        <v>Dentro do Prazo</v>
      </c>
      <c r="O36" s="57">
        <f t="shared" si="7"/>
        <v>46073</v>
      </c>
      <c r="P36" s="76" t="str">
        <f t="shared" ca="1" si="8"/>
        <v>Prazo Vencido</v>
      </c>
      <c r="Q36" s="77">
        <f t="shared" si="9"/>
        <v>5</v>
      </c>
    </row>
    <row r="37" spans="1:18" ht="13">
      <c r="A37" s="83">
        <v>46058</v>
      </c>
      <c r="B37" s="4" t="s">
        <v>17</v>
      </c>
      <c r="C37" s="4" t="s">
        <v>27</v>
      </c>
      <c r="D37" s="6" t="s">
        <v>19</v>
      </c>
      <c r="E37" s="7" t="s">
        <v>104</v>
      </c>
      <c r="F37" s="7" t="s">
        <v>105</v>
      </c>
      <c r="G37" s="7" t="s">
        <v>22</v>
      </c>
      <c r="H37" s="75">
        <v>46086</v>
      </c>
      <c r="I37" s="7" t="s">
        <v>23</v>
      </c>
      <c r="J37" s="8" t="s">
        <v>24</v>
      </c>
      <c r="K37" s="7" t="s">
        <v>25</v>
      </c>
      <c r="L37" s="8">
        <v>15</v>
      </c>
      <c r="M37" s="74">
        <v>46071</v>
      </c>
      <c r="N37" s="78" t="str">
        <f t="shared" si="10"/>
        <v>Dentro do Prazo</v>
      </c>
      <c r="O37" s="57">
        <f t="shared" si="7"/>
        <v>46073</v>
      </c>
      <c r="P37" s="76" t="str">
        <f t="shared" ca="1" si="8"/>
        <v>Prazo Vencido</v>
      </c>
      <c r="Q37" s="77">
        <f t="shared" si="9"/>
        <v>13</v>
      </c>
    </row>
    <row r="38" spans="1:18" ht="13">
      <c r="A38" s="83">
        <v>46038</v>
      </c>
      <c r="B38" s="4" t="s">
        <v>106</v>
      </c>
      <c r="C38" s="4" t="s">
        <v>37</v>
      </c>
      <c r="D38" s="6" t="s">
        <v>19</v>
      </c>
      <c r="E38" s="7" t="s">
        <v>107</v>
      </c>
      <c r="F38" s="7" t="s">
        <v>108</v>
      </c>
      <c r="G38" s="7" t="s">
        <v>35</v>
      </c>
      <c r="H38" s="75">
        <v>46073</v>
      </c>
      <c r="I38" s="7" t="s">
        <v>23</v>
      </c>
      <c r="J38" s="8" t="s">
        <v>24</v>
      </c>
      <c r="K38" s="7" t="s">
        <v>25</v>
      </c>
      <c r="L38" s="8">
        <v>15</v>
      </c>
      <c r="M38" s="74">
        <v>46052</v>
      </c>
      <c r="N38" s="78" t="str">
        <f t="shared" si="10"/>
        <v>Dentro do Prazo</v>
      </c>
      <c r="O38" s="57">
        <f t="shared" si="7"/>
        <v>46053</v>
      </c>
      <c r="P38" s="76" t="str">
        <f t="shared" ca="1" si="8"/>
        <v>Prazo Vencido</v>
      </c>
      <c r="Q38" s="77">
        <f t="shared" si="9"/>
        <v>14</v>
      </c>
    </row>
    <row r="39" spans="1:18" ht="30" customHeight="1">
      <c r="A39" s="83">
        <v>46064</v>
      </c>
      <c r="B39" s="4" t="s">
        <v>106</v>
      </c>
      <c r="C39" s="4" t="s">
        <v>37</v>
      </c>
      <c r="D39" s="6" t="s">
        <v>19</v>
      </c>
      <c r="E39" s="7" t="s">
        <v>109</v>
      </c>
      <c r="F39" s="7" t="s">
        <v>110</v>
      </c>
      <c r="G39" s="7" t="s">
        <v>35</v>
      </c>
      <c r="H39" s="75">
        <v>46086</v>
      </c>
      <c r="I39" s="7" t="s">
        <v>23</v>
      </c>
      <c r="J39" s="8" t="s">
        <v>24</v>
      </c>
      <c r="K39" s="7" t="s">
        <v>25</v>
      </c>
      <c r="L39" s="8">
        <v>15</v>
      </c>
      <c r="M39" s="74">
        <v>46077</v>
      </c>
      <c r="N39" s="78" t="str">
        <f t="shared" si="10"/>
        <v>Dentro do Prazo</v>
      </c>
      <c r="O39" s="57">
        <f t="shared" si="7"/>
        <v>46079</v>
      </c>
      <c r="P39" s="76" t="str">
        <f t="shared" ca="1" si="8"/>
        <v>Prazo Vencido</v>
      </c>
      <c r="Q39" s="77">
        <f t="shared" si="9"/>
        <v>13</v>
      </c>
    </row>
    <row r="40" spans="1:18" ht="29.25" customHeight="1">
      <c r="A40" s="83">
        <v>46064</v>
      </c>
      <c r="B40" s="4" t="s">
        <v>36</v>
      </c>
      <c r="C40" s="4" t="s">
        <v>37</v>
      </c>
      <c r="D40" s="6" t="s">
        <v>19</v>
      </c>
      <c r="E40" s="7" t="s">
        <v>111</v>
      </c>
      <c r="F40" s="7" t="s">
        <v>112</v>
      </c>
      <c r="G40" s="7" t="s">
        <v>35</v>
      </c>
      <c r="H40" s="75">
        <v>46073</v>
      </c>
      <c r="I40" s="7" t="s">
        <v>23</v>
      </c>
      <c r="J40" s="8" t="s">
        <v>24</v>
      </c>
      <c r="K40" s="7" t="s">
        <v>25</v>
      </c>
      <c r="L40" s="8">
        <v>15</v>
      </c>
      <c r="M40" s="74">
        <v>46064</v>
      </c>
      <c r="N40" s="78" t="str">
        <f t="shared" si="10"/>
        <v>Dentro do Prazo</v>
      </c>
      <c r="O40" s="57">
        <f t="shared" si="7"/>
        <v>46079</v>
      </c>
      <c r="P40" s="76" t="str">
        <f t="shared" ca="1" si="8"/>
        <v>Prazo Vencido</v>
      </c>
      <c r="Q40" s="77">
        <f t="shared" si="9"/>
        <v>0</v>
      </c>
    </row>
    <row r="41" spans="1:18" ht="29.25" customHeight="1">
      <c r="A41" s="83">
        <v>46064</v>
      </c>
      <c r="B41" s="4" t="s">
        <v>36</v>
      </c>
      <c r="C41" s="4" t="s">
        <v>37</v>
      </c>
      <c r="D41" s="6" t="s">
        <v>19</v>
      </c>
      <c r="E41" s="7" t="s">
        <v>113</v>
      </c>
      <c r="F41" s="7" t="s">
        <v>114</v>
      </c>
      <c r="G41" s="7" t="s">
        <v>35</v>
      </c>
      <c r="H41" s="75">
        <v>46178</v>
      </c>
      <c r="I41" s="7" t="s">
        <v>23</v>
      </c>
      <c r="J41" s="8" t="s">
        <v>24</v>
      </c>
      <c r="K41" s="7" t="s">
        <v>25</v>
      </c>
      <c r="L41" s="8">
        <v>15</v>
      </c>
      <c r="M41" s="74">
        <v>46162</v>
      </c>
      <c r="N41" s="78" t="str">
        <f t="shared" si="10"/>
        <v>Fora do Prazo</v>
      </c>
      <c r="O41" s="57">
        <f t="shared" si="7"/>
        <v>46079</v>
      </c>
      <c r="P41" s="76" t="str">
        <f t="shared" ca="1" si="8"/>
        <v>Prazo Vencido</v>
      </c>
      <c r="Q41" s="77">
        <f t="shared" si="9"/>
        <v>98</v>
      </c>
      <c r="R41" t="s">
        <v>115</v>
      </c>
    </row>
    <row r="42" spans="1:18" ht="14.25" customHeight="1">
      <c r="A42" s="83">
        <v>46064</v>
      </c>
      <c r="B42" s="4" t="s">
        <v>17</v>
      </c>
      <c r="C42" s="4" t="s">
        <v>116</v>
      </c>
      <c r="D42" s="6" t="s">
        <v>19</v>
      </c>
      <c r="E42" s="7" t="s">
        <v>117</v>
      </c>
      <c r="F42" s="7" t="s">
        <v>118</v>
      </c>
      <c r="G42" s="7" t="s">
        <v>48</v>
      </c>
      <c r="H42" s="75">
        <v>46073</v>
      </c>
      <c r="I42" s="7" t="s">
        <v>23</v>
      </c>
      <c r="J42" s="8" t="s">
        <v>24</v>
      </c>
      <c r="K42" s="7" t="s">
        <v>25</v>
      </c>
      <c r="L42" s="8">
        <v>15</v>
      </c>
      <c r="M42" s="74">
        <v>46059</v>
      </c>
      <c r="N42" s="78" t="str">
        <f t="shared" si="10"/>
        <v>Dentro do Prazo</v>
      </c>
      <c r="O42" s="57">
        <f t="shared" si="7"/>
        <v>46079</v>
      </c>
      <c r="P42" s="76" t="str">
        <f t="shared" ca="1" si="8"/>
        <v>Prazo Vencido</v>
      </c>
      <c r="Q42" s="77">
        <f t="shared" si="9"/>
        <v>-5</v>
      </c>
    </row>
    <row r="43" spans="1:18" ht="14.25" customHeight="1">
      <c r="A43" s="83">
        <v>46064</v>
      </c>
      <c r="B43" s="4" t="s">
        <v>17</v>
      </c>
      <c r="C43" s="4" t="s">
        <v>27</v>
      </c>
      <c r="D43" s="6" t="s">
        <v>19</v>
      </c>
      <c r="E43" s="7" t="s">
        <v>119</v>
      </c>
      <c r="F43" s="7" t="s">
        <v>120</v>
      </c>
      <c r="G43" s="7" t="s">
        <v>22</v>
      </c>
      <c r="H43" s="75">
        <v>46086</v>
      </c>
      <c r="I43" s="7" t="s">
        <v>23</v>
      </c>
      <c r="J43" s="8" t="s">
        <v>24</v>
      </c>
      <c r="K43" s="7" t="s">
        <v>25</v>
      </c>
      <c r="L43" s="8">
        <v>15</v>
      </c>
      <c r="M43" s="74">
        <v>46078</v>
      </c>
      <c r="N43" s="78" t="str">
        <f t="shared" si="10"/>
        <v>Dentro do Prazo</v>
      </c>
      <c r="O43" s="57">
        <f t="shared" si="7"/>
        <v>46079</v>
      </c>
      <c r="P43" s="76" t="str">
        <f t="shared" ca="1" si="8"/>
        <v>Prazo Vencido</v>
      </c>
      <c r="Q43" s="77">
        <f t="shared" si="9"/>
        <v>14</v>
      </c>
    </row>
    <row r="44" spans="1:18" ht="27" customHeight="1">
      <c r="A44" s="83">
        <v>46064</v>
      </c>
      <c r="B44" s="4" t="s">
        <v>86</v>
      </c>
      <c r="C44" s="4" t="s">
        <v>121</v>
      </c>
      <c r="D44" s="6" t="s">
        <v>19</v>
      </c>
      <c r="E44" s="7" t="s">
        <v>122</v>
      </c>
      <c r="F44" s="7" t="s">
        <v>123</v>
      </c>
      <c r="G44" s="7" t="s">
        <v>89</v>
      </c>
      <c r="H44" s="75"/>
      <c r="I44" s="7" t="s">
        <v>23</v>
      </c>
      <c r="J44" s="8" t="s">
        <v>24</v>
      </c>
      <c r="K44" s="7" t="s">
        <v>25</v>
      </c>
      <c r="L44" s="8">
        <v>15</v>
      </c>
      <c r="M44" s="74">
        <v>46054</v>
      </c>
      <c r="N44" s="78" t="str">
        <f t="shared" si="10"/>
        <v>Dentro do Prazo</v>
      </c>
      <c r="O44" s="57">
        <f t="shared" si="7"/>
        <v>46079</v>
      </c>
      <c r="P44" s="76" t="str">
        <f t="shared" ca="1" si="8"/>
        <v>Prazo Vencido</v>
      </c>
      <c r="Q44" s="77">
        <f t="shared" si="9"/>
        <v>-10</v>
      </c>
    </row>
    <row r="45" spans="1:18" ht="25.5" customHeight="1">
      <c r="A45" s="83">
        <v>46064</v>
      </c>
      <c r="B45" s="4" t="s">
        <v>86</v>
      </c>
      <c r="C45" s="4" t="s">
        <v>124</v>
      </c>
      <c r="D45" s="6" t="s">
        <v>19</v>
      </c>
      <c r="E45" s="7" t="s">
        <v>125</v>
      </c>
      <c r="F45" s="7" t="s">
        <v>126</v>
      </c>
      <c r="G45" s="7" t="s">
        <v>127</v>
      </c>
      <c r="H45" s="75">
        <v>46086</v>
      </c>
      <c r="I45" s="7" t="s">
        <v>23</v>
      </c>
      <c r="J45" s="8" t="s">
        <v>24</v>
      </c>
      <c r="K45" s="7" t="s">
        <v>25</v>
      </c>
      <c r="L45" s="8">
        <v>15</v>
      </c>
      <c r="M45" s="74">
        <v>45925</v>
      </c>
      <c r="N45" s="78" t="str">
        <f t="shared" si="10"/>
        <v>Dentro do Prazo</v>
      </c>
      <c r="O45" s="57">
        <f t="shared" si="7"/>
        <v>46079</v>
      </c>
      <c r="P45" s="76" t="str">
        <f t="shared" ca="1" si="8"/>
        <v>Prazo Vencido</v>
      </c>
      <c r="Q45" s="77">
        <f t="shared" si="9"/>
        <v>-139</v>
      </c>
    </row>
    <row r="46" spans="1:18" ht="25.5" customHeight="1">
      <c r="A46" s="83">
        <v>46064</v>
      </c>
      <c r="B46" s="4" t="s">
        <v>86</v>
      </c>
      <c r="C46" s="4" t="s">
        <v>124</v>
      </c>
      <c r="D46" s="6" t="s">
        <v>19</v>
      </c>
      <c r="E46" s="7" t="s">
        <v>128</v>
      </c>
      <c r="F46" s="7" t="s">
        <v>129</v>
      </c>
      <c r="G46" s="7" t="s">
        <v>89</v>
      </c>
      <c r="H46" s="75">
        <v>46086</v>
      </c>
      <c r="I46" s="7" t="s">
        <v>23</v>
      </c>
      <c r="J46" s="8" t="s">
        <v>24</v>
      </c>
      <c r="K46" s="7" t="s">
        <v>25</v>
      </c>
      <c r="L46" s="8">
        <v>15</v>
      </c>
      <c r="M46" s="74">
        <v>46073</v>
      </c>
      <c r="N46" s="78" t="str">
        <f t="shared" si="10"/>
        <v>Dentro do Prazo</v>
      </c>
      <c r="O46" s="57">
        <f t="shared" si="7"/>
        <v>46079</v>
      </c>
      <c r="P46" s="76" t="str">
        <f t="shared" ca="1" si="8"/>
        <v>Prazo Vencido</v>
      </c>
      <c r="Q46" s="77">
        <f t="shared" si="9"/>
        <v>9</v>
      </c>
    </row>
    <row r="47" spans="1:18" ht="14.25" customHeight="1">
      <c r="A47" s="83">
        <v>46066</v>
      </c>
      <c r="B47" s="4" t="s">
        <v>17</v>
      </c>
      <c r="C47" s="4" t="s">
        <v>27</v>
      </c>
      <c r="D47" s="6" t="s">
        <v>19</v>
      </c>
      <c r="E47" s="7" t="s">
        <v>130</v>
      </c>
      <c r="F47" s="7" t="s">
        <v>131</v>
      </c>
      <c r="G47" s="7" t="s">
        <v>22</v>
      </c>
      <c r="H47" s="75">
        <v>46086</v>
      </c>
      <c r="I47" s="7" t="s">
        <v>23</v>
      </c>
      <c r="J47" s="8" t="s">
        <v>24</v>
      </c>
      <c r="K47" s="7" t="s">
        <v>25</v>
      </c>
      <c r="L47" s="8">
        <v>15</v>
      </c>
      <c r="M47" s="74">
        <v>46078</v>
      </c>
      <c r="N47" s="78" t="str">
        <f t="shared" si="10"/>
        <v>Dentro do Prazo</v>
      </c>
      <c r="O47" s="57">
        <f t="shared" si="7"/>
        <v>46081</v>
      </c>
      <c r="P47" s="76" t="str">
        <f t="shared" ca="1" si="8"/>
        <v>Prazo Vencido</v>
      </c>
      <c r="Q47" s="77">
        <f t="shared" si="9"/>
        <v>12</v>
      </c>
    </row>
    <row r="48" spans="1:18" ht="14.25" customHeight="1">
      <c r="A48" s="83">
        <v>46066</v>
      </c>
      <c r="B48" s="4" t="s">
        <v>17</v>
      </c>
      <c r="C48" s="4" t="s">
        <v>27</v>
      </c>
      <c r="D48" s="6" t="s">
        <v>19</v>
      </c>
      <c r="E48" s="7" t="s">
        <v>132</v>
      </c>
      <c r="F48" s="7" t="s">
        <v>133</v>
      </c>
      <c r="G48" s="7" t="s">
        <v>22</v>
      </c>
      <c r="H48" s="75">
        <v>46086</v>
      </c>
      <c r="I48" s="7" t="s">
        <v>23</v>
      </c>
      <c r="J48" s="8" t="s">
        <v>24</v>
      </c>
      <c r="K48" s="7" t="s">
        <v>25</v>
      </c>
      <c r="L48" s="8">
        <v>15</v>
      </c>
      <c r="M48" s="74">
        <v>46078</v>
      </c>
      <c r="N48" s="78" t="str">
        <f t="shared" si="10"/>
        <v>Dentro do Prazo</v>
      </c>
      <c r="O48" s="57">
        <f t="shared" si="7"/>
        <v>46081</v>
      </c>
      <c r="P48" s="76" t="str">
        <f t="shared" ca="1" si="8"/>
        <v>Prazo Vencido</v>
      </c>
      <c r="Q48" s="77">
        <f t="shared" si="9"/>
        <v>12</v>
      </c>
    </row>
    <row r="49" spans="1:18" ht="14.25" customHeight="1">
      <c r="A49" s="83">
        <v>46066</v>
      </c>
      <c r="B49" s="4" t="s">
        <v>17</v>
      </c>
      <c r="C49" s="4" t="s">
        <v>27</v>
      </c>
      <c r="D49" s="6" t="s">
        <v>19</v>
      </c>
      <c r="E49" s="7" t="s">
        <v>134</v>
      </c>
      <c r="F49" s="7" t="s">
        <v>135</v>
      </c>
      <c r="G49" s="7" t="s">
        <v>48</v>
      </c>
      <c r="H49" s="75">
        <v>46086</v>
      </c>
      <c r="I49" s="7" t="s">
        <v>23</v>
      </c>
      <c r="J49" s="8" t="s">
        <v>24</v>
      </c>
      <c r="K49" s="7" t="s">
        <v>25</v>
      </c>
      <c r="L49" s="8">
        <v>15</v>
      </c>
      <c r="M49" s="74">
        <v>46076</v>
      </c>
      <c r="N49" s="78" t="str">
        <f t="shared" si="10"/>
        <v>Dentro do Prazo</v>
      </c>
      <c r="O49" s="57">
        <f t="shared" si="7"/>
        <v>46081</v>
      </c>
      <c r="P49" s="76" t="str">
        <f t="shared" ca="1" si="8"/>
        <v>Prazo Vencido</v>
      </c>
      <c r="Q49" s="77">
        <f t="shared" si="9"/>
        <v>10</v>
      </c>
    </row>
    <row r="50" spans="1:18" ht="14.25" customHeight="1">
      <c r="A50" s="83">
        <v>46078</v>
      </c>
      <c r="B50" s="4" t="s">
        <v>17</v>
      </c>
      <c r="C50" s="4" t="s">
        <v>27</v>
      </c>
      <c r="D50" s="6" t="s">
        <v>19</v>
      </c>
      <c r="E50" s="7" t="s">
        <v>136</v>
      </c>
      <c r="F50" s="7" t="s">
        <v>137</v>
      </c>
      <c r="G50" s="7" t="s">
        <v>48</v>
      </c>
      <c r="H50" s="75">
        <v>46086</v>
      </c>
      <c r="I50" s="7" t="s">
        <v>23</v>
      </c>
      <c r="J50" s="8" t="s">
        <v>24</v>
      </c>
      <c r="K50" s="7" t="s">
        <v>25</v>
      </c>
      <c r="L50" s="8">
        <v>15</v>
      </c>
      <c r="M50" s="74">
        <v>46078</v>
      </c>
      <c r="N50" s="78" t="str">
        <f t="shared" si="10"/>
        <v>Dentro do Prazo</v>
      </c>
      <c r="O50" s="57">
        <f t="shared" si="7"/>
        <v>46093</v>
      </c>
      <c r="P50" s="76" t="str">
        <f t="shared" ca="1" si="8"/>
        <v>Prazo Vencido</v>
      </c>
      <c r="Q50" s="77">
        <f t="shared" si="9"/>
        <v>0</v>
      </c>
    </row>
    <row r="51" spans="1:18" ht="14.25" customHeight="1">
      <c r="A51" s="83">
        <v>46078</v>
      </c>
      <c r="B51" s="4" t="s">
        <v>17</v>
      </c>
      <c r="C51" s="4" t="s">
        <v>27</v>
      </c>
      <c r="D51" s="6" t="s">
        <v>19</v>
      </c>
      <c r="E51" s="7" t="s">
        <v>138</v>
      </c>
      <c r="F51" s="7" t="s">
        <v>139</v>
      </c>
      <c r="G51" s="7" t="s">
        <v>48</v>
      </c>
      <c r="H51" s="75">
        <v>46086</v>
      </c>
      <c r="I51" s="7" t="s">
        <v>23</v>
      </c>
      <c r="J51" s="8" t="s">
        <v>24</v>
      </c>
      <c r="K51" s="7" t="s">
        <v>25</v>
      </c>
      <c r="L51" s="8">
        <v>15</v>
      </c>
      <c r="M51" s="74">
        <v>46078</v>
      </c>
      <c r="N51" s="78" t="str">
        <f t="shared" si="10"/>
        <v>Dentro do Prazo</v>
      </c>
      <c r="O51" s="57">
        <f t="shared" si="7"/>
        <v>46093</v>
      </c>
      <c r="P51" s="76" t="str">
        <f t="shared" ca="1" si="8"/>
        <v>Prazo Vencido</v>
      </c>
      <c r="Q51" s="77">
        <f t="shared" si="9"/>
        <v>0</v>
      </c>
    </row>
    <row r="52" spans="1:18" ht="14.25" customHeight="1">
      <c r="A52" s="83">
        <v>46078</v>
      </c>
      <c r="B52" s="4" t="s">
        <v>17</v>
      </c>
      <c r="C52" s="4" t="s">
        <v>27</v>
      </c>
      <c r="D52" s="6" t="s">
        <v>19</v>
      </c>
      <c r="E52" s="7" t="s">
        <v>140</v>
      </c>
      <c r="F52" s="7" t="s">
        <v>141</v>
      </c>
      <c r="G52" s="7" t="s">
        <v>48</v>
      </c>
      <c r="H52" s="75">
        <v>46093</v>
      </c>
      <c r="I52" s="7" t="s">
        <v>23</v>
      </c>
      <c r="J52" s="8" t="s">
        <v>24</v>
      </c>
      <c r="K52" s="7" t="s">
        <v>25</v>
      </c>
      <c r="L52" s="8">
        <v>15</v>
      </c>
      <c r="M52" s="74">
        <v>46083</v>
      </c>
      <c r="N52" s="78" t="str">
        <f t="shared" si="10"/>
        <v>Dentro do Prazo</v>
      </c>
      <c r="O52" s="57">
        <f t="shared" si="7"/>
        <v>46093</v>
      </c>
      <c r="P52" s="76" t="str">
        <f t="shared" ca="1" si="8"/>
        <v>Prazo Vencido</v>
      </c>
      <c r="Q52" s="77">
        <f t="shared" si="9"/>
        <v>5</v>
      </c>
    </row>
    <row r="53" spans="1:18" ht="14.25" customHeight="1">
      <c r="A53" s="83">
        <v>46078</v>
      </c>
      <c r="B53" s="4" t="s">
        <v>17</v>
      </c>
      <c r="C53" s="4" t="s">
        <v>27</v>
      </c>
      <c r="D53" s="6" t="s">
        <v>19</v>
      </c>
      <c r="E53" s="7" t="s">
        <v>142</v>
      </c>
      <c r="F53" s="7" t="s">
        <v>143</v>
      </c>
      <c r="G53" s="7" t="s">
        <v>22</v>
      </c>
      <c r="H53" s="75">
        <v>46093</v>
      </c>
      <c r="I53" s="7" t="s">
        <v>23</v>
      </c>
      <c r="J53" s="8" t="s">
        <v>24</v>
      </c>
      <c r="K53" s="7" t="s">
        <v>25</v>
      </c>
      <c r="L53" s="8">
        <v>15</v>
      </c>
      <c r="M53" s="74">
        <v>46083</v>
      </c>
      <c r="N53" s="78" t="str">
        <f t="shared" si="10"/>
        <v>Dentro do Prazo</v>
      </c>
      <c r="O53" s="57">
        <f t="shared" si="7"/>
        <v>46093</v>
      </c>
      <c r="P53" s="76" t="str">
        <f t="shared" ca="1" si="8"/>
        <v>Prazo Vencido</v>
      </c>
      <c r="Q53" s="77">
        <f t="shared" si="9"/>
        <v>5</v>
      </c>
    </row>
    <row r="54" spans="1:18" ht="14.25" customHeight="1">
      <c r="A54" s="83">
        <v>46080</v>
      </c>
      <c r="B54" s="4" t="s">
        <v>17</v>
      </c>
      <c r="C54" s="4" t="s">
        <v>27</v>
      </c>
      <c r="D54" s="6" t="s">
        <v>19</v>
      </c>
      <c r="E54" s="7" t="s">
        <v>144</v>
      </c>
      <c r="F54" s="7" t="s">
        <v>145</v>
      </c>
      <c r="G54" s="7" t="s">
        <v>48</v>
      </c>
      <c r="H54" s="75">
        <v>46093</v>
      </c>
      <c r="I54" s="7" t="s">
        <v>23</v>
      </c>
      <c r="J54" s="8" t="s">
        <v>24</v>
      </c>
      <c r="K54" s="7" t="s">
        <v>25</v>
      </c>
      <c r="L54" s="8">
        <v>15</v>
      </c>
      <c r="M54" s="74">
        <v>46083</v>
      </c>
      <c r="N54" s="78" t="str">
        <f t="shared" si="10"/>
        <v>Dentro do Prazo</v>
      </c>
      <c r="O54" s="57">
        <f t="shared" si="7"/>
        <v>46095</v>
      </c>
      <c r="P54" s="76" t="str">
        <f t="shared" ca="1" si="8"/>
        <v>Prazo Vencido</v>
      </c>
      <c r="Q54" s="77">
        <f t="shared" si="9"/>
        <v>3</v>
      </c>
    </row>
    <row r="55" spans="1:18" ht="14.25" customHeight="1">
      <c r="A55" s="83">
        <v>46080</v>
      </c>
      <c r="B55" s="4" t="s">
        <v>17</v>
      </c>
      <c r="C55" s="4" t="s">
        <v>27</v>
      </c>
      <c r="D55" s="6" t="s">
        <v>19</v>
      </c>
      <c r="E55" s="7" t="s">
        <v>146</v>
      </c>
      <c r="F55" s="7" t="s">
        <v>147</v>
      </c>
      <c r="G55" s="7" t="s">
        <v>48</v>
      </c>
      <c r="H55" s="75">
        <v>46093</v>
      </c>
      <c r="I55" s="7" t="s">
        <v>23</v>
      </c>
      <c r="J55" s="8" t="s">
        <v>24</v>
      </c>
      <c r="K55" s="7" t="s">
        <v>25</v>
      </c>
      <c r="L55" s="8">
        <v>15</v>
      </c>
      <c r="M55" s="74">
        <v>46083</v>
      </c>
      <c r="N55" s="78" t="str">
        <f t="shared" si="10"/>
        <v>Dentro do Prazo</v>
      </c>
      <c r="O55" s="57">
        <f t="shared" si="7"/>
        <v>46095</v>
      </c>
      <c r="P55" s="76" t="str">
        <f t="shared" ca="1" si="8"/>
        <v>Prazo Vencido</v>
      </c>
      <c r="Q55" s="77">
        <f t="shared" si="9"/>
        <v>3</v>
      </c>
    </row>
    <row r="56" spans="1:18" ht="14.25" customHeight="1">
      <c r="A56" s="83">
        <v>46088</v>
      </c>
      <c r="B56" s="4" t="s">
        <v>17</v>
      </c>
      <c r="C56" s="4" t="s">
        <v>27</v>
      </c>
      <c r="D56" s="6" t="s">
        <v>19</v>
      </c>
      <c r="E56" s="7" t="s">
        <v>148</v>
      </c>
      <c r="F56" s="7" t="s">
        <v>149</v>
      </c>
      <c r="G56" s="7" t="s">
        <v>48</v>
      </c>
      <c r="H56" s="75">
        <v>46093</v>
      </c>
      <c r="I56" s="7" t="s">
        <v>23</v>
      </c>
      <c r="J56" s="8" t="s">
        <v>24</v>
      </c>
      <c r="K56" s="7" t="s">
        <v>25</v>
      </c>
      <c r="L56" s="8">
        <v>15</v>
      </c>
      <c r="M56" s="74">
        <v>46083</v>
      </c>
      <c r="N56" s="78" t="str">
        <f t="shared" si="10"/>
        <v>Dentro do Prazo</v>
      </c>
      <c r="O56" s="57">
        <f t="shared" si="7"/>
        <v>46103</v>
      </c>
      <c r="P56" s="76" t="str">
        <f t="shared" ca="1" si="8"/>
        <v>Prazo Vencido</v>
      </c>
      <c r="Q56" s="77">
        <f t="shared" si="9"/>
        <v>-5</v>
      </c>
    </row>
    <row r="57" spans="1:18" ht="14.25" customHeight="1">
      <c r="A57" s="83">
        <v>46088</v>
      </c>
      <c r="B57" s="4" t="s">
        <v>17</v>
      </c>
      <c r="C57" s="4" t="s">
        <v>27</v>
      </c>
      <c r="D57" s="6" t="s">
        <v>19</v>
      </c>
      <c r="E57" s="7" t="s">
        <v>150</v>
      </c>
      <c r="F57" s="7" t="s">
        <v>151</v>
      </c>
      <c r="G57" s="7" t="s">
        <v>48</v>
      </c>
      <c r="H57" s="75">
        <v>46114</v>
      </c>
      <c r="I57" s="7" t="s">
        <v>23</v>
      </c>
      <c r="J57" s="8" t="s">
        <v>24</v>
      </c>
      <c r="K57" s="7" t="s">
        <v>25</v>
      </c>
      <c r="L57" s="8">
        <v>15</v>
      </c>
      <c r="M57" s="75">
        <v>46094</v>
      </c>
      <c r="N57" s="78" t="str">
        <f t="shared" si="10"/>
        <v>Dentro do Prazo</v>
      </c>
      <c r="O57" s="57">
        <f t="shared" si="7"/>
        <v>46103</v>
      </c>
      <c r="P57" s="76" t="str">
        <f t="shared" ca="1" si="8"/>
        <v>Prazo Vencido</v>
      </c>
      <c r="Q57" s="77">
        <f t="shared" si="9"/>
        <v>6</v>
      </c>
    </row>
    <row r="58" spans="1:18" ht="14.25" customHeight="1">
      <c r="A58" s="83">
        <v>46088</v>
      </c>
      <c r="B58" s="4" t="s">
        <v>17</v>
      </c>
      <c r="C58" s="4" t="s">
        <v>27</v>
      </c>
      <c r="D58" s="6" t="s">
        <v>19</v>
      </c>
      <c r="E58" s="7" t="s">
        <v>152</v>
      </c>
      <c r="F58" s="7" t="s">
        <v>153</v>
      </c>
      <c r="G58" s="7" t="s">
        <v>48</v>
      </c>
      <c r="H58" s="75">
        <v>46114</v>
      </c>
      <c r="I58" s="7" t="s">
        <v>23</v>
      </c>
      <c r="J58" s="8" t="s">
        <v>24</v>
      </c>
      <c r="K58" s="7" t="s">
        <v>25</v>
      </c>
      <c r="L58" s="8">
        <v>15</v>
      </c>
      <c r="M58" s="75">
        <v>46094</v>
      </c>
      <c r="N58" s="78" t="str">
        <f t="shared" si="10"/>
        <v>Dentro do Prazo</v>
      </c>
      <c r="O58" s="57">
        <f t="shared" si="7"/>
        <v>46103</v>
      </c>
      <c r="P58" s="76" t="str">
        <f t="shared" ca="1" si="8"/>
        <v>Prazo Vencido</v>
      </c>
      <c r="Q58" s="77">
        <f t="shared" si="9"/>
        <v>6</v>
      </c>
    </row>
    <row r="59" spans="1:18" ht="14.25" customHeight="1">
      <c r="A59" s="83">
        <v>46088</v>
      </c>
      <c r="B59" s="4" t="s">
        <v>17</v>
      </c>
      <c r="C59" s="4" t="s">
        <v>27</v>
      </c>
      <c r="D59" s="6" t="s">
        <v>19</v>
      </c>
      <c r="E59" s="7" t="s">
        <v>154</v>
      </c>
      <c r="F59" s="7" t="s">
        <v>155</v>
      </c>
      <c r="G59" s="7" t="s">
        <v>48</v>
      </c>
      <c r="H59" s="75">
        <v>46114</v>
      </c>
      <c r="I59" s="7" t="s">
        <v>23</v>
      </c>
      <c r="J59" s="8" t="s">
        <v>24</v>
      </c>
      <c r="K59" s="7" t="s">
        <v>25</v>
      </c>
      <c r="L59" s="8">
        <v>15</v>
      </c>
      <c r="M59" s="75">
        <v>46094</v>
      </c>
      <c r="N59" s="78" t="str">
        <f t="shared" si="10"/>
        <v>Dentro do Prazo</v>
      </c>
      <c r="O59" s="57">
        <f t="shared" si="7"/>
        <v>46103</v>
      </c>
      <c r="P59" s="76" t="str">
        <f t="shared" ca="1" si="8"/>
        <v>Prazo Vencido</v>
      </c>
      <c r="Q59" s="77">
        <f t="shared" si="9"/>
        <v>6</v>
      </c>
    </row>
    <row r="60" spans="1:18" ht="14.25" customHeight="1">
      <c r="A60" s="83">
        <v>46088</v>
      </c>
      <c r="B60" s="4" t="s">
        <v>17</v>
      </c>
      <c r="C60" s="4" t="s">
        <v>27</v>
      </c>
      <c r="D60" s="6" t="s">
        <v>19</v>
      </c>
      <c r="E60" s="7" t="s">
        <v>156</v>
      </c>
      <c r="F60" s="7" t="s">
        <v>157</v>
      </c>
      <c r="G60" s="7" t="s">
        <v>48</v>
      </c>
      <c r="H60" s="75">
        <v>46114</v>
      </c>
      <c r="I60" s="7" t="s">
        <v>23</v>
      </c>
      <c r="J60" s="8" t="s">
        <v>24</v>
      </c>
      <c r="K60" s="7" t="s">
        <v>25</v>
      </c>
      <c r="L60" s="8">
        <v>15</v>
      </c>
      <c r="M60" s="75">
        <v>46094</v>
      </c>
      <c r="N60" s="78" t="str">
        <f t="shared" si="10"/>
        <v>Dentro do Prazo</v>
      </c>
      <c r="O60" s="57">
        <f t="shared" si="7"/>
        <v>46103</v>
      </c>
      <c r="P60" s="76" t="str">
        <f t="shared" ca="1" si="8"/>
        <v>Prazo Vencido</v>
      </c>
      <c r="Q60" s="77">
        <f t="shared" si="9"/>
        <v>6</v>
      </c>
    </row>
    <row r="61" spans="1:18" ht="29.25" customHeight="1">
      <c r="A61" s="83">
        <v>46088</v>
      </c>
      <c r="B61" s="4" t="s">
        <v>17</v>
      </c>
      <c r="C61" s="4" t="s">
        <v>116</v>
      </c>
      <c r="D61" s="6" t="s">
        <v>158</v>
      </c>
      <c r="E61" s="7" t="s">
        <v>158</v>
      </c>
      <c r="F61" s="7" t="s">
        <v>159</v>
      </c>
      <c r="G61" s="7" t="s">
        <v>48</v>
      </c>
      <c r="H61" s="75"/>
      <c r="I61" s="7" t="s">
        <v>23</v>
      </c>
      <c r="J61" s="8" t="s">
        <v>160</v>
      </c>
      <c r="K61" s="7" t="s">
        <v>25</v>
      </c>
      <c r="L61" s="8">
        <v>15</v>
      </c>
      <c r="M61" s="74"/>
      <c r="N61" s="78" t="str">
        <f t="shared" si="10"/>
        <v>Em Andamento</v>
      </c>
      <c r="O61" s="57">
        <f t="shared" si="7"/>
        <v>46103</v>
      </c>
      <c r="P61" s="76" t="str">
        <f t="shared" ca="1" si="8"/>
        <v>Prazo Vencido</v>
      </c>
      <c r="Q61" s="77" t="str">
        <f>IF(OR(A61="",M61=""),"",M61-A61)</f>
        <v/>
      </c>
      <c r="R61" t="s">
        <v>161</v>
      </c>
    </row>
    <row r="62" spans="1:18" ht="14.25" customHeight="1">
      <c r="A62" s="83">
        <v>46088</v>
      </c>
      <c r="B62" s="4" t="s">
        <v>162</v>
      </c>
      <c r="C62" s="4" t="s">
        <v>163</v>
      </c>
      <c r="D62" s="6" t="s">
        <v>19</v>
      </c>
      <c r="E62" s="7" t="s">
        <v>164</v>
      </c>
      <c r="F62" s="7" t="s">
        <v>165</v>
      </c>
      <c r="G62" s="7" t="s">
        <v>22</v>
      </c>
      <c r="H62" s="75"/>
      <c r="I62" s="7" t="s">
        <v>166</v>
      </c>
      <c r="J62" s="8" t="s">
        <v>160</v>
      </c>
      <c r="K62" s="7" t="s">
        <v>167</v>
      </c>
      <c r="L62" s="8">
        <v>30</v>
      </c>
      <c r="M62" s="74"/>
      <c r="N62" s="78" t="str">
        <f t="shared" si="10"/>
        <v>Em Andamento</v>
      </c>
      <c r="O62" s="57">
        <f t="shared" si="7"/>
        <v>46118</v>
      </c>
      <c r="P62" s="76" t="str">
        <f t="shared" ca="1" si="8"/>
        <v>Prazo Vencido</v>
      </c>
      <c r="Q62" s="77" t="str">
        <f t="shared" si="9"/>
        <v/>
      </c>
    </row>
    <row r="63" spans="1:18" ht="14.25" customHeight="1">
      <c r="A63" s="83">
        <v>46088</v>
      </c>
      <c r="B63" s="4" t="s">
        <v>168</v>
      </c>
      <c r="C63" s="4" t="s">
        <v>163</v>
      </c>
      <c r="D63" s="6" t="s">
        <v>19</v>
      </c>
      <c r="E63" s="7" t="s">
        <v>169</v>
      </c>
      <c r="F63" s="7" t="s">
        <v>165</v>
      </c>
      <c r="G63" s="7" t="s">
        <v>48</v>
      </c>
      <c r="H63" s="75"/>
      <c r="I63" s="7" t="s">
        <v>166</v>
      </c>
      <c r="J63" s="8" t="s">
        <v>160</v>
      </c>
      <c r="K63" s="7" t="s">
        <v>167</v>
      </c>
      <c r="L63" s="8">
        <v>30</v>
      </c>
      <c r="M63" s="74"/>
      <c r="N63" s="78" t="str">
        <f t="shared" si="10"/>
        <v>Em Andamento</v>
      </c>
      <c r="O63" s="57">
        <f t="shared" si="7"/>
        <v>46118</v>
      </c>
      <c r="P63" s="76" t="str">
        <f t="shared" ca="1" si="8"/>
        <v>Prazo Vencido</v>
      </c>
      <c r="Q63" s="77" t="str">
        <f t="shared" si="9"/>
        <v/>
      </c>
    </row>
    <row r="64" spans="1:18" ht="26.25" customHeight="1">
      <c r="A64" s="83">
        <v>46088</v>
      </c>
      <c r="B64" s="4" t="s">
        <v>86</v>
      </c>
      <c r="C64" s="4" t="s">
        <v>163</v>
      </c>
      <c r="D64" s="6" t="s">
        <v>19</v>
      </c>
      <c r="E64" s="7" t="s">
        <v>170</v>
      </c>
      <c r="F64" s="7" t="s">
        <v>171</v>
      </c>
      <c r="G64" s="7" t="s">
        <v>127</v>
      </c>
      <c r="H64" s="75">
        <v>46114</v>
      </c>
      <c r="I64" s="7" t="s">
        <v>23</v>
      </c>
      <c r="J64" s="8" t="s">
        <v>24</v>
      </c>
      <c r="K64" s="7" t="s">
        <v>25</v>
      </c>
      <c r="L64" s="8">
        <v>15</v>
      </c>
      <c r="M64" s="74">
        <v>46091</v>
      </c>
      <c r="N64" s="78" t="str">
        <f t="shared" si="10"/>
        <v>Dentro do Prazo</v>
      </c>
      <c r="O64" s="57">
        <f t="shared" si="7"/>
        <v>46103</v>
      </c>
      <c r="P64" s="76" t="str">
        <f t="shared" ca="1" si="8"/>
        <v>Prazo Vencido</v>
      </c>
      <c r="Q64" s="77">
        <f t="shared" si="9"/>
        <v>3</v>
      </c>
    </row>
    <row r="65" spans="1:18" ht="15.75" customHeight="1">
      <c r="A65" s="83">
        <v>46099</v>
      </c>
      <c r="B65" s="4" t="s">
        <v>26</v>
      </c>
      <c r="C65" s="4" t="s">
        <v>27</v>
      </c>
      <c r="D65" s="6" t="s">
        <v>19</v>
      </c>
      <c r="E65" s="7" t="s">
        <v>172</v>
      </c>
      <c r="F65" s="7" t="s">
        <v>173</v>
      </c>
      <c r="G65" s="7" t="s">
        <v>48</v>
      </c>
      <c r="H65" s="75">
        <v>46128</v>
      </c>
      <c r="I65" s="7" t="s">
        <v>23</v>
      </c>
      <c r="J65" s="8" t="s">
        <v>24</v>
      </c>
      <c r="K65" s="7" t="s">
        <v>25</v>
      </c>
      <c r="L65" s="8">
        <v>15</v>
      </c>
      <c r="M65" s="74">
        <v>46100</v>
      </c>
      <c r="N65" s="78" t="str">
        <f t="shared" si="10"/>
        <v>Dentro do Prazo</v>
      </c>
      <c r="O65" s="57">
        <f t="shared" ref="O65" si="11">IF(OR(A65="",L65=""),"",A65+L65)</f>
        <v>46114</v>
      </c>
      <c r="P65" s="76" t="str">
        <f t="shared" ref="P65" ca="1" si="12">IF(O65="","",IF(O65-TODAY()=0,"Vence Hoje!",IF(O65-TODAY()&gt;=0,O65-TODAY()&amp;" Dia(s) para vencer","Prazo Vencido")))</f>
        <v>Prazo Vencido</v>
      </c>
      <c r="Q65" s="77">
        <f t="shared" ref="Q65" si="13">IF(OR(A65="",M65=""),"",M65-A65)</f>
        <v>1</v>
      </c>
    </row>
    <row r="66" spans="1:18" ht="15.75" customHeight="1">
      <c r="A66" s="3">
        <v>46181</v>
      </c>
      <c r="B66" s="4" t="s">
        <v>174</v>
      </c>
      <c r="C66" s="4" t="s">
        <v>175</v>
      </c>
      <c r="D66" s="6" t="s">
        <v>19</v>
      </c>
      <c r="E66" s="7" t="s">
        <v>176</v>
      </c>
      <c r="F66" s="7" t="s">
        <v>177</v>
      </c>
      <c r="G66" s="7" t="s">
        <v>48</v>
      </c>
      <c r="H66" s="75">
        <v>46212</v>
      </c>
      <c r="I66" s="7" t="s">
        <v>166</v>
      </c>
      <c r="J66" s="8" t="s">
        <v>24</v>
      </c>
      <c r="K66" s="7" t="s">
        <v>25</v>
      </c>
      <c r="L66" s="8">
        <v>15</v>
      </c>
      <c r="M66" s="74">
        <v>46183</v>
      </c>
      <c r="N66" s="78" t="str">
        <f>IF(AND(A66="",K273=""),"",IF(Q66="","Em Andamento",IF(M66&lt;=O66,"Dentro do Prazo","Fora do Prazo")))</f>
        <v>Dentro do Prazo</v>
      </c>
      <c r="O66" s="57">
        <f t="shared" ref="O66:O97" si="14">IF(OR(A66="",L66=""),"",A66+L66)</f>
        <v>46196</v>
      </c>
      <c r="P66" s="76" t="str">
        <f t="shared" ref="P66:P97" ca="1" si="15">IF(O66="","",IF(O66-TODAY()=0,"Vence Hoje!",IF(O66-TODAY()&gt;=0,O66-TODAY()&amp;" Dia(s) para vencer","Prazo Vencido")))</f>
        <v>Prazo Vencido</v>
      </c>
      <c r="Q66" s="84">
        <f t="shared" ref="Q66:Q110" si="16">IF(OR(A66="",M66=""),"",M66-A66)</f>
        <v>2</v>
      </c>
      <c r="R66" t="s">
        <v>178</v>
      </c>
    </row>
    <row r="67" spans="1:18" ht="14.25" customHeight="1">
      <c r="A67" s="83">
        <v>46099</v>
      </c>
      <c r="B67" s="4" t="s">
        <v>17</v>
      </c>
      <c r="C67" s="4" t="s">
        <v>27</v>
      </c>
      <c r="D67" s="6" t="s">
        <v>19</v>
      </c>
      <c r="E67" s="7" t="s">
        <v>179</v>
      </c>
      <c r="F67" s="7" t="s">
        <v>180</v>
      </c>
      <c r="G67" s="7" t="s">
        <v>48</v>
      </c>
      <c r="H67" s="75">
        <v>46114</v>
      </c>
      <c r="I67" s="7" t="s">
        <v>23</v>
      </c>
      <c r="J67" s="8" t="s">
        <v>24</v>
      </c>
      <c r="K67" s="7" t="s">
        <v>25</v>
      </c>
      <c r="L67" s="8">
        <v>15</v>
      </c>
      <c r="M67" s="74">
        <v>46055</v>
      </c>
      <c r="N67" s="78" t="str">
        <f t="shared" ref="N67:N72" si="17">IF(AND(A67="",K267=""),"",IF(Q67="","Em Andamento",IF(M67&lt;=O67,"Dentro do Prazo","Fora do Prazo")))</f>
        <v>Dentro do Prazo</v>
      </c>
      <c r="O67" s="57">
        <f t="shared" si="14"/>
        <v>46114</v>
      </c>
      <c r="P67" s="76" t="str">
        <f t="shared" ca="1" si="15"/>
        <v>Prazo Vencido</v>
      </c>
      <c r="Q67" s="77">
        <f t="shared" si="16"/>
        <v>-44</v>
      </c>
    </row>
    <row r="68" spans="1:18" ht="14.25" customHeight="1">
      <c r="A68" s="83">
        <v>46094</v>
      </c>
      <c r="B68" s="4" t="s">
        <v>17</v>
      </c>
      <c r="C68" s="4" t="s">
        <v>27</v>
      </c>
      <c r="D68" s="6" t="s">
        <v>19</v>
      </c>
      <c r="E68" s="7" t="s">
        <v>181</v>
      </c>
      <c r="F68" s="7" t="s">
        <v>182</v>
      </c>
      <c r="G68" s="7" t="s">
        <v>48</v>
      </c>
      <c r="H68" s="75">
        <v>46114</v>
      </c>
      <c r="I68" s="7" t="s">
        <v>23</v>
      </c>
      <c r="J68" s="8" t="s">
        <v>24</v>
      </c>
      <c r="K68" s="7" t="s">
        <v>25</v>
      </c>
      <c r="L68" s="8">
        <v>15</v>
      </c>
      <c r="M68" s="74">
        <v>46048</v>
      </c>
      <c r="N68" s="78" t="str">
        <f t="shared" si="17"/>
        <v>Dentro do Prazo</v>
      </c>
      <c r="O68" s="57">
        <f t="shared" si="14"/>
        <v>46109</v>
      </c>
      <c r="P68" s="76" t="str">
        <f t="shared" ca="1" si="15"/>
        <v>Prazo Vencido</v>
      </c>
      <c r="Q68" s="77">
        <f t="shared" si="16"/>
        <v>-46</v>
      </c>
    </row>
    <row r="69" spans="1:18" ht="14.25" customHeight="1">
      <c r="A69" s="83">
        <v>46121</v>
      </c>
      <c r="B69" s="4" t="s">
        <v>17</v>
      </c>
      <c r="C69" s="4" t="s">
        <v>27</v>
      </c>
      <c r="D69" s="6" t="s">
        <v>19</v>
      </c>
      <c r="E69" s="7" t="s">
        <v>183</v>
      </c>
      <c r="F69" s="7" t="s">
        <v>184</v>
      </c>
      <c r="G69" s="7" t="s">
        <v>48</v>
      </c>
      <c r="H69" s="75">
        <v>46128</v>
      </c>
      <c r="I69" s="7" t="s">
        <v>23</v>
      </c>
      <c r="J69" s="8" t="s">
        <v>24</v>
      </c>
      <c r="K69" s="7" t="s">
        <v>25</v>
      </c>
      <c r="L69" s="8">
        <v>15</v>
      </c>
      <c r="M69" s="74">
        <v>46111</v>
      </c>
      <c r="N69" s="78" t="str">
        <f t="shared" si="17"/>
        <v>Dentro do Prazo</v>
      </c>
      <c r="O69" s="57">
        <f t="shared" si="14"/>
        <v>46136</v>
      </c>
      <c r="P69" s="76" t="str">
        <f t="shared" ca="1" si="15"/>
        <v>Prazo Vencido</v>
      </c>
      <c r="Q69" s="77">
        <f t="shared" si="16"/>
        <v>-10</v>
      </c>
    </row>
    <row r="70" spans="1:18" ht="14.25" customHeight="1">
      <c r="A70" s="83">
        <v>46121</v>
      </c>
      <c r="B70" s="4" t="s">
        <v>17</v>
      </c>
      <c r="C70" s="4" t="s">
        <v>27</v>
      </c>
      <c r="D70" s="6" t="s">
        <v>19</v>
      </c>
      <c r="E70" s="7" t="s">
        <v>185</v>
      </c>
      <c r="F70" s="7" t="s">
        <v>186</v>
      </c>
      <c r="G70" s="7" t="s">
        <v>48</v>
      </c>
      <c r="H70" s="75">
        <v>46128</v>
      </c>
      <c r="I70" s="7" t="s">
        <v>23</v>
      </c>
      <c r="J70" s="8" t="s">
        <v>24</v>
      </c>
      <c r="K70" s="7" t="s">
        <v>25</v>
      </c>
      <c r="L70" s="8">
        <v>15</v>
      </c>
      <c r="M70" s="74">
        <v>46118</v>
      </c>
      <c r="N70" s="78" t="str">
        <f t="shared" si="17"/>
        <v>Dentro do Prazo</v>
      </c>
      <c r="O70" s="57">
        <f t="shared" si="14"/>
        <v>46136</v>
      </c>
      <c r="P70" s="76" t="str">
        <f t="shared" ca="1" si="15"/>
        <v>Prazo Vencido</v>
      </c>
      <c r="Q70" s="77">
        <f t="shared" si="16"/>
        <v>-3</v>
      </c>
    </row>
    <row r="71" spans="1:18" ht="14.25" customHeight="1">
      <c r="A71" s="83">
        <v>46121</v>
      </c>
      <c r="B71" s="4" t="s">
        <v>17</v>
      </c>
      <c r="C71" s="4" t="s">
        <v>27</v>
      </c>
      <c r="D71" s="6" t="s">
        <v>19</v>
      </c>
      <c r="E71" s="7" t="s">
        <v>187</v>
      </c>
      <c r="F71" s="7" t="s">
        <v>188</v>
      </c>
      <c r="G71" s="7" t="s">
        <v>48</v>
      </c>
      <c r="H71" s="75">
        <v>46149</v>
      </c>
      <c r="I71" s="7" t="s">
        <v>23</v>
      </c>
      <c r="J71" s="8" t="s">
        <v>24</v>
      </c>
      <c r="K71" s="7" t="s">
        <v>25</v>
      </c>
      <c r="L71" s="8">
        <v>15</v>
      </c>
      <c r="M71" s="74">
        <v>46113</v>
      </c>
      <c r="N71" s="78" t="str">
        <f t="shared" si="17"/>
        <v>Dentro do Prazo</v>
      </c>
      <c r="O71" s="57">
        <f t="shared" si="14"/>
        <v>46136</v>
      </c>
      <c r="P71" s="76" t="str">
        <f t="shared" ca="1" si="15"/>
        <v>Prazo Vencido</v>
      </c>
      <c r="Q71" s="77">
        <f t="shared" si="16"/>
        <v>-8</v>
      </c>
    </row>
    <row r="72" spans="1:18" ht="14.25" customHeight="1">
      <c r="A72" s="83">
        <v>46121</v>
      </c>
      <c r="B72" s="4" t="s">
        <v>17</v>
      </c>
      <c r="C72" s="4" t="s">
        <v>27</v>
      </c>
      <c r="D72" s="6" t="s">
        <v>19</v>
      </c>
      <c r="E72" s="7" t="s">
        <v>189</v>
      </c>
      <c r="F72" s="7" t="s">
        <v>190</v>
      </c>
      <c r="G72" s="7" t="s">
        <v>48</v>
      </c>
      <c r="H72" s="75">
        <v>46149</v>
      </c>
      <c r="I72" s="7" t="s">
        <v>23</v>
      </c>
      <c r="J72" s="8" t="s">
        <v>24</v>
      </c>
      <c r="K72" s="7" t="s">
        <v>25</v>
      </c>
      <c r="L72" s="8">
        <v>15</v>
      </c>
      <c r="M72" s="74">
        <v>46119</v>
      </c>
      <c r="N72" s="78" t="str">
        <f t="shared" si="17"/>
        <v>Dentro do Prazo</v>
      </c>
      <c r="O72" s="57">
        <f t="shared" si="14"/>
        <v>46136</v>
      </c>
      <c r="P72" s="76" t="str">
        <f t="shared" ca="1" si="15"/>
        <v>Prazo Vencido</v>
      </c>
      <c r="Q72" s="77">
        <f t="shared" si="16"/>
        <v>-2</v>
      </c>
    </row>
    <row r="73" spans="1:18" ht="14.25" customHeight="1">
      <c r="A73" s="83">
        <v>46127</v>
      </c>
      <c r="B73" s="4" t="s">
        <v>26</v>
      </c>
      <c r="C73" s="4" t="s">
        <v>27</v>
      </c>
      <c r="D73" s="6" t="s">
        <v>19</v>
      </c>
      <c r="E73" s="7" t="s">
        <v>191</v>
      </c>
      <c r="F73" s="7" t="s">
        <v>192</v>
      </c>
      <c r="G73" s="7" t="s">
        <v>22</v>
      </c>
      <c r="H73" s="75">
        <v>46149</v>
      </c>
      <c r="I73" s="7" t="s">
        <v>23</v>
      </c>
      <c r="J73" s="8" t="s">
        <v>24</v>
      </c>
      <c r="K73" s="7" t="s">
        <v>25</v>
      </c>
      <c r="L73" s="8">
        <v>15</v>
      </c>
      <c r="M73" s="74">
        <v>46100</v>
      </c>
      <c r="N73" s="78" t="str">
        <f t="shared" ref="N73:N78" si="18">IF(AND(A73="",K274=""),"",IF(Q73="","Em Andamento",IF(M73&lt;=O73,"Dentro do Prazo","Fora do Prazo")))</f>
        <v>Dentro do Prazo</v>
      </c>
      <c r="O73" s="57">
        <f t="shared" si="14"/>
        <v>46142</v>
      </c>
      <c r="P73" s="76" t="str">
        <f t="shared" ca="1" si="15"/>
        <v>Prazo Vencido</v>
      </c>
      <c r="Q73" s="77">
        <f t="shared" si="16"/>
        <v>-27</v>
      </c>
    </row>
    <row r="74" spans="1:18" ht="14.25" customHeight="1">
      <c r="A74" s="83">
        <v>46127</v>
      </c>
      <c r="B74" s="4" t="s">
        <v>17</v>
      </c>
      <c r="C74" s="4" t="s">
        <v>27</v>
      </c>
      <c r="D74" s="6" t="s">
        <v>19</v>
      </c>
      <c r="E74" s="7" t="s">
        <v>193</v>
      </c>
      <c r="F74" s="7" t="s">
        <v>194</v>
      </c>
      <c r="G74" s="7" t="s">
        <v>22</v>
      </c>
      <c r="H74" s="75">
        <v>46149</v>
      </c>
      <c r="I74" s="7" t="s">
        <v>23</v>
      </c>
      <c r="J74" s="8" t="s">
        <v>24</v>
      </c>
      <c r="K74" s="7" t="s">
        <v>25</v>
      </c>
      <c r="L74" s="8">
        <v>15</v>
      </c>
      <c r="M74" s="74">
        <v>46119</v>
      </c>
      <c r="N74" s="78" t="str">
        <f t="shared" si="18"/>
        <v>Dentro do Prazo</v>
      </c>
      <c r="O74" s="57">
        <f t="shared" si="14"/>
        <v>46142</v>
      </c>
      <c r="P74" s="76" t="str">
        <f t="shared" ca="1" si="15"/>
        <v>Prazo Vencido</v>
      </c>
      <c r="Q74" s="77">
        <f t="shared" si="16"/>
        <v>-8</v>
      </c>
    </row>
    <row r="75" spans="1:18" ht="14.25" customHeight="1">
      <c r="A75" s="83">
        <v>46127</v>
      </c>
      <c r="B75" s="4" t="s">
        <v>17</v>
      </c>
      <c r="C75" s="4" t="s">
        <v>27</v>
      </c>
      <c r="D75" s="6" t="s">
        <v>19</v>
      </c>
      <c r="E75" s="7" t="s">
        <v>195</v>
      </c>
      <c r="F75" s="7" t="s">
        <v>196</v>
      </c>
      <c r="G75" s="7" t="s">
        <v>22</v>
      </c>
      <c r="H75" s="75">
        <v>46149</v>
      </c>
      <c r="I75" s="7" t="s">
        <v>23</v>
      </c>
      <c r="J75" s="8" t="s">
        <v>24</v>
      </c>
      <c r="K75" s="7" t="s">
        <v>25</v>
      </c>
      <c r="L75" s="8">
        <v>15</v>
      </c>
      <c r="M75" s="74">
        <v>46119</v>
      </c>
      <c r="N75" s="78" t="str">
        <f t="shared" si="18"/>
        <v>Dentro do Prazo</v>
      </c>
      <c r="O75" s="57">
        <f t="shared" si="14"/>
        <v>46142</v>
      </c>
      <c r="P75" s="76" t="str">
        <f t="shared" ca="1" si="15"/>
        <v>Prazo Vencido</v>
      </c>
      <c r="Q75" s="77">
        <f t="shared" si="16"/>
        <v>-8</v>
      </c>
    </row>
    <row r="76" spans="1:18" ht="14.25" customHeight="1">
      <c r="A76" s="83">
        <v>46127</v>
      </c>
      <c r="B76" s="4" t="s">
        <v>17</v>
      </c>
      <c r="C76" s="4" t="s">
        <v>27</v>
      </c>
      <c r="D76" s="6" t="s">
        <v>19</v>
      </c>
      <c r="E76" s="7" t="s">
        <v>197</v>
      </c>
      <c r="F76" s="7" t="s">
        <v>198</v>
      </c>
      <c r="G76" s="7" t="s">
        <v>22</v>
      </c>
      <c r="H76" s="75">
        <v>46149</v>
      </c>
      <c r="I76" s="7" t="s">
        <v>23</v>
      </c>
      <c r="J76" s="8" t="s">
        <v>24</v>
      </c>
      <c r="K76" s="7" t="s">
        <v>25</v>
      </c>
      <c r="L76" s="8">
        <v>15</v>
      </c>
      <c r="M76" s="74">
        <v>46134</v>
      </c>
      <c r="N76" s="78" t="str">
        <f t="shared" si="18"/>
        <v>Dentro do Prazo</v>
      </c>
      <c r="O76" s="57">
        <f t="shared" si="14"/>
        <v>46142</v>
      </c>
      <c r="P76" s="76" t="str">
        <f t="shared" ca="1" si="15"/>
        <v>Prazo Vencido</v>
      </c>
      <c r="Q76" s="77">
        <f t="shared" si="16"/>
        <v>7</v>
      </c>
    </row>
    <row r="77" spans="1:18" ht="14.25" customHeight="1">
      <c r="A77" s="83">
        <v>46127</v>
      </c>
      <c r="B77" s="4" t="s">
        <v>17</v>
      </c>
      <c r="C77" s="4" t="s">
        <v>27</v>
      </c>
      <c r="D77" s="6" t="s">
        <v>19</v>
      </c>
      <c r="E77" s="7" t="s">
        <v>199</v>
      </c>
      <c r="F77" s="7" t="s">
        <v>200</v>
      </c>
      <c r="G77" s="7" t="s">
        <v>22</v>
      </c>
      <c r="H77" s="75">
        <v>46149</v>
      </c>
      <c r="I77" s="7" t="s">
        <v>23</v>
      </c>
      <c r="J77" s="8" t="s">
        <v>24</v>
      </c>
      <c r="K77" s="7" t="s">
        <v>25</v>
      </c>
      <c r="L77" s="8">
        <v>15</v>
      </c>
      <c r="M77" s="74">
        <v>46134</v>
      </c>
      <c r="N77" s="78" t="str">
        <f t="shared" si="18"/>
        <v>Dentro do Prazo</v>
      </c>
      <c r="O77" s="57">
        <f t="shared" si="14"/>
        <v>46142</v>
      </c>
      <c r="P77" s="76" t="str">
        <f t="shared" ca="1" si="15"/>
        <v>Prazo Vencido</v>
      </c>
      <c r="Q77" s="77">
        <f t="shared" si="16"/>
        <v>7</v>
      </c>
    </row>
    <row r="78" spans="1:18" ht="14.25" customHeight="1">
      <c r="A78" s="83">
        <v>46127</v>
      </c>
      <c r="B78" s="4" t="s">
        <v>17</v>
      </c>
      <c r="C78" s="4" t="s">
        <v>27</v>
      </c>
      <c r="D78" s="6" t="s">
        <v>19</v>
      </c>
      <c r="E78" s="7" t="s">
        <v>201</v>
      </c>
      <c r="F78" s="7" t="s">
        <v>202</v>
      </c>
      <c r="G78" s="7" t="s">
        <v>22</v>
      </c>
      <c r="H78" s="75">
        <v>46149</v>
      </c>
      <c r="I78" s="7" t="s">
        <v>23</v>
      </c>
      <c r="J78" s="8" t="s">
        <v>24</v>
      </c>
      <c r="K78" s="7" t="s">
        <v>25</v>
      </c>
      <c r="L78" s="8">
        <v>15</v>
      </c>
      <c r="M78" s="74">
        <v>46134</v>
      </c>
      <c r="N78" s="78" t="str">
        <f t="shared" si="18"/>
        <v>Dentro do Prazo</v>
      </c>
      <c r="O78" s="57">
        <f t="shared" si="14"/>
        <v>46142</v>
      </c>
      <c r="P78" s="76" t="str">
        <f t="shared" ca="1" si="15"/>
        <v>Prazo Vencido</v>
      </c>
      <c r="Q78" s="77">
        <f t="shared" si="16"/>
        <v>7</v>
      </c>
    </row>
    <row r="79" spans="1:18" ht="14.25" customHeight="1">
      <c r="A79" s="83">
        <v>46136</v>
      </c>
      <c r="B79" s="4" t="s">
        <v>17</v>
      </c>
      <c r="C79" s="4" t="s">
        <v>27</v>
      </c>
      <c r="D79" s="6" t="s">
        <v>19</v>
      </c>
      <c r="E79" s="7" t="s">
        <v>203</v>
      </c>
      <c r="F79" s="7" t="s">
        <v>204</v>
      </c>
      <c r="G79" s="7" t="s">
        <v>22</v>
      </c>
      <c r="H79" s="75">
        <v>46149</v>
      </c>
      <c r="I79" s="7" t="s">
        <v>23</v>
      </c>
      <c r="J79" s="8" t="s">
        <v>24</v>
      </c>
      <c r="K79" s="7" t="s">
        <v>25</v>
      </c>
      <c r="L79" s="8">
        <v>15</v>
      </c>
      <c r="M79" s="74">
        <v>46129</v>
      </c>
      <c r="N79" s="78" t="str">
        <f t="shared" ref="N79:N94" si="19">IF(AND(A79="",K281=""),"",IF(Q79="","Em Andamento",IF(M79&lt;=O79,"Dentro do Prazo","Fora do Prazo")))</f>
        <v>Dentro do Prazo</v>
      </c>
      <c r="O79" s="57">
        <f t="shared" si="14"/>
        <v>46151</v>
      </c>
      <c r="P79" s="76" t="str">
        <f t="shared" ca="1" si="15"/>
        <v>Prazo Vencido</v>
      </c>
      <c r="Q79" s="77">
        <f t="shared" si="16"/>
        <v>-7</v>
      </c>
    </row>
    <row r="80" spans="1:18" ht="14.25" customHeight="1">
      <c r="A80" s="83">
        <v>46136</v>
      </c>
      <c r="B80" s="4" t="s">
        <v>36</v>
      </c>
      <c r="C80" s="4" t="s">
        <v>37</v>
      </c>
      <c r="D80" s="6" t="s">
        <v>19</v>
      </c>
      <c r="E80" s="7" t="s">
        <v>112</v>
      </c>
      <c r="F80" s="7" t="s">
        <v>205</v>
      </c>
      <c r="G80" s="7" t="s">
        <v>206</v>
      </c>
      <c r="H80" s="75">
        <v>46149</v>
      </c>
      <c r="I80" s="7" t="s">
        <v>23</v>
      </c>
      <c r="J80" s="8" t="s">
        <v>24</v>
      </c>
      <c r="K80" s="7" t="s">
        <v>25</v>
      </c>
      <c r="L80" s="8">
        <v>15</v>
      </c>
      <c r="M80" s="74">
        <v>46129</v>
      </c>
      <c r="N80" s="78" t="str">
        <f t="shared" si="19"/>
        <v>Dentro do Prazo</v>
      </c>
      <c r="O80" s="57">
        <f t="shared" si="14"/>
        <v>46151</v>
      </c>
      <c r="P80" s="76" t="str">
        <f t="shared" ca="1" si="15"/>
        <v>Prazo Vencido</v>
      </c>
      <c r="Q80" s="77">
        <f t="shared" si="16"/>
        <v>-7</v>
      </c>
    </row>
    <row r="81" spans="1:17" ht="14.25" customHeight="1">
      <c r="A81" s="83">
        <v>46148</v>
      </c>
      <c r="B81" s="4" t="s">
        <v>17</v>
      </c>
      <c r="C81" s="4" t="s">
        <v>27</v>
      </c>
      <c r="D81" s="6" t="s">
        <v>19</v>
      </c>
      <c r="E81" s="7" t="s">
        <v>207</v>
      </c>
      <c r="F81" s="7" t="s">
        <v>208</v>
      </c>
      <c r="G81" s="7" t="s">
        <v>22</v>
      </c>
      <c r="H81" s="75">
        <v>46177</v>
      </c>
      <c r="I81" s="7" t="s">
        <v>23</v>
      </c>
      <c r="J81" s="8" t="s">
        <v>24</v>
      </c>
      <c r="K81" s="7" t="s">
        <v>25</v>
      </c>
      <c r="L81" s="8">
        <v>15</v>
      </c>
      <c r="M81" s="74">
        <v>46156</v>
      </c>
      <c r="N81" s="78" t="str">
        <f t="shared" si="19"/>
        <v>Dentro do Prazo</v>
      </c>
      <c r="O81" s="57">
        <f t="shared" si="14"/>
        <v>46163</v>
      </c>
      <c r="P81" s="76" t="str">
        <f t="shared" ca="1" si="15"/>
        <v>Prazo Vencido</v>
      </c>
      <c r="Q81" s="77">
        <f t="shared" si="16"/>
        <v>8</v>
      </c>
    </row>
    <row r="82" spans="1:17" ht="14.25" customHeight="1">
      <c r="A82" s="83">
        <v>46148</v>
      </c>
      <c r="B82" s="4" t="s">
        <v>17</v>
      </c>
      <c r="C82" s="4" t="s">
        <v>27</v>
      </c>
      <c r="D82" s="6" t="s">
        <v>19</v>
      </c>
      <c r="E82" s="7" t="s">
        <v>209</v>
      </c>
      <c r="F82" s="7" t="s">
        <v>210</v>
      </c>
      <c r="G82" s="7" t="s">
        <v>22</v>
      </c>
      <c r="H82" s="75">
        <v>46177</v>
      </c>
      <c r="I82" s="7" t="s">
        <v>23</v>
      </c>
      <c r="J82" s="8" t="s">
        <v>24</v>
      </c>
      <c r="K82" s="7" t="s">
        <v>25</v>
      </c>
      <c r="L82" s="8">
        <v>15</v>
      </c>
      <c r="M82" s="74">
        <v>46156</v>
      </c>
      <c r="N82" s="78" t="str">
        <f t="shared" si="19"/>
        <v>Dentro do Prazo</v>
      </c>
      <c r="O82" s="57">
        <f t="shared" si="14"/>
        <v>46163</v>
      </c>
      <c r="P82" s="76" t="str">
        <f t="shared" ca="1" si="15"/>
        <v>Prazo Vencido</v>
      </c>
      <c r="Q82" s="77">
        <f t="shared" si="16"/>
        <v>8</v>
      </c>
    </row>
    <row r="83" spans="1:17" ht="14.25" customHeight="1">
      <c r="A83" s="83">
        <v>46148</v>
      </c>
      <c r="B83" s="4" t="s">
        <v>17</v>
      </c>
      <c r="C83" s="4" t="s">
        <v>27</v>
      </c>
      <c r="D83" s="6" t="s">
        <v>19</v>
      </c>
      <c r="E83" s="7" t="s">
        <v>211</v>
      </c>
      <c r="F83" s="7" t="s">
        <v>212</v>
      </c>
      <c r="G83" s="7" t="s">
        <v>22</v>
      </c>
      <c r="H83" s="75">
        <v>46177</v>
      </c>
      <c r="I83" s="7" t="s">
        <v>23</v>
      </c>
      <c r="J83" s="8" t="s">
        <v>24</v>
      </c>
      <c r="K83" s="7" t="s">
        <v>25</v>
      </c>
      <c r="L83" s="8">
        <v>15</v>
      </c>
      <c r="M83" s="74">
        <v>46156</v>
      </c>
      <c r="N83" s="78" t="str">
        <f t="shared" si="19"/>
        <v>Dentro do Prazo</v>
      </c>
      <c r="O83" s="57">
        <f t="shared" si="14"/>
        <v>46163</v>
      </c>
      <c r="P83" s="76" t="str">
        <f t="shared" ca="1" si="15"/>
        <v>Prazo Vencido</v>
      </c>
      <c r="Q83" s="77">
        <f t="shared" si="16"/>
        <v>8</v>
      </c>
    </row>
    <row r="84" spans="1:17" ht="14.25" customHeight="1">
      <c r="A84" s="83">
        <v>46148</v>
      </c>
      <c r="B84" s="4" t="s">
        <v>17</v>
      </c>
      <c r="C84" s="4" t="s">
        <v>27</v>
      </c>
      <c r="D84" s="6" t="s">
        <v>19</v>
      </c>
      <c r="E84" s="7" t="s">
        <v>213</v>
      </c>
      <c r="F84" s="7" t="s">
        <v>214</v>
      </c>
      <c r="G84" s="7" t="s">
        <v>22</v>
      </c>
      <c r="H84" s="75">
        <v>46177</v>
      </c>
      <c r="I84" s="7" t="s">
        <v>23</v>
      </c>
      <c r="J84" s="8" t="s">
        <v>24</v>
      </c>
      <c r="K84" s="7" t="s">
        <v>25</v>
      </c>
      <c r="L84" s="8">
        <v>15</v>
      </c>
      <c r="M84" s="74">
        <v>46156</v>
      </c>
      <c r="N84" s="78" t="str">
        <f t="shared" si="19"/>
        <v>Dentro do Prazo</v>
      </c>
      <c r="O84" s="57">
        <f t="shared" si="14"/>
        <v>46163</v>
      </c>
      <c r="P84" s="76" t="str">
        <f t="shared" ca="1" si="15"/>
        <v>Prazo Vencido</v>
      </c>
      <c r="Q84" s="77">
        <f t="shared" si="16"/>
        <v>8</v>
      </c>
    </row>
    <row r="85" spans="1:17" ht="14.25" customHeight="1">
      <c r="A85" s="83">
        <v>46148</v>
      </c>
      <c r="B85" s="4" t="s">
        <v>17</v>
      </c>
      <c r="C85" s="4" t="s">
        <v>27</v>
      </c>
      <c r="D85" s="6" t="s">
        <v>19</v>
      </c>
      <c r="E85" s="7" t="s">
        <v>215</v>
      </c>
      <c r="F85" s="7" t="s">
        <v>216</v>
      </c>
      <c r="G85" s="7" t="s">
        <v>22</v>
      </c>
      <c r="H85" s="75">
        <v>46177</v>
      </c>
      <c r="I85" s="7" t="s">
        <v>23</v>
      </c>
      <c r="J85" s="8" t="s">
        <v>24</v>
      </c>
      <c r="K85" s="7" t="s">
        <v>25</v>
      </c>
      <c r="L85" s="8">
        <v>15</v>
      </c>
      <c r="M85" s="74">
        <v>46156</v>
      </c>
      <c r="N85" s="78" t="str">
        <f t="shared" si="19"/>
        <v>Dentro do Prazo</v>
      </c>
      <c r="O85" s="57">
        <f t="shared" si="14"/>
        <v>46163</v>
      </c>
      <c r="P85" s="76" t="str">
        <f t="shared" ca="1" si="15"/>
        <v>Prazo Vencido</v>
      </c>
      <c r="Q85" s="77">
        <f t="shared" si="16"/>
        <v>8</v>
      </c>
    </row>
    <row r="86" spans="1:17" ht="14.25" customHeight="1">
      <c r="A86" s="83">
        <v>46148</v>
      </c>
      <c r="B86" s="4" t="s">
        <v>17</v>
      </c>
      <c r="C86" s="4" t="s">
        <v>18</v>
      </c>
      <c r="D86" s="6" t="s">
        <v>19</v>
      </c>
      <c r="E86" s="7" t="s">
        <v>217</v>
      </c>
      <c r="F86" s="7" t="s">
        <v>218</v>
      </c>
      <c r="G86" s="7" t="s">
        <v>22</v>
      </c>
      <c r="H86" s="75">
        <v>46178</v>
      </c>
      <c r="I86" s="7" t="s">
        <v>23</v>
      </c>
      <c r="J86" s="8" t="s">
        <v>24</v>
      </c>
      <c r="K86" s="7" t="s">
        <v>25</v>
      </c>
      <c r="L86" s="8">
        <v>15</v>
      </c>
      <c r="M86" s="74">
        <v>46162</v>
      </c>
      <c r="N86" s="78" t="str">
        <f t="shared" si="19"/>
        <v>Dentro do Prazo</v>
      </c>
      <c r="O86" s="57">
        <f t="shared" si="14"/>
        <v>46163</v>
      </c>
      <c r="P86" s="76" t="str">
        <f t="shared" ca="1" si="15"/>
        <v>Prazo Vencido</v>
      </c>
      <c r="Q86" s="77">
        <f t="shared" si="16"/>
        <v>14</v>
      </c>
    </row>
    <row r="87" spans="1:17" ht="14.25" customHeight="1">
      <c r="A87" s="83">
        <v>46148</v>
      </c>
      <c r="B87" s="4" t="s">
        <v>17</v>
      </c>
      <c r="C87" s="4" t="s">
        <v>27</v>
      </c>
      <c r="D87" s="6" t="s">
        <v>19</v>
      </c>
      <c r="E87" s="7" t="s">
        <v>219</v>
      </c>
      <c r="F87" s="7" t="s">
        <v>220</v>
      </c>
      <c r="G87" s="7" t="s">
        <v>48</v>
      </c>
      <c r="H87" s="75">
        <v>46177</v>
      </c>
      <c r="I87" s="7" t="s">
        <v>23</v>
      </c>
      <c r="J87" s="8" t="s">
        <v>24</v>
      </c>
      <c r="K87" s="7" t="s">
        <v>25</v>
      </c>
      <c r="L87" s="8">
        <v>15</v>
      </c>
      <c r="M87" s="74">
        <v>46156</v>
      </c>
      <c r="N87" s="78" t="str">
        <f t="shared" si="19"/>
        <v>Dentro do Prazo</v>
      </c>
      <c r="O87" s="57">
        <f t="shared" si="14"/>
        <v>46163</v>
      </c>
      <c r="P87" s="76" t="str">
        <f t="shared" ca="1" si="15"/>
        <v>Prazo Vencido</v>
      </c>
      <c r="Q87" s="77">
        <f t="shared" si="16"/>
        <v>8</v>
      </c>
    </row>
    <row r="88" spans="1:17" ht="14.25" customHeight="1">
      <c r="A88" s="83">
        <v>46148</v>
      </c>
      <c r="B88" s="4" t="s">
        <v>17</v>
      </c>
      <c r="C88" s="4" t="s">
        <v>27</v>
      </c>
      <c r="D88" s="6" t="s">
        <v>19</v>
      </c>
      <c r="E88" s="7" t="s">
        <v>221</v>
      </c>
      <c r="F88" s="7" t="s">
        <v>222</v>
      </c>
      <c r="G88" s="7" t="s">
        <v>22</v>
      </c>
      <c r="H88" s="75">
        <v>46177</v>
      </c>
      <c r="I88" s="7" t="s">
        <v>23</v>
      </c>
      <c r="J88" s="8" t="s">
        <v>24</v>
      </c>
      <c r="K88" s="7" t="s">
        <v>25</v>
      </c>
      <c r="L88" s="8">
        <v>15</v>
      </c>
      <c r="M88" s="74">
        <v>46156</v>
      </c>
      <c r="N88" s="78" t="str">
        <f t="shared" si="19"/>
        <v>Dentro do Prazo</v>
      </c>
      <c r="O88" s="57">
        <f t="shared" si="14"/>
        <v>46163</v>
      </c>
      <c r="P88" s="76" t="str">
        <f t="shared" ca="1" si="15"/>
        <v>Prazo Vencido</v>
      </c>
      <c r="Q88" s="77">
        <f t="shared" si="16"/>
        <v>8</v>
      </c>
    </row>
    <row r="89" spans="1:17" ht="14.25" customHeight="1">
      <c r="A89" s="83">
        <v>46148</v>
      </c>
      <c r="B89" s="4" t="s">
        <v>17</v>
      </c>
      <c r="C89" s="4" t="s">
        <v>27</v>
      </c>
      <c r="D89" s="6" t="s">
        <v>19</v>
      </c>
      <c r="E89" s="7" t="s">
        <v>223</v>
      </c>
      <c r="F89" s="7" t="s">
        <v>224</v>
      </c>
      <c r="G89" s="7" t="s">
        <v>22</v>
      </c>
      <c r="H89" s="75">
        <v>46178</v>
      </c>
      <c r="I89" s="7" t="s">
        <v>23</v>
      </c>
      <c r="J89" s="8" t="s">
        <v>24</v>
      </c>
      <c r="K89" s="7" t="s">
        <v>25</v>
      </c>
      <c r="L89" s="8">
        <v>15</v>
      </c>
      <c r="M89" s="74">
        <v>46162</v>
      </c>
      <c r="N89" s="78" t="str">
        <f t="shared" si="19"/>
        <v>Dentro do Prazo</v>
      </c>
      <c r="O89" s="57">
        <f t="shared" si="14"/>
        <v>46163</v>
      </c>
      <c r="P89" s="76" t="str">
        <f t="shared" ca="1" si="15"/>
        <v>Prazo Vencido</v>
      </c>
      <c r="Q89" s="84">
        <f t="shared" si="16"/>
        <v>14</v>
      </c>
    </row>
    <row r="90" spans="1:17" ht="14.25" customHeight="1">
      <c r="A90" s="83">
        <v>46153</v>
      </c>
      <c r="B90" s="4" t="s">
        <v>53</v>
      </c>
      <c r="C90" s="4" t="s">
        <v>32</v>
      </c>
      <c r="D90" s="6" t="s">
        <v>19</v>
      </c>
      <c r="E90" s="7" t="s">
        <v>225</v>
      </c>
      <c r="F90" s="7" t="s">
        <v>226</v>
      </c>
      <c r="G90" s="7" t="s">
        <v>227</v>
      </c>
      <c r="H90" s="75">
        <v>46156</v>
      </c>
      <c r="I90" s="7" t="s">
        <v>23</v>
      </c>
      <c r="J90" s="8" t="s">
        <v>24</v>
      </c>
      <c r="K90" s="7" t="s">
        <v>25</v>
      </c>
      <c r="L90" s="8">
        <v>15</v>
      </c>
      <c r="M90" s="74">
        <v>46129</v>
      </c>
      <c r="N90" s="78" t="str">
        <f t="shared" si="19"/>
        <v>Dentro do Prazo</v>
      </c>
      <c r="O90" s="57">
        <f t="shared" si="14"/>
        <v>46168</v>
      </c>
      <c r="P90" s="76" t="str">
        <f t="shared" ca="1" si="15"/>
        <v>Prazo Vencido</v>
      </c>
      <c r="Q90" s="84">
        <f t="shared" si="16"/>
        <v>-24</v>
      </c>
    </row>
    <row r="91" spans="1:17" ht="14.25" customHeight="1">
      <c r="A91" s="83">
        <v>46153</v>
      </c>
      <c r="B91" s="4" t="s">
        <v>31</v>
      </c>
      <c r="C91" s="4" t="s">
        <v>32</v>
      </c>
      <c r="D91" s="6" t="s">
        <v>19</v>
      </c>
      <c r="E91" s="7" t="s">
        <v>34</v>
      </c>
      <c r="F91" s="7" t="s">
        <v>228</v>
      </c>
      <c r="G91" s="7" t="s">
        <v>227</v>
      </c>
      <c r="H91" s="75">
        <v>46156</v>
      </c>
      <c r="I91" s="7" t="s">
        <v>23</v>
      </c>
      <c r="J91" s="8" t="s">
        <v>24</v>
      </c>
      <c r="K91" s="7" t="s">
        <v>25</v>
      </c>
      <c r="L91" s="8">
        <v>15</v>
      </c>
      <c r="M91" s="74">
        <v>46125</v>
      </c>
      <c r="N91" s="78" t="str">
        <f t="shared" si="19"/>
        <v>Dentro do Prazo</v>
      </c>
      <c r="O91" s="57">
        <f t="shared" si="14"/>
        <v>46168</v>
      </c>
      <c r="P91" s="76" t="str">
        <f t="shared" ca="1" si="15"/>
        <v>Prazo Vencido</v>
      </c>
      <c r="Q91" s="84">
        <f t="shared" si="16"/>
        <v>-28</v>
      </c>
    </row>
    <row r="92" spans="1:17" ht="14.25" customHeight="1">
      <c r="A92" s="83">
        <v>46153</v>
      </c>
      <c r="B92" s="4" t="s">
        <v>229</v>
      </c>
      <c r="C92" s="4" t="s">
        <v>32</v>
      </c>
      <c r="D92" s="6" t="s">
        <v>19</v>
      </c>
      <c r="E92" s="7" t="s">
        <v>230</v>
      </c>
      <c r="F92" s="7" t="s">
        <v>231</v>
      </c>
      <c r="G92" s="7" t="s">
        <v>232</v>
      </c>
      <c r="H92" s="75">
        <v>46156</v>
      </c>
      <c r="I92" s="7" t="s">
        <v>23</v>
      </c>
      <c r="J92" s="8" t="s">
        <v>24</v>
      </c>
      <c r="K92" s="7" t="s">
        <v>167</v>
      </c>
      <c r="L92" s="8">
        <v>30</v>
      </c>
      <c r="M92" s="74">
        <v>46149</v>
      </c>
      <c r="N92" s="78" t="str">
        <f t="shared" si="19"/>
        <v>Dentro do Prazo</v>
      </c>
      <c r="O92" s="57">
        <f t="shared" si="14"/>
        <v>46183</v>
      </c>
      <c r="P92" s="76" t="str">
        <f t="shared" ca="1" si="15"/>
        <v>Prazo Vencido</v>
      </c>
      <c r="Q92" s="84">
        <f t="shared" si="16"/>
        <v>-4</v>
      </c>
    </row>
    <row r="93" spans="1:17" ht="14.25" customHeight="1">
      <c r="A93" s="83">
        <v>46169</v>
      </c>
      <c r="B93" s="4" t="s">
        <v>31</v>
      </c>
      <c r="C93" s="4" t="s">
        <v>32</v>
      </c>
      <c r="D93" s="6" t="s">
        <v>19</v>
      </c>
      <c r="E93" s="7" t="s">
        <v>233</v>
      </c>
      <c r="F93" s="7" t="s">
        <v>234</v>
      </c>
      <c r="G93" s="7" t="s">
        <v>235</v>
      </c>
      <c r="H93" s="75">
        <v>46178</v>
      </c>
      <c r="I93" s="7" t="s">
        <v>23</v>
      </c>
      <c r="J93" s="8" t="s">
        <v>24</v>
      </c>
      <c r="K93" s="7" t="s">
        <v>25</v>
      </c>
      <c r="L93" s="8">
        <v>15</v>
      </c>
      <c r="M93" s="74">
        <v>46167</v>
      </c>
      <c r="N93" s="78" t="str">
        <f t="shared" si="19"/>
        <v>Dentro do Prazo</v>
      </c>
      <c r="O93" s="57">
        <f t="shared" si="14"/>
        <v>46184</v>
      </c>
      <c r="P93" s="76" t="str">
        <f t="shared" ca="1" si="15"/>
        <v>Prazo Vencido</v>
      </c>
      <c r="Q93" s="84">
        <f t="shared" si="16"/>
        <v>-2</v>
      </c>
    </row>
    <row r="94" spans="1:17" ht="14.25" customHeight="1">
      <c r="A94" s="83">
        <v>46162</v>
      </c>
      <c r="B94" s="4" t="s">
        <v>106</v>
      </c>
      <c r="C94" s="4" t="s">
        <v>37</v>
      </c>
      <c r="D94" s="6" t="s">
        <v>19</v>
      </c>
      <c r="E94" s="7" t="s">
        <v>110</v>
      </c>
      <c r="F94" s="7" t="s">
        <v>236</v>
      </c>
      <c r="G94" s="7" t="s">
        <v>206</v>
      </c>
      <c r="H94" s="75">
        <v>46178</v>
      </c>
      <c r="I94" s="7" t="s">
        <v>23</v>
      </c>
      <c r="J94" s="8" t="s">
        <v>24</v>
      </c>
      <c r="K94" s="7" t="s">
        <v>25</v>
      </c>
      <c r="L94" s="8">
        <v>15</v>
      </c>
      <c r="M94" s="74">
        <v>46169</v>
      </c>
      <c r="N94" s="78" t="str">
        <f t="shared" si="19"/>
        <v>Dentro do Prazo</v>
      </c>
      <c r="O94" s="57">
        <f t="shared" si="14"/>
        <v>46177</v>
      </c>
      <c r="P94" s="76" t="str">
        <f t="shared" ca="1" si="15"/>
        <v>Prazo Vencido</v>
      </c>
      <c r="Q94" s="84">
        <f t="shared" si="16"/>
        <v>7</v>
      </c>
    </row>
    <row r="95" spans="1:17" ht="13">
      <c r="A95" s="3">
        <v>46181</v>
      </c>
      <c r="B95" s="4" t="s">
        <v>17</v>
      </c>
      <c r="C95" s="4" t="s">
        <v>116</v>
      </c>
      <c r="D95" s="6" t="s">
        <v>19</v>
      </c>
      <c r="E95" s="7" t="s">
        <v>237</v>
      </c>
      <c r="F95" s="7" t="s">
        <v>238</v>
      </c>
      <c r="G95" s="7" t="s">
        <v>22</v>
      </c>
      <c r="H95" s="75">
        <v>46191</v>
      </c>
      <c r="I95" s="7" t="s">
        <v>166</v>
      </c>
      <c r="J95" s="8" t="s">
        <v>24</v>
      </c>
      <c r="K95" s="7" t="s">
        <v>25</v>
      </c>
      <c r="L95" s="8">
        <v>15</v>
      </c>
      <c r="M95" s="74">
        <v>46183</v>
      </c>
      <c r="N95" s="78" t="str">
        <f>IF(AND(A95="",K302=""),"",IF(Q95="","Em Andamento",IF(M95&lt;=O95,"Dentro do Prazo","Fora do Prazo")))</f>
        <v>Dentro do Prazo</v>
      </c>
      <c r="O95" s="57">
        <f t="shared" si="14"/>
        <v>46196</v>
      </c>
      <c r="P95" s="76" t="str">
        <f t="shared" ca="1" si="15"/>
        <v>Prazo Vencido</v>
      </c>
      <c r="Q95" s="84">
        <f t="shared" si="16"/>
        <v>2</v>
      </c>
    </row>
    <row r="96" spans="1:17" ht="13">
      <c r="A96" s="3">
        <v>46181</v>
      </c>
      <c r="B96" s="4" t="s">
        <v>17</v>
      </c>
      <c r="C96" s="4" t="s">
        <v>27</v>
      </c>
      <c r="D96" s="6" t="s">
        <v>19</v>
      </c>
      <c r="E96" s="7" t="s">
        <v>239</v>
      </c>
      <c r="F96" s="7" t="s">
        <v>240</v>
      </c>
      <c r="G96" s="7" t="s">
        <v>22</v>
      </c>
      <c r="H96" s="75">
        <v>46191</v>
      </c>
      <c r="I96" s="7" t="s">
        <v>166</v>
      </c>
      <c r="J96" s="8" t="s">
        <v>24</v>
      </c>
      <c r="K96" s="7" t="s">
        <v>25</v>
      </c>
      <c r="L96" s="8">
        <v>15</v>
      </c>
      <c r="M96" s="74">
        <v>46183</v>
      </c>
      <c r="N96" s="78" t="str">
        <f>IF(AND(A96="",K303=""),"",IF(Q96="","Em Andamento",IF(M96&lt;=O96,"Dentro do Prazo","Fora do Prazo")))</f>
        <v>Dentro do Prazo</v>
      </c>
      <c r="O96" s="57">
        <f t="shared" si="14"/>
        <v>46196</v>
      </c>
      <c r="P96" s="76" t="str">
        <f t="shared" ca="1" si="15"/>
        <v>Prazo Vencido</v>
      </c>
      <c r="Q96" s="84">
        <f t="shared" si="16"/>
        <v>2</v>
      </c>
    </row>
    <row r="97" spans="1:18" ht="13">
      <c r="A97" s="3">
        <v>46181</v>
      </c>
      <c r="B97" s="4" t="s">
        <v>17</v>
      </c>
      <c r="C97" s="4" t="s">
        <v>27</v>
      </c>
      <c r="D97" s="6" t="s">
        <v>19</v>
      </c>
      <c r="E97" s="7" t="s">
        <v>241</v>
      </c>
      <c r="F97" s="7" t="s">
        <v>242</v>
      </c>
      <c r="G97" s="7" t="s">
        <v>48</v>
      </c>
      <c r="H97" s="75">
        <v>46191</v>
      </c>
      <c r="I97" s="7" t="s">
        <v>166</v>
      </c>
      <c r="J97" s="8" t="s">
        <v>24</v>
      </c>
      <c r="K97" s="7" t="s">
        <v>25</v>
      </c>
      <c r="L97" s="8">
        <v>15</v>
      </c>
      <c r="M97" s="74">
        <v>46183</v>
      </c>
      <c r="N97" s="78" t="str">
        <f>IF(AND(A97="",K329=""),"",IF(Q97="","Em Andamento",IF(M97&lt;=O97,"Dentro do Prazo","Fora do Prazo")))</f>
        <v>Dentro do Prazo</v>
      </c>
      <c r="O97" s="57">
        <f t="shared" si="14"/>
        <v>46196</v>
      </c>
      <c r="P97" s="76" t="str">
        <f t="shared" ca="1" si="15"/>
        <v>Prazo Vencido</v>
      </c>
      <c r="Q97" s="84">
        <f t="shared" si="16"/>
        <v>2</v>
      </c>
    </row>
    <row r="98" spans="1:18" ht="13">
      <c r="A98" s="3">
        <v>46196</v>
      </c>
      <c r="B98" s="4" t="s">
        <v>17</v>
      </c>
      <c r="C98" s="4" t="s">
        <v>27</v>
      </c>
      <c r="D98" s="7" t="s">
        <v>19</v>
      </c>
      <c r="E98" s="7" t="s">
        <v>243</v>
      </c>
      <c r="F98" s="86" t="s">
        <v>244</v>
      </c>
      <c r="G98" s="7" t="s">
        <v>22</v>
      </c>
      <c r="H98" s="75">
        <v>46212</v>
      </c>
      <c r="I98" s="7" t="s">
        <v>166</v>
      </c>
      <c r="J98" s="8" t="s">
        <v>24</v>
      </c>
      <c r="K98" s="7" t="s">
        <v>25</v>
      </c>
      <c r="L98" s="8">
        <v>15</v>
      </c>
      <c r="M98" s="74">
        <v>46189</v>
      </c>
      <c r="N98" s="78" t="str">
        <f>IF(AND(A98="",K334=""),"",IF(Q98="","Em Andamento",IF(M98&lt;=O98,"Dentro do Prazo","Fora do Prazo")))</f>
        <v>Dentro do Prazo</v>
      </c>
      <c r="O98" s="57">
        <f t="shared" ref="O98:O129" si="20">IF(OR(A98="",L98=""),"",A98+L98)</f>
        <v>46211</v>
      </c>
      <c r="P98" s="76" t="str">
        <f t="shared" ref="P98:P129" ca="1" si="21">IF(O98="","",IF(O98-TODAY()=0,"Vence Hoje!",IF(O98-TODAY()&gt;=0,O98-TODAY()&amp;" Dia(s) para vencer","Prazo Vencido")))</f>
        <v>Prazo Vencido</v>
      </c>
      <c r="Q98" s="84">
        <f t="shared" si="16"/>
        <v>-7</v>
      </c>
    </row>
    <row r="99" spans="1:18" ht="13">
      <c r="A99" s="3">
        <v>46195</v>
      </c>
      <c r="B99" s="4" t="s">
        <v>17</v>
      </c>
      <c r="C99" s="4" t="s">
        <v>27</v>
      </c>
      <c r="D99" s="6" t="s">
        <v>19</v>
      </c>
      <c r="E99" s="7" t="s">
        <v>245</v>
      </c>
      <c r="F99" s="7" t="s">
        <v>246</v>
      </c>
      <c r="G99" s="7" t="s">
        <v>22</v>
      </c>
      <c r="H99" s="75">
        <v>46212</v>
      </c>
      <c r="I99" s="7" t="s">
        <v>247</v>
      </c>
      <c r="J99" s="8" t="s">
        <v>24</v>
      </c>
      <c r="K99" s="7" t="s">
        <v>25</v>
      </c>
      <c r="L99" s="8">
        <v>15</v>
      </c>
      <c r="M99" s="74">
        <v>46189</v>
      </c>
      <c r="N99" s="78" t="str">
        <f>IF(AND(A99="",K336=""),"",IF(Q99="","Em Andamento",IF(M99&lt;=O99,"Dentro do Prazo","Fora do Prazo")))</f>
        <v>Dentro do Prazo</v>
      </c>
      <c r="O99" s="57">
        <f t="shared" si="20"/>
        <v>46210</v>
      </c>
      <c r="P99" s="76" t="str">
        <f t="shared" ca="1" si="21"/>
        <v>Prazo Vencido</v>
      </c>
      <c r="Q99" s="84">
        <f t="shared" si="16"/>
        <v>-6</v>
      </c>
      <c r="R99" t="s">
        <v>248</v>
      </c>
    </row>
    <row r="100" spans="1:18" ht="13">
      <c r="A100" s="3">
        <v>46181</v>
      </c>
      <c r="B100" s="4" t="s">
        <v>17</v>
      </c>
      <c r="C100" s="4" t="s">
        <v>27</v>
      </c>
      <c r="D100" s="6" t="s">
        <v>19</v>
      </c>
      <c r="E100" s="7" t="s">
        <v>249</v>
      </c>
      <c r="F100" s="7" t="s">
        <v>250</v>
      </c>
      <c r="G100" s="7" t="s">
        <v>22</v>
      </c>
      <c r="H100" s="75">
        <v>46191</v>
      </c>
      <c r="I100" s="7" t="s">
        <v>166</v>
      </c>
      <c r="J100" s="8" t="s">
        <v>24</v>
      </c>
      <c r="K100" s="7" t="s">
        <v>25</v>
      </c>
      <c r="L100" s="8">
        <v>15</v>
      </c>
      <c r="M100" s="74">
        <v>46183</v>
      </c>
      <c r="N100" s="78" t="str">
        <f>IF(AND(A100="",K335=""),"",IF(Q100="","Em Andamento",IF(M100&lt;=O100,"Dentro do Prazo","Fora do Prazo")))</f>
        <v>Dentro do Prazo</v>
      </c>
      <c r="O100" s="57">
        <f t="shared" si="20"/>
        <v>46196</v>
      </c>
      <c r="P100" s="76" t="str">
        <f t="shared" ca="1" si="21"/>
        <v>Prazo Vencido</v>
      </c>
      <c r="Q100" s="84">
        <f t="shared" si="16"/>
        <v>2</v>
      </c>
    </row>
    <row r="101" spans="1:18" ht="13">
      <c r="A101" s="3">
        <v>46181</v>
      </c>
      <c r="B101" s="4" t="s">
        <v>17</v>
      </c>
      <c r="C101" s="4" t="s">
        <v>27</v>
      </c>
      <c r="D101" s="6" t="s">
        <v>19</v>
      </c>
      <c r="E101" s="7" t="s">
        <v>251</v>
      </c>
      <c r="F101" s="7" t="s">
        <v>252</v>
      </c>
      <c r="G101" s="7" t="s">
        <v>22</v>
      </c>
      <c r="H101" s="75">
        <v>46191</v>
      </c>
      <c r="I101" s="7" t="s">
        <v>166</v>
      </c>
      <c r="J101" s="8" t="s">
        <v>24</v>
      </c>
      <c r="K101" s="7" t="s">
        <v>25</v>
      </c>
      <c r="L101" s="8">
        <v>15</v>
      </c>
      <c r="M101" s="74">
        <v>46183</v>
      </c>
      <c r="N101" s="78" t="str">
        <f>IF(AND(A101="",K336=""),"",IF(Q101="","Em Andamento",IF(M101&lt;=O101,"Dentro do Prazo","Fora do Prazo")))</f>
        <v>Dentro do Prazo</v>
      </c>
      <c r="O101" s="57">
        <f t="shared" si="20"/>
        <v>46196</v>
      </c>
      <c r="P101" s="76" t="str">
        <f t="shared" ca="1" si="21"/>
        <v>Prazo Vencido</v>
      </c>
      <c r="Q101" s="84">
        <f t="shared" si="16"/>
        <v>2</v>
      </c>
    </row>
    <row r="102" spans="1:18" ht="13">
      <c r="A102" s="3">
        <v>46190</v>
      </c>
      <c r="B102" s="4" t="s">
        <v>17</v>
      </c>
      <c r="C102" s="4" t="s">
        <v>27</v>
      </c>
      <c r="D102" s="6" t="s">
        <v>19</v>
      </c>
      <c r="E102" s="7" t="s">
        <v>253</v>
      </c>
      <c r="F102" s="7" t="s">
        <v>254</v>
      </c>
      <c r="G102" s="7" t="s">
        <v>22</v>
      </c>
      <c r="H102" s="75">
        <v>46212</v>
      </c>
      <c r="I102" s="7" t="s">
        <v>166</v>
      </c>
      <c r="J102" s="8" t="s">
        <v>24</v>
      </c>
      <c r="K102" s="7" t="s">
        <v>25</v>
      </c>
      <c r="L102" s="8">
        <v>15</v>
      </c>
      <c r="M102" s="74">
        <v>46189</v>
      </c>
      <c r="N102" s="78" t="str">
        <f>IF(AND(A102="",K338=""),"",IF(Q102="","Em Andamento",IF(M102&lt;=O102,"Dentro do Prazo","Fora do Prazo")))</f>
        <v>Dentro do Prazo</v>
      </c>
      <c r="O102" s="57">
        <f t="shared" si="20"/>
        <v>46205</v>
      </c>
      <c r="P102" s="76" t="str">
        <f t="shared" ca="1" si="21"/>
        <v>Prazo Vencido</v>
      </c>
      <c r="Q102" s="84">
        <f t="shared" si="16"/>
        <v>-1</v>
      </c>
    </row>
    <row r="103" spans="1:18" ht="13">
      <c r="A103" s="3">
        <v>46195</v>
      </c>
      <c r="B103" s="4" t="s">
        <v>17</v>
      </c>
      <c r="C103" s="4" t="s">
        <v>27</v>
      </c>
      <c r="D103" s="7" t="s">
        <v>158</v>
      </c>
      <c r="E103" s="7"/>
      <c r="F103" s="7" t="s">
        <v>255</v>
      </c>
      <c r="G103" s="7" t="s">
        <v>22</v>
      </c>
      <c r="H103" s="75">
        <v>46212</v>
      </c>
      <c r="I103" s="7" t="s">
        <v>247</v>
      </c>
      <c r="J103" s="8" t="s">
        <v>24</v>
      </c>
      <c r="K103" s="7" t="s">
        <v>25</v>
      </c>
      <c r="L103" s="8">
        <v>15</v>
      </c>
      <c r="M103" s="74">
        <v>46189</v>
      </c>
      <c r="N103" s="78" t="str">
        <f>IF(AND(A103="",K341=""),"",IF(Q103="","Em Andamento",IF(M103&lt;=O103,"Dentro do Prazo","Fora do Prazo")))</f>
        <v>Dentro do Prazo</v>
      </c>
      <c r="O103" s="57">
        <f t="shared" si="20"/>
        <v>46210</v>
      </c>
      <c r="P103" s="76" t="str">
        <f t="shared" ca="1" si="21"/>
        <v>Prazo Vencido</v>
      </c>
      <c r="Q103" s="84">
        <f t="shared" si="16"/>
        <v>-6</v>
      </c>
    </row>
    <row r="104" spans="1:18" ht="13">
      <c r="A104" s="3">
        <v>46195</v>
      </c>
      <c r="B104" s="4" t="s">
        <v>17</v>
      </c>
      <c r="C104" s="4" t="s">
        <v>27</v>
      </c>
      <c r="D104" s="6" t="s">
        <v>19</v>
      </c>
      <c r="E104" s="7" t="s">
        <v>256</v>
      </c>
      <c r="F104" s="7" t="s">
        <v>257</v>
      </c>
      <c r="G104" s="7" t="s">
        <v>22</v>
      </c>
      <c r="H104" s="75">
        <v>46212</v>
      </c>
      <c r="I104" s="7" t="s">
        <v>247</v>
      </c>
      <c r="J104" s="8" t="s">
        <v>24</v>
      </c>
      <c r="K104" s="7" t="s">
        <v>25</v>
      </c>
      <c r="L104" s="8">
        <v>15</v>
      </c>
      <c r="M104" s="74">
        <v>46189</v>
      </c>
      <c r="N104" s="78" t="str">
        <f>IF(AND(A104="",K342=""),"",IF(Q104="","Em Andamento",IF(M104&lt;=O104,"Dentro do Prazo","Fora do Prazo")))</f>
        <v>Dentro do Prazo</v>
      </c>
      <c r="O104" s="57">
        <f t="shared" si="20"/>
        <v>46210</v>
      </c>
      <c r="P104" s="76" t="str">
        <f t="shared" ca="1" si="21"/>
        <v>Prazo Vencido</v>
      </c>
      <c r="Q104" s="84">
        <f t="shared" si="16"/>
        <v>-6</v>
      </c>
    </row>
    <row r="105" spans="1:18" ht="13">
      <c r="A105" s="3">
        <v>46188</v>
      </c>
      <c r="B105" s="4" t="s">
        <v>17</v>
      </c>
      <c r="C105" s="4" t="s">
        <v>27</v>
      </c>
      <c r="D105" s="6" t="s">
        <v>19</v>
      </c>
      <c r="E105" s="7" t="s">
        <v>258</v>
      </c>
      <c r="F105" s="7" t="s">
        <v>259</v>
      </c>
      <c r="G105" s="7" t="s">
        <v>48</v>
      </c>
      <c r="H105" s="75">
        <v>46212</v>
      </c>
      <c r="I105" s="7" t="s">
        <v>166</v>
      </c>
      <c r="J105" s="8" t="s">
        <v>24</v>
      </c>
      <c r="K105" s="7" t="s">
        <v>25</v>
      </c>
      <c r="L105" s="8">
        <v>15</v>
      </c>
      <c r="M105" s="74">
        <v>46189</v>
      </c>
      <c r="N105" s="78" t="str">
        <f>IF(AND(A105="",K341=""),"",IF(Q105="","Em Andamento",IF(M105&lt;=O105,"Dentro do Prazo","Fora do Prazo")))</f>
        <v>Dentro do Prazo</v>
      </c>
      <c r="O105" s="57">
        <f t="shared" si="20"/>
        <v>46203</v>
      </c>
      <c r="P105" s="76" t="str">
        <f t="shared" ca="1" si="21"/>
        <v>Prazo Vencido</v>
      </c>
      <c r="Q105" s="84">
        <f t="shared" si="16"/>
        <v>1</v>
      </c>
    </row>
    <row r="106" spans="1:18" ht="13">
      <c r="A106" s="3">
        <v>46196</v>
      </c>
      <c r="B106" s="4" t="s">
        <v>17</v>
      </c>
      <c r="C106" s="4" t="s">
        <v>27</v>
      </c>
      <c r="D106" s="7" t="s">
        <v>19</v>
      </c>
      <c r="E106" s="7" t="s">
        <v>241</v>
      </c>
      <c r="F106" s="7" t="s">
        <v>260</v>
      </c>
      <c r="G106" s="7" t="s">
        <v>48</v>
      </c>
      <c r="H106" s="75">
        <v>46212</v>
      </c>
      <c r="I106" s="7" t="s">
        <v>166</v>
      </c>
      <c r="J106" s="8" t="s">
        <v>24</v>
      </c>
      <c r="K106" s="7" t="s">
        <v>25</v>
      </c>
      <c r="L106" s="8">
        <v>15</v>
      </c>
      <c r="M106" s="74">
        <v>46189</v>
      </c>
      <c r="N106" s="78" t="str">
        <f>IF(AND(A106="",K343=""),"",IF(Q106="","Em Andamento",IF(M106&lt;=O106,"Dentro do Prazo","Fora do Prazo")))</f>
        <v>Dentro do Prazo</v>
      </c>
      <c r="O106" s="57">
        <f t="shared" si="20"/>
        <v>46211</v>
      </c>
      <c r="P106" s="76" t="str">
        <f t="shared" ca="1" si="21"/>
        <v>Prazo Vencido</v>
      </c>
      <c r="Q106" s="84">
        <f t="shared" si="16"/>
        <v>-7</v>
      </c>
    </row>
    <row r="107" spans="1:18" ht="13">
      <c r="A107" s="3">
        <v>46195</v>
      </c>
      <c r="B107" s="4" t="s">
        <v>17</v>
      </c>
      <c r="C107" s="4" t="s">
        <v>27</v>
      </c>
      <c r="D107" s="7" t="s">
        <v>158</v>
      </c>
      <c r="E107" s="7"/>
      <c r="F107" s="7" t="s">
        <v>261</v>
      </c>
      <c r="G107" s="7" t="s">
        <v>22</v>
      </c>
      <c r="H107" s="75">
        <v>46212</v>
      </c>
      <c r="I107" s="7" t="s">
        <v>247</v>
      </c>
      <c r="J107" s="8" t="s">
        <v>24</v>
      </c>
      <c r="K107" s="7" t="s">
        <v>25</v>
      </c>
      <c r="L107" s="8">
        <v>15</v>
      </c>
      <c r="M107" s="74">
        <v>46189</v>
      </c>
      <c r="N107" s="78" t="str">
        <f>IF(AND(A107="",K345=""),"",IF(Q107="","Em Andamento",IF(M107&lt;=O107,"Dentro do Prazo","Fora do Prazo")))</f>
        <v>Dentro do Prazo</v>
      </c>
      <c r="O107" s="57">
        <f t="shared" si="20"/>
        <v>46210</v>
      </c>
      <c r="P107" s="76" t="str">
        <f t="shared" ca="1" si="21"/>
        <v>Prazo Vencido</v>
      </c>
      <c r="Q107" s="84">
        <f t="shared" si="16"/>
        <v>-6</v>
      </c>
    </row>
    <row r="108" spans="1:18" ht="13">
      <c r="A108" s="3">
        <v>46206</v>
      </c>
      <c r="B108" s="4" t="s">
        <v>262</v>
      </c>
      <c r="C108" s="4" t="s">
        <v>163</v>
      </c>
      <c r="D108" s="7" t="s">
        <v>158</v>
      </c>
      <c r="E108" s="7"/>
      <c r="F108" s="7" t="s">
        <v>263</v>
      </c>
      <c r="G108" s="7" t="s">
        <v>22</v>
      </c>
      <c r="H108" s="75">
        <v>46212</v>
      </c>
      <c r="I108" s="7" t="s">
        <v>166</v>
      </c>
      <c r="J108" s="8" t="s">
        <v>24</v>
      </c>
      <c r="K108" s="7" t="s">
        <v>25</v>
      </c>
      <c r="L108" s="8">
        <v>15</v>
      </c>
      <c r="M108" s="74">
        <v>46218</v>
      </c>
      <c r="N108" s="78" t="str">
        <f>IF(AND(A108="",K345=""),"",IF(Q108="","Em Andamento",IF(M108&lt;=O108,"Dentro do Prazo","Fora do Prazo")))</f>
        <v>Dentro do Prazo</v>
      </c>
      <c r="O108" s="57">
        <f t="shared" si="20"/>
        <v>46221</v>
      </c>
      <c r="P108" s="76" t="str">
        <f t="shared" ca="1" si="21"/>
        <v>Prazo Vencido</v>
      </c>
      <c r="Q108" s="84">
        <f t="shared" si="16"/>
        <v>12</v>
      </c>
    </row>
    <row r="109" spans="1:18" ht="13">
      <c r="A109" s="3">
        <v>46309</v>
      </c>
      <c r="B109" s="4" t="s">
        <v>17</v>
      </c>
      <c r="C109" s="4" t="s">
        <v>27</v>
      </c>
      <c r="D109" s="7" t="s">
        <v>19</v>
      </c>
      <c r="E109" s="7" t="s">
        <v>264</v>
      </c>
      <c r="F109" s="7"/>
      <c r="G109" s="7" t="s">
        <v>48</v>
      </c>
      <c r="H109" s="7"/>
      <c r="I109" s="2"/>
      <c r="J109" s="8" t="s">
        <v>265</v>
      </c>
      <c r="K109" s="5" t="s">
        <v>25</v>
      </c>
      <c r="L109" s="8">
        <v>15</v>
      </c>
      <c r="M109" s="74"/>
      <c r="N109" s="78" t="str">
        <f t="shared" ref="N109:N140" si="22">IF(AND(A109="",K347=""),"",IF(Q109="","Em Andamento",IF(M109&lt;=O109,"Dentro do Prazo","Fora do Prazo")))</f>
        <v>Em Andamento</v>
      </c>
      <c r="O109" s="57">
        <f t="shared" si="20"/>
        <v>46324</v>
      </c>
      <c r="P109" s="76" t="str">
        <f t="shared" ca="1" si="21"/>
        <v>3 Dia(s) para vencer</v>
      </c>
      <c r="Q109" s="84" t="str">
        <f t="shared" si="16"/>
        <v/>
      </c>
    </row>
    <row r="110" spans="1:18" ht="13">
      <c r="A110" s="3"/>
      <c r="B110" s="4"/>
      <c r="C110" s="4"/>
      <c r="D110" s="7"/>
      <c r="E110" s="7"/>
      <c r="F110" s="7"/>
      <c r="G110" s="7"/>
      <c r="H110" s="7"/>
      <c r="I110" s="2"/>
      <c r="J110" s="8"/>
      <c r="K110" s="5"/>
      <c r="L110" s="8"/>
      <c r="M110" s="74"/>
      <c r="N110" s="78" t="str">
        <f t="shared" si="22"/>
        <v/>
      </c>
      <c r="O110" s="57" t="str">
        <f t="shared" si="20"/>
        <v/>
      </c>
      <c r="P110" s="76" t="str">
        <f t="shared" ca="1" si="21"/>
        <v/>
      </c>
      <c r="Q110" s="84" t="str">
        <f t="shared" si="16"/>
        <v/>
      </c>
    </row>
    <row r="111" spans="1:18" ht="13">
      <c r="A111" s="3"/>
      <c r="B111" s="4"/>
      <c r="C111" s="4"/>
      <c r="D111" s="7"/>
      <c r="E111" s="7"/>
      <c r="F111" s="7"/>
      <c r="G111" s="7"/>
      <c r="H111" s="7"/>
      <c r="I111" s="2"/>
      <c r="J111" s="8"/>
      <c r="K111" s="5"/>
      <c r="L111" s="8"/>
      <c r="M111" s="74"/>
      <c r="N111" s="78" t="str">
        <f t="shared" si="22"/>
        <v/>
      </c>
      <c r="O111" s="57" t="str">
        <f t="shared" si="20"/>
        <v/>
      </c>
      <c r="P111" s="76" t="str">
        <f t="shared" ca="1" si="21"/>
        <v/>
      </c>
      <c r="Q111" s="8"/>
    </row>
    <row r="112" spans="1:18" ht="13">
      <c r="A112" s="3"/>
      <c r="B112" s="4"/>
      <c r="C112" s="4"/>
      <c r="D112" s="7"/>
      <c r="E112" s="7"/>
      <c r="F112" s="7"/>
      <c r="G112" s="7"/>
      <c r="H112" s="7"/>
      <c r="I112" s="2"/>
      <c r="J112" s="8"/>
      <c r="K112" s="5"/>
      <c r="L112" s="8"/>
      <c r="M112" s="74"/>
      <c r="N112" s="78" t="str">
        <f t="shared" si="22"/>
        <v/>
      </c>
      <c r="O112" s="57" t="str">
        <f t="shared" si="20"/>
        <v/>
      </c>
      <c r="P112" s="76" t="str">
        <f t="shared" ca="1" si="21"/>
        <v/>
      </c>
      <c r="Q112" s="8"/>
    </row>
    <row r="113" spans="1:17" ht="13">
      <c r="A113" s="3"/>
      <c r="B113" s="4"/>
      <c r="C113" s="4"/>
      <c r="D113" s="7"/>
      <c r="E113" s="7"/>
      <c r="F113" s="7"/>
      <c r="G113" s="7"/>
      <c r="H113" s="7"/>
      <c r="I113" s="2"/>
      <c r="J113" s="8"/>
      <c r="K113" s="5"/>
      <c r="L113" s="8"/>
      <c r="M113" s="74"/>
      <c r="N113" s="78" t="str">
        <f t="shared" si="22"/>
        <v/>
      </c>
      <c r="O113" s="57" t="str">
        <f t="shared" si="20"/>
        <v/>
      </c>
      <c r="P113" s="76" t="str">
        <f t="shared" ca="1" si="21"/>
        <v/>
      </c>
      <c r="Q113" s="8"/>
    </row>
    <row r="114" spans="1:17" ht="13">
      <c r="A114" s="3"/>
      <c r="B114" s="4"/>
      <c r="C114" s="4"/>
      <c r="D114" s="7"/>
      <c r="E114" s="7"/>
      <c r="F114" s="7"/>
      <c r="G114" s="7"/>
      <c r="H114" s="7"/>
      <c r="I114" s="2"/>
      <c r="J114" s="8"/>
      <c r="K114" s="5"/>
      <c r="L114" s="8"/>
      <c r="M114" s="74"/>
      <c r="N114" s="78" t="str">
        <f t="shared" si="22"/>
        <v/>
      </c>
      <c r="O114" s="57" t="str">
        <f t="shared" si="20"/>
        <v/>
      </c>
      <c r="P114" s="76" t="str">
        <f t="shared" ca="1" si="21"/>
        <v/>
      </c>
      <c r="Q114" s="8"/>
    </row>
    <row r="115" spans="1:17" ht="13">
      <c r="A115" s="3"/>
      <c r="B115" s="4"/>
      <c r="C115" s="4"/>
      <c r="D115" s="7"/>
      <c r="E115" s="7"/>
      <c r="F115" s="7"/>
      <c r="G115" s="7"/>
      <c r="H115" s="7"/>
      <c r="I115" s="2"/>
      <c r="J115" s="8"/>
      <c r="K115" s="5"/>
      <c r="L115" s="8"/>
      <c r="M115" s="74"/>
      <c r="N115" s="78" t="str">
        <f t="shared" si="22"/>
        <v/>
      </c>
      <c r="O115" s="57" t="str">
        <f t="shared" si="20"/>
        <v/>
      </c>
      <c r="P115" s="76" t="str">
        <f t="shared" ca="1" si="21"/>
        <v/>
      </c>
      <c r="Q115" s="8"/>
    </row>
    <row r="116" spans="1:17" ht="13">
      <c r="A116" s="3"/>
      <c r="B116" s="4"/>
      <c r="C116" s="4"/>
      <c r="D116" s="7"/>
      <c r="E116" s="7"/>
      <c r="F116" s="7"/>
      <c r="G116" s="7"/>
      <c r="H116" s="7"/>
      <c r="I116" s="2"/>
      <c r="J116" s="8"/>
      <c r="K116" s="5"/>
      <c r="L116" s="8"/>
      <c r="M116" s="74"/>
      <c r="N116" s="78" t="str">
        <f t="shared" si="22"/>
        <v/>
      </c>
      <c r="O116" s="57" t="str">
        <f t="shared" si="20"/>
        <v/>
      </c>
      <c r="P116" s="76" t="str">
        <f t="shared" ca="1" si="21"/>
        <v/>
      </c>
      <c r="Q116" s="8"/>
    </row>
    <row r="117" spans="1:17" ht="13">
      <c r="A117" s="3"/>
      <c r="B117" s="4"/>
      <c r="C117" s="4"/>
      <c r="D117" s="7"/>
      <c r="E117" s="7"/>
      <c r="F117" s="7"/>
      <c r="G117" s="7"/>
      <c r="H117" s="7"/>
      <c r="I117" s="2"/>
      <c r="J117" s="8"/>
      <c r="K117" s="5"/>
      <c r="L117" s="8"/>
      <c r="M117" s="74"/>
      <c r="N117" s="78" t="str">
        <f t="shared" si="22"/>
        <v/>
      </c>
      <c r="O117" s="57" t="str">
        <f t="shared" si="20"/>
        <v/>
      </c>
      <c r="P117" s="76" t="str">
        <f t="shared" ca="1" si="21"/>
        <v/>
      </c>
      <c r="Q117" s="8"/>
    </row>
    <row r="118" spans="1:17" ht="13">
      <c r="A118" s="3"/>
      <c r="B118" s="4"/>
      <c r="C118" s="4"/>
      <c r="D118" s="7"/>
      <c r="E118" s="7"/>
      <c r="F118" s="7"/>
      <c r="G118" s="7"/>
      <c r="H118" s="7"/>
      <c r="I118" s="2"/>
      <c r="J118" s="8"/>
      <c r="K118" s="5"/>
      <c r="L118" s="8"/>
      <c r="M118" s="74"/>
      <c r="N118" s="78" t="str">
        <f t="shared" si="22"/>
        <v/>
      </c>
      <c r="O118" s="57" t="str">
        <f t="shared" si="20"/>
        <v/>
      </c>
      <c r="P118" s="76" t="str">
        <f t="shared" ca="1" si="21"/>
        <v/>
      </c>
      <c r="Q118" s="8"/>
    </row>
    <row r="119" spans="1:17" ht="13">
      <c r="A119" s="3"/>
      <c r="B119" s="4"/>
      <c r="C119" s="4"/>
      <c r="D119" s="7"/>
      <c r="E119" s="7"/>
      <c r="F119" s="7"/>
      <c r="G119" s="7"/>
      <c r="H119" s="7"/>
      <c r="I119" s="2"/>
      <c r="J119" s="8"/>
      <c r="K119" s="5"/>
      <c r="L119" s="8"/>
      <c r="M119" s="74"/>
      <c r="N119" s="78" t="str">
        <f t="shared" si="22"/>
        <v/>
      </c>
      <c r="O119" s="57" t="str">
        <f t="shared" si="20"/>
        <v/>
      </c>
      <c r="P119" s="76" t="str">
        <f t="shared" ca="1" si="21"/>
        <v/>
      </c>
      <c r="Q119" s="8"/>
    </row>
    <row r="120" spans="1:17" ht="13">
      <c r="A120" s="3"/>
      <c r="B120" s="4"/>
      <c r="C120" s="4"/>
      <c r="D120" s="7"/>
      <c r="E120" s="7"/>
      <c r="F120" s="7"/>
      <c r="G120" s="7"/>
      <c r="H120" s="7"/>
      <c r="I120" s="2"/>
      <c r="J120" s="8"/>
      <c r="K120" s="5"/>
      <c r="L120" s="8"/>
      <c r="M120" s="74"/>
      <c r="N120" s="78" t="str">
        <f t="shared" si="22"/>
        <v/>
      </c>
      <c r="O120" s="57" t="str">
        <f t="shared" si="20"/>
        <v/>
      </c>
      <c r="P120" s="76" t="str">
        <f t="shared" ca="1" si="21"/>
        <v/>
      </c>
      <c r="Q120" s="8"/>
    </row>
    <row r="121" spans="1:17" ht="13">
      <c r="A121" s="3"/>
      <c r="B121" s="4"/>
      <c r="C121" s="4"/>
      <c r="D121" s="7"/>
      <c r="E121" s="7"/>
      <c r="F121" s="7"/>
      <c r="G121" s="7"/>
      <c r="H121" s="7"/>
      <c r="I121" s="2"/>
      <c r="J121" s="8"/>
      <c r="K121" s="5"/>
      <c r="L121" s="8"/>
      <c r="M121" s="74"/>
      <c r="N121" s="78" t="str">
        <f t="shared" si="22"/>
        <v/>
      </c>
      <c r="O121" s="57" t="str">
        <f t="shared" si="20"/>
        <v/>
      </c>
      <c r="P121" s="76" t="str">
        <f t="shared" ca="1" si="21"/>
        <v/>
      </c>
      <c r="Q121" s="8"/>
    </row>
    <row r="122" spans="1:17" ht="13">
      <c r="A122" s="3"/>
      <c r="B122" s="4"/>
      <c r="C122" s="4"/>
      <c r="D122" s="7"/>
      <c r="E122" s="7"/>
      <c r="F122" s="7"/>
      <c r="G122" s="7"/>
      <c r="H122" s="7"/>
      <c r="I122" s="2"/>
      <c r="J122" s="8"/>
      <c r="K122" s="5"/>
      <c r="L122" s="8"/>
      <c r="M122" s="74"/>
      <c r="N122" s="78" t="str">
        <f t="shared" si="22"/>
        <v/>
      </c>
      <c r="O122" s="57" t="str">
        <f t="shared" si="20"/>
        <v/>
      </c>
      <c r="P122" s="76" t="str">
        <f t="shared" ca="1" si="21"/>
        <v/>
      </c>
      <c r="Q122" s="8"/>
    </row>
    <row r="123" spans="1:17" ht="13">
      <c r="A123" s="3"/>
      <c r="B123" s="4"/>
      <c r="C123" s="4"/>
      <c r="D123" s="7"/>
      <c r="E123" s="7"/>
      <c r="F123" s="7"/>
      <c r="G123" s="7"/>
      <c r="H123" s="7"/>
      <c r="I123" s="2"/>
      <c r="J123" s="8"/>
      <c r="K123" s="5"/>
      <c r="L123" s="8"/>
      <c r="M123" s="74"/>
      <c r="N123" s="78" t="str">
        <f t="shared" si="22"/>
        <v/>
      </c>
      <c r="O123" s="57" t="str">
        <f t="shared" si="20"/>
        <v/>
      </c>
      <c r="P123" s="76" t="str">
        <f t="shared" ca="1" si="21"/>
        <v/>
      </c>
      <c r="Q123" s="8"/>
    </row>
    <row r="124" spans="1:17" ht="13">
      <c r="A124" s="3"/>
      <c r="B124" s="4"/>
      <c r="C124" s="4"/>
      <c r="D124" s="7"/>
      <c r="E124" s="7"/>
      <c r="F124" s="7"/>
      <c r="G124" s="7"/>
      <c r="H124" s="7"/>
      <c r="I124" s="2"/>
      <c r="J124" s="8"/>
      <c r="K124" s="5"/>
      <c r="L124" s="8"/>
      <c r="M124" s="74"/>
      <c r="N124" s="78" t="str">
        <f t="shared" si="22"/>
        <v/>
      </c>
      <c r="O124" s="57" t="str">
        <f t="shared" si="20"/>
        <v/>
      </c>
      <c r="P124" s="76" t="str">
        <f t="shared" ca="1" si="21"/>
        <v/>
      </c>
      <c r="Q124" s="8"/>
    </row>
    <row r="125" spans="1:17" ht="13">
      <c r="A125" s="3"/>
      <c r="B125" s="4"/>
      <c r="C125" s="4"/>
      <c r="D125" s="7"/>
      <c r="E125" s="7"/>
      <c r="F125" s="7"/>
      <c r="G125" s="7"/>
      <c r="H125" s="7"/>
      <c r="I125" s="2"/>
      <c r="J125" s="8"/>
      <c r="K125" s="5"/>
      <c r="L125" s="8"/>
      <c r="M125" s="74"/>
      <c r="N125" s="78" t="str">
        <f t="shared" si="22"/>
        <v/>
      </c>
      <c r="O125" s="57" t="str">
        <f t="shared" si="20"/>
        <v/>
      </c>
      <c r="P125" s="76" t="str">
        <f t="shared" ca="1" si="21"/>
        <v/>
      </c>
      <c r="Q125" s="8"/>
    </row>
    <row r="126" spans="1:17" ht="13">
      <c r="A126" s="3"/>
      <c r="B126" s="4"/>
      <c r="C126" s="4"/>
      <c r="D126" s="7"/>
      <c r="E126" s="7"/>
      <c r="F126" s="7"/>
      <c r="G126" s="7"/>
      <c r="H126" s="7"/>
      <c r="I126" s="2"/>
      <c r="J126" s="8"/>
      <c r="K126" s="5"/>
      <c r="L126" s="8"/>
      <c r="M126" s="74"/>
      <c r="N126" s="78" t="str">
        <f t="shared" si="22"/>
        <v/>
      </c>
      <c r="O126" s="57" t="str">
        <f t="shared" si="20"/>
        <v/>
      </c>
      <c r="P126" s="76" t="str">
        <f t="shared" ca="1" si="21"/>
        <v/>
      </c>
      <c r="Q126" s="8"/>
    </row>
    <row r="127" spans="1:17" ht="13">
      <c r="A127" s="3"/>
      <c r="B127" s="4"/>
      <c r="C127" s="4"/>
      <c r="D127" s="7"/>
      <c r="E127" s="7"/>
      <c r="F127" s="7"/>
      <c r="G127" s="7"/>
      <c r="H127" s="7"/>
      <c r="I127" s="2"/>
      <c r="J127" s="8"/>
      <c r="K127" s="5"/>
      <c r="L127" s="8"/>
      <c r="M127" s="74"/>
      <c r="N127" s="78" t="str">
        <f t="shared" si="22"/>
        <v/>
      </c>
      <c r="O127" s="57" t="str">
        <f t="shared" si="20"/>
        <v/>
      </c>
      <c r="P127" s="76" t="str">
        <f t="shared" ca="1" si="21"/>
        <v/>
      </c>
      <c r="Q127" s="8"/>
    </row>
    <row r="128" spans="1:17" ht="13">
      <c r="A128" s="3"/>
      <c r="B128" s="4"/>
      <c r="C128" s="4"/>
      <c r="D128" s="7"/>
      <c r="E128" s="7"/>
      <c r="F128" s="7"/>
      <c r="G128" s="7"/>
      <c r="H128" s="7"/>
      <c r="I128" s="2"/>
      <c r="J128" s="8"/>
      <c r="K128" s="5"/>
      <c r="L128" s="8"/>
      <c r="M128" s="74"/>
      <c r="N128" s="78" t="str">
        <f t="shared" si="22"/>
        <v/>
      </c>
      <c r="O128" s="57" t="str">
        <f t="shared" si="20"/>
        <v/>
      </c>
      <c r="P128" s="76" t="str">
        <f t="shared" ca="1" si="21"/>
        <v/>
      </c>
      <c r="Q128" s="8"/>
    </row>
    <row r="129" spans="1:17" ht="13">
      <c r="A129" s="3"/>
      <c r="B129" s="4"/>
      <c r="C129" s="4"/>
      <c r="D129" s="7"/>
      <c r="E129" s="7"/>
      <c r="F129" s="7"/>
      <c r="G129" s="7"/>
      <c r="H129" s="7"/>
      <c r="I129" s="2"/>
      <c r="J129" s="8"/>
      <c r="K129" s="5"/>
      <c r="L129" s="8"/>
      <c r="M129" s="74"/>
      <c r="N129" s="78" t="str">
        <f t="shared" si="22"/>
        <v/>
      </c>
      <c r="O129" s="57" t="str">
        <f t="shared" si="20"/>
        <v/>
      </c>
      <c r="P129" s="76" t="str">
        <f t="shared" ca="1" si="21"/>
        <v/>
      </c>
      <c r="Q129" s="8"/>
    </row>
    <row r="130" spans="1:17" ht="13">
      <c r="A130" s="3"/>
      <c r="B130" s="4"/>
      <c r="C130" s="4"/>
      <c r="D130" s="7"/>
      <c r="E130" s="7"/>
      <c r="F130" s="7"/>
      <c r="G130" s="7"/>
      <c r="H130" s="7"/>
      <c r="I130" s="2"/>
      <c r="J130" s="8"/>
      <c r="K130" s="5"/>
      <c r="L130" s="8"/>
      <c r="M130" s="74"/>
      <c r="N130" s="78" t="str">
        <f t="shared" si="22"/>
        <v/>
      </c>
      <c r="O130" s="57" t="str">
        <f t="shared" ref="O130:O161" si="23">IF(OR(A130="",L130=""),"",A130+L130)</f>
        <v/>
      </c>
      <c r="P130" s="76" t="str">
        <f t="shared" ref="P130:P161" ca="1" si="24">IF(O130="","",IF(O130-TODAY()=0,"Vence Hoje!",IF(O130-TODAY()&gt;=0,O130-TODAY()&amp;" Dia(s) para vencer","Prazo Vencido")))</f>
        <v/>
      </c>
      <c r="Q130" s="8"/>
    </row>
    <row r="131" spans="1:17" ht="13">
      <c r="A131" s="3"/>
      <c r="B131" s="4"/>
      <c r="C131" s="4"/>
      <c r="D131" s="7"/>
      <c r="E131" s="7"/>
      <c r="F131" s="7"/>
      <c r="G131" s="7"/>
      <c r="H131" s="7"/>
      <c r="I131" s="2"/>
      <c r="J131" s="8"/>
      <c r="K131" s="5"/>
      <c r="L131" s="8"/>
      <c r="M131" s="74"/>
      <c r="N131" s="78" t="str">
        <f t="shared" si="22"/>
        <v/>
      </c>
      <c r="O131" s="57" t="str">
        <f t="shared" si="23"/>
        <v/>
      </c>
      <c r="P131" s="76" t="str">
        <f t="shared" ca="1" si="24"/>
        <v/>
      </c>
      <c r="Q131" s="8"/>
    </row>
    <row r="132" spans="1:17" ht="13">
      <c r="A132" s="3"/>
      <c r="B132" s="4"/>
      <c r="C132" s="4"/>
      <c r="D132" s="7"/>
      <c r="E132" s="7"/>
      <c r="F132" s="7"/>
      <c r="G132" s="7"/>
      <c r="H132" s="7"/>
      <c r="I132" s="2"/>
      <c r="J132" s="8"/>
      <c r="K132" s="5"/>
      <c r="L132" s="8"/>
      <c r="M132" s="74"/>
      <c r="N132" s="78" t="str">
        <f t="shared" si="22"/>
        <v/>
      </c>
      <c r="O132" s="57" t="str">
        <f t="shared" si="23"/>
        <v/>
      </c>
      <c r="P132" s="76" t="str">
        <f t="shared" ca="1" si="24"/>
        <v/>
      </c>
      <c r="Q132" s="8"/>
    </row>
    <row r="133" spans="1:17" ht="13">
      <c r="A133" s="3"/>
      <c r="B133" s="4"/>
      <c r="C133" s="4"/>
      <c r="D133" s="7"/>
      <c r="E133" s="7"/>
      <c r="F133" s="7"/>
      <c r="G133" s="7"/>
      <c r="H133" s="7"/>
      <c r="I133" s="2"/>
      <c r="J133" s="8"/>
      <c r="K133" s="5"/>
      <c r="L133" s="8"/>
      <c r="M133" s="74"/>
      <c r="N133" s="78" t="str">
        <f t="shared" si="22"/>
        <v/>
      </c>
      <c r="O133" s="57" t="str">
        <f t="shared" si="23"/>
        <v/>
      </c>
      <c r="P133" s="76" t="str">
        <f t="shared" ca="1" si="24"/>
        <v/>
      </c>
      <c r="Q133" s="8"/>
    </row>
    <row r="134" spans="1:17" ht="13">
      <c r="A134" s="3"/>
      <c r="B134" s="4"/>
      <c r="C134" s="4"/>
      <c r="D134" s="7"/>
      <c r="E134" s="7"/>
      <c r="F134" s="7"/>
      <c r="G134" s="7"/>
      <c r="H134" s="7"/>
      <c r="I134" s="2"/>
      <c r="J134" s="8"/>
      <c r="K134" s="5"/>
      <c r="L134" s="8"/>
      <c r="M134" s="74"/>
      <c r="N134" s="78" t="str">
        <f t="shared" si="22"/>
        <v/>
      </c>
      <c r="O134" s="57" t="str">
        <f t="shared" si="23"/>
        <v/>
      </c>
      <c r="P134" s="76" t="str">
        <f t="shared" ca="1" si="24"/>
        <v/>
      </c>
      <c r="Q134" s="8"/>
    </row>
    <row r="135" spans="1:17" ht="13">
      <c r="A135" s="3"/>
      <c r="B135" s="4"/>
      <c r="C135" s="4"/>
      <c r="D135" s="7"/>
      <c r="E135" s="7"/>
      <c r="F135" s="7"/>
      <c r="G135" s="7"/>
      <c r="H135" s="7"/>
      <c r="I135" s="2"/>
      <c r="J135" s="8"/>
      <c r="K135" s="5"/>
      <c r="L135" s="8"/>
      <c r="M135" s="74"/>
      <c r="N135" s="78" t="str">
        <f t="shared" si="22"/>
        <v/>
      </c>
      <c r="O135" s="57" t="str">
        <f t="shared" si="23"/>
        <v/>
      </c>
      <c r="P135" s="76" t="str">
        <f t="shared" ca="1" si="24"/>
        <v/>
      </c>
      <c r="Q135" s="8"/>
    </row>
    <row r="136" spans="1:17" ht="13">
      <c r="A136" s="3"/>
      <c r="B136" s="4"/>
      <c r="C136" s="4"/>
      <c r="D136" s="7"/>
      <c r="E136" s="7"/>
      <c r="F136" s="7"/>
      <c r="G136" s="7"/>
      <c r="H136" s="7"/>
      <c r="I136" s="2"/>
      <c r="J136" s="8"/>
      <c r="K136" s="5"/>
      <c r="L136" s="8"/>
      <c r="M136" s="74"/>
      <c r="N136" s="78" t="str">
        <f t="shared" si="22"/>
        <v/>
      </c>
      <c r="O136" s="57" t="str">
        <f t="shared" si="23"/>
        <v/>
      </c>
      <c r="P136" s="76" t="str">
        <f t="shared" ca="1" si="24"/>
        <v/>
      </c>
      <c r="Q136" s="8"/>
    </row>
    <row r="137" spans="1:17" ht="13">
      <c r="A137" s="3"/>
      <c r="B137" s="4"/>
      <c r="C137" s="4"/>
      <c r="D137" s="7"/>
      <c r="E137" s="7"/>
      <c r="F137" s="7"/>
      <c r="G137" s="7"/>
      <c r="H137" s="7"/>
      <c r="I137" s="2"/>
      <c r="J137" s="8"/>
      <c r="K137" s="5"/>
      <c r="L137" s="8"/>
      <c r="M137" s="74"/>
      <c r="N137" s="78" t="str">
        <f t="shared" si="22"/>
        <v/>
      </c>
      <c r="O137" s="57" t="str">
        <f t="shared" si="23"/>
        <v/>
      </c>
      <c r="P137" s="76" t="str">
        <f t="shared" ca="1" si="24"/>
        <v/>
      </c>
      <c r="Q137" s="8"/>
    </row>
    <row r="138" spans="1:17" ht="13">
      <c r="A138" s="3"/>
      <c r="B138" s="4"/>
      <c r="C138" s="4"/>
      <c r="D138" s="7"/>
      <c r="E138" s="7"/>
      <c r="F138" s="7"/>
      <c r="G138" s="7"/>
      <c r="H138" s="7"/>
      <c r="I138" s="2"/>
      <c r="J138" s="8"/>
      <c r="K138" s="5"/>
      <c r="L138" s="8"/>
      <c r="M138" s="74"/>
      <c r="N138" s="78" t="str">
        <f t="shared" si="22"/>
        <v/>
      </c>
      <c r="O138" s="57" t="str">
        <f t="shared" si="23"/>
        <v/>
      </c>
      <c r="P138" s="76" t="str">
        <f t="shared" ca="1" si="24"/>
        <v/>
      </c>
      <c r="Q138" s="8"/>
    </row>
    <row r="139" spans="1:17" ht="13">
      <c r="A139" s="3"/>
      <c r="B139" s="4"/>
      <c r="C139" s="4"/>
      <c r="D139" s="7"/>
      <c r="E139" s="7"/>
      <c r="F139" s="7"/>
      <c r="G139" s="7"/>
      <c r="H139" s="7"/>
      <c r="I139" s="2"/>
      <c r="J139" s="8"/>
      <c r="K139" s="5"/>
      <c r="L139" s="8"/>
      <c r="M139" s="74"/>
      <c r="N139" s="78" t="str">
        <f t="shared" si="22"/>
        <v/>
      </c>
      <c r="O139" s="57" t="str">
        <f t="shared" si="23"/>
        <v/>
      </c>
      <c r="P139" s="76" t="str">
        <f t="shared" ca="1" si="24"/>
        <v/>
      </c>
      <c r="Q139" s="8"/>
    </row>
    <row r="140" spans="1:17" ht="13">
      <c r="A140" s="3"/>
      <c r="B140" s="4"/>
      <c r="C140" s="4"/>
      <c r="D140" s="7"/>
      <c r="E140" s="7"/>
      <c r="F140" s="7"/>
      <c r="G140" s="7"/>
      <c r="H140" s="7"/>
      <c r="I140" s="2"/>
      <c r="J140" s="8"/>
      <c r="K140" s="5"/>
      <c r="L140" s="8"/>
      <c r="M140" s="74"/>
      <c r="N140" s="78" t="str">
        <f t="shared" si="22"/>
        <v/>
      </c>
      <c r="O140" s="57" t="str">
        <f t="shared" si="23"/>
        <v/>
      </c>
      <c r="P140" s="76" t="str">
        <f t="shared" ca="1" si="24"/>
        <v/>
      </c>
      <c r="Q140" s="8"/>
    </row>
    <row r="141" spans="1:17" ht="13">
      <c r="A141" s="3"/>
      <c r="B141" s="4"/>
      <c r="C141" s="4"/>
      <c r="D141" s="7"/>
      <c r="E141" s="7"/>
      <c r="F141" s="7"/>
      <c r="G141" s="7"/>
      <c r="H141" s="7"/>
      <c r="I141" s="2"/>
      <c r="J141" s="8"/>
      <c r="K141" s="5"/>
      <c r="L141" s="8"/>
      <c r="M141" s="74"/>
      <c r="N141" s="78" t="str">
        <f t="shared" ref="N141:N172" si="25">IF(AND(A141="",K379=""),"",IF(Q141="","Em Andamento",IF(M141&lt;=O141,"Dentro do Prazo","Fora do Prazo")))</f>
        <v/>
      </c>
      <c r="O141" s="57" t="str">
        <f t="shared" si="23"/>
        <v/>
      </c>
      <c r="P141" s="76" t="str">
        <f t="shared" ca="1" si="24"/>
        <v/>
      </c>
      <c r="Q141" s="8"/>
    </row>
    <row r="142" spans="1:17" ht="13">
      <c r="A142" s="3"/>
      <c r="B142" s="4"/>
      <c r="C142" s="4"/>
      <c r="D142" s="7"/>
      <c r="E142" s="7"/>
      <c r="F142" s="7"/>
      <c r="G142" s="7"/>
      <c r="H142" s="7"/>
      <c r="I142" s="2"/>
      <c r="J142" s="8"/>
      <c r="K142" s="5"/>
      <c r="L142" s="8"/>
      <c r="M142" s="74"/>
      <c r="N142" s="78" t="str">
        <f t="shared" si="25"/>
        <v/>
      </c>
      <c r="O142" s="57" t="str">
        <f t="shared" si="23"/>
        <v/>
      </c>
      <c r="P142" s="76" t="str">
        <f t="shared" ca="1" si="24"/>
        <v/>
      </c>
      <c r="Q142" s="8"/>
    </row>
    <row r="143" spans="1:17" ht="13">
      <c r="A143" s="3"/>
      <c r="B143" s="4"/>
      <c r="C143" s="4"/>
      <c r="D143" s="7"/>
      <c r="E143" s="7"/>
      <c r="F143" s="7"/>
      <c r="G143" s="7"/>
      <c r="H143" s="7"/>
      <c r="I143" s="2"/>
      <c r="J143" s="8"/>
      <c r="K143" s="5"/>
      <c r="L143" s="8"/>
      <c r="M143" s="74"/>
      <c r="N143" s="78" t="str">
        <f t="shared" si="25"/>
        <v/>
      </c>
      <c r="O143" s="57" t="str">
        <f t="shared" si="23"/>
        <v/>
      </c>
      <c r="P143" s="76" t="str">
        <f t="shared" ca="1" si="24"/>
        <v/>
      </c>
      <c r="Q143" s="8"/>
    </row>
    <row r="144" spans="1:17" ht="13">
      <c r="A144" s="3"/>
      <c r="B144" s="4"/>
      <c r="C144" s="4"/>
      <c r="D144" s="7"/>
      <c r="E144" s="7"/>
      <c r="F144" s="7"/>
      <c r="G144" s="7"/>
      <c r="H144" s="7"/>
      <c r="I144" s="2"/>
      <c r="J144" s="8"/>
      <c r="K144" s="5"/>
      <c r="L144" s="8"/>
      <c r="M144" s="74"/>
      <c r="N144" s="78" t="str">
        <f t="shared" si="25"/>
        <v/>
      </c>
      <c r="O144" s="57" t="str">
        <f t="shared" si="23"/>
        <v/>
      </c>
      <c r="P144" s="76" t="str">
        <f t="shared" ca="1" si="24"/>
        <v/>
      </c>
      <c r="Q144" s="8"/>
    </row>
    <row r="145" spans="1:17" ht="13">
      <c r="A145" s="3"/>
      <c r="B145" s="4"/>
      <c r="C145" s="4"/>
      <c r="D145" s="7"/>
      <c r="E145" s="7"/>
      <c r="F145" s="7"/>
      <c r="G145" s="7"/>
      <c r="H145" s="7"/>
      <c r="I145" s="2"/>
      <c r="J145" s="8"/>
      <c r="K145" s="5"/>
      <c r="L145" s="8"/>
      <c r="M145" s="74"/>
      <c r="N145" s="78" t="str">
        <f t="shared" si="25"/>
        <v/>
      </c>
      <c r="O145" s="57" t="str">
        <f t="shared" si="23"/>
        <v/>
      </c>
      <c r="P145" s="76" t="str">
        <f t="shared" ca="1" si="24"/>
        <v/>
      </c>
      <c r="Q145" s="8"/>
    </row>
    <row r="146" spans="1:17" ht="13">
      <c r="A146" s="3"/>
      <c r="B146" s="4"/>
      <c r="C146" s="4"/>
      <c r="D146" s="7"/>
      <c r="E146" s="7"/>
      <c r="F146" s="7"/>
      <c r="G146" s="7"/>
      <c r="H146" s="7"/>
      <c r="I146" s="2"/>
      <c r="J146" s="8"/>
      <c r="K146" s="5"/>
      <c r="L146" s="8"/>
      <c r="M146" s="74"/>
      <c r="N146" s="78" t="str">
        <f t="shared" si="25"/>
        <v/>
      </c>
      <c r="O146" s="57" t="str">
        <f t="shared" si="23"/>
        <v/>
      </c>
      <c r="P146" s="76" t="str">
        <f t="shared" ca="1" si="24"/>
        <v/>
      </c>
      <c r="Q146" s="8"/>
    </row>
    <row r="147" spans="1:17" ht="13">
      <c r="A147" s="3"/>
      <c r="B147" s="4"/>
      <c r="C147" s="4"/>
      <c r="D147" s="7"/>
      <c r="E147" s="7"/>
      <c r="F147" s="7"/>
      <c r="G147" s="7"/>
      <c r="H147" s="7"/>
      <c r="I147" s="2"/>
      <c r="J147" s="8"/>
      <c r="K147" s="5"/>
      <c r="L147" s="8"/>
      <c r="M147" s="74"/>
      <c r="N147" s="78" t="str">
        <f t="shared" si="25"/>
        <v/>
      </c>
      <c r="O147" s="57" t="str">
        <f t="shared" si="23"/>
        <v/>
      </c>
      <c r="P147" s="76" t="str">
        <f t="shared" ca="1" si="24"/>
        <v/>
      </c>
      <c r="Q147" s="8"/>
    </row>
    <row r="148" spans="1:17" ht="13">
      <c r="A148" s="3"/>
      <c r="B148" s="4"/>
      <c r="C148" s="4"/>
      <c r="D148" s="7"/>
      <c r="E148" s="7"/>
      <c r="F148" s="7"/>
      <c r="G148" s="7"/>
      <c r="H148" s="7"/>
      <c r="I148" s="2"/>
      <c r="J148" s="8"/>
      <c r="K148" s="5"/>
      <c r="L148" s="8"/>
      <c r="M148" s="74"/>
      <c r="N148" s="78" t="str">
        <f t="shared" si="25"/>
        <v/>
      </c>
      <c r="O148" s="57" t="str">
        <f t="shared" si="23"/>
        <v/>
      </c>
      <c r="P148" s="76" t="str">
        <f t="shared" ca="1" si="24"/>
        <v/>
      </c>
      <c r="Q148" s="8"/>
    </row>
    <row r="149" spans="1:17" ht="13">
      <c r="A149" s="3"/>
      <c r="B149" s="4"/>
      <c r="C149" s="4"/>
      <c r="D149" s="7"/>
      <c r="E149" s="7"/>
      <c r="F149" s="7"/>
      <c r="G149" s="7"/>
      <c r="H149" s="7"/>
      <c r="I149" s="2"/>
      <c r="J149" s="8"/>
      <c r="K149" s="5"/>
      <c r="L149" s="8"/>
      <c r="M149" s="74"/>
      <c r="N149" s="78" t="str">
        <f t="shared" si="25"/>
        <v/>
      </c>
      <c r="O149" s="57" t="str">
        <f t="shared" si="23"/>
        <v/>
      </c>
      <c r="P149" s="76" t="str">
        <f t="shared" ca="1" si="24"/>
        <v/>
      </c>
      <c r="Q149" s="8"/>
    </row>
    <row r="150" spans="1:17" ht="13">
      <c r="A150" s="3"/>
      <c r="B150" s="4"/>
      <c r="C150" s="4"/>
      <c r="D150" s="7"/>
      <c r="E150" s="7"/>
      <c r="F150" s="7"/>
      <c r="G150" s="7"/>
      <c r="H150" s="7"/>
      <c r="I150" s="2"/>
      <c r="J150" s="8"/>
      <c r="K150" s="5"/>
      <c r="L150" s="8"/>
      <c r="M150" s="74"/>
      <c r="N150" s="78" t="str">
        <f t="shared" si="25"/>
        <v/>
      </c>
      <c r="O150" s="57" t="str">
        <f t="shared" si="23"/>
        <v/>
      </c>
      <c r="P150" s="76" t="str">
        <f t="shared" ca="1" si="24"/>
        <v/>
      </c>
      <c r="Q150" s="8"/>
    </row>
    <row r="151" spans="1:17" ht="13">
      <c r="A151" s="3"/>
      <c r="B151" s="4"/>
      <c r="C151" s="4"/>
      <c r="D151" s="7"/>
      <c r="E151" s="7"/>
      <c r="F151" s="7"/>
      <c r="G151" s="7"/>
      <c r="H151" s="7"/>
      <c r="I151" s="2"/>
      <c r="J151" s="8"/>
      <c r="K151" s="5"/>
      <c r="L151" s="8"/>
      <c r="M151" s="74"/>
      <c r="N151" s="78" t="str">
        <f t="shared" si="25"/>
        <v/>
      </c>
      <c r="O151" s="57" t="str">
        <f t="shared" si="23"/>
        <v/>
      </c>
      <c r="P151" s="76" t="str">
        <f t="shared" ca="1" si="24"/>
        <v/>
      </c>
      <c r="Q151" s="8"/>
    </row>
    <row r="152" spans="1:17" ht="13">
      <c r="A152" s="3"/>
      <c r="B152" s="4"/>
      <c r="C152" s="4"/>
      <c r="D152" s="7"/>
      <c r="E152" s="7"/>
      <c r="F152" s="7"/>
      <c r="G152" s="7"/>
      <c r="H152" s="7"/>
      <c r="I152" s="2"/>
      <c r="J152" s="8"/>
      <c r="K152" s="5"/>
      <c r="L152" s="8"/>
      <c r="M152" s="74"/>
      <c r="N152" s="78" t="str">
        <f t="shared" si="25"/>
        <v/>
      </c>
      <c r="O152" s="57" t="str">
        <f t="shared" si="23"/>
        <v/>
      </c>
      <c r="P152" s="76" t="str">
        <f t="shared" ca="1" si="24"/>
        <v/>
      </c>
      <c r="Q152" s="8"/>
    </row>
    <row r="153" spans="1:17" ht="13">
      <c r="A153" s="3"/>
      <c r="B153" s="4"/>
      <c r="C153" s="4"/>
      <c r="D153" s="7"/>
      <c r="E153" s="7"/>
      <c r="F153" s="7"/>
      <c r="G153" s="7"/>
      <c r="H153" s="7"/>
      <c r="I153" s="2"/>
      <c r="J153" s="8"/>
      <c r="K153" s="5"/>
      <c r="L153" s="8"/>
      <c r="M153" s="74"/>
      <c r="N153" s="78" t="str">
        <f t="shared" si="25"/>
        <v/>
      </c>
      <c r="O153" s="57" t="str">
        <f t="shared" si="23"/>
        <v/>
      </c>
      <c r="P153" s="76" t="str">
        <f t="shared" ca="1" si="24"/>
        <v/>
      </c>
      <c r="Q153" s="8"/>
    </row>
    <row r="154" spans="1:17" ht="13">
      <c r="A154" s="3"/>
      <c r="B154" s="4"/>
      <c r="C154" s="4"/>
      <c r="D154" s="7"/>
      <c r="E154" s="7"/>
      <c r="F154" s="7"/>
      <c r="G154" s="7"/>
      <c r="H154" s="7"/>
      <c r="I154" s="2"/>
      <c r="J154" s="8"/>
      <c r="K154" s="5"/>
      <c r="L154" s="8"/>
      <c r="M154" s="74"/>
      <c r="N154" s="78" t="str">
        <f t="shared" si="25"/>
        <v/>
      </c>
      <c r="O154" s="57" t="str">
        <f t="shared" si="23"/>
        <v/>
      </c>
      <c r="P154" s="76" t="str">
        <f t="shared" ca="1" si="24"/>
        <v/>
      </c>
      <c r="Q154" s="8"/>
    </row>
    <row r="155" spans="1:17" ht="13">
      <c r="A155" s="3"/>
      <c r="B155" s="4"/>
      <c r="C155" s="4"/>
      <c r="D155" s="7"/>
      <c r="E155" s="7"/>
      <c r="F155" s="7"/>
      <c r="G155" s="7"/>
      <c r="H155" s="7"/>
      <c r="I155" s="2"/>
      <c r="J155" s="8"/>
      <c r="K155" s="5"/>
      <c r="L155" s="8"/>
      <c r="M155" s="74"/>
      <c r="N155" s="78" t="str">
        <f t="shared" si="25"/>
        <v/>
      </c>
      <c r="O155" s="57" t="str">
        <f t="shared" si="23"/>
        <v/>
      </c>
      <c r="P155" s="76" t="str">
        <f t="shared" ca="1" si="24"/>
        <v/>
      </c>
      <c r="Q155" s="8"/>
    </row>
    <row r="156" spans="1:17" ht="13">
      <c r="A156" s="3"/>
      <c r="B156" s="4"/>
      <c r="C156" s="4"/>
      <c r="D156" s="7"/>
      <c r="E156" s="7"/>
      <c r="F156" s="7"/>
      <c r="G156" s="7"/>
      <c r="H156" s="7"/>
      <c r="I156" s="2"/>
      <c r="J156" s="8"/>
      <c r="K156" s="5"/>
      <c r="L156" s="8"/>
      <c r="M156" s="74"/>
      <c r="N156" s="78" t="str">
        <f t="shared" si="25"/>
        <v/>
      </c>
      <c r="O156" s="57" t="str">
        <f t="shared" si="23"/>
        <v/>
      </c>
      <c r="P156" s="76" t="str">
        <f t="shared" ca="1" si="24"/>
        <v/>
      </c>
      <c r="Q156" s="8"/>
    </row>
    <row r="157" spans="1:17" ht="13">
      <c r="A157" s="3"/>
      <c r="B157" s="4"/>
      <c r="C157" s="4"/>
      <c r="D157" s="7"/>
      <c r="E157" s="7"/>
      <c r="F157" s="7"/>
      <c r="G157" s="7"/>
      <c r="H157" s="7"/>
      <c r="I157" s="2"/>
      <c r="J157" s="8"/>
      <c r="K157" s="5"/>
      <c r="L157" s="8"/>
      <c r="M157" s="74"/>
      <c r="N157" s="78" t="str">
        <f t="shared" si="25"/>
        <v/>
      </c>
      <c r="O157" s="57" t="str">
        <f t="shared" si="23"/>
        <v/>
      </c>
      <c r="P157" s="76" t="str">
        <f t="shared" ca="1" si="24"/>
        <v/>
      </c>
      <c r="Q157" s="8"/>
    </row>
    <row r="158" spans="1:17" ht="13">
      <c r="A158" s="3"/>
      <c r="B158" s="4"/>
      <c r="C158" s="4"/>
      <c r="D158" s="7"/>
      <c r="E158" s="7"/>
      <c r="F158" s="7"/>
      <c r="G158" s="7"/>
      <c r="H158" s="7"/>
      <c r="I158" s="2"/>
      <c r="J158" s="8"/>
      <c r="K158" s="5"/>
      <c r="L158" s="8"/>
      <c r="M158" s="74"/>
      <c r="N158" s="78" t="str">
        <f t="shared" si="25"/>
        <v/>
      </c>
      <c r="O158" s="57" t="str">
        <f t="shared" si="23"/>
        <v/>
      </c>
      <c r="P158" s="76" t="str">
        <f t="shared" ca="1" si="24"/>
        <v/>
      </c>
      <c r="Q158" s="8"/>
    </row>
    <row r="159" spans="1:17" ht="13">
      <c r="A159" s="3"/>
      <c r="B159" s="4"/>
      <c r="C159" s="4"/>
      <c r="D159" s="7"/>
      <c r="E159" s="7"/>
      <c r="F159" s="7"/>
      <c r="G159" s="7"/>
      <c r="H159" s="7"/>
      <c r="I159" s="2"/>
      <c r="J159" s="8"/>
      <c r="K159" s="5"/>
      <c r="L159" s="8"/>
      <c r="M159" s="74"/>
      <c r="N159" s="78" t="str">
        <f t="shared" si="25"/>
        <v/>
      </c>
      <c r="O159" s="57" t="str">
        <f t="shared" si="23"/>
        <v/>
      </c>
      <c r="P159" s="76" t="str">
        <f t="shared" ca="1" si="24"/>
        <v/>
      </c>
      <c r="Q159" s="8"/>
    </row>
    <row r="160" spans="1:17" ht="13">
      <c r="A160" s="3"/>
      <c r="B160" s="4"/>
      <c r="C160" s="4"/>
      <c r="D160" s="7"/>
      <c r="E160" s="7"/>
      <c r="F160" s="7"/>
      <c r="G160" s="7"/>
      <c r="H160" s="7"/>
      <c r="I160" s="2"/>
      <c r="J160" s="8"/>
      <c r="K160" s="5"/>
      <c r="L160" s="8"/>
      <c r="M160" s="74"/>
      <c r="N160" s="78" t="str">
        <f t="shared" si="25"/>
        <v/>
      </c>
      <c r="O160" s="57" t="str">
        <f t="shared" si="23"/>
        <v/>
      </c>
      <c r="P160" s="76" t="str">
        <f t="shared" ca="1" si="24"/>
        <v/>
      </c>
      <c r="Q160" s="8"/>
    </row>
    <row r="161" spans="1:17" ht="13">
      <c r="A161" s="3"/>
      <c r="B161" s="4"/>
      <c r="C161" s="4"/>
      <c r="D161" s="7"/>
      <c r="E161" s="7"/>
      <c r="F161" s="7"/>
      <c r="G161" s="7"/>
      <c r="H161" s="7"/>
      <c r="I161" s="2"/>
      <c r="J161" s="8"/>
      <c r="K161" s="5"/>
      <c r="L161" s="8"/>
      <c r="M161" s="74"/>
      <c r="N161" s="78" t="str">
        <f t="shared" si="25"/>
        <v/>
      </c>
      <c r="O161" s="57" t="str">
        <f t="shared" si="23"/>
        <v/>
      </c>
      <c r="P161" s="76" t="str">
        <f t="shared" ca="1" si="24"/>
        <v/>
      </c>
      <c r="Q161" s="8"/>
    </row>
    <row r="162" spans="1:17" ht="13">
      <c r="A162" s="3"/>
      <c r="B162" s="4"/>
      <c r="C162" s="4"/>
      <c r="D162" s="7"/>
      <c r="E162" s="7"/>
      <c r="F162" s="7"/>
      <c r="G162" s="7"/>
      <c r="H162" s="7"/>
      <c r="I162" s="2"/>
      <c r="J162" s="8"/>
      <c r="K162" s="5"/>
      <c r="L162" s="8"/>
      <c r="M162" s="74"/>
      <c r="N162" s="78" t="str">
        <f t="shared" si="25"/>
        <v/>
      </c>
      <c r="O162" s="57" t="str">
        <f t="shared" ref="O162:O180" si="26">IF(OR(A162="",L162=""),"",A162+L162)</f>
        <v/>
      </c>
      <c r="P162" s="76" t="str">
        <f t="shared" ref="P162:P193" ca="1" si="27">IF(O162="","",IF(O162-TODAY()=0,"Vence Hoje!",IF(O162-TODAY()&gt;=0,O162-TODAY()&amp;" Dia(s) para vencer","Prazo Vencido")))</f>
        <v/>
      </c>
      <c r="Q162" s="8"/>
    </row>
    <row r="163" spans="1:17" ht="13">
      <c r="A163" s="3"/>
      <c r="B163" s="4"/>
      <c r="C163" s="4"/>
      <c r="D163" s="7"/>
      <c r="E163" s="7"/>
      <c r="F163" s="7"/>
      <c r="G163" s="7"/>
      <c r="H163" s="7"/>
      <c r="I163" s="2"/>
      <c r="J163" s="8"/>
      <c r="K163" s="5"/>
      <c r="L163" s="8"/>
      <c r="M163" s="74"/>
      <c r="N163" s="78" t="str">
        <f t="shared" si="25"/>
        <v/>
      </c>
      <c r="O163" s="57" t="str">
        <f t="shared" si="26"/>
        <v/>
      </c>
      <c r="P163" s="76" t="str">
        <f t="shared" ca="1" si="27"/>
        <v/>
      </c>
      <c r="Q163" s="8"/>
    </row>
    <row r="164" spans="1:17" ht="13">
      <c r="A164" s="3"/>
      <c r="B164" s="4"/>
      <c r="C164" s="4"/>
      <c r="D164" s="7"/>
      <c r="E164" s="7"/>
      <c r="F164" s="7"/>
      <c r="G164" s="7"/>
      <c r="H164" s="7"/>
      <c r="I164" s="2"/>
      <c r="J164" s="8"/>
      <c r="K164" s="5"/>
      <c r="L164" s="8"/>
      <c r="M164" s="74"/>
      <c r="N164" s="78" t="str">
        <f t="shared" si="25"/>
        <v/>
      </c>
      <c r="O164" s="57" t="str">
        <f t="shared" si="26"/>
        <v/>
      </c>
      <c r="P164" s="76" t="str">
        <f t="shared" ca="1" si="27"/>
        <v/>
      </c>
      <c r="Q164" s="8"/>
    </row>
    <row r="165" spans="1:17" ht="13">
      <c r="A165" s="3"/>
      <c r="B165" s="4"/>
      <c r="C165" s="4"/>
      <c r="D165" s="7"/>
      <c r="E165" s="7"/>
      <c r="F165" s="7"/>
      <c r="G165" s="7"/>
      <c r="H165" s="7"/>
      <c r="I165" s="2"/>
      <c r="J165" s="8"/>
      <c r="K165" s="5"/>
      <c r="L165" s="8"/>
      <c r="M165" s="74"/>
      <c r="N165" s="78" t="str">
        <f t="shared" si="25"/>
        <v/>
      </c>
      <c r="O165" s="57" t="str">
        <f t="shared" si="26"/>
        <v/>
      </c>
      <c r="P165" s="76" t="str">
        <f t="shared" ca="1" si="27"/>
        <v/>
      </c>
      <c r="Q165" s="8"/>
    </row>
    <row r="166" spans="1:17" ht="13">
      <c r="A166" s="3"/>
      <c r="B166" s="4"/>
      <c r="C166" s="4"/>
      <c r="D166" s="7"/>
      <c r="E166" s="7"/>
      <c r="F166" s="7"/>
      <c r="G166" s="7"/>
      <c r="H166" s="7"/>
      <c r="I166" s="2"/>
      <c r="J166" s="8"/>
      <c r="K166" s="5"/>
      <c r="L166" s="8"/>
      <c r="M166" s="74"/>
      <c r="N166" s="78" t="str">
        <f t="shared" si="25"/>
        <v/>
      </c>
      <c r="O166" s="57" t="str">
        <f t="shared" si="26"/>
        <v/>
      </c>
      <c r="P166" s="76" t="str">
        <f t="shared" ca="1" si="27"/>
        <v/>
      </c>
      <c r="Q166" s="8"/>
    </row>
    <row r="167" spans="1:17" ht="13">
      <c r="A167" s="3"/>
      <c r="B167" s="4"/>
      <c r="C167" s="4"/>
      <c r="D167" s="7"/>
      <c r="E167" s="7"/>
      <c r="F167" s="7"/>
      <c r="G167" s="7"/>
      <c r="H167" s="7"/>
      <c r="I167" s="2"/>
      <c r="J167" s="8"/>
      <c r="K167" s="5"/>
      <c r="L167" s="8"/>
      <c r="M167" s="74"/>
      <c r="N167" s="78" t="str">
        <f t="shared" si="25"/>
        <v/>
      </c>
      <c r="O167" s="57" t="str">
        <f t="shared" si="26"/>
        <v/>
      </c>
      <c r="P167" s="76" t="str">
        <f t="shared" ca="1" si="27"/>
        <v/>
      </c>
      <c r="Q167" s="8"/>
    </row>
    <row r="168" spans="1:17" ht="13">
      <c r="A168" s="3"/>
      <c r="B168" s="4"/>
      <c r="C168" s="4"/>
      <c r="D168" s="7"/>
      <c r="E168" s="7"/>
      <c r="F168" s="7"/>
      <c r="G168" s="7"/>
      <c r="H168" s="7"/>
      <c r="I168" s="2"/>
      <c r="J168" s="8"/>
      <c r="K168" s="5"/>
      <c r="L168" s="8"/>
      <c r="M168" s="74"/>
      <c r="N168" s="78" t="str">
        <f t="shared" si="25"/>
        <v/>
      </c>
      <c r="O168" s="57" t="str">
        <f t="shared" si="26"/>
        <v/>
      </c>
      <c r="P168" s="76" t="str">
        <f t="shared" ca="1" si="27"/>
        <v/>
      </c>
      <c r="Q168" s="8"/>
    </row>
    <row r="169" spans="1:17" ht="13">
      <c r="A169" s="3"/>
      <c r="B169" s="4"/>
      <c r="C169" s="4"/>
      <c r="D169" s="7"/>
      <c r="E169" s="7"/>
      <c r="F169" s="7"/>
      <c r="G169" s="7"/>
      <c r="H169" s="7"/>
      <c r="I169" s="2"/>
      <c r="J169" s="8"/>
      <c r="K169" s="5"/>
      <c r="L169" s="8"/>
      <c r="M169" s="74"/>
      <c r="N169" s="78" t="str">
        <f t="shared" si="25"/>
        <v/>
      </c>
      <c r="O169" s="57" t="str">
        <f t="shared" si="26"/>
        <v/>
      </c>
      <c r="P169" s="76" t="str">
        <f t="shared" ca="1" si="27"/>
        <v/>
      </c>
      <c r="Q169" s="8"/>
    </row>
    <row r="170" spans="1:17" ht="13">
      <c r="A170" s="3"/>
      <c r="B170" s="4"/>
      <c r="C170" s="4"/>
      <c r="D170" s="7"/>
      <c r="E170" s="7"/>
      <c r="F170" s="7"/>
      <c r="G170" s="7"/>
      <c r="H170" s="7"/>
      <c r="I170" s="2"/>
      <c r="J170" s="8"/>
      <c r="K170" s="5"/>
      <c r="L170" s="8"/>
      <c r="M170" s="74"/>
      <c r="N170" s="78" t="str">
        <f t="shared" si="25"/>
        <v/>
      </c>
      <c r="O170" s="57" t="str">
        <f t="shared" si="26"/>
        <v/>
      </c>
      <c r="P170" s="76" t="str">
        <f t="shared" ca="1" si="27"/>
        <v/>
      </c>
      <c r="Q170" s="8"/>
    </row>
    <row r="171" spans="1:17" ht="13">
      <c r="A171" s="3"/>
      <c r="B171" s="4"/>
      <c r="C171" s="4"/>
      <c r="D171" s="7"/>
      <c r="E171" s="7"/>
      <c r="F171" s="7"/>
      <c r="G171" s="7"/>
      <c r="H171" s="7"/>
      <c r="I171" s="2"/>
      <c r="J171" s="8"/>
      <c r="K171" s="5"/>
      <c r="L171" s="8"/>
      <c r="M171" s="74"/>
      <c r="N171" s="78" t="str">
        <f t="shared" si="25"/>
        <v>Em Andamento</v>
      </c>
      <c r="O171" s="57" t="str">
        <f t="shared" si="26"/>
        <v/>
      </c>
      <c r="P171" s="76" t="str">
        <f t="shared" ca="1" si="27"/>
        <v/>
      </c>
      <c r="Q171" s="8"/>
    </row>
    <row r="172" spans="1:17" ht="13">
      <c r="A172" s="3"/>
      <c r="B172" s="4"/>
      <c r="C172" s="4"/>
      <c r="D172" s="7"/>
      <c r="E172" s="7"/>
      <c r="F172" s="7"/>
      <c r="G172" s="7"/>
      <c r="H172" s="7"/>
      <c r="I172" s="2"/>
      <c r="J172" s="8"/>
      <c r="K172" s="5"/>
      <c r="L172" s="8"/>
      <c r="M172" s="74"/>
      <c r="N172" s="78" t="str">
        <f t="shared" si="25"/>
        <v>Em Andamento</v>
      </c>
      <c r="O172" s="57" t="str">
        <f t="shared" si="26"/>
        <v/>
      </c>
      <c r="P172" s="76" t="str">
        <f t="shared" ca="1" si="27"/>
        <v/>
      </c>
      <c r="Q172" s="8"/>
    </row>
    <row r="173" spans="1:17" ht="13">
      <c r="A173" s="3"/>
      <c r="B173" s="4"/>
      <c r="C173" s="4"/>
      <c r="D173" s="7"/>
      <c r="E173" s="7"/>
      <c r="F173" s="7"/>
      <c r="G173" s="7"/>
      <c r="H173" s="7"/>
      <c r="I173" s="2"/>
      <c r="J173" s="8"/>
      <c r="K173" s="5"/>
      <c r="L173" s="8"/>
      <c r="M173" s="74"/>
      <c r="N173" s="78" t="str">
        <f t="shared" ref="N173:N204" si="28">IF(AND(A173="",K411=""),"",IF(Q173="","Em Andamento",IF(M173&lt;=O173,"Dentro do Prazo","Fora do Prazo")))</f>
        <v>Em Andamento</v>
      </c>
      <c r="O173" s="57" t="str">
        <f t="shared" si="26"/>
        <v/>
      </c>
      <c r="P173" s="76" t="str">
        <f t="shared" ca="1" si="27"/>
        <v/>
      </c>
      <c r="Q173" s="8"/>
    </row>
    <row r="174" spans="1:17" ht="13">
      <c r="A174" s="3"/>
      <c r="B174" s="4"/>
      <c r="C174" s="4"/>
      <c r="D174" s="7"/>
      <c r="E174" s="7"/>
      <c r="F174" s="7"/>
      <c r="G174" s="7"/>
      <c r="H174" s="7"/>
      <c r="I174" s="2"/>
      <c r="J174" s="8"/>
      <c r="K174" s="5"/>
      <c r="L174" s="8"/>
      <c r="M174" s="74"/>
      <c r="N174" s="78" t="str">
        <f t="shared" si="28"/>
        <v>Em Andamento</v>
      </c>
      <c r="O174" s="57" t="str">
        <f t="shared" si="26"/>
        <v/>
      </c>
      <c r="P174" s="76" t="str">
        <f t="shared" ca="1" si="27"/>
        <v/>
      </c>
      <c r="Q174" s="8"/>
    </row>
    <row r="175" spans="1:17" ht="13">
      <c r="A175" s="3"/>
      <c r="B175" s="4"/>
      <c r="C175" s="4"/>
      <c r="D175" s="7"/>
      <c r="E175" s="7"/>
      <c r="F175" s="7"/>
      <c r="G175" s="7"/>
      <c r="H175" s="7"/>
      <c r="I175" s="2"/>
      <c r="J175" s="8"/>
      <c r="K175" s="5"/>
      <c r="L175" s="8"/>
      <c r="M175" s="74"/>
      <c r="N175" s="78" t="str">
        <f t="shared" si="28"/>
        <v>Em Andamento</v>
      </c>
      <c r="O175" s="57" t="str">
        <f t="shared" si="26"/>
        <v/>
      </c>
      <c r="P175" s="76" t="str">
        <f t="shared" ca="1" si="27"/>
        <v/>
      </c>
      <c r="Q175" s="8"/>
    </row>
    <row r="176" spans="1:17" ht="13">
      <c r="A176" s="3"/>
      <c r="B176" s="4"/>
      <c r="C176" s="4"/>
      <c r="D176" s="7"/>
      <c r="E176" s="7"/>
      <c r="F176" s="7"/>
      <c r="G176" s="7"/>
      <c r="H176" s="7"/>
      <c r="I176" s="2"/>
      <c r="J176" s="8"/>
      <c r="K176" s="5"/>
      <c r="L176" s="8"/>
      <c r="M176" s="74"/>
      <c r="N176" s="78" t="str">
        <f t="shared" si="28"/>
        <v>Em Andamento</v>
      </c>
      <c r="O176" s="57" t="str">
        <f t="shared" si="26"/>
        <v/>
      </c>
      <c r="P176" s="76" t="str">
        <f t="shared" ca="1" si="27"/>
        <v/>
      </c>
      <c r="Q176" s="8"/>
    </row>
    <row r="177" spans="1:17" ht="13">
      <c r="A177" s="3"/>
      <c r="B177" s="4"/>
      <c r="C177" s="4"/>
      <c r="D177" s="7"/>
      <c r="E177" s="7"/>
      <c r="F177" s="7"/>
      <c r="G177" s="7"/>
      <c r="H177" s="7"/>
      <c r="I177" s="2"/>
      <c r="J177" s="8"/>
      <c r="K177" s="5"/>
      <c r="L177" s="8"/>
      <c r="M177" s="74"/>
      <c r="N177" s="78" t="str">
        <f t="shared" si="28"/>
        <v>Em Andamento</v>
      </c>
      <c r="O177" s="57" t="str">
        <f t="shared" si="26"/>
        <v/>
      </c>
      <c r="P177" s="76" t="str">
        <f t="shared" ca="1" si="27"/>
        <v/>
      </c>
      <c r="Q177" s="8"/>
    </row>
    <row r="178" spans="1:17" ht="13">
      <c r="A178" s="3"/>
      <c r="B178" s="4"/>
      <c r="C178" s="4"/>
      <c r="D178" s="7"/>
      <c r="E178" s="7"/>
      <c r="F178" s="7"/>
      <c r="G178" s="7"/>
      <c r="H178" s="7"/>
      <c r="I178" s="2"/>
      <c r="J178" s="8"/>
      <c r="K178" s="5"/>
      <c r="L178" s="8"/>
      <c r="M178" s="74"/>
      <c r="N178" s="78" t="str">
        <f t="shared" si="28"/>
        <v>Em Andamento</v>
      </c>
      <c r="O178" s="57" t="str">
        <f t="shared" si="26"/>
        <v/>
      </c>
      <c r="P178" s="76" t="str">
        <f t="shared" ca="1" si="27"/>
        <v/>
      </c>
      <c r="Q178" s="8"/>
    </row>
    <row r="179" spans="1:17" ht="13">
      <c r="A179" s="3"/>
      <c r="B179" s="4"/>
      <c r="C179" s="4"/>
      <c r="D179" s="7"/>
      <c r="E179" s="7"/>
      <c r="F179" s="7"/>
      <c r="G179" s="7"/>
      <c r="H179" s="7"/>
      <c r="I179" s="2"/>
      <c r="J179" s="8"/>
      <c r="K179" s="5"/>
      <c r="L179" s="8"/>
      <c r="M179" s="74"/>
      <c r="N179" s="78" t="str">
        <f t="shared" si="28"/>
        <v>Em Andamento</v>
      </c>
      <c r="O179" s="57" t="str">
        <f t="shared" si="26"/>
        <v/>
      </c>
      <c r="P179" s="76" t="str">
        <f t="shared" ca="1" si="27"/>
        <v/>
      </c>
      <c r="Q179" s="8"/>
    </row>
    <row r="180" spans="1:17" ht="13">
      <c r="A180" s="3"/>
      <c r="B180" s="4"/>
      <c r="C180" s="4"/>
      <c r="D180" s="7"/>
      <c r="E180" s="7"/>
      <c r="F180" s="7"/>
      <c r="G180" s="7"/>
      <c r="H180" s="7"/>
      <c r="I180" s="2"/>
      <c r="J180" s="8"/>
      <c r="K180" s="5"/>
      <c r="L180" s="8"/>
      <c r="M180" s="74"/>
      <c r="N180" s="78" t="str">
        <f t="shared" si="28"/>
        <v>Em Andamento</v>
      </c>
      <c r="O180" s="57" t="str">
        <f t="shared" si="26"/>
        <v/>
      </c>
      <c r="P180" s="76" t="str">
        <f t="shared" ca="1" si="27"/>
        <v/>
      </c>
      <c r="Q180" s="8"/>
    </row>
    <row r="181" spans="1:17" ht="13">
      <c r="A181" s="3"/>
      <c r="B181" s="4"/>
      <c r="C181" s="4"/>
      <c r="D181" s="7"/>
      <c r="E181" s="7"/>
      <c r="F181" s="7"/>
      <c r="G181" s="7"/>
      <c r="H181" s="7"/>
      <c r="I181" s="2"/>
      <c r="J181" s="8"/>
      <c r="K181" s="5"/>
      <c r="L181" s="8"/>
      <c r="M181" s="74"/>
      <c r="N181" s="78" t="str">
        <f t="shared" si="28"/>
        <v>Em Andamento</v>
      </c>
      <c r="O181" s="10"/>
      <c r="P181" s="76" t="str">
        <f t="shared" ca="1" si="27"/>
        <v/>
      </c>
      <c r="Q181" s="8"/>
    </row>
    <row r="182" spans="1:17" ht="13">
      <c r="A182" s="3"/>
      <c r="B182" s="4"/>
      <c r="C182" s="4"/>
      <c r="D182" s="7"/>
      <c r="E182" s="7"/>
      <c r="F182" s="7"/>
      <c r="G182" s="7"/>
      <c r="H182" s="7"/>
      <c r="I182" s="2"/>
      <c r="J182" s="8"/>
      <c r="K182" s="5"/>
      <c r="L182" s="8"/>
      <c r="M182" s="74"/>
      <c r="N182" s="78" t="str">
        <f t="shared" si="28"/>
        <v>Em Andamento</v>
      </c>
      <c r="O182" s="10"/>
      <c r="P182" s="76" t="str">
        <f t="shared" ca="1" si="27"/>
        <v/>
      </c>
      <c r="Q182" s="8"/>
    </row>
    <row r="183" spans="1:17" ht="13">
      <c r="A183" s="3"/>
      <c r="B183" s="4"/>
      <c r="C183" s="4"/>
      <c r="D183" s="7"/>
      <c r="E183" s="7"/>
      <c r="F183" s="7"/>
      <c r="G183" s="7"/>
      <c r="H183" s="7"/>
      <c r="I183" s="2"/>
      <c r="J183" s="8"/>
      <c r="K183" s="5"/>
      <c r="L183" s="8"/>
      <c r="M183" s="74"/>
      <c r="N183" s="78" t="str">
        <f t="shared" si="28"/>
        <v>Em Andamento</v>
      </c>
      <c r="O183" s="10"/>
      <c r="P183" s="76" t="str">
        <f t="shared" ca="1" si="27"/>
        <v/>
      </c>
      <c r="Q183" s="8"/>
    </row>
    <row r="184" spans="1:17" ht="13">
      <c r="A184" s="3"/>
      <c r="B184" s="4"/>
      <c r="C184" s="4"/>
      <c r="D184" s="7"/>
      <c r="E184" s="7"/>
      <c r="F184" s="7"/>
      <c r="G184" s="7"/>
      <c r="H184" s="7"/>
      <c r="I184" s="2"/>
      <c r="J184" s="8"/>
      <c r="K184" s="5"/>
      <c r="L184" s="8"/>
      <c r="M184" s="74"/>
      <c r="N184" s="78" t="str">
        <f t="shared" si="28"/>
        <v>Em Andamento</v>
      </c>
      <c r="O184" s="10"/>
      <c r="P184" s="76" t="str">
        <f t="shared" ca="1" si="27"/>
        <v/>
      </c>
      <c r="Q184" s="8"/>
    </row>
    <row r="185" spans="1:17" ht="13">
      <c r="A185" s="3"/>
      <c r="B185" s="4"/>
      <c r="C185" s="4"/>
      <c r="D185" s="7"/>
      <c r="E185" s="7"/>
      <c r="F185" s="7"/>
      <c r="G185" s="7"/>
      <c r="H185" s="7"/>
      <c r="I185" s="2"/>
      <c r="J185" s="8"/>
      <c r="K185" s="5"/>
      <c r="L185" s="8"/>
      <c r="M185" s="74"/>
      <c r="N185" s="78" t="str">
        <f t="shared" si="28"/>
        <v>Em Andamento</v>
      </c>
      <c r="O185" s="10"/>
      <c r="P185" s="76" t="str">
        <f t="shared" ca="1" si="27"/>
        <v/>
      </c>
      <c r="Q185" s="8"/>
    </row>
    <row r="186" spans="1:17" ht="13">
      <c r="A186" s="3"/>
      <c r="B186" s="4"/>
      <c r="C186" s="4"/>
      <c r="D186" s="7"/>
      <c r="E186" s="7"/>
      <c r="F186" s="7"/>
      <c r="G186" s="7"/>
      <c r="H186" s="7"/>
      <c r="I186" s="2"/>
      <c r="J186" s="8"/>
      <c r="K186" s="5"/>
      <c r="L186" s="8"/>
      <c r="M186" s="74"/>
      <c r="N186" s="78" t="str">
        <f t="shared" si="28"/>
        <v>Em Andamento</v>
      </c>
      <c r="O186" s="10"/>
      <c r="P186" s="76" t="str">
        <f t="shared" ca="1" si="27"/>
        <v/>
      </c>
      <c r="Q186" s="8"/>
    </row>
    <row r="187" spans="1:17" ht="13">
      <c r="A187" s="3"/>
      <c r="B187" s="4"/>
      <c r="C187" s="4"/>
      <c r="D187" s="7"/>
      <c r="E187" s="7"/>
      <c r="F187" s="7"/>
      <c r="G187" s="7"/>
      <c r="H187" s="7"/>
      <c r="I187" s="2"/>
      <c r="J187" s="8"/>
      <c r="K187" s="5"/>
      <c r="L187" s="8"/>
      <c r="M187" s="74"/>
      <c r="N187" s="78" t="str">
        <f t="shared" si="28"/>
        <v>Em Andamento</v>
      </c>
      <c r="O187" s="10"/>
      <c r="P187" s="76" t="str">
        <f t="shared" ca="1" si="27"/>
        <v/>
      </c>
      <c r="Q187" s="8"/>
    </row>
    <row r="188" spans="1:17" ht="13">
      <c r="A188" s="3"/>
      <c r="B188" s="4"/>
      <c r="C188" s="4"/>
      <c r="D188" s="7"/>
      <c r="E188" s="7"/>
      <c r="F188" s="7"/>
      <c r="G188" s="7"/>
      <c r="H188" s="7"/>
      <c r="I188" s="2"/>
      <c r="J188" s="8"/>
      <c r="K188" s="5"/>
      <c r="L188" s="8"/>
      <c r="M188" s="74"/>
      <c r="N188" s="78" t="str">
        <f t="shared" si="28"/>
        <v>Em Andamento</v>
      </c>
      <c r="O188" s="10"/>
      <c r="P188" s="76" t="str">
        <f t="shared" ca="1" si="27"/>
        <v/>
      </c>
      <c r="Q188" s="8"/>
    </row>
    <row r="189" spans="1:17" ht="13">
      <c r="A189" s="3"/>
      <c r="B189" s="4"/>
      <c r="C189" s="4"/>
      <c r="D189" s="7"/>
      <c r="E189" s="7"/>
      <c r="F189" s="7"/>
      <c r="G189" s="7"/>
      <c r="H189" s="7"/>
      <c r="I189" s="2"/>
      <c r="J189" s="8"/>
      <c r="K189" s="5"/>
      <c r="L189" s="8"/>
      <c r="M189" s="74"/>
      <c r="N189" s="78" t="str">
        <f t="shared" si="28"/>
        <v>Em Andamento</v>
      </c>
      <c r="O189" s="10"/>
      <c r="P189" s="76" t="str">
        <f t="shared" ca="1" si="27"/>
        <v/>
      </c>
      <c r="Q189" s="8"/>
    </row>
    <row r="190" spans="1:17" ht="13">
      <c r="A190" s="3"/>
      <c r="B190" s="4"/>
      <c r="C190" s="4"/>
      <c r="D190" s="7"/>
      <c r="E190" s="7"/>
      <c r="F190" s="7"/>
      <c r="G190" s="7"/>
      <c r="H190" s="7"/>
      <c r="I190" s="2"/>
      <c r="J190" s="8"/>
      <c r="K190" s="5"/>
      <c r="L190" s="8"/>
      <c r="M190" s="74"/>
      <c r="N190" s="78" t="str">
        <f t="shared" si="28"/>
        <v>Em Andamento</v>
      </c>
      <c r="O190" s="10"/>
      <c r="P190" s="76" t="str">
        <f t="shared" ca="1" si="27"/>
        <v/>
      </c>
      <c r="Q190" s="8"/>
    </row>
    <row r="191" spans="1:17" ht="13">
      <c r="A191" s="3"/>
      <c r="B191" s="4"/>
      <c r="C191" s="4"/>
      <c r="D191" s="7"/>
      <c r="E191" s="7"/>
      <c r="F191" s="7"/>
      <c r="G191" s="7"/>
      <c r="H191" s="7"/>
      <c r="I191" s="2"/>
      <c r="J191" s="8"/>
      <c r="K191" s="5"/>
      <c r="L191" s="8"/>
      <c r="M191" s="74"/>
      <c r="N191" s="78" t="str">
        <f t="shared" si="28"/>
        <v>Em Andamento</v>
      </c>
      <c r="O191" s="10"/>
      <c r="P191" s="76" t="str">
        <f t="shared" ca="1" si="27"/>
        <v/>
      </c>
      <c r="Q191" s="8"/>
    </row>
    <row r="192" spans="1:17" ht="13">
      <c r="A192" s="3"/>
      <c r="B192" s="4"/>
      <c r="C192" s="4"/>
      <c r="D192" s="7"/>
      <c r="E192" s="7"/>
      <c r="F192" s="7"/>
      <c r="G192" s="7"/>
      <c r="H192" s="7"/>
      <c r="I192" s="2"/>
      <c r="J192" s="8"/>
      <c r="K192" s="5"/>
      <c r="L192" s="8"/>
      <c r="M192" s="74"/>
      <c r="N192" s="78" t="str">
        <f t="shared" si="28"/>
        <v>Em Andamento</v>
      </c>
      <c r="O192" s="10"/>
      <c r="P192" s="76" t="str">
        <f t="shared" ca="1" si="27"/>
        <v/>
      </c>
      <c r="Q192" s="8"/>
    </row>
    <row r="193" spans="1:17" ht="13">
      <c r="A193" s="3"/>
      <c r="B193" s="4"/>
      <c r="C193" s="4"/>
      <c r="D193" s="7"/>
      <c r="E193" s="7"/>
      <c r="F193" s="7"/>
      <c r="G193" s="7"/>
      <c r="H193" s="7"/>
      <c r="I193" s="2"/>
      <c r="J193" s="8"/>
      <c r="K193" s="5"/>
      <c r="L193" s="8"/>
      <c r="M193" s="74"/>
      <c r="N193" s="78" t="str">
        <f t="shared" si="28"/>
        <v>Em Andamento</v>
      </c>
      <c r="O193" s="10"/>
      <c r="P193" s="76" t="str">
        <f t="shared" ca="1" si="27"/>
        <v/>
      </c>
      <c r="Q193" s="8"/>
    </row>
    <row r="194" spans="1:17" ht="13">
      <c r="A194" s="3"/>
      <c r="B194" s="4"/>
      <c r="C194" s="4"/>
      <c r="D194" s="7"/>
      <c r="E194" s="7"/>
      <c r="F194" s="7"/>
      <c r="G194" s="7"/>
      <c r="H194" s="7"/>
      <c r="I194" s="2"/>
      <c r="J194" s="8"/>
      <c r="K194" s="5"/>
      <c r="L194" s="8"/>
      <c r="M194" s="74"/>
      <c r="N194" s="78" t="str">
        <f t="shared" si="28"/>
        <v>Em Andamento</v>
      </c>
      <c r="O194" s="10"/>
      <c r="P194" s="76" t="str">
        <f t="shared" ref="P194:P225" ca="1" si="29">IF(O194="","",IF(O194-TODAY()=0,"Vence Hoje!",IF(O194-TODAY()&gt;=0,O194-TODAY()&amp;" Dia(s) para vencer","Prazo Vencido")))</f>
        <v/>
      </c>
      <c r="Q194" s="8"/>
    </row>
    <row r="195" spans="1:17" ht="13">
      <c r="A195" s="3"/>
      <c r="B195" s="4"/>
      <c r="C195" s="4"/>
      <c r="D195" s="7"/>
      <c r="E195" s="7"/>
      <c r="F195" s="7"/>
      <c r="G195" s="7"/>
      <c r="H195" s="7"/>
      <c r="I195" s="2"/>
      <c r="J195" s="8"/>
      <c r="K195" s="5"/>
      <c r="L195" s="8"/>
      <c r="M195" s="74"/>
      <c r="N195" s="78" t="str">
        <f t="shared" si="28"/>
        <v>Em Andamento</v>
      </c>
      <c r="O195" s="10"/>
      <c r="P195" s="76" t="str">
        <f t="shared" ca="1" si="29"/>
        <v/>
      </c>
      <c r="Q195" s="8"/>
    </row>
    <row r="196" spans="1:17" ht="13">
      <c r="A196" s="3"/>
      <c r="B196" s="4"/>
      <c r="C196" s="4"/>
      <c r="D196" s="7"/>
      <c r="E196" s="7"/>
      <c r="F196" s="7"/>
      <c r="G196" s="7"/>
      <c r="H196" s="7"/>
      <c r="I196" s="2"/>
      <c r="J196" s="8"/>
      <c r="K196" s="5"/>
      <c r="L196" s="8"/>
      <c r="M196" s="74"/>
      <c r="N196" s="78" t="str">
        <f t="shared" si="28"/>
        <v>Em Andamento</v>
      </c>
      <c r="O196" s="10"/>
      <c r="P196" s="76" t="str">
        <f t="shared" ca="1" si="29"/>
        <v/>
      </c>
      <c r="Q196" s="8"/>
    </row>
    <row r="197" spans="1:17" ht="13">
      <c r="A197" s="3"/>
      <c r="B197" s="4"/>
      <c r="C197" s="4"/>
      <c r="D197" s="7"/>
      <c r="E197" s="7"/>
      <c r="F197" s="7"/>
      <c r="G197" s="7"/>
      <c r="H197" s="7"/>
      <c r="I197" s="2"/>
      <c r="J197" s="8"/>
      <c r="K197" s="5"/>
      <c r="L197" s="8"/>
      <c r="M197" s="74"/>
      <c r="N197" s="78" t="str">
        <f t="shared" si="28"/>
        <v>Em Andamento</v>
      </c>
      <c r="O197" s="10"/>
      <c r="P197" s="76" t="str">
        <f t="shared" ca="1" si="29"/>
        <v/>
      </c>
      <c r="Q197" s="8"/>
    </row>
    <row r="198" spans="1:17" ht="13">
      <c r="A198" s="3"/>
      <c r="B198" s="4"/>
      <c r="C198" s="4"/>
      <c r="D198" s="7"/>
      <c r="E198" s="7"/>
      <c r="F198" s="7"/>
      <c r="G198" s="7"/>
      <c r="H198" s="7"/>
      <c r="I198" s="2"/>
      <c r="J198" s="8"/>
      <c r="K198" s="5"/>
      <c r="L198" s="8"/>
      <c r="M198" s="74"/>
      <c r="N198" s="78" t="str">
        <f t="shared" si="28"/>
        <v>Em Andamento</v>
      </c>
      <c r="O198" s="10"/>
      <c r="P198" s="76" t="str">
        <f t="shared" ca="1" si="29"/>
        <v/>
      </c>
      <c r="Q198" s="8"/>
    </row>
    <row r="199" spans="1:17" ht="13">
      <c r="A199" s="3"/>
      <c r="B199" s="4"/>
      <c r="C199" s="4"/>
      <c r="D199" s="7"/>
      <c r="E199" s="7"/>
      <c r="F199" s="7"/>
      <c r="G199" s="7"/>
      <c r="H199" s="7"/>
      <c r="I199" s="2"/>
      <c r="J199" s="8"/>
      <c r="K199" s="5"/>
      <c r="L199" s="8"/>
      <c r="M199" s="74"/>
      <c r="N199" s="78" t="str">
        <f t="shared" si="28"/>
        <v/>
      </c>
      <c r="O199" s="10"/>
      <c r="P199" s="76" t="str">
        <f t="shared" ca="1" si="29"/>
        <v/>
      </c>
      <c r="Q199" s="8"/>
    </row>
    <row r="200" spans="1:17" ht="13">
      <c r="A200" s="3"/>
      <c r="B200" s="4"/>
      <c r="C200" s="4"/>
      <c r="D200" s="7"/>
      <c r="E200" s="7"/>
      <c r="F200" s="7"/>
      <c r="G200" s="7"/>
      <c r="H200" s="7"/>
      <c r="I200" s="2"/>
      <c r="J200" s="8"/>
      <c r="K200" s="5"/>
      <c r="L200" s="8"/>
      <c r="M200" s="74"/>
      <c r="N200" s="78" t="str">
        <f t="shared" si="28"/>
        <v/>
      </c>
      <c r="O200" s="10"/>
      <c r="P200" s="76" t="str">
        <f t="shared" ca="1" si="29"/>
        <v/>
      </c>
      <c r="Q200" s="8"/>
    </row>
    <row r="201" spans="1:17" ht="13">
      <c r="A201" s="3"/>
      <c r="B201" s="4"/>
      <c r="C201" s="4"/>
      <c r="D201" s="7"/>
      <c r="E201" s="7"/>
      <c r="F201" s="7"/>
      <c r="G201" s="7"/>
      <c r="H201" s="7"/>
      <c r="I201" s="2"/>
      <c r="J201" s="8"/>
      <c r="K201" s="5"/>
      <c r="L201" s="8"/>
      <c r="M201" s="74"/>
      <c r="N201" s="78" t="str">
        <f t="shared" si="28"/>
        <v/>
      </c>
      <c r="O201" s="10"/>
      <c r="P201" s="6"/>
      <c r="Q201" s="8"/>
    </row>
    <row r="202" spans="1:17" ht="13">
      <c r="A202" s="3"/>
      <c r="B202" s="4"/>
      <c r="C202" s="4"/>
      <c r="D202" s="7"/>
      <c r="E202" s="7"/>
      <c r="F202" s="7"/>
      <c r="G202" s="7"/>
      <c r="H202" s="7"/>
      <c r="I202" s="2"/>
      <c r="J202" s="8"/>
      <c r="K202" s="5"/>
      <c r="L202" s="8"/>
      <c r="M202" s="74"/>
      <c r="N202" s="78" t="str">
        <f t="shared" si="28"/>
        <v/>
      </c>
      <c r="O202" s="10"/>
      <c r="P202" s="6"/>
      <c r="Q202" s="8"/>
    </row>
    <row r="203" spans="1:17" ht="13">
      <c r="A203" s="3"/>
      <c r="B203" s="4"/>
      <c r="C203" s="4"/>
      <c r="D203" s="7"/>
      <c r="E203" s="7"/>
      <c r="F203" s="7"/>
      <c r="G203" s="7"/>
      <c r="H203" s="7"/>
      <c r="I203" s="2"/>
      <c r="J203" s="8"/>
      <c r="K203" s="5"/>
      <c r="L203" s="8"/>
      <c r="M203" s="74"/>
      <c r="N203" s="78" t="str">
        <f t="shared" si="28"/>
        <v/>
      </c>
      <c r="O203" s="10"/>
      <c r="P203" s="6"/>
      <c r="Q203" s="8"/>
    </row>
    <row r="204" spans="1:17" ht="13">
      <c r="A204" s="3"/>
      <c r="B204" s="4"/>
      <c r="C204" s="4"/>
      <c r="D204" s="7"/>
      <c r="E204" s="7"/>
      <c r="F204" s="7"/>
      <c r="G204" s="7"/>
      <c r="H204" s="7"/>
      <c r="I204" s="2"/>
      <c r="J204" s="8"/>
      <c r="K204" s="5"/>
      <c r="L204" s="8"/>
      <c r="M204" s="74"/>
      <c r="N204" s="78" t="str">
        <f t="shared" si="28"/>
        <v/>
      </c>
      <c r="O204" s="10"/>
      <c r="P204" s="6"/>
      <c r="Q204" s="8"/>
    </row>
    <row r="205" spans="1:17" ht="13">
      <c r="A205" s="3"/>
      <c r="B205" s="4"/>
      <c r="C205" s="4"/>
      <c r="D205" s="7"/>
      <c r="E205" s="7"/>
      <c r="F205" s="7"/>
      <c r="G205" s="7"/>
      <c r="H205" s="7"/>
      <c r="I205" s="2"/>
      <c r="J205" s="8"/>
      <c r="K205" s="5"/>
      <c r="L205" s="8"/>
      <c r="M205" s="74"/>
      <c r="N205" s="78" t="str">
        <f t="shared" ref="N205:N236" si="30">IF(AND(A205="",K443=""),"",IF(Q205="","Em Andamento",IF(M205&lt;=O205,"Dentro do Prazo","Fora do Prazo")))</f>
        <v/>
      </c>
      <c r="O205" s="10"/>
      <c r="P205" s="6"/>
      <c r="Q205" s="8"/>
    </row>
    <row r="206" spans="1:17" ht="13">
      <c r="A206" s="3"/>
      <c r="B206" s="4"/>
      <c r="C206" s="4"/>
      <c r="D206" s="7"/>
      <c r="E206" s="7"/>
      <c r="F206" s="7"/>
      <c r="G206" s="7"/>
      <c r="H206" s="7"/>
      <c r="I206" s="2"/>
      <c r="J206" s="8"/>
      <c r="K206" s="5"/>
      <c r="L206" s="8"/>
      <c r="M206" s="74"/>
      <c r="N206" s="78" t="str">
        <f t="shared" si="30"/>
        <v/>
      </c>
      <c r="O206" s="10"/>
      <c r="P206" s="6"/>
      <c r="Q206" s="8"/>
    </row>
    <row r="207" spans="1:17" ht="13">
      <c r="A207" s="3"/>
      <c r="B207" s="4"/>
      <c r="C207" s="4"/>
      <c r="D207" s="7"/>
      <c r="E207" s="7"/>
      <c r="F207" s="7"/>
      <c r="G207" s="7"/>
      <c r="H207" s="7"/>
      <c r="I207" s="2"/>
      <c r="J207" s="8"/>
      <c r="K207" s="5"/>
      <c r="L207" s="8"/>
      <c r="M207" s="74"/>
      <c r="N207" s="78" t="str">
        <f t="shared" si="30"/>
        <v/>
      </c>
      <c r="O207" s="10"/>
      <c r="P207" s="6"/>
      <c r="Q207" s="8"/>
    </row>
    <row r="208" spans="1:17" ht="13">
      <c r="A208" s="3"/>
      <c r="B208" s="4"/>
      <c r="C208" s="4"/>
      <c r="D208" s="7"/>
      <c r="E208" s="7"/>
      <c r="F208" s="7"/>
      <c r="G208" s="7"/>
      <c r="H208" s="7"/>
      <c r="I208" s="2"/>
      <c r="J208" s="8"/>
      <c r="K208" s="5"/>
      <c r="L208" s="8"/>
      <c r="M208" s="74"/>
      <c r="N208" s="78" t="str">
        <f t="shared" si="30"/>
        <v/>
      </c>
      <c r="O208" s="10"/>
      <c r="P208" s="6"/>
      <c r="Q208" s="8"/>
    </row>
    <row r="209" spans="1:17" ht="13">
      <c r="A209" s="3"/>
      <c r="B209" s="4"/>
      <c r="C209" s="4"/>
      <c r="D209" s="7"/>
      <c r="E209" s="7"/>
      <c r="F209" s="7"/>
      <c r="G209" s="7"/>
      <c r="H209" s="7"/>
      <c r="I209" s="2"/>
      <c r="J209" s="8"/>
      <c r="K209" s="5"/>
      <c r="L209" s="8"/>
      <c r="M209" s="74"/>
      <c r="N209" s="78" t="str">
        <f t="shared" si="30"/>
        <v/>
      </c>
      <c r="O209" s="10"/>
      <c r="P209" s="6"/>
      <c r="Q209" s="8"/>
    </row>
    <row r="210" spans="1:17" ht="13">
      <c r="A210" s="3"/>
      <c r="B210" s="4"/>
      <c r="C210" s="4"/>
      <c r="D210" s="7"/>
      <c r="E210" s="7"/>
      <c r="F210" s="7"/>
      <c r="G210" s="7"/>
      <c r="H210" s="7"/>
      <c r="I210" s="2"/>
      <c r="J210" s="8"/>
      <c r="K210" s="5"/>
      <c r="L210" s="8"/>
      <c r="M210" s="74"/>
      <c r="N210" s="78" t="str">
        <f t="shared" si="30"/>
        <v/>
      </c>
      <c r="O210" s="10"/>
      <c r="P210" s="6"/>
      <c r="Q210" s="8"/>
    </row>
    <row r="211" spans="1:17" ht="13">
      <c r="A211" s="3"/>
      <c r="B211" s="4"/>
      <c r="C211" s="4"/>
      <c r="D211" s="7"/>
      <c r="E211" s="7"/>
      <c r="F211" s="7"/>
      <c r="G211" s="7"/>
      <c r="H211" s="7"/>
      <c r="I211" s="2"/>
      <c r="J211" s="8"/>
      <c r="K211" s="5"/>
      <c r="L211" s="8"/>
      <c r="M211" s="74"/>
      <c r="N211" s="78" t="str">
        <f t="shared" si="30"/>
        <v/>
      </c>
      <c r="O211" s="10"/>
      <c r="P211" s="6"/>
      <c r="Q211" s="8"/>
    </row>
    <row r="212" spans="1:17" ht="13">
      <c r="A212" s="3"/>
      <c r="B212" s="4"/>
      <c r="C212" s="4"/>
      <c r="D212" s="7"/>
      <c r="E212" s="7"/>
      <c r="F212" s="7"/>
      <c r="G212" s="7"/>
      <c r="H212" s="7"/>
      <c r="I212" s="2"/>
      <c r="J212" s="8"/>
      <c r="K212" s="5"/>
      <c r="L212" s="8"/>
      <c r="M212" s="74"/>
      <c r="N212" s="78" t="str">
        <f t="shared" si="30"/>
        <v/>
      </c>
      <c r="O212" s="10"/>
      <c r="P212" s="6"/>
      <c r="Q212" s="8"/>
    </row>
    <row r="213" spans="1:17" ht="13">
      <c r="A213" s="3"/>
      <c r="B213" s="4"/>
      <c r="C213" s="4"/>
      <c r="D213" s="7"/>
      <c r="E213" s="7"/>
      <c r="F213" s="7"/>
      <c r="G213" s="7"/>
      <c r="H213" s="7"/>
      <c r="I213" s="2"/>
      <c r="J213" s="8"/>
      <c r="K213" s="5"/>
      <c r="L213" s="8"/>
      <c r="M213" s="74"/>
      <c r="N213" s="78" t="str">
        <f t="shared" si="30"/>
        <v/>
      </c>
      <c r="O213" s="10"/>
      <c r="P213" s="6"/>
      <c r="Q213" s="8"/>
    </row>
    <row r="214" spans="1:17" ht="13">
      <c r="A214" s="3"/>
      <c r="B214" s="4"/>
      <c r="C214" s="4"/>
      <c r="D214" s="7"/>
      <c r="E214" s="7"/>
      <c r="F214" s="7"/>
      <c r="G214" s="7"/>
      <c r="H214" s="7"/>
      <c r="I214" s="2"/>
      <c r="J214" s="8"/>
      <c r="K214" s="5"/>
      <c r="L214" s="8"/>
      <c r="M214" s="74"/>
      <c r="N214" s="78" t="str">
        <f t="shared" si="30"/>
        <v/>
      </c>
      <c r="O214" s="10"/>
      <c r="P214" s="6"/>
      <c r="Q214" s="8"/>
    </row>
    <row r="215" spans="1:17" ht="13">
      <c r="A215" s="3">
        <v>46181</v>
      </c>
      <c r="B215" s="4" t="s">
        <v>17</v>
      </c>
      <c r="C215" s="4" t="s">
        <v>27</v>
      </c>
      <c r="D215" s="6" t="s">
        <v>19</v>
      </c>
      <c r="E215" s="7" t="s">
        <v>266</v>
      </c>
      <c r="F215" s="86" t="s">
        <v>267</v>
      </c>
      <c r="G215" s="7" t="s">
        <v>22</v>
      </c>
      <c r="H215" s="75">
        <v>46212</v>
      </c>
      <c r="I215" s="7" t="s">
        <v>166</v>
      </c>
      <c r="J215" s="8" t="s">
        <v>24</v>
      </c>
      <c r="K215" s="7" t="s">
        <v>25</v>
      </c>
      <c r="L215" s="8">
        <v>15</v>
      </c>
      <c r="M215" s="74">
        <v>46189</v>
      </c>
      <c r="N215" s="78" t="str">
        <f>IF(AND(A215="",K450=""),"",IF(Q215="","Em Andamento",IF(M215&lt;=O215,"Dentro do Prazo","Fora do Prazo")))</f>
        <v>Dentro do Prazo</v>
      </c>
      <c r="O215" s="57">
        <f t="shared" ref="O215:O233" si="31">IF(OR(A215="",L215=""),"",A215+L215)</f>
        <v>46196</v>
      </c>
      <c r="P215" s="76" t="str">
        <f t="shared" ref="P215:P233" ca="1" si="32">IF(O215="","",IF(O215-TODAY()=0,"Vence Hoje!",IF(O215-TODAY()&gt;=0,O215-TODAY()&amp;" Dia(s) para vencer","Prazo Vencido")))</f>
        <v>Prazo Vencido</v>
      </c>
      <c r="Q215" s="84">
        <f t="shared" ref="Q215:Q221" si="33">IF(OR(A215="",M215=""),"",M215-A215)</f>
        <v>8</v>
      </c>
    </row>
    <row r="216" spans="1:17" s="71" customFormat="1" ht="13">
      <c r="A216" s="3">
        <v>46195</v>
      </c>
      <c r="B216" s="4" t="s">
        <v>17</v>
      </c>
      <c r="C216" s="4" t="s">
        <v>27</v>
      </c>
      <c r="D216" s="6" t="s">
        <v>19</v>
      </c>
      <c r="E216" s="7" t="s">
        <v>268</v>
      </c>
      <c r="F216" s="7" t="s">
        <v>269</v>
      </c>
      <c r="G216" s="7" t="s">
        <v>22</v>
      </c>
      <c r="H216" s="75">
        <v>46212</v>
      </c>
      <c r="I216" s="7" t="s">
        <v>247</v>
      </c>
      <c r="J216" s="8" t="s">
        <v>24</v>
      </c>
      <c r="K216" s="7" t="s">
        <v>25</v>
      </c>
      <c r="L216" s="8">
        <v>15</v>
      </c>
      <c r="M216" s="74">
        <v>46189</v>
      </c>
      <c r="N216" s="78" t="str">
        <f>IF(AND(A216="",K454=""),"",IF(Q216="","Em Andamento",IF(M216&lt;=O216,"Dentro do Prazo","Fora do Prazo")))</f>
        <v>Dentro do Prazo</v>
      </c>
      <c r="O216" s="57">
        <f t="shared" si="31"/>
        <v>46210</v>
      </c>
      <c r="P216" s="76" t="str">
        <f t="shared" ca="1" si="32"/>
        <v>Prazo Vencido</v>
      </c>
      <c r="Q216" s="84">
        <f t="shared" si="33"/>
        <v>-6</v>
      </c>
    </row>
    <row r="217" spans="1:17" ht="13">
      <c r="A217" s="3">
        <v>46181</v>
      </c>
      <c r="B217" s="4" t="s">
        <v>26</v>
      </c>
      <c r="C217" s="4" t="s">
        <v>27</v>
      </c>
      <c r="D217" s="6" t="s">
        <v>19</v>
      </c>
      <c r="E217" s="7" t="s">
        <v>270</v>
      </c>
      <c r="F217" s="7" t="s">
        <v>271</v>
      </c>
      <c r="G217" s="7" t="s">
        <v>22</v>
      </c>
      <c r="H217" s="75">
        <v>46212</v>
      </c>
      <c r="I217" s="7" t="s">
        <v>166</v>
      </c>
      <c r="J217" s="8" t="s">
        <v>24</v>
      </c>
      <c r="K217" s="7" t="s">
        <v>25</v>
      </c>
      <c r="L217" s="8">
        <v>15</v>
      </c>
      <c r="M217" s="74">
        <v>46189</v>
      </c>
      <c r="N217" s="78" t="str">
        <f>IF(AND(A217="",K450=""),"",IF(Q217="","Em Andamento",IF(M217&lt;=O217,"Dentro do Prazo","Fora do Prazo")))</f>
        <v>Dentro do Prazo</v>
      </c>
      <c r="O217" s="57">
        <f t="shared" si="31"/>
        <v>46196</v>
      </c>
      <c r="P217" s="76" t="str">
        <f t="shared" ca="1" si="32"/>
        <v>Prazo Vencido</v>
      </c>
      <c r="Q217" s="84">
        <f t="shared" si="33"/>
        <v>8</v>
      </c>
    </row>
    <row r="218" spans="1:17" ht="13">
      <c r="A218" s="3">
        <v>46196</v>
      </c>
      <c r="B218" s="4" t="s">
        <v>17</v>
      </c>
      <c r="C218" s="4" t="s">
        <v>27</v>
      </c>
      <c r="D218" s="7" t="s">
        <v>19</v>
      </c>
      <c r="E218" s="7" t="s">
        <v>272</v>
      </c>
      <c r="F218" s="7" t="s">
        <v>273</v>
      </c>
      <c r="G218" s="7" t="s">
        <v>48</v>
      </c>
      <c r="H218" s="75">
        <v>46212</v>
      </c>
      <c r="I218" s="7" t="s">
        <v>166</v>
      </c>
      <c r="J218" s="8" t="s">
        <v>24</v>
      </c>
      <c r="K218" s="7" t="s">
        <v>25</v>
      </c>
      <c r="L218" s="8">
        <v>15</v>
      </c>
      <c r="M218" s="74">
        <v>46189</v>
      </c>
      <c r="N218" s="78" t="str">
        <f>IF(AND(A218="",K455=""),"",IF(Q218="","Em Andamento",IF(M218&lt;=O218,"Dentro do Prazo","Fora do Prazo")))</f>
        <v>Dentro do Prazo</v>
      </c>
      <c r="O218" s="57">
        <f t="shared" si="31"/>
        <v>46211</v>
      </c>
      <c r="P218" s="76" t="str">
        <f t="shared" ca="1" si="32"/>
        <v>Prazo Vencido</v>
      </c>
      <c r="Q218" s="84">
        <f t="shared" si="33"/>
        <v>-7</v>
      </c>
    </row>
    <row r="219" spans="1:17" ht="13">
      <c r="A219" s="3">
        <v>46195</v>
      </c>
      <c r="B219" s="4" t="s">
        <v>17</v>
      </c>
      <c r="C219" s="4" t="s">
        <v>27</v>
      </c>
      <c r="D219" s="7" t="s">
        <v>158</v>
      </c>
      <c r="E219" s="7"/>
      <c r="F219" s="7" t="s">
        <v>274</v>
      </c>
      <c r="G219" s="7" t="s">
        <v>22</v>
      </c>
      <c r="H219" s="75">
        <v>46212</v>
      </c>
      <c r="I219" s="7" t="s">
        <v>247</v>
      </c>
      <c r="J219" s="8" t="s">
        <v>24</v>
      </c>
      <c r="K219" s="7" t="s">
        <v>25</v>
      </c>
      <c r="L219" s="8">
        <v>15</v>
      </c>
      <c r="M219" s="74">
        <v>46189</v>
      </c>
      <c r="N219" s="78" t="str">
        <f>IF(AND(A219="",K457=""),"",IF(Q219="","Em Andamento",IF(M219&lt;=O219,"Dentro do Prazo","Fora do Prazo")))</f>
        <v>Dentro do Prazo</v>
      </c>
      <c r="O219" s="57">
        <f t="shared" si="31"/>
        <v>46210</v>
      </c>
      <c r="P219" s="76" t="str">
        <f t="shared" ca="1" si="32"/>
        <v>Prazo Vencido</v>
      </c>
      <c r="Q219" s="84">
        <f t="shared" si="33"/>
        <v>-6</v>
      </c>
    </row>
    <row r="220" spans="1:17" ht="13">
      <c r="A220" s="3">
        <v>46195</v>
      </c>
      <c r="B220" s="4" t="s">
        <v>36</v>
      </c>
      <c r="C220" s="4" t="s">
        <v>37</v>
      </c>
      <c r="D220" s="6" t="s">
        <v>19</v>
      </c>
      <c r="E220" s="7" t="s">
        <v>275</v>
      </c>
      <c r="F220" s="7" t="s">
        <v>276</v>
      </c>
      <c r="G220" s="7" t="s">
        <v>48</v>
      </c>
      <c r="H220" s="75">
        <v>46212</v>
      </c>
      <c r="I220" s="7" t="s">
        <v>247</v>
      </c>
      <c r="J220" s="8" t="s">
        <v>24</v>
      </c>
      <c r="K220" s="7" t="s">
        <v>25</v>
      </c>
      <c r="L220" s="8">
        <v>15</v>
      </c>
      <c r="M220" s="74">
        <v>46189</v>
      </c>
      <c r="N220" s="78" t="str">
        <f>IF(AND(A220="",K457=""),"",IF(Q220="","Em Andamento",IF(M220&lt;=O220,"Dentro do Prazo","Fora do Prazo")))</f>
        <v>Dentro do Prazo</v>
      </c>
      <c r="O220" s="57">
        <f t="shared" si="31"/>
        <v>46210</v>
      </c>
      <c r="P220" s="76" t="str">
        <f t="shared" ca="1" si="32"/>
        <v>Prazo Vencido</v>
      </c>
      <c r="Q220" s="84">
        <f t="shared" si="33"/>
        <v>-6</v>
      </c>
    </row>
    <row r="221" spans="1:17" ht="13">
      <c r="A221" s="89">
        <v>46195</v>
      </c>
      <c r="B221" s="4" t="s">
        <v>17</v>
      </c>
      <c r="C221" s="4" t="s">
        <v>27</v>
      </c>
      <c r="D221" s="6" t="s">
        <v>19</v>
      </c>
      <c r="E221" s="86" t="s">
        <v>277</v>
      </c>
      <c r="F221" s="86" t="s">
        <v>278</v>
      </c>
      <c r="G221" s="86" t="s">
        <v>22</v>
      </c>
      <c r="H221" s="87">
        <v>46212</v>
      </c>
      <c r="I221" s="86" t="s">
        <v>247</v>
      </c>
      <c r="J221" s="73" t="s">
        <v>24</v>
      </c>
      <c r="K221" s="86" t="s">
        <v>25</v>
      </c>
      <c r="L221" s="73">
        <v>15</v>
      </c>
      <c r="M221" s="88">
        <v>46189</v>
      </c>
      <c r="N221" s="90" t="str">
        <f>IF(AND(A221="",K459=""),"",IF(Q221="","Em Andamento",IF(M221&lt;=O221,"Dentro do Prazo","Fora do Prazo")))</f>
        <v>Dentro do Prazo</v>
      </c>
      <c r="O221" s="91">
        <f t="shared" si="31"/>
        <v>46210</v>
      </c>
      <c r="P221" s="77" t="str">
        <f t="shared" ca="1" si="32"/>
        <v>Prazo Vencido</v>
      </c>
      <c r="Q221" s="84">
        <f t="shared" si="33"/>
        <v>-6</v>
      </c>
    </row>
    <row r="222" spans="1:17" ht="13">
      <c r="A222" s="3">
        <v>46195</v>
      </c>
      <c r="B222" s="4" t="s">
        <v>26</v>
      </c>
      <c r="C222" s="4" t="s">
        <v>27</v>
      </c>
      <c r="D222" s="6" t="s">
        <v>19</v>
      </c>
      <c r="E222" s="7" t="s">
        <v>279</v>
      </c>
      <c r="F222" s="7" t="s">
        <v>280</v>
      </c>
      <c r="G222" s="7" t="s">
        <v>22</v>
      </c>
      <c r="H222" s="75">
        <v>46212</v>
      </c>
      <c r="I222" s="7" t="s">
        <v>247</v>
      </c>
      <c r="J222" s="8" t="s">
        <v>24</v>
      </c>
      <c r="K222" s="7" t="s">
        <v>25</v>
      </c>
      <c r="L222" s="8">
        <v>15</v>
      </c>
      <c r="M222" s="74">
        <v>46189</v>
      </c>
      <c r="N222" s="78" t="str">
        <f>IF(AND(A222="",K460=""),"",IF(Q222="","Em Andamento",IF(M222&lt;=O222,"Dentro do Prazo","Fora do Prazo")))</f>
        <v>Em Andamento</v>
      </c>
      <c r="O222" s="57">
        <f t="shared" si="31"/>
        <v>46210</v>
      </c>
      <c r="P222" s="76" t="str">
        <f t="shared" ca="1" si="32"/>
        <v>Prazo Vencido</v>
      </c>
      <c r="Q222" s="8"/>
    </row>
    <row r="223" spans="1:17" ht="13">
      <c r="A223" s="3">
        <v>46195</v>
      </c>
      <c r="B223" s="4" t="s">
        <v>17</v>
      </c>
      <c r="C223" s="4" t="s">
        <v>27</v>
      </c>
      <c r="D223" s="6" t="s">
        <v>158</v>
      </c>
      <c r="E223" s="7"/>
      <c r="F223" s="7" t="s">
        <v>281</v>
      </c>
      <c r="G223" s="7" t="s">
        <v>22</v>
      </c>
      <c r="H223" s="75">
        <v>46212</v>
      </c>
      <c r="I223" s="7" t="s">
        <v>247</v>
      </c>
      <c r="J223" s="8" t="s">
        <v>24</v>
      </c>
      <c r="K223" s="7" t="s">
        <v>25</v>
      </c>
      <c r="L223" s="8">
        <v>15</v>
      </c>
      <c r="M223" s="74">
        <v>46189</v>
      </c>
      <c r="N223" s="78" t="str">
        <f>IF(AND(A223="",K461=""),"",IF(Q223="","Em Andamento",IF(M223&lt;=O223,"Dentro do Prazo","Fora do Prazo")))</f>
        <v>Dentro do Prazo</v>
      </c>
      <c r="O223" s="57">
        <f t="shared" si="31"/>
        <v>46210</v>
      </c>
      <c r="P223" s="76" t="str">
        <f t="shared" ca="1" si="32"/>
        <v>Prazo Vencido</v>
      </c>
      <c r="Q223" s="84">
        <f t="shared" ref="Q223:Q232" si="34">IF(OR(A223="",M223=""),"",M223-A223)</f>
        <v>-6</v>
      </c>
    </row>
    <row r="224" spans="1:17" ht="13">
      <c r="A224" s="3">
        <v>46188</v>
      </c>
      <c r="B224" s="4" t="s">
        <v>17</v>
      </c>
      <c r="C224" s="4" t="s">
        <v>27</v>
      </c>
      <c r="D224" s="6" t="s">
        <v>19</v>
      </c>
      <c r="E224" s="7" t="s">
        <v>282</v>
      </c>
      <c r="F224" s="7" t="s">
        <v>283</v>
      </c>
      <c r="G224" s="7" t="s">
        <v>48</v>
      </c>
      <c r="H224" s="75">
        <v>46212</v>
      </c>
      <c r="I224" s="7" t="s">
        <v>166</v>
      </c>
      <c r="J224" s="8" t="s">
        <v>24</v>
      </c>
      <c r="K224" s="7" t="s">
        <v>25</v>
      </c>
      <c r="L224" s="8">
        <v>15</v>
      </c>
      <c r="M224" s="74">
        <v>46189</v>
      </c>
      <c r="N224" s="78" t="str">
        <f>IF(AND(A224="",K460=""),"",IF(Q224="","Em Andamento",IF(M224&lt;=O224,"Dentro do Prazo","Fora do Prazo")))</f>
        <v>Dentro do Prazo</v>
      </c>
      <c r="O224" s="57">
        <f t="shared" si="31"/>
        <v>46203</v>
      </c>
      <c r="P224" s="76" t="str">
        <f t="shared" ca="1" si="32"/>
        <v>Prazo Vencido</v>
      </c>
      <c r="Q224" s="84">
        <f t="shared" si="34"/>
        <v>1</v>
      </c>
    </row>
    <row r="225" spans="1:17" ht="13">
      <c r="A225" s="3">
        <v>46188</v>
      </c>
      <c r="B225" s="4" t="s">
        <v>26</v>
      </c>
      <c r="C225" s="4" t="s">
        <v>27</v>
      </c>
      <c r="D225" s="6" t="s">
        <v>19</v>
      </c>
      <c r="E225" s="7" t="s">
        <v>284</v>
      </c>
      <c r="F225" s="7" t="s">
        <v>285</v>
      </c>
      <c r="G225" s="7" t="s">
        <v>22</v>
      </c>
      <c r="H225" s="75">
        <v>46212</v>
      </c>
      <c r="I225" s="7" t="s">
        <v>166</v>
      </c>
      <c r="J225" s="8" t="s">
        <v>24</v>
      </c>
      <c r="K225" s="7" t="s">
        <v>25</v>
      </c>
      <c r="L225" s="8">
        <v>15</v>
      </c>
      <c r="M225" s="74">
        <v>46189</v>
      </c>
      <c r="N225" s="78" t="str">
        <f>IF(AND(A225="",K461=""),"",IF(Q225="","Em Andamento",IF(M225&lt;=O225,"Dentro do Prazo","Fora do Prazo")))</f>
        <v>Dentro do Prazo</v>
      </c>
      <c r="O225" s="57">
        <f t="shared" si="31"/>
        <v>46203</v>
      </c>
      <c r="P225" s="76" t="str">
        <f t="shared" ca="1" si="32"/>
        <v>Prazo Vencido</v>
      </c>
      <c r="Q225" s="84">
        <f t="shared" si="34"/>
        <v>1</v>
      </c>
    </row>
    <row r="226" spans="1:17" ht="13">
      <c r="A226" s="3">
        <v>46195</v>
      </c>
      <c r="B226" s="4" t="s">
        <v>31</v>
      </c>
      <c r="C226" s="4" t="s">
        <v>32</v>
      </c>
      <c r="D226" s="6" t="s">
        <v>19</v>
      </c>
      <c r="E226" s="7" t="s">
        <v>228</v>
      </c>
      <c r="F226" s="7" t="s">
        <v>286</v>
      </c>
      <c r="G226" s="7" t="s">
        <v>48</v>
      </c>
      <c r="H226" s="75">
        <v>46212</v>
      </c>
      <c r="I226" s="7" t="s">
        <v>247</v>
      </c>
      <c r="J226" s="8" t="s">
        <v>24</v>
      </c>
      <c r="K226" s="7" t="s">
        <v>25</v>
      </c>
      <c r="L226" s="8">
        <v>15</v>
      </c>
      <c r="M226" s="74">
        <v>46189</v>
      </c>
      <c r="N226" s="78" t="str">
        <f>IF(AND(A226="",K464=""),"",IF(Q226="","Em Andamento",IF(M226&lt;=O226,"Dentro do Prazo","Fora do Prazo")))</f>
        <v>Dentro do Prazo</v>
      </c>
      <c r="O226" s="57">
        <f t="shared" si="31"/>
        <v>46210</v>
      </c>
      <c r="P226" s="76" t="str">
        <f t="shared" ca="1" si="32"/>
        <v>Prazo Vencido</v>
      </c>
      <c r="Q226" s="84">
        <f t="shared" si="34"/>
        <v>-6</v>
      </c>
    </row>
    <row r="227" spans="1:17" ht="13">
      <c r="A227" s="3">
        <v>46195</v>
      </c>
      <c r="B227" s="4" t="s">
        <v>17</v>
      </c>
      <c r="C227" s="4" t="s">
        <v>27</v>
      </c>
      <c r="D227" s="6" t="s">
        <v>19</v>
      </c>
      <c r="E227" s="7" t="s">
        <v>287</v>
      </c>
      <c r="F227" s="7" t="s">
        <v>288</v>
      </c>
      <c r="G227" s="7" t="s">
        <v>22</v>
      </c>
      <c r="H227" s="75">
        <v>46212</v>
      </c>
      <c r="I227" s="7" t="s">
        <v>247</v>
      </c>
      <c r="J227" s="8" t="s">
        <v>24</v>
      </c>
      <c r="K227" s="7" t="s">
        <v>25</v>
      </c>
      <c r="L227" s="8">
        <v>15</v>
      </c>
      <c r="M227" s="74">
        <v>46189</v>
      </c>
      <c r="N227" s="78" t="str">
        <f>IF(AND(A227="",K465=""),"",IF(Q227="","Em Andamento",IF(M227&lt;=O227,"Dentro do Prazo","Fora do Prazo")))</f>
        <v>Dentro do Prazo</v>
      </c>
      <c r="O227" s="57">
        <f t="shared" si="31"/>
        <v>46210</v>
      </c>
      <c r="P227" s="76" t="str">
        <f t="shared" ca="1" si="32"/>
        <v>Prazo Vencido</v>
      </c>
      <c r="Q227" s="84">
        <f t="shared" si="34"/>
        <v>-6</v>
      </c>
    </row>
    <row r="228" spans="1:17" ht="13">
      <c r="A228" s="3">
        <v>46195</v>
      </c>
      <c r="B228" s="4" t="s">
        <v>17</v>
      </c>
      <c r="C228" s="4" t="s">
        <v>27</v>
      </c>
      <c r="D228" s="6" t="s">
        <v>158</v>
      </c>
      <c r="E228" s="7"/>
      <c r="F228" s="7" t="s">
        <v>289</v>
      </c>
      <c r="G228" s="7" t="s">
        <v>22</v>
      </c>
      <c r="H228" s="75">
        <v>46212</v>
      </c>
      <c r="I228" s="7" t="s">
        <v>247</v>
      </c>
      <c r="J228" s="8" t="s">
        <v>24</v>
      </c>
      <c r="K228" s="7" t="s">
        <v>25</v>
      </c>
      <c r="L228" s="8">
        <v>15</v>
      </c>
      <c r="M228" s="74">
        <v>46189</v>
      </c>
      <c r="N228" s="78" t="str">
        <f>IF(AND(A228="",K466=""),"",IF(Q228="","Em Andamento",IF(M228&lt;=O228,"Dentro do Prazo","Fora do Prazo")))</f>
        <v>Dentro do Prazo</v>
      </c>
      <c r="O228" s="57">
        <f t="shared" si="31"/>
        <v>46210</v>
      </c>
      <c r="P228" s="76" t="str">
        <f t="shared" ca="1" si="32"/>
        <v>Prazo Vencido</v>
      </c>
      <c r="Q228" s="84">
        <f t="shared" si="34"/>
        <v>-6</v>
      </c>
    </row>
    <row r="229" spans="1:17" ht="13">
      <c r="A229" s="83">
        <v>46204</v>
      </c>
      <c r="B229" s="4" t="s">
        <v>290</v>
      </c>
      <c r="C229" s="4" t="s">
        <v>32</v>
      </c>
      <c r="D229" s="6" t="s">
        <v>19</v>
      </c>
      <c r="E229" s="7" t="s">
        <v>291</v>
      </c>
      <c r="F229" s="7" t="s">
        <v>292</v>
      </c>
      <c r="G229" s="7" t="s">
        <v>48</v>
      </c>
      <c r="H229" s="75">
        <v>46212</v>
      </c>
      <c r="I229" s="7" t="s">
        <v>166</v>
      </c>
      <c r="J229" s="8" t="s">
        <v>24</v>
      </c>
      <c r="K229" s="7" t="s">
        <v>25</v>
      </c>
      <c r="L229" s="8">
        <v>15</v>
      </c>
      <c r="M229" s="74">
        <v>46207</v>
      </c>
      <c r="N229" s="78" t="str">
        <f>IF(AND(A229="",K459=""),"",IF(Q229="","Em Andamento",IF(M229&lt;=O229,"Dentro do Prazo","Fora do Prazo")))</f>
        <v>Dentro do Prazo</v>
      </c>
      <c r="O229" s="57">
        <f t="shared" si="31"/>
        <v>46219</v>
      </c>
      <c r="P229" s="76" t="str">
        <f t="shared" ca="1" si="32"/>
        <v>Prazo Vencido</v>
      </c>
      <c r="Q229" s="77">
        <f t="shared" si="34"/>
        <v>3</v>
      </c>
    </row>
    <row r="230" spans="1:17" ht="13">
      <c r="A230" s="3">
        <v>46195</v>
      </c>
      <c r="B230" s="4" t="s">
        <v>36</v>
      </c>
      <c r="C230" s="4" t="s">
        <v>37</v>
      </c>
      <c r="D230" s="6" t="s">
        <v>19</v>
      </c>
      <c r="E230" s="7" t="s">
        <v>293</v>
      </c>
      <c r="F230" s="7" t="s">
        <v>294</v>
      </c>
      <c r="G230" s="7" t="s">
        <v>48</v>
      </c>
      <c r="H230" s="75">
        <v>46212</v>
      </c>
      <c r="I230" s="7" t="s">
        <v>247</v>
      </c>
      <c r="J230" s="8" t="s">
        <v>24</v>
      </c>
      <c r="K230" s="7" t="s">
        <v>25</v>
      </c>
      <c r="L230" s="8">
        <v>15</v>
      </c>
      <c r="M230" s="74">
        <v>46189</v>
      </c>
      <c r="N230" s="78" t="str">
        <f>IF(AND(A230="",K469=""),"",IF(Q230="","Em Andamento",IF(M230&lt;=O230,"Dentro do Prazo","Fora do Prazo")))</f>
        <v>Dentro do Prazo</v>
      </c>
      <c r="O230" s="57">
        <f t="shared" si="31"/>
        <v>46210</v>
      </c>
      <c r="P230" s="76" t="str">
        <f t="shared" ca="1" si="32"/>
        <v>Prazo Vencido</v>
      </c>
      <c r="Q230" s="84">
        <f t="shared" si="34"/>
        <v>-6</v>
      </c>
    </row>
    <row r="231" spans="1:17" ht="13">
      <c r="A231" s="3">
        <v>46196</v>
      </c>
      <c r="B231" s="4" t="s">
        <v>53</v>
      </c>
      <c r="C231" s="4" t="s">
        <v>32</v>
      </c>
      <c r="D231" s="6" t="s">
        <v>19</v>
      </c>
      <c r="E231" s="7" t="s">
        <v>87</v>
      </c>
      <c r="F231" s="7" t="s">
        <v>295</v>
      </c>
      <c r="G231" s="7" t="s">
        <v>22</v>
      </c>
      <c r="H231" s="75">
        <v>46212</v>
      </c>
      <c r="I231" s="7" t="s">
        <v>247</v>
      </c>
      <c r="J231" s="8" t="s">
        <v>296</v>
      </c>
      <c r="K231" s="7" t="s">
        <v>25</v>
      </c>
      <c r="L231" s="8">
        <v>15</v>
      </c>
      <c r="M231" s="74">
        <v>46189</v>
      </c>
      <c r="N231" s="78" t="str">
        <f>IF(AND(A231="",K470=""),"",IF(Q231="","Em Andamento",IF(M231&lt;=O231,"Dentro do Prazo","Fora do Prazo")))</f>
        <v>Dentro do Prazo</v>
      </c>
      <c r="O231" s="57">
        <f t="shared" si="31"/>
        <v>46211</v>
      </c>
      <c r="P231" s="76" t="str">
        <f t="shared" ca="1" si="32"/>
        <v>Prazo Vencido</v>
      </c>
      <c r="Q231" s="84">
        <f t="shared" si="34"/>
        <v>-7</v>
      </c>
    </row>
    <row r="232" spans="1:17" ht="13">
      <c r="A232" s="3">
        <v>46188</v>
      </c>
      <c r="B232" s="4" t="s">
        <v>17</v>
      </c>
      <c r="C232" s="4" t="s">
        <v>27</v>
      </c>
      <c r="D232" s="6" t="s">
        <v>19</v>
      </c>
      <c r="E232" s="7" t="s">
        <v>297</v>
      </c>
      <c r="F232" s="7" t="s">
        <v>298</v>
      </c>
      <c r="G232" s="7" t="s">
        <v>48</v>
      </c>
      <c r="H232" s="75">
        <v>46212</v>
      </c>
      <c r="I232" s="7" t="s">
        <v>166</v>
      </c>
      <c r="J232" s="8" t="s">
        <v>24</v>
      </c>
      <c r="K232" s="7" t="s">
        <v>25</v>
      </c>
      <c r="L232" s="8">
        <v>15</v>
      </c>
      <c r="M232" s="74">
        <v>46189</v>
      </c>
      <c r="N232" s="78" t="str">
        <f>IF(AND(A232="",K470=""),"",IF(Q232="","Em Andamento",IF(M232&lt;=O232,"Dentro do Prazo","Fora do Prazo")))</f>
        <v>Dentro do Prazo</v>
      </c>
      <c r="O232" s="57">
        <f t="shared" si="31"/>
        <v>46203</v>
      </c>
      <c r="P232" s="76" t="str">
        <f t="shared" ca="1" si="32"/>
        <v>Prazo Vencido</v>
      </c>
      <c r="Q232" s="84">
        <f t="shared" si="34"/>
        <v>1</v>
      </c>
    </row>
    <row r="233" spans="1:17" ht="13">
      <c r="A233" s="3">
        <v>46188</v>
      </c>
      <c r="B233" s="4" t="s">
        <v>17</v>
      </c>
      <c r="C233" s="4" t="s">
        <v>27</v>
      </c>
      <c r="D233" s="6" t="s">
        <v>19</v>
      </c>
      <c r="E233" s="7" t="s">
        <v>299</v>
      </c>
      <c r="F233" s="7" t="s">
        <v>300</v>
      </c>
      <c r="G233" s="7" t="s">
        <v>48</v>
      </c>
      <c r="H233" s="75">
        <v>46212</v>
      </c>
      <c r="I233" s="7" t="s">
        <v>166</v>
      </c>
      <c r="J233" s="8" t="s">
        <v>24</v>
      </c>
      <c r="K233" s="7" t="s">
        <v>25</v>
      </c>
      <c r="L233" s="8">
        <v>15</v>
      </c>
      <c r="M233" s="74">
        <v>46189</v>
      </c>
      <c r="N233" s="78" t="str">
        <f>IF(AND(A233="",K471=""),"",IF(Q233="","Em Andamento",IF(M233&lt;=O233,"Dentro do Prazo","Fora do Prazo")))</f>
        <v>Dentro do Prazo</v>
      </c>
      <c r="O233" s="57">
        <f t="shared" si="31"/>
        <v>46203</v>
      </c>
      <c r="P233" s="76" t="str">
        <f t="shared" ca="1" si="32"/>
        <v>Prazo Vencido</v>
      </c>
      <c r="Q233" s="84">
        <f t="shared" ref="Q233:Q235" si="35">IF(OR(A233="",M233=""),"",M233-A233)</f>
        <v>1</v>
      </c>
    </row>
    <row r="234" spans="1:17" ht="13">
      <c r="A234" s="3">
        <v>46195</v>
      </c>
      <c r="B234" s="4" t="s">
        <v>17</v>
      </c>
      <c r="C234" s="4" t="s">
        <v>27</v>
      </c>
      <c r="D234" s="6" t="s">
        <v>158</v>
      </c>
      <c r="E234" s="7"/>
      <c r="F234" s="7" t="s">
        <v>301</v>
      </c>
      <c r="G234" s="7" t="s">
        <v>22</v>
      </c>
      <c r="H234" s="75">
        <v>46212</v>
      </c>
      <c r="I234" s="7" t="s">
        <v>247</v>
      </c>
      <c r="J234" s="8" t="s">
        <v>24</v>
      </c>
      <c r="K234" s="7" t="s">
        <v>25</v>
      </c>
      <c r="L234" s="8">
        <v>15</v>
      </c>
      <c r="M234" s="74">
        <v>46189</v>
      </c>
      <c r="N234" s="78" t="str">
        <f>IF(AND(A234="",K472=""),"",IF(Q234="","Em Andamento",IF(M234&lt;=O234,"Dentro do Prazo","Fora do Prazo")))</f>
        <v>Dentro do Prazo</v>
      </c>
      <c r="O234" s="57">
        <f t="shared" ref="O234:O235" si="36">IF(OR(A234="",L234=""),"",A234+L234)</f>
        <v>46210</v>
      </c>
      <c r="P234" s="76" t="str">
        <f t="shared" ref="P234:P235" ca="1" si="37">IF(O234="","",IF(O234-TODAY()=0,"Vence Hoje!",IF(O234-TODAY()&gt;=0,O234-TODAY()&amp;" Dia(s) para vencer","Prazo Vencido")))</f>
        <v>Prazo Vencido</v>
      </c>
      <c r="Q234" s="84">
        <f t="shared" si="35"/>
        <v>-6</v>
      </c>
    </row>
    <row r="235" spans="1:17" ht="13">
      <c r="A235" s="3">
        <v>46190</v>
      </c>
      <c r="B235" s="4" t="s">
        <v>26</v>
      </c>
      <c r="C235" s="4" t="s">
        <v>27</v>
      </c>
      <c r="D235" s="6" t="s">
        <v>19</v>
      </c>
      <c r="E235" s="7" t="s">
        <v>302</v>
      </c>
      <c r="F235" s="7" t="s">
        <v>303</v>
      </c>
      <c r="G235" s="7" t="s">
        <v>22</v>
      </c>
      <c r="H235" s="75">
        <v>46212</v>
      </c>
      <c r="I235" s="7" t="s">
        <v>166</v>
      </c>
      <c r="J235" s="8" t="s">
        <v>24</v>
      </c>
      <c r="K235" s="7" t="s">
        <v>25</v>
      </c>
      <c r="L235" s="8">
        <v>15</v>
      </c>
      <c r="M235" s="74">
        <v>46189</v>
      </c>
      <c r="N235" s="78" t="str">
        <f>IF(AND(A235="",K473=""),"",IF(Q235="","Em Andamento",IF(M235&lt;=O235,"Dentro do Prazo","Fora do Prazo")))</f>
        <v>Dentro do Prazo</v>
      </c>
      <c r="O235" s="57">
        <f t="shared" si="36"/>
        <v>46205</v>
      </c>
      <c r="P235" s="76" t="str">
        <f t="shared" ca="1" si="37"/>
        <v>Prazo Vencido</v>
      </c>
      <c r="Q235" s="84">
        <f t="shared" si="35"/>
        <v>-1</v>
      </c>
    </row>
    <row r="236" spans="1:17" ht="13">
      <c r="A236" s="3"/>
      <c r="B236" s="4"/>
      <c r="C236" s="4"/>
      <c r="D236" s="6"/>
      <c r="E236" s="7"/>
      <c r="F236" s="7"/>
      <c r="G236" s="7"/>
      <c r="H236" s="7"/>
      <c r="I236" s="2"/>
      <c r="J236" s="8"/>
      <c r="K236" s="5"/>
      <c r="L236" s="8"/>
      <c r="M236" s="74"/>
      <c r="N236" s="78" t="str">
        <f t="shared" ref="N236:N264" si="38">IF(AND(A236="",K475=""),"",IF(Q236="","Em Andamento",IF(M236&lt;=O236,"Dentro do Prazo","Fora do Prazo")))</f>
        <v/>
      </c>
      <c r="O236" s="57" t="str">
        <f t="shared" ref="O236:O277" si="39">IF(OR(A236="",L236=""),"",A236+L236)</f>
        <v/>
      </c>
      <c r="P236" s="76" t="str">
        <f t="shared" ref="P236:P277" ca="1" si="40">IF(O236="","",IF(O236-TODAY()=0,"Vence Hoje!",IF(O236-TODAY()&gt;=0,O236-TODAY()&amp;" Dia(s) para vencer","Prazo Vencido")))</f>
        <v/>
      </c>
      <c r="Q236" s="84" t="str">
        <f t="shared" ref="Q236:Q261" si="41">IF(OR(A236="",M236=""),"",M236-A236)</f>
        <v/>
      </c>
    </row>
    <row r="237" spans="1:17" ht="13">
      <c r="A237" s="3"/>
      <c r="B237" s="4"/>
      <c r="C237" s="4"/>
      <c r="D237" s="6"/>
      <c r="E237" s="7"/>
      <c r="F237" s="7"/>
      <c r="G237" s="7"/>
      <c r="H237" s="7"/>
      <c r="I237" s="2"/>
      <c r="J237" s="8"/>
      <c r="K237" s="5"/>
      <c r="L237" s="8"/>
      <c r="M237" s="74"/>
      <c r="N237" s="78" t="str">
        <f t="shared" si="38"/>
        <v/>
      </c>
      <c r="O237" s="57" t="str">
        <f t="shared" si="39"/>
        <v/>
      </c>
      <c r="P237" s="76" t="str">
        <f t="shared" ca="1" si="40"/>
        <v/>
      </c>
      <c r="Q237" s="84" t="str">
        <f t="shared" si="41"/>
        <v/>
      </c>
    </row>
    <row r="238" spans="1:17" ht="13">
      <c r="A238" s="3"/>
      <c r="B238" s="4"/>
      <c r="C238" s="4"/>
      <c r="D238" s="6"/>
      <c r="E238" s="7"/>
      <c r="F238" s="7"/>
      <c r="G238" s="7"/>
      <c r="H238" s="7"/>
      <c r="I238" s="2"/>
      <c r="J238" s="8"/>
      <c r="K238" s="5"/>
      <c r="L238" s="8"/>
      <c r="M238" s="74"/>
      <c r="N238" s="78" t="str">
        <f t="shared" si="38"/>
        <v/>
      </c>
      <c r="O238" s="57" t="str">
        <f t="shared" si="39"/>
        <v/>
      </c>
      <c r="P238" s="76" t="str">
        <f t="shared" ca="1" si="40"/>
        <v/>
      </c>
      <c r="Q238" s="84" t="str">
        <f t="shared" si="41"/>
        <v/>
      </c>
    </row>
    <row r="239" spans="1:17" ht="13">
      <c r="A239" s="3"/>
      <c r="B239" s="4"/>
      <c r="C239" s="4"/>
      <c r="D239" s="6"/>
      <c r="E239" s="7"/>
      <c r="F239" s="7"/>
      <c r="G239" s="7"/>
      <c r="H239" s="7"/>
      <c r="I239" s="2"/>
      <c r="J239" s="8"/>
      <c r="K239" s="5"/>
      <c r="L239" s="8"/>
      <c r="M239" s="74"/>
      <c r="N239" s="78" t="str">
        <f t="shared" si="38"/>
        <v/>
      </c>
      <c r="O239" s="57" t="str">
        <f t="shared" si="39"/>
        <v/>
      </c>
      <c r="P239" s="76" t="str">
        <f t="shared" ca="1" si="40"/>
        <v/>
      </c>
      <c r="Q239" s="84" t="str">
        <f t="shared" si="41"/>
        <v/>
      </c>
    </row>
    <row r="240" spans="1:17" ht="13">
      <c r="A240" s="3"/>
      <c r="B240" s="4"/>
      <c r="C240" s="4"/>
      <c r="D240" s="6"/>
      <c r="E240" s="7"/>
      <c r="F240" s="7"/>
      <c r="G240" s="7"/>
      <c r="H240" s="7"/>
      <c r="I240" s="2"/>
      <c r="J240" s="8"/>
      <c r="K240" s="5"/>
      <c r="L240" s="8"/>
      <c r="M240" s="74"/>
      <c r="N240" s="78" t="str">
        <f t="shared" si="38"/>
        <v/>
      </c>
      <c r="O240" s="57" t="str">
        <f t="shared" si="39"/>
        <v/>
      </c>
      <c r="P240" s="76" t="str">
        <f t="shared" ca="1" si="40"/>
        <v/>
      </c>
      <c r="Q240" s="84" t="str">
        <f t="shared" si="41"/>
        <v/>
      </c>
    </row>
    <row r="241" spans="1:17" ht="13">
      <c r="A241" s="3"/>
      <c r="B241" s="4"/>
      <c r="C241" s="4"/>
      <c r="D241" s="6"/>
      <c r="E241" s="7"/>
      <c r="F241" s="7"/>
      <c r="G241" s="7"/>
      <c r="H241" s="7"/>
      <c r="I241" s="2"/>
      <c r="J241" s="8"/>
      <c r="K241" s="5"/>
      <c r="L241" s="8"/>
      <c r="M241" s="74"/>
      <c r="N241" s="78" t="str">
        <f t="shared" si="38"/>
        <v/>
      </c>
      <c r="O241" s="57" t="str">
        <f t="shared" si="39"/>
        <v/>
      </c>
      <c r="P241" s="76" t="str">
        <f t="shared" ca="1" si="40"/>
        <v/>
      </c>
      <c r="Q241" s="84" t="str">
        <f t="shared" si="41"/>
        <v/>
      </c>
    </row>
    <row r="242" spans="1:17" ht="13">
      <c r="A242" s="3"/>
      <c r="B242" s="4"/>
      <c r="C242" s="4"/>
      <c r="D242" s="6"/>
      <c r="E242" s="7"/>
      <c r="F242" s="7"/>
      <c r="G242" s="7"/>
      <c r="H242" s="7"/>
      <c r="I242" s="2"/>
      <c r="J242" s="8"/>
      <c r="K242" s="5"/>
      <c r="L242" s="8"/>
      <c r="M242" s="74"/>
      <c r="N242" s="78" t="str">
        <f t="shared" si="38"/>
        <v/>
      </c>
      <c r="O242" s="57" t="str">
        <f t="shared" si="39"/>
        <v/>
      </c>
      <c r="P242" s="76" t="str">
        <f t="shared" ca="1" si="40"/>
        <v/>
      </c>
      <c r="Q242" s="84" t="str">
        <f t="shared" si="41"/>
        <v/>
      </c>
    </row>
    <row r="243" spans="1:17" ht="13">
      <c r="A243" s="3"/>
      <c r="B243" s="4"/>
      <c r="C243" s="4"/>
      <c r="D243" s="6"/>
      <c r="E243" s="7"/>
      <c r="F243" s="7"/>
      <c r="G243" s="7"/>
      <c r="H243" s="7"/>
      <c r="I243" s="2"/>
      <c r="J243" s="8"/>
      <c r="K243" s="5"/>
      <c r="L243" s="8"/>
      <c r="M243" s="74"/>
      <c r="N243" s="78" t="str">
        <f t="shared" si="38"/>
        <v/>
      </c>
      <c r="O243" s="57" t="str">
        <f t="shared" si="39"/>
        <v/>
      </c>
      <c r="P243" s="76" t="str">
        <f t="shared" ca="1" si="40"/>
        <v/>
      </c>
      <c r="Q243" s="84" t="str">
        <f t="shared" si="41"/>
        <v/>
      </c>
    </row>
    <row r="244" spans="1:17" ht="13">
      <c r="A244" s="3"/>
      <c r="B244" s="4"/>
      <c r="C244" s="4"/>
      <c r="D244" s="6"/>
      <c r="E244" s="7"/>
      <c r="F244" s="7"/>
      <c r="G244" s="7"/>
      <c r="H244" s="7"/>
      <c r="I244" s="2"/>
      <c r="J244" s="8"/>
      <c r="K244" s="5"/>
      <c r="L244" s="8"/>
      <c r="M244" s="74"/>
      <c r="N244" s="78" t="str">
        <f t="shared" si="38"/>
        <v/>
      </c>
      <c r="O244" s="57" t="str">
        <f t="shared" si="39"/>
        <v/>
      </c>
      <c r="P244" s="76" t="str">
        <f t="shared" ca="1" si="40"/>
        <v/>
      </c>
      <c r="Q244" s="84" t="str">
        <f t="shared" si="41"/>
        <v/>
      </c>
    </row>
    <row r="245" spans="1:17" ht="13">
      <c r="A245" s="3"/>
      <c r="B245" s="4"/>
      <c r="C245" s="4"/>
      <c r="D245" s="6"/>
      <c r="E245" s="7"/>
      <c r="F245" s="7"/>
      <c r="G245" s="7"/>
      <c r="H245" s="7"/>
      <c r="I245" s="2"/>
      <c r="J245" s="8"/>
      <c r="K245" s="5"/>
      <c r="L245" s="8"/>
      <c r="M245" s="74"/>
      <c r="N245" s="78" t="str">
        <f t="shared" si="38"/>
        <v/>
      </c>
      <c r="O245" s="57" t="str">
        <f t="shared" si="39"/>
        <v/>
      </c>
      <c r="P245" s="76" t="str">
        <f t="shared" ca="1" si="40"/>
        <v/>
      </c>
      <c r="Q245" s="84" t="str">
        <f t="shared" si="41"/>
        <v/>
      </c>
    </row>
    <row r="246" spans="1:17" ht="13">
      <c r="A246" s="3"/>
      <c r="B246" s="4"/>
      <c r="C246" s="4"/>
      <c r="D246" s="6"/>
      <c r="E246" s="7"/>
      <c r="F246" s="7"/>
      <c r="G246" s="7"/>
      <c r="H246" s="7"/>
      <c r="I246" s="2"/>
      <c r="J246" s="8"/>
      <c r="K246" s="5"/>
      <c r="L246" s="8"/>
      <c r="M246" s="74"/>
      <c r="N246" s="78" t="str">
        <f t="shared" si="38"/>
        <v/>
      </c>
      <c r="O246" s="57" t="str">
        <f t="shared" si="39"/>
        <v/>
      </c>
      <c r="P246" s="76" t="str">
        <f t="shared" ca="1" si="40"/>
        <v/>
      </c>
      <c r="Q246" s="84" t="str">
        <f t="shared" si="41"/>
        <v/>
      </c>
    </row>
    <row r="247" spans="1:17" ht="13">
      <c r="A247" s="3"/>
      <c r="B247" s="4"/>
      <c r="C247" s="4"/>
      <c r="D247" s="6"/>
      <c r="E247" s="7"/>
      <c r="F247" s="7"/>
      <c r="G247" s="7"/>
      <c r="H247" s="7"/>
      <c r="I247" s="2"/>
      <c r="J247" s="8"/>
      <c r="K247" s="5"/>
      <c r="L247" s="8"/>
      <c r="M247" s="74"/>
      <c r="N247" s="78" t="str">
        <f t="shared" si="38"/>
        <v/>
      </c>
      <c r="O247" s="57" t="str">
        <f t="shared" si="39"/>
        <v/>
      </c>
      <c r="P247" s="76" t="str">
        <f t="shared" ca="1" si="40"/>
        <v/>
      </c>
      <c r="Q247" s="84" t="str">
        <f t="shared" si="41"/>
        <v/>
      </c>
    </row>
    <row r="248" spans="1:17" ht="13">
      <c r="A248" s="3"/>
      <c r="B248" s="4"/>
      <c r="C248" s="4"/>
      <c r="D248" s="6"/>
      <c r="E248" s="7"/>
      <c r="F248" s="7"/>
      <c r="G248" s="7"/>
      <c r="H248" s="7"/>
      <c r="I248" s="2"/>
      <c r="J248" s="8"/>
      <c r="K248" s="5"/>
      <c r="L248" s="8"/>
      <c r="M248" s="74"/>
      <c r="N248" s="78" t="str">
        <f t="shared" si="38"/>
        <v/>
      </c>
      <c r="O248" s="57" t="str">
        <f t="shared" si="39"/>
        <v/>
      </c>
      <c r="P248" s="76" t="str">
        <f t="shared" ca="1" si="40"/>
        <v/>
      </c>
      <c r="Q248" s="84" t="str">
        <f t="shared" si="41"/>
        <v/>
      </c>
    </row>
    <row r="249" spans="1:17" ht="13">
      <c r="A249" s="3"/>
      <c r="B249" s="4"/>
      <c r="C249" s="4"/>
      <c r="D249" s="6"/>
      <c r="E249" s="7"/>
      <c r="F249" s="7"/>
      <c r="G249" s="7"/>
      <c r="H249" s="7"/>
      <c r="I249" s="2"/>
      <c r="J249" s="8"/>
      <c r="K249" s="5"/>
      <c r="L249" s="8"/>
      <c r="M249" s="74"/>
      <c r="N249" s="78" t="str">
        <f t="shared" si="38"/>
        <v/>
      </c>
      <c r="O249" s="57" t="str">
        <f t="shared" si="39"/>
        <v/>
      </c>
      <c r="P249" s="76" t="str">
        <f t="shared" ca="1" si="40"/>
        <v/>
      </c>
      <c r="Q249" s="84" t="str">
        <f t="shared" si="41"/>
        <v/>
      </c>
    </row>
    <row r="250" spans="1:17" ht="13">
      <c r="A250" s="3"/>
      <c r="B250" s="4"/>
      <c r="C250" s="4"/>
      <c r="D250" s="6"/>
      <c r="E250" s="7"/>
      <c r="F250" s="7"/>
      <c r="G250" s="7"/>
      <c r="H250" s="7"/>
      <c r="I250" s="2"/>
      <c r="J250" s="8"/>
      <c r="K250" s="5"/>
      <c r="L250" s="8"/>
      <c r="M250" s="74"/>
      <c r="N250" s="78" t="str">
        <f t="shared" si="38"/>
        <v/>
      </c>
      <c r="O250" s="57" t="str">
        <f t="shared" si="39"/>
        <v/>
      </c>
      <c r="P250" s="76" t="str">
        <f t="shared" ca="1" si="40"/>
        <v/>
      </c>
      <c r="Q250" s="84" t="str">
        <f t="shared" si="41"/>
        <v/>
      </c>
    </row>
    <row r="251" spans="1:17" ht="13">
      <c r="A251" s="3"/>
      <c r="B251" s="4"/>
      <c r="C251" s="4"/>
      <c r="D251" s="6"/>
      <c r="E251" s="7"/>
      <c r="F251" s="7"/>
      <c r="G251" s="7"/>
      <c r="H251" s="7"/>
      <c r="I251" s="2"/>
      <c r="J251" s="8"/>
      <c r="K251" s="5"/>
      <c r="L251" s="8"/>
      <c r="M251" s="74"/>
      <c r="N251" s="78" t="str">
        <f t="shared" si="38"/>
        <v/>
      </c>
      <c r="O251" s="57" t="str">
        <f t="shared" si="39"/>
        <v/>
      </c>
      <c r="P251" s="76" t="str">
        <f t="shared" ca="1" si="40"/>
        <v/>
      </c>
      <c r="Q251" s="84" t="str">
        <f t="shared" si="41"/>
        <v/>
      </c>
    </row>
    <row r="252" spans="1:17" ht="13">
      <c r="A252" s="3"/>
      <c r="B252" s="4"/>
      <c r="C252" s="4"/>
      <c r="D252" s="6"/>
      <c r="E252" s="7"/>
      <c r="F252" s="7"/>
      <c r="G252" s="7"/>
      <c r="H252" s="7"/>
      <c r="I252" s="2"/>
      <c r="J252" s="8"/>
      <c r="K252" s="5"/>
      <c r="L252" s="8"/>
      <c r="M252" s="74"/>
      <c r="N252" s="78" t="str">
        <f t="shared" si="38"/>
        <v/>
      </c>
      <c r="O252" s="57" t="str">
        <f t="shared" si="39"/>
        <v/>
      </c>
      <c r="P252" s="76" t="str">
        <f t="shared" ca="1" si="40"/>
        <v/>
      </c>
      <c r="Q252" s="84" t="str">
        <f t="shared" si="41"/>
        <v/>
      </c>
    </row>
    <row r="253" spans="1:17" ht="13">
      <c r="A253" s="3"/>
      <c r="B253" s="4"/>
      <c r="C253" s="4"/>
      <c r="D253" s="6"/>
      <c r="E253" s="7"/>
      <c r="F253" s="7"/>
      <c r="G253" s="7"/>
      <c r="H253" s="7"/>
      <c r="I253" s="2"/>
      <c r="J253" s="8"/>
      <c r="K253" s="5"/>
      <c r="L253" s="8"/>
      <c r="M253" s="74"/>
      <c r="N253" s="78" t="str">
        <f t="shared" si="38"/>
        <v/>
      </c>
      <c r="O253" s="57" t="str">
        <f t="shared" si="39"/>
        <v/>
      </c>
      <c r="P253" s="76" t="str">
        <f t="shared" ca="1" si="40"/>
        <v/>
      </c>
      <c r="Q253" s="84" t="str">
        <f t="shared" si="41"/>
        <v/>
      </c>
    </row>
    <row r="254" spans="1:17" ht="13">
      <c r="A254" s="3"/>
      <c r="B254" s="4"/>
      <c r="C254" s="4"/>
      <c r="D254" s="6"/>
      <c r="E254" s="7"/>
      <c r="F254" s="7"/>
      <c r="G254" s="7"/>
      <c r="H254" s="7"/>
      <c r="I254" s="2"/>
      <c r="J254" s="8"/>
      <c r="K254" s="5"/>
      <c r="L254" s="8"/>
      <c r="M254" s="74"/>
      <c r="N254" s="78" t="str">
        <f t="shared" si="38"/>
        <v/>
      </c>
      <c r="O254" s="57" t="str">
        <f t="shared" si="39"/>
        <v/>
      </c>
      <c r="P254" s="76" t="str">
        <f t="shared" ca="1" si="40"/>
        <v/>
      </c>
      <c r="Q254" s="84" t="str">
        <f t="shared" si="41"/>
        <v/>
      </c>
    </row>
    <row r="255" spans="1:17" ht="13">
      <c r="A255" s="3"/>
      <c r="B255" s="4"/>
      <c r="C255" s="4"/>
      <c r="D255" s="6"/>
      <c r="E255" s="7"/>
      <c r="F255" s="7"/>
      <c r="G255" s="7"/>
      <c r="H255" s="7"/>
      <c r="I255" s="2"/>
      <c r="J255" s="8"/>
      <c r="K255" s="5"/>
      <c r="L255" s="8"/>
      <c r="M255" s="74"/>
      <c r="N255" s="78" t="str">
        <f t="shared" si="38"/>
        <v/>
      </c>
      <c r="O255" s="57" t="str">
        <f t="shared" si="39"/>
        <v/>
      </c>
      <c r="P255" s="76" t="str">
        <f t="shared" ca="1" si="40"/>
        <v/>
      </c>
      <c r="Q255" s="84" t="str">
        <f t="shared" si="41"/>
        <v/>
      </c>
    </row>
    <row r="256" spans="1:17" ht="13">
      <c r="A256" s="3"/>
      <c r="B256" s="4"/>
      <c r="C256" s="4"/>
      <c r="D256" s="6"/>
      <c r="E256" s="7"/>
      <c r="F256" s="7"/>
      <c r="G256" s="7"/>
      <c r="H256" s="7"/>
      <c r="I256" s="2"/>
      <c r="J256" s="8"/>
      <c r="K256" s="5"/>
      <c r="L256" s="8"/>
      <c r="M256" s="74"/>
      <c r="N256" s="78" t="str">
        <f t="shared" si="38"/>
        <v/>
      </c>
      <c r="O256" s="57" t="str">
        <f t="shared" si="39"/>
        <v/>
      </c>
      <c r="P256" s="76" t="str">
        <f t="shared" ca="1" si="40"/>
        <v/>
      </c>
      <c r="Q256" s="84" t="str">
        <f t="shared" si="41"/>
        <v/>
      </c>
    </row>
    <row r="257" spans="1:17" ht="13">
      <c r="A257" s="3"/>
      <c r="B257" s="4"/>
      <c r="C257" s="4"/>
      <c r="D257" s="6"/>
      <c r="E257" s="7"/>
      <c r="F257" s="7"/>
      <c r="G257" s="7"/>
      <c r="H257" s="7"/>
      <c r="I257" s="2"/>
      <c r="J257" s="8"/>
      <c r="K257" s="5"/>
      <c r="L257" s="8"/>
      <c r="M257" s="74"/>
      <c r="N257" s="78" t="str">
        <f t="shared" si="38"/>
        <v/>
      </c>
      <c r="O257" s="57" t="str">
        <f t="shared" si="39"/>
        <v/>
      </c>
      <c r="P257" s="76" t="str">
        <f t="shared" ca="1" si="40"/>
        <v/>
      </c>
      <c r="Q257" s="84" t="str">
        <f t="shared" si="41"/>
        <v/>
      </c>
    </row>
    <row r="258" spans="1:17" ht="13">
      <c r="A258" s="3"/>
      <c r="B258" s="4"/>
      <c r="C258" s="4"/>
      <c r="D258" s="6"/>
      <c r="E258" s="7"/>
      <c r="F258" s="7"/>
      <c r="G258" s="7"/>
      <c r="H258" s="7"/>
      <c r="I258" s="2"/>
      <c r="J258" s="8"/>
      <c r="K258" s="5"/>
      <c r="L258" s="8"/>
      <c r="M258" s="74"/>
      <c r="N258" s="78" t="str">
        <f t="shared" si="38"/>
        <v/>
      </c>
      <c r="O258" s="57" t="str">
        <f t="shared" si="39"/>
        <v/>
      </c>
      <c r="P258" s="76" t="str">
        <f t="shared" ca="1" si="40"/>
        <v/>
      </c>
      <c r="Q258" s="84" t="str">
        <f t="shared" si="41"/>
        <v/>
      </c>
    </row>
    <row r="259" spans="1:17" ht="13">
      <c r="A259" s="3"/>
      <c r="B259" s="4"/>
      <c r="C259" s="4"/>
      <c r="D259" s="6"/>
      <c r="E259" s="7"/>
      <c r="F259" s="7"/>
      <c r="G259" s="7"/>
      <c r="H259" s="7"/>
      <c r="I259" s="2"/>
      <c r="J259" s="8"/>
      <c r="K259" s="5"/>
      <c r="L259" s="8"/>
      <c r="M259" s="74"/>
      <c r="N259" s="78" t="str">
        <f t="shared" si="38"/>
        <v/>
      </c>
      <c r="O259" s="57" t="str">
        <f t="shared" si="39"/>
        <v/>
      </c>
      <c r="P259" s="76" t="str">
        <f t="shared" ca="1" si="40"/>
        <v/>
      </c>
      <c r="Q259" s="84" t="str">
        <f t="shared" si="41"/>
        <v/>
      </c>
    </row>
    <row r="260" spans="1:17" ht="13">
      <c r="A260" s="3"/>
      <c r="B260" s="4"/>
      <c r="C260" s="4"/>
      <c r="D260" s="6"/>
      <c r="E260" s="7"/>
      <c r="F260" s="7"/>
      <c r="G260" s="7"/>
      <c r="H260" s="7"/>
      <c r="I260" s="2"/>
      <c r="J260" s="8"/>
      <c r="K260" s="5"/>
      <c r="L260" s="8"/>
      <c r="M260" s="74"/>
      <c r="N260" s="78" t="str">
        <f t="shared" si="38"/>
        <v/>
      </c>
      <c r="O260" s="57" t="str">
        <f t="shared" si="39"/>
        <v/>
      </c>
      <c r="P260" s="76" t="str">
        <f t="shared" ca="1" si="40"/>
        <v/>
      </c>
      <c r="Q260" s="84" t="str">
        <f t="shared" si="41"/>
        <v/>
      </c>
    </row>
    <row r="261" spans="1:17" ht="13">
      <c r="A261" s="3"/>
      <c r="B261" s="4"/>
      <c r="C261" s="4"/>
      <c r="D261" s="6"/>
      <c r="E261" s="7"/>
      <c r="F261" s="7"/>
      <c r="G261" s="7"/>
      <c r="H261" s="7"/>
      <c r="I261" s="2"/>
      <c r="J261" s="8"/>
      <c r="K261" s="5"/>
      <c r="L261" s="8"/>
      <c r="M261" s="74"/>
      <c r="N261" s="78" t="str">
        <f t="shared" si="38"/>
        <v/>
      </c>
      <c r="O261" s="57" t="str">
        <f t="shared" si="39"/>
        <v/>
      </c>
      <c r="P261" s="76" t="str">
        <f t="shared" ca="1" si="40"/>
        <v/>
      </c>
      <c r="Q261" s="84" t="str">
        <f t="shared" si="41"/>
        <v/>
      </c>
    </row>
    <row r="262" spans="1:17" ht="13">
      <c r="A262" s="3"/>
      <c r="B262" s="4"/>
      <c r="C262" s="4"/>
      <c r="D262" s="6"/>
      <c r="E262" s="7"/>
      <c r="F262" s="7"/>
      <c r="G262" s="7"/>
      <c r="H262" s="7"/>
      <c r="I262" s="2"/>
      <c r="J262" s="8"/>
      <c r="K262" s="5"/>
      <c r="L262" s="8"/>
      <c r="M262" s="74"/>
      <c r="N262" s="78" t="str">
        <f t="shared" si="38"/>
        <v/>
      </c>
      <c r="O262" s="57" t="str">
        <f t="shared" si="39"/>
        <v/>
      </c>
      <c r="P262" s="76" t="str">
        <f t="shared" ca="1" si="40"/>
        <v/>
      </c>
      <c r="Q262" s="8"/>
    </row>
    <row r="263" spans="1:17" ht="13">
      <c r="A263" s="3"/>
      <c r="B263" s="4"/>
      <c r="C263" s="4"/>
      <c r="D263" s="6"/>
      <c r="E263" s="7"/>
      <c r="F263" s="7"/>
      <c r="G263" s="7"/>
      <c r="H263" s="7"/>
      <c r="I263" s="2"/>
      <c r="J263" s="8"/>
      <c r="K263" s="5"/>
      <c r="L263" s="8"/>
      <c r="M263" s="74"/>
      <c r="N263" s="78" t="str">
        <f t="shared" si="38"/>
        <v/>
      </c>
      <c r="O263" s="57" t="str">
        <f t="shared" si="39"/>
        <v/>
      </c>
      <c r="P263" s="76" t="str">
        <f t="shared" ca="1" si="40"/>
        <v/>
      </c>
      <c r="Q263" s="8"/>
    </row>
    <row r="264" spans="1:17" ht="13">
      <c r="A264" s="3"/>
      <c r="B264" s="4"/>
      <c r="C264" s="4"/>
      <c r="D264" s="6"/>
      <c r="E264" s="7"/>
      <c r="F264" s="7"/>
      <c r="G264" s="7"/>
      <c r="H264" s="7"/>
      <c r="I264" s="2"/>
      <c r="J264" s="8"/>
      <c r="K264" s="5"/>
      <c r="L264" s="8"/>
      <c r="M264" s="74"/>
      <c r="N264" s="78" t="str">
        <f t="shared" si="38"/>
        <v/>
      </c>
      <c r="O264" s="57" t="str">
        <f t="shared" si="39"/>
        <v/>
      </c>
      <c r="P264" s="76" t="str">
        <f t="shared" ca="1" si="40"/>
        <v/>
      </c>
      <c r="Q264" s="8"/>
    </row>
    <row r="265" spans="1:17" ht="13">
      <c r="A265" s="3"/>
      <c r="B265" s="4"/>
      <c r="C265" s="4"/>
      <c r="D265" s="6"/>
      <c r="E265" s="7"/>
      <c r="F265" s="7"/>
      <c r="G265" s="7"/>
      <c r="H265" s="7"/>
      <c r="I265" s="2"/>
      <c r="J265" s="8"/>
      <c r="K265" s="5"/>
      <c r="L265" s="8"/>
      <c r="M265" s="74"/>
      <c r="N265" s="8"/>
      <c r="O265" s="57" t="str">
        <f t="shared" si="39"/>
        <v/>
      </c>
      <c r="P265" s="76" t="str">
        <f t="shared" ca="1" si="40"/>
        <v/>
      </c>
      <c r="Q265" s="8"/>
    </row>
    <row r="266" spans="1:17" ht="13">
      <c r="A266" s="3"/>
      <c r="B266" s="4"/>
      <c r="C266" s="4"/>
      <c r="D266" s="6"/>
      <c r="E266" s="7"/>
      <c r="F266" s="7"/>
      <c r="G266" s="7"/>
      <c r="H266" s="7"/>
      <c r="I266" s="2"/>
      <c r="J266" s="8"/>
      <c r="K266" s="5"/>
      <c r="L266" s="8"/>
      <c r="M266" s="74"/>
      <c r="N266" s="8"/>
      <c r="O266" s="57" t="str">
        <f t="shared" si="39"/>
        <v/>
      </c>
      <c r="P266" s="76" t="str">
        <f t="shared" ca="1" si="40"/>
        <v/>
      </c>
      <c r="Q266" s="8"/>
    </row>
    <row r="267" spans="1:17" ht="13">
      <c r="A267" s="3"/>
      <c r="B267" s="4"/>
      <c r="C267" s="4"/>
      <c r="D267" s="6"/>
      <c r="E267" s="7"/>
      <c r="F267" s="7"/>
      <c r="G267" s="7"/>
      <c r="H267" s="7"/>
      <c r="I267" s="2"/>
      <c r="J267" s="8"/>
      <c r="K267" s="5"/>
      <c r="L267" s="8"/>
      <c r="M267" s="74"/>
      <c r="N267" s="8"/>
      <c r="O267" s="57" t="str">
        <f t="shared" si="39"/>
        <v/>
      </c>
      <c r="P267" s="76" t="str">
        <f t="shared" ca="1" si="40"/>
        <v/>
      </c>
      <c r="Q267" s="8"/>
    </row>
    <row r="268" spans="1:17" ht="13">
      <c r="A268" s="3"/>
      <c r="B268" s="4"/>
      <c r="C268" s="4"/>
      <c r="D268" s="6"/>
      <c r="E268" s="7"/>
      <c r="F268" s="7"/>
      <c r="G268" s="7"/>
      <c r="H268" s="7"/>
      <c r="I268" s="2"/>
      <c r="J268" s="8"/>
      <c r="K268" s="5"/>
      <c r="L268" s="8"/>
      <c r="M268" s="74"/>
      <c r="N268" s="8"/>
      <c r="O268" s="57" t="str">
        <f t="shared" si="39"/>
        <v/>
      </c>
      <c r="P268" s="76" t="str">
        <f t="shared" ca="1" si="40"/>
        <v/>
      </c>
      <c r="Q268" s="8"/>
    </row>
    <row r="269" spans="1:17" ht="13">
      <c r="A269" s="3"/>
      <c r="B269" s="4"/>
      <c r="C269" s="4"/>
      <c r="D269" s="6"/>
      <c r="E269" s="7"/>
      <c r="F269" s="7"/>
      <c r="G269" s="7"/>
      <c r="H269" s="7"/>
      <c r="I269" s="2"/>
      <c r="J269" s="8"/>
      <c r="K269" s="5"/>
      <c r="L269" s="8"/>
      <c r="M269" s="74"/>
      <c r="N269" s="8"/>
      <c r="O269" s="57" t="str">
        <f t="shared" si="39"/>
        <v/>
      </c>
      <c r="P269" s="76" t="str">
        <f t="shared" ca="1" si="40"/>
        <v/>
      </c>
      <c r="Q269" s="8"/>
    </row>
    <row r="270" spans="1:17" ht="13">
      <c r="A270" s="3"/>
      <c r="B270" s="4"/>
      <c r="C270" s="4"/>
      <c r="D270" s="6"/>
      <c r="E270" s="7"/>
      <c r="F270" s="7"/>
      <c r="G270" s="7"/>
      <c r="H270" s="7"/>
      <c r="I270" s="2"/>
      <c r="J270" s="8"/>
      <c r="K270" s="5"/>
      <c r="L270" s="8"/>
      <c r="M270" s="74"/>
      <c r="N270" s="8"/>
      <c r="O270" s="57" t="str">
        <f t="shared" si="39"/>
        <v/>
      </c>
      <c r="P270" s="76" t="str">
        <f t="shared" ca="1" si="40"/>
        <v/>
      </c>
      <c r="Q270" s="8"/>
    </row>
    <row r="271" spans="1:17" ht="13">
      <c r="A271" s="3"/>
      <c r="B271" s="4"/>
      <c r="C271" s="4"/>
      <c r="D271" s="6"/>
      <c r="E271" s="7"/>
      <c r="F271" s="7"/>
      <c r="G271" s="7"/>
      <c r="H271" s="7"/>
      <c r="I271" s="2"/>
      <c r="J271" s="8"/>
      <c r="K271" s="5"/>
      <c r="L271" s="8"/>
      <c r="M271" s="74"/>
      <c r="N271" s="8"/>
      <c r="O271" s="57" t="str">
        <f t="shared" si="39"/>
        <v/>
      </c>
      <c r="P271" s="76" t="str">
        <f t="shared" ca="1" si="40"/>
        <v/>
      </c>
      <c r="Q271" s="8"/>
    </row>
    <row r="272" spans="1:17" ht="13">
      <c r="A272" s="3"/>
      <c r="B272" s="4"/>
      <c r="C272" s="4"/>
      <c r="D272" s="6"/>
      <c r="E272" s="7"/>
      <c r="F272" s="7"/>
      <c r="G272" s="7"/>
      <c r="H272" s="7"/>
      <c r="I272" s="2"/>
      <c r="J272" s="8"/>
      <c r="K272" s="5"/>
      <c r="L272" s="8"/>
      <c r="M272" s="74"/>
      <c r="N272" s="8"/>
      <c r="O272" s="57" t="str">
        <f t="shared" si="39"/>
        <v/>
      </c>
      <c r="P272" s="76" t="str">
        <f t="shared" ca="1" si="40"/>
        <v/>
      </c>
      <c r="Q272" s="8"/>
    </row>
    <row r="273" spans="1:17" ht="13">
      <c r="A273" s="3"/>
      <c r="B273" s="4"/>
      <c r="C273" s="4"/>
      <c r="D273" s="6"/>
      <c r="E273" s="7"/>
      <c r="F273" s="7"/>
      <c r="G273" s="7"/>
      <c r="H273" s="7"/>
      <c r="I273" s="2"/>
      <c r="J273" s="8"/>
      <c r="K273" s="5"/>
      <c r="L273" s="8"/>
      <c r="M273" s="74"/>
      <c r="N273" s="8"/>
      <c r="O273" s="57" t="str">
        <f t="shared" si="39"/>
        <v/>
      </c>
      <c r="P273" s="76" t="str">
        <f t="shared" ca="1" si="40"/>
        <v/>
      </c>
      <c r="Q273" s="8"/>
    </row>
    <row r="274" spans="1:17" ht="13">
      <c r="A274" s="3"/>
      <c r="B274" s="4"/>
      <c r="C274" s="4"/>
      <c r="D274" s="6"/>
      <c r="E274" s="7"/>
      <c r="F274" s="7"/>
      <c r="G274" s="7"/>
      <c r="H274" s="7"/>
      <c r="I274" s="2"/>
      <c r="J274" s="8"/>
      <c r="K274" s="5"/>
      <c r="L274" s="8"/>
      <c r="M274" s="74"/>
      <c r="N274" s="8"/>
      <c r="O274" s="57" t="str">
        <f t="shared" si="39"/>
        <v/>
      </c>
      <c r="P274" s="76" t="str">
        <f t="shared" ca="1" si="40"/>
        <v/>
      </c>
      <c r="Q274" s="8"/>
    </row>
    <row r="275" spans="1:17" ht="13">
      <c r="A275" s="3"/>
      <c r="B275" s="4"/>
      <c r="C275" s="4"/>
      <c r="D275" s="6"/>
      <c r="E275" s="7"/>
      <c r="F275" s="7"/>
      <c r="G275" s="7"/>
      <c r="H275" s="7"/>
      <c r="I275" s="2"/>
      <c r="J275" s="8"/>
      <c r="K275" s="5"/>
      <c r="L275" s="8"/>
      <c r="M275" s="74"/>
      <c r="N275" s="8"/>
      <c r="O275" s="57" t="str">
        <f t="shared" si="39"/>
        <v/>
      </c>
      <c r="P275" s="76" t="str">
        <f t="shared" ca="1" si="40"/>
        <v/>
      </c>
      <c r="Q275" s="8"/>
    </row>
    <row r="276" spans="1:17" ht="13">
      <c r="A276" s="3"/>
      <c r="B276" s="4"/>
      <c r="C276" s="4"/>
      <c r="D276" s="6"/>
      <c r="E276" s="7"/>
      <c r="F276" s="7"/>
      <c r="G276" s="7"/>
      <c r="H276" s="7"/>
      <c r="I276" s="2"/>
      <c r="J276" s="8"/>
      <c r="K276" s="5"/>
      <c r="L276" s="8"/>
      <c r="M276" s="74"/>
      <c r="N276" s="8"/>
      <c r="O276" s="57" t="str">
        <f t="shared" si="39"/>
        <v/>
      </c>
      <c r="P276" s="76" t="str">
        <f t="shared" ca="1" si="40"/>
        <v/>
      </c>
      <c r="Q276" s="8"/>
    </row>
    <row r="277" spans="1:17" ht="13">
      <c r="A277" s="3"/>
      <c r="B277" s="4"/>
      <c r="C277" s="4"/>
      <c r="D277" s="6"/>
      <c r="E277" s="7"/>
      <c r="F277" s="7"/>
      <c r="G277" s="7"/>
      <c r="H277" s="7"/>
      <c r="I277" s="2"/>
      <c r="J277" s="8"/>
      <c r="K277" s="5"/>
      <c r="L277" s="8"/>
      <c r="M277" s="74"/>
      <c r="N277" s="8"/>
      <c r="O277" s="57" t="str">
        <f t="shared" si="39"/>
        <v/>
      </c>
      <c r="P277" s="76" t="str">
        <f t="shared" ca="1" si="40"/>
        <v/>
      </c>
      <c r="Q277" s="8"/>
    </row>
    <row r="278" spans="1:17" ht="13">
      <c r="A278" s="3"/>
      <c r="B278" s="4"/>
      <c r="C278" s="4"/>
      <c r="D278" s="6"/>
      <c r="E278" s="7"/>
      <c r="F278" s="7"/>
      <c r="G278" s="7"/>
      <c r="H278" s="7"/>
      <c r="I278" s="2"/>
      <c r="J278" s="8"/>
      <c r="K278" s="5"/>
      <c r="L278" s="8"/>
      <c r="M278" s="74"/>
      <c r="N278" s="8"/>
      <c r="O278" s="57" t="str">
        <f t="shared" ref="O278" si="42">IF(OR(A278="",L278=""),"",A278+L278)</f>
        <v/>
      </c>
      <c r="P278" s="76" t="str">
        <f t="shared" ref="P278:P340" ca="1" si="43">IF(O278="","",IF(O278-TODAY()=0,"Vence Hoje!",IF(O278-TODAY()&gt;=0,O278-TODAY()&amp;" Dia(s) para vencer","Prazo Vencido")))</f>
        <v/>
      </c>
      <c r="Q278" s="8"/>
    </row>
    <row r="279" spans="1:17" ht="13">
      <c r="A279" s="3"/>
      <c r="B279" s="4"/>
      <c r="C279" s="4"/>
      <c r="D279" s="6"/>
      <c r="E279" s="7"/>
      <c r="F279" s="7"/>
      <c r="G279" s="7"/>
      <c r="H279" s="7"/>
      <c r="I279" s="2"/>
      <c r="J279" s="8"/>
      <c r="K279" s="5"/>
      <c r="L279" s="8"/>
      <c r="M279" s="74"/>
      <c r="N279" s="8"/>
      <c r="O279" s="10"/>
      <c r="P279" s="76" t="str">
        <f t="shared" ca="1" si="43"/>
        <v/>
      </c>
      <c r="Q279" s="8"/>
    </row>
    <row r="280" spans="1:17" ht="13">
      <c r="A280" s="3"/>
      <c r="B280" s="4"/>
      <c r="C280" s="4"/>
      <c r="D280" s="6"/>
      <c r="E280" s="7"/>
      <c r="F280" s="7"/>
      <c r="G280" s="7"/>
      <c r="H280" s="7"/>
      <c r="I280" s="2"/>
      <c r="J280" s="8"/>
      <c r="K280" s="5"/>
      <c r="L280" s="8"/>
      <c r="M280" s="74"/>
      <c r="N280" s="8"/>
      <c r="O280" s="10"/>
      <c r="P280" s="76" t="str">
        <f t="shared" ca="1" si="43"/>
        <v/>
      </c>
      <c r="Q280" s="8"/>
    </row>
    <row r="281" spans="1:17" ht="13">
      <c r="A281" s="3"/>
      <c r="B281" s="4"/>
      <c r="C281" s="4"/>
      <c r="D281" s="6"/>
      <c r="E281" s="7"/>
      <c r="F281" s="7"/>
      <c r="G281" s="7"/>
      <c r="H281" s="7"/>
      <c r="I281" s="2"/>
      <c r="J281" s="8"/>
      <c r="K281" s="5"/>
      <c r="L281" s="8"/>
      <c r="M281" s="74"/>
      <c r="N281" s="8"/>
      <c r="O281" s="10"/>
      <c r="P281" s="76" t="str">
        <f t="shared" ca="1" si="43"/>
        <v/>
      </c>
      <c r="Q281" s="8"/>
    </row>
    <row r="282" spans="1:17" ht="13">
      <c r="A282" s="3"/>
      <c r="B282" s="4"/>
      <c r="C282" s="4"/>
      <c r="D282" s="6"/>
      <c r="E282" s="7"/>
      <c r="F282" s="7"/>
      <c r="G282" s="7"/>
      <c r="H282" s="7"/>
      <c r="I282" s="2"/>
      <c r="J282" s="8"/>
      <c r="K282" s="5"/>
      <c r="L282" s="8"/>
      <c r="M282" s="74"/>
      <c r="N282" s="8"/>
      <c r="O282" s="10"/>
      <c r="P282" s="76" t="str">
        <f t="shared" ca="1" si="43"/>
        <v/>
      </c>
      <c r="Q282" s="8"/>
    </row>
    <row r="283" spans="1:17" ht="13">
      <c r="A283" s="3"/>
      <c r="B283" s="4"/>
      <c r="C283" s="4"/>
      <c r="D283" s="6"/>
      <c r="E283" s="7"/>
      <c r="F283" s="7"/>
      <c r="G283" s="7"/>
      <c r="H283" s="7"/>
      <c r="I283" s="2"/>
      <c r="J283" s="8"/>
      <c r="K283" s="5"/>
      <c r="L283" s="8"/>
      <c r="M283" s="74"/>
      <c r="N283" s="8"/>
      <c r="O283" s="10"/>
      <c r="P283" s="76" t="str">
        <f t="shared" ca="1" si="43"/>
        <v/>
      </c>
      <c r="Q283" s="8"/>
    </row>
    <row r="284" spans="1:17" ht="13">
      <c r="A284" s="3"/>
      <c r="B284" s="4"/>
      <c r="C284" s="4"/>
      <c r="D284" s="6"/>
      <c r="E284" s="7"/>
      <c r="F284" s="7"/>
      <c r="G284" s="7"/>
      <c r="H284" s="7"/>
      <c r="I284" s="2"/>
      <c r="J284" s="8"/>
      <c r="K284" s="5"/>
      <c r="L284" s="8"/>
      <c r="M284" s="74"/>
      <c r="N284" s="8"/>
      <c r="O284" s="10"/>
      <c r="P284" s="76" t="str">
        <f t="shared" ca="1" si="43"/>
        <v/>
      </c>
      <c r="Q284" s="8"/>
    </row>
    <row r="285" spans="1:17" ht="13">
      <c r="A285" s="3"/>
      <c r="B285" s="4"/>
      <c r="C285" s="4"/>
      <c r="D285" s="6"/>
      <c r="E285" s="7"/>
      <c r="F285" s="7"/>
      <c r="G285" s="7"/>
      <c r="H285" s="7"/>
      <c r="I285" s="2"/>
      <c r="J285" s="8"/>
      <c r="K285" s="5"/>
      <c r="L285" s="8"/>
      <c r="M285" s="74"/>
      <c r="N285" s="8"/>
      <c r="O285" s="10"/>
      <c r="P285" s="76" t="str">
        <f t="shared" ca="1" si="43"/>
        <v/>
      </c>
      <c r="Q285" s="8"/>
    </row>
    <row r="286" spans="1:17" ht="13">
      <c r="A286" s="3"/>
      <c r="B286" s="4"/>
      <c r="C286" s="4"/>
      <c r="D286" s="6"/>
      <c r="E286" s="7"/>
      <c r="F286" s="7"/>
      <c r="G286" s="7"/>
      <c r="H286" s="7"/>
      <c r="I286" s="2"/>
      <c r="J286" s="8"/>
      <c r="K286" s="5"/>
      <c r="L286" s="8"/>
      <c r="M286" s="74"/>
      <c r="N286" s="8"/>
      <c r="O286" s="10"/>
      <c r="P286" s="76" t="str">
        <f t="shared" ca="1" si="43"/>
        <v/>
      </c>
      <c r="Q286" s="8"/>
    </row>
    <row r="287" spans="1:17" ht="13">
      <c r="A287" s="3"/>
      <c r="B287" s="4"/>
      <c r="C287" s="4"/>
      <c r="D287" s="6"/>
      <c r="E287" s="7"/>
      <c r="F287" s="7"/>
      <c r="G287" s="7"/>
      <c r="H287" s="7"/>
      <c r="I287" s="2"/>
      <c r="J287" s="8"/>
      <c r="K287" s="5"/>
      <c r="L287" s="8"/>
      <c r="M287" s="74"/>
      <c r="N287" s="8"/>
      <c r="O287" s="10"/>
      <c r="P287" s="76" t="str">
        <f t="shared" ca="1" si="43"/>
        <v/>
      </c>
      <c r="Q287" s="8"/>
    </row>
    <row r="288" spans="1:17" ht="13">
      <c r="A288" s="3"/>
      <c r="B288" s="4"/>
      <c r="C288" s="4"/>
      <c r="D288" s="6"/>
      <c r="E288" s="7"/>
      <c r="F288" s="7"/>
      <c r="G288" s="7"/>
      <c r="H288" s="7"/>
      <c r="I288" s="2"/>
      <c r="J288" s="8"/>
      <c r="K288" s="5"/>
      <c r="L288" s="8"/>
      <c r="M288" s="74"/>
      <c r="N288" s="8"/>
      <c r="O288" s="10"/>
      <c r="P288" s="76" t="str">
        <f t="shared" ca="1" si="43"/>
        <v/>
      </c>
      <c r="Q288" s="8"/>
    </row>
    <row r="289" spans="1:17" ht="13">
      <c r="A289" s="3"/>
      <c r="B289" s="4"/>
      <c r="C289" s="4"/>
      <c r="D289" s="6"/>
      <c r="E289" s="7"/>
      <c r="F289" s="7"/>
      <c r="G289" s="7"/>
      <c r="H289" s="7"/>
      <c r="I289" s="2"/>
      <c r="J289" s="8"/>
      <c r="K289" s="5"/>
      <c r="L289" s="8"/>
      <c r="M289" s="74"/>
      <c r="N289" s="8"/>
      <c r="O289" s="10"/>
      <c r="P289" s="76" t="str">
        <f t="shared" ca="1" si="43"/>
        <v/>
      </c>
      <c r="Q289" s="8"/>
    </row>
    <row r="290" spans="1:17" ht="13">
      <c r="A290" s="3"/>
      <c r="B290" s="4"/>
      <c r="C290" s="4"/>
      <c r="D290" s="6"/>
      <c r="E290" s="7"/>
      <c r="F290" s="7"/>
      <c r="G290" s="7"/>
      <c r="H290" s="7"/>
      <c r="I290" s="2"/>
      <c r="J290" s="8"/>
      <c r="K290" s="5"/>
      <c r="L290" s="8"/>
      <c r="M290" s="74"/>
      <c r="N290" s="8"/>
      <c r="O290" s="10"/>
      <c r="P290" s="76" t="str">
        <f t="shared" ca="1" si="43"/>
        <v/>
      </c>
      <c r="Q290" s="8"/>
    </row>
    <row r="291" spans="1:17" ht="13">
      <c r="A291" s="3"/>
      <c r="B291" s="4"/>
      <c r="C291" s="4"/>
      <c r="D291" s="6"/>
      <c r="E291" s="7"/>
      <c r="F291" s="7"/>
      <c r="G291" s="7"/>
      <c r="H291" s="7"/>
      <c r="I291" s="2"/>
      <c r="J291" s="8"/>
      <c r="K291" s="5"/>
      <c r="L291" s="8"/>
      <c r="M291" s="74"/>
      <c r="N291" s="8"/>
      <c r="O291" s="10"/>
      <c r="P291" s="76" t="str">
        <f t="shared" ca="1" si="43"/>
        <v/>
      </c>
      <c r="Q291" s="8"/>
    </row>
    <row r="292" spans="1:17" ht="13">
      <c r="A292" s="3"/>
      <c r="B292" s="4"/>
      <c r="C292" s="4"/>
      <c r="D292" s="6"/>
      <c r="E292" s="7"/>
      <c r="F292" s="7"/>
      <c r="G292" s="7"/>
      <c r="H292" s="7"/>
      <c r="I292" s="2"/>
      <c r="J292" s="8"/>
      <c r="K292" s="5"/>
      <c r="L292" s="8"/>
      <c r="M292" s="74"/>
      <c r="N292" s="8"/>
      <c r="O292" s="10"/>
      <c r="P292" s="76" t="str">
        <f t="shared" ca="1" si="43"/>
        <v/>
      </c>
      <c r="Q292" s="8"/>
    </row>
    <row r="293" spans="1:17" ht="13">
      <c r="A293" s="3"/>
      <c r="B293" s="4"/>
      <c r="C293" s="4"/>
      <c r="D293" s="6"/>
      <c r="E293" s="7"/>
      <c r="F293" s="7"/>
      <c r="G293" s="7"/>
      <c r="H293" s="7"/>
      <c r="I293" s="2"/>
      <c r="J293" s="8"/>
      <c r="K293" s="5"/>
      <c r="L293" s="8"/>
      <c r="M293" s="74"/>
      <c r="N293" s="8"/>
      <c r="O293" s="10"/>
      <c r="P293" s="76" t="str">
        <f t="shared" ca="1" si="43"/>
        <v/>
      </c>
      <c r="Q293" s="8"/>
    </row>
    <row r="294" spans="1:17" ht="13">
      <c r="A294" s="3"/>
      <c r="B294" s="4"/>
      <c r="C294" s="4"/>
      <c r="D294" s="6"/>
      <c r="E294" s="7"/>
      <c r="F294" s="7"/>
      <c r="G294" s="7"/>
      <c r="H294" s="7"/>
      <c r="I294" s="2"/>
      <c r="J294" s="8"/>
      <c r="K294" s="5"/>
      <c r="L294" s="8"/>
      <c r="M294" s="74"/>
      <c r="N294" s="8"/>
      <c r="O294" s="10"/>
      <c r="P294" s="76" t="str">
        <f t="shared" ca="1" si="43"/>
        <v/>
      </c>
      <c r="Q294" s="8"/>
    </row>
    <row r="295" spans="1:17" ht="13">
      <c r="A295" s="3"/>
      <c r="B295" s="4"/>
      <c r="C295" s="4"/>
      <c r="D295" s="6"/>
      <c r="E295" s="7"/>
      <c r="F295" s="7"/>
      <c r="G295" s="7"/>
      <c r="H295" s="7"/>
      <c r="I295" s="2"/>
      <c r="J295" s="8"/>
      <c r="K295" s="5"/>
      <c r="L295" s="8"/>
      <c r="M295" s="74"/>
      <c r="N295" s="8"/>
      <c r="O295" s="10"/>
      <c r="P295" s="76" t="str">
        <f t="shared" ca="1" si="43"/>
        <v/>
      </c>
      <c r="Q295" s="8"/>
    </row>
    <row r="296" spans="1:17" ht="13">
      <c r="A296" s="3">
        <v>46218</v>
      </c>
      <c r="B296" s="4" t="s">
        <v>17</v>
      </c>
      <c r="C296" s="4" t="s">
        <v>27</v>
      </c>
      <c r="D296" s="6" t="s">
        <v>19</v>
      </c>
      <c r="E296" s="7" t="s">
        <v>304</v>
      </c>
      <c r="F296" s="7" t="s">
        <v>305</v>
      </c>
      <c r="G296" s="7" t="s">
        <v>48</v>
      </c>
      <c r="H296" s="75">
        <v>46218</v>
      </c>
      <c r="I296" s="7" t="s">
        <v>166</v>
      </c>
      <c r="J296" s="8" t="s">
        <v>24</v>
      </c>
      <c r="K296" s="7" t="s">
        <v>25</v>
      </c>
      <c r="L296" s="8">
        <v>15</v>
      </c>
      <c r="M296" s="74">
        <v>46231</v>
      </c>
      <c r="N296" s="78" t="str">
        <f t="shared" ref="N296:N321" si="44">IF(AND(A296="",K534=""),"",IF(Q296="","Em Andamento",IF(M296&lt;=O296,"Dentro do Prazo","Fora do Prazo")))</f>
        <v>Dentro do Prazo</v>
      </c>
      <c r="O296" s="57">
        <f t="shared" ref="O296:O358" si="45">IF(OR(A296="",L296=""),"",A296+L296)</f>
        <v>46233</v>
      </c>
      <c r="P296" s="76" t="str">
        <f t="shared" ca="1" si="43"/>
        <v>Prazo Vencido</v>
      </c>
      <c r="Q296" s="84">
        <f t="shared" ref="Q296:Q358" si="46">IF(OR(A296="",M296=""),"",M296-A296)</f>
        <v>13</v>
      </c>
    </row>
    <row r="297" spans="1:17" ht="13">
      <c r="A297" s="3">
        <v>46218</v>
      </c>
      <c r="B297" s="4" t="s">
        <v>17</v>
      </c>
      <c r="C297" s="4" t="s">
        <v>27</v>
      </c>
      <c r="D297" s="6" t="s">
        <v>19</v>
      </c>
      <c r="E297" s="7" t="s">
        <v>306</v>
      </c>
      <c r="F297" s="7" t="s">
        <v>307</v>
      </c>
      <c r="G297" s="7" t="s">
        <v>48</v>
      </c>
      <c r="H297" s="75">
        <v>46218</v>
      </c>
      <c r="I297" s="7" t="s">
        <v>166</v>
      </c>
      <c r="J297" s="8" t="s">
        <v>24</v>
      </c>
      <c r="K297" s="7" t="s">
        <v>25</v>
      </c>
      <c r="L297" s="8">
        <v>15</v>
      </c>
      <c r="M297" s="74">
        <v>46220</v>
      </c>
      <c r="N297" s="78" t="str">
        <f t="shared" si="44"/>
        <v>Dentro do Prazo</v>
      </c>
      <c r="O297" s="57">
        <f t="shared" si="45"/>
        <v>46233</v>
      </c>
      <c r="P297" s="76" t="str">
        <f t="shared" ca="1" si="43"/>
        <v>Prazo Vencido</v>
      </c>
      <c r="Q297" s="84">
        <f t="shared" si="46"/>
        <v>2</v>
      </c>
    </row>
    <row r="298" spans="1:17" ht="13">
      <c r="A298" s="3">
        <v>46218</v>
      </c>
      <c r="B298" s="4" t="s">
        <v>17</v>
      </c>
      <c r="C298" s="4" t="s">
        <v>27</v>
      </c>
      <c r="D298" s="6" t="s">
        <v>19</v>
      </c>
      <c r="E298" s="7" t="s">
        <v>308</v>
      </c>
      <c r="F298" s="7" t="s">
        <v>309</v>
      </c>
      <c r="G298" s="7" t="s">
        <v>48</v>
      </c>
      <c r="H298" s="75">
        <v>46218</v>
      </c>
      <c r="I298" s="7" t="s">
        <v>166</v>
      </c>
      <c r="J298" s="8" t="s">
        <v>24</v>
      </c>
      <c r="K298" s="7" t="s">
        <v>25</v>
      </c>
      <c r="L298" s="8">
        <v>15</v>
      </c>
      <c r="M298" s="74">
        <v>46220</v>
      </c>
      <c r="N298" s="78" t="str">
        <f t="shared" si="44"/>
        <v>Dentro do Prazo</v>
      </c>
      <c r="O298" s="57">
        <f t="shared" si="45"/>
        <v>46233</v>
      </c>
      <c r="P298" s="76" t="str">
        <f t="shared" ca="1" si="43"/>
        <v>Prazo Vencido</v>
      </c>
      <c r="Q298" s="84">
        <f t="shared" si="46"/>
        <v>2</v>
      </c>
    </row>
    <row r="299" spans="1:17" ht="13">
      <c r="A299" s="3">
        <v>46218</v>
      </c>
      <c r="B299" s="4" t="s">
        <v>17</v>
      </c>
      <c r="C299" s="4" t="s">
        <v>27</v>
      </c>
      <c r="D299" s="6" t="s">
        <v>19</v>
      </c>
      <c r="E299" s="7" t="s">
        <v>310</v>
      </c>
      <c r="F299" s="7" t="s">
        <v>311</v>
      </c>
      <c r="G299" s="7" t="s">
        <v>22</v>
      </c>
      <c r="H299" s="75">
        <v>46218</v>
      </c>
      <c r="I299" s="7" t="s">
        <v>166</v>
      </c>
      <c r="J299" s="8" t="s">
        <v>24</v>
      </c>
      <c r="K299" s="7" t="s">
        <v>25</v>
      </c>
      <c r="L299" s="8">
        <v>15</v>
      </c>
      <c r="M299" s="74">
        <v>46220</v>
      </c>
      <c r="N299" s="78" t="str">
        <f t="shared" si="44"/>
        <v>Dentro do Prazo</v>
      </c>
      <c r="O299" s="57">
        <f t="shared" si="45"/>
        <v>46233</v>
      </c>
      <c r="P299" s="76" t="str">
        <f t="shared" ca="1" si="43"/>
        <v>Prazo Vencido</v>
      </c>
      <c r="Q299" s="84">
        <f t="shared" si="46"/>
        <v>2</v>
      </c>
    </row>
    <row r="300" spans="1:17" ht="13">
      <c r="A300" s="3">
        <v>46218</v>
      </c>
      <c r="B300" s="4" t="s">
        <v>17</v>
      </c>
      <c r="C300" s="4" t="s">
        <v>27</v>
      </c>
      <c r="D300" s="6" t="s">
        <v>19</v>
      </c>
      <c r="E300" s="7" t="s">
        <v>312</v>
      </c>
      <c r="F300" s="7" t="s">
        <v>313</v>
      </c>
      <c r="G300" s="7" t="s">
        <v>48</v>
      </c>
      <c r="H300" s="75">
        <v>46218</v>
      </c>
      <c r="I300" s="7" t="s">
        <v>166</v>
      </c>
      <c r="J300" s="8" t="s">
        <v>24</v>
      </c>
      <c r="K300" s="7" t="s">
        <v>25</v>
      </c>
      <c r="L300" s="8">
        <v>15</v>
      </c>
      <c r="M300" s="74">
        <v>46220</v>
      </c>
      <c r="N300" s="78" t="str">
        <f t="shared" si="44"/>
        <v>Dentro do Prazo</v>
      </c>
      <c r="O300" s="57">
        <f t="shared" si="45"/>
        <v>46233</v>
      </c>
      <c r="P300" s="76" t="str">
        <f t="shared" ca="1" si="43"/>
        <v>Prazo Vencido</v>
      </c>
      <c r="Q300" s="84">
        <f t="shared" si="46"/>
        <v>2</v>
      </c>
    </row>
    <row r="301" spans="1:17" ht="13">
      <c r="A301" s="3">
        <v>46218</v>
      </c>
      <c r="B301" s="4" t="s">
        <v>17</v>
      </c>
      <c r="C301" s="4" t="s">
        <v>27</v>
      </c>
      <c r="D301" s="6" t="s">
        <v>19</v>
      </c>
      <c r="E301" s="7" t="s">
        <v>314</v>
      </c>
      <c r="F301" s="7" t="s">
        <v>315</v>
      </c>
      <c r="G301" s="7" t="s">
        <v>22</v>
      </c>
      <c r="H301" s="75">
        <v>46218</v>
      </c>
      <c r="I301" s="7" t="s">
        <v>166</v>
      </c>
      <c r="J301" s="8" t="s">
        <v>24</v>
      </c>
      <c r="K301" s="7" t="s">
        <v>25</v>
      </c>
      <c r="L301" s="8">
        <v>15</v>
      </c>
      <c r="M301" s="74">
        <v>46220</v>
      </c>
      <c r="N301" s="78" t="str">
        <f t="shared" si="44"/>
        <v>Dentro do Prazo</v>
      </c>
      <c r="O301" s="57">
        <f t="shared" si="45"/>
        <v>46233</v>
      </c>
      <c r="P301" s="76" t="str">
        <f t="shared" ca="1" si="43"/>
        <v>Prazo Vencido</v>
      </c>
      <c r="Q301" s="84">
        <f t="shared" si="46"/>
        <v>2</v>
      </c>
    </row>
    <row r="302" spans="1:17" ht="13">
      <c r="A302" s="3">
        <v>46220</v>
      </c>
      <c r="B302" s="4" t="s">
        <v>17</v>
      </c>
      <c r="C302" s="4" t="s">
        <v>27</v>
      </c>
      <c r="D302" s="6" t="s">
        <v>19</v>
      </c>
      <c r="E302" s="7" t="s">
        <v>316</v>
      </c>
      <c r="F302" s="7" t="s">
        <v>317</v>
      </c>
      <c r="G302" s="7" t="s">
        <v>22</v>
      </c>
      <c r="H302" s="75">
        <v>46220</v>
      </c>
      <c r="I302" s="7" t="s">
        <v>166</v>
      </c>
      <c r="J302" s="8" t="s">
        <v>24</v>
      </c>
      <c r="K302" s="7" t="s">
        <v>25</v>
      </c>
      <c r="L302" s="8">
        <v>15</v>
      </c>
      <c r="M302" s="74">
        <v>46225</v>
      </c>
      <c r="N302" s="78" t="str">
        <f t="shared" si="44"/>
        <v>Dentro do Prazo</v>
      </c>
      <c r="O302" s="57">
        <f t="shared" si="45"/>
        <v>46235</v>
      </c>
      <c r="P302" s="76" t="str">
        <f t="shared" ca="1" si="43"/>
        <v>Prazo Vencido</v>
      </c>
      <c r="Q302" s="84">
        <f t="shared" si="46"/>
        <v>5</v>
      </c>
    </row>
    <row r="303" spans="1:17" ht="13">
      <c r="A303" s="3">
        <v>46220</v>
      </c>
      <c r="B303" s="4" t="s">
        <v>17</v>
      </c>
      <c r="C303" s="4" t="s">
        <v>27</v>
      </c>
      <c r="D303" s="6" t="s">
        <v>19</v>
      </c>
      <c r="E303" s="7" t="s">
        <v>318</v>
      </c>
      <c r="F303" s="7" t="s">
        <v>319</v>
      </c>
      <c r="G303" s="7" t="s">
        <v>22</v>
      </c>
      <c r="H303" s="75">
        <v>46220</v>
      </c>
      <c r="I303" s="7" t="s">
        <v>166</v>
      </c>
      <c r="J303" s="8" t="s">
        <v>24</v>
      </c>
      <c r="K303" s="7" t="s">
        <v>25</v>
      </c>
      <c r="L303" s="8">
        <v>15</v>
      </c>
      <c r="M303" s="74">
        <v>46225</v>
      </c>
      <c r="N303" s="78" t="str">
        <f t="shared" si="44"/>
        <v>Dentro do Prazo</v>
      </c>
      <c r="O303" s="57">
        <f t="shared" si="45"/>
        <v>46235</v>
      </c>
      <c r="P303" s="76" t="str">
        <f t="shared" ca="1" si="43"/>
        <v>Prazo Vencido</v>
      </c>
      <c r="Q303" s="84">
        <f t="shared" si="46"/>
        <v>5</v>
      </c>
    </row>
    <row r="304" spans="1:17" ht="13">
      <c r="A304" s="3">
        <v>46220</v>
      </c>
      <c r="B304" s="4" t="s">
        <v>17</v>
      </c>
      <c r="C304" s="4" t="s">
        <v>27</v>
      </c>
      <c r="D304" s="6" t="s">
        <v>19</v>
      </c>
      <c r="E304" s="7" t="s">
        <v>320</v>
      </c>
      <c r="F304" s="7" t="s">
        <v>321</v>
      </c>
      <c r="G304" s="7" t="s">
        <v>22</v>
      </c>
      <c r="H304" s="75">
        <v>46220</v>
      </c>
      <c r="I304" s="7" t="s">
        <v>166</v>
      </c>
      <c r="J304" s="8" t="s">
        <v>24</v>
      </c>
      <c r="K304" s="7" t="s">
        <v>25</v>
      </c>
      <c r="L304" s="8">
        <v>15</v>
      </c>
      <c r="M304" s="74">
        <v>46231</v>
      </c>
      <c r="N304" s="78" t="str">
        <f t="shared" si="44"/>
        <v>Dentro do Prazo</v>
      </c>
      <c r="O304" s="57">
        <f t="shared" si="45"/>
        <v>46235</v>
      </c>
      <c r="P304" s="76" t="str">
        <f t="shared" ca="1" si="43"/>
        <v>Prazo Vencido</v>
      </c>
      <c r="Q304" s="84">
        <f t="shared" si="46"/>
        <v>11</v>
      </c>
    </row>
    <row r="305" spans="1:17" ht="13">
      <c r="A305" s="3">
        <v>46220</v>
      </c>
      <c r="B305" s="4" t="s">
        <v>26</v>
      </c>
      <c r="C305" s="4" t="s">
        <v>27</v>
      </c>
      <c r="D305" s="6" t="s">
        <v>19</v>
      </c>
      <c r="E305" s="7" t="s">
        <v>322</v>
      </c>
      <c r="F305" s="7" t="s">
        <v>323</v>
      </c>
      <c r="G305" s="7" t="s">
        <v>22</v>
      </c>
      <c r="H305" s="75">
        <v>46220</v>
      </c>
      <c r="I305" s="7" t="s">
        <v>166</v>
      </c>
      <c r="J305" s="8" t="s">
        <v>24</v>
      </c>
      <c r="K305" s="7" t="s">
        <v>25</v>
      </c>
      <c r="L305" s="8">
        <v>15</v>
      </c>
      <c r="M305" s="74">
        <v>46227</v>
      </c>
      <c r="N305" s="78" t="str">
        <f t="shared" si="44"/>
        <v>Dentro do Prazo</v>
      </c>
      <c r="O305" s="57">
        <f t="shared" si="45"/>
        <v>46235</v>
      </c>
      <c r="P305" s="76" t="str">
        <f t="shared" ca="1" si="43"/>
        <v>Prazo Vencido</v>
      </c>
      <c r="Q305" s="84">
        <f t="shared" si="46"/>
        <v>7</v>
      </c>
    </row>
    <row r="306" spans="1:17" ht="13">
      <c r="A306" s="3">
        <v>46220</v>
      </c>
      <c r="B306" s="4" t="s">
        <v>26</v>
      </c>
      <c r="C306" s="4" t="s">
        <v>27</v>
      </c>
      <c r="D306" s="6" t="s">
        <v>158</v>
      </c>
      <c r="E306" s="7"/>
      <c r="F306" s="7" t="s">
        <v>324</v>
      </c>
      <c r="G306" s="7" t="s">
        <v>22</v>
      </c>
      <c r="H306" s="75">
        <v>46220</v>
      </c>
      <c r="I306" s="7" t="s">
        <v>166</v>
      </c>
      <c r="J306" s="8" t="s">
        <v>24</v>
      </c>
      <c r="K306" s="7" t="s">
        <v>25</v>
      </c>
      <c r="L306" s="8">
        <v>15</v>
      </c>
      <c r="M306" s="74">
        <v>46227</v>
      </c>
      <c r="N306" s="78" t="str">
        <f t="shared" si="44"/>
        <v>Dentro do Prazo</v>
      </c>
      <c r="O306" s="57">
        <f t="shared" si="45"/>
        <v>46235</v>
      </c>
      <c r="P306" s="76" t="str">
        <f t="shared" ca="1" si="43"/>
        <v>Prazo Vencido</v>
      </c>
      <c r="Q306" s="84">
        <f t="shared" si="46"/>
        <v>7</v>
      </c>
    </row>
    <row r="307" spans="1:17" ht="13">
      <c r="A307" s="3">
        <v>46220</v>
      </c>
      <c r="B307" s="4" t="s">
        <v>26</v>
      </c>
      <c r="C307" s="4" t="s">
        <v>27</v>
      </c>
      <c r="D307" s="6" t="s">
        <v>158</v>
      </c>
      <c r="E307" s="7"/>
      <c r="F307" s="7" t="s">
        <v>325</v>
      </c>
      <c r="G307" s="7" t="s">
        <v>22</v>
      </c>
      <c r="H307" s="75">
        <v>46220</v>
      </c>
      <c r="I307" s="7" t="s">
        <v>166</v>
      </c>
      <c r="J307" s="8" t="s">
        <v>24</v>
      </c>
      <c r="K307" s="7" t="s">
        <v>25</v>
      </c>
      <c r="L307" s="8">
        <v>15</v>
      </c>
      <c r="M307" s="74">
        <v>46227</v>
      </c>
      <c r="N307" s="78" t="str">
        <f t="shared" si="44"/>
        <v>Dentro do Prazo</v>
      </c>
      <c r="O307" s="57">
        <f t="shared" si="45"/>
        <v>46235</v>
      </c>
      <c r="P307" s="76" t="str">
        <f t="shared" ca="1" si="43"/>
        <v>Prazo Vencido</v>
      </c>
      <c r="Q307" s="84">
        <f t="shared" si="46"/>
        <v>7</v>
      </c>
    </row>
    <row r="308" spans="1:17" ht="13">
      <c r="A308" s="3">
        <v>46220</v>
      </c>
      <c r="B308" s="4" t="s">
        <v>326</v>
      </c>
      <c r="C308" s="4" t="s">
        <v>327</v>
      </c>
      <c r="D308" s="6" t="s">
        <v>19</v>
      </c>
      <c r="E308" s="7" t="s">
        <v>328</v>
      </c>
      <c r="F308" s="7" t="s">
        <v>329</v>
      </c>
      <c r="G308" s="7" t="s">
        <v>22</v>
      </c>
      <c r="H308" s="75">
        <v>46220</v>
      </c>
      <c r="I308" s="7" t="s">
        <v>166</v>
      </c>
      <c r="J308" s="8" t="s">
        <v>24</v>
      </c>
      <c r="K308" s="7" t="s">
        <v>167</v>
      </c>
      <c r="L308" s="8">
        <v>15</v>
      </c>
      <c r="M308" s="74">
        <v>46233</v>
      </c>
      <c r="N308" s="78" t="str">
        <f t="shared" si="44"/>
        <v>Dentro do Prazo</v>
      </c>
      <c r="O308" s="57">
        <f t="shared" si="45"/>
        <v>46235</v>
      </c>
      <c r="P308" s="76" t="str">
        <f t="shared" ca="1" si="43"/>
        <v>Prazo Vencido</v>
      </c>
      <c r="Q308" s="84">
        <f t="shared" si="46"/>
        <v>13</v>
      </c>
    </row>
    <row r="309" spans="1:17" ht="13">
      <c r="A309" s="3">
        <v>46224</v>
      </c>
      <c r="B309" s="4" t="s">
        <v>17</v>
      </c>
      <c r="C309" s="4" t="s">
        <v>27</v>
      </c>
      <c r="D309" s="6" t="s">
        <v>19</v>
      </c>
      <c r="E309" s="7" t="s">
        <v>330</v>
      </c>
      <c r="F309" s="7" t="s">
        <v>331</v>
      </c>
      <c r="G309" s="7" t="s">
        <v>22</v>
      </c>
      <c r="H309" s="75">
        <v>46224</v>
      </c>
      <c r="I309" s="7" t="s">
        <v>166</v>
      </c>
      <c r="J309" s="8" t="s">
        <v>24</v>
      </c>
      <c r="K309" s="7" t="s">
        <v>25</v>
      </c>
      <c r="L309" s="8">
        <v>15</v>
      </c>
      <c r="M309" s="74">
        <v>46226</v>
      </c>
      <c r="N309" s="78" t="str">
        <f t="shared" si="44"/>
        <v>Dentro do Prazo</v>
      </c>
      <c r="O309" s="57">
        <f t="shared" si="45"/>
        <v>46239</v>
      </c>
      <c r="P309" s="76" t="str">
        <f t="shared" ca="1" si="43"/>
        <v>Prazo Vencido</v>
      </c>
      <c r="Q309" s="84">
        <f t="shared" si="46"/>
        <v>2</v>
      </c>
    </row>
    <row r="310" spans="1:17" ht="13">
      <c r="A310" s="3">
        <v>46224</v>
      </c>
      <c r="B310" s="4" t="s">
        <v>17</v>
      </c>
      <c r="C310" s="4" t="s">
        <v>27</v>
      </c>
      <c r="D310" s="6" t="s">
        <v>19</v>
      </c>
      <c r="E310" s="7" t="s">
        <v>332</v>
      </c>
      <c r="F310" s="7" t="s">
        <v>333</v>
      </c>
      <c r="G310" s="7" t="s">
        <v>22</v>
      </c>
      <c r="H310" s="75">
        <v>46224</v>
      </c>
      <c r="I310" s="7" t="s">
        <v>166</v>
      </c>
      <c r="J310" s="8" t="s">
        <v>24</v>
      </c>
      <c r="K310" s="7" t="s">
        <v>25</v>
      </c>
      <c r="L310" s="8">
        <v>15</v>
      </c>
      <c r="M310" s="74">
        <v>46226</v>
      </c>
      <c r="N310" s="78" t="str">
        <f t="shared" si="44"/>
        <v>Dentro do Prazo</v>
      </c>
      <c r="O310" s="57">
        <f t="shared" si="45"/>
        <v>46239</v>
      </c>
      <c r="P310" s="76" t="str">
        <f t="shared" ca="1" si="43"/>
        <v>Prazo Vencido</v>
      </c>
      <c r="Q310" s="84">
        <f t="shared" si="46"/>
        <v>2</v>
      </c>
    </row>
    <row r="311" spans="1:17" ht="13">
      <c r="A311" s="3">
        <v>46224</v>
      </c>
      <c r="B311" s="4" t="s">
        <v>17</v>
      </c>
      <c r="C311" s="4" t="s">
        <v>27</v>
      </c>
      <c r="D311" s="6" t="s">
        <v>19</v>
      </c>
      <c r="E311" s="7" t="s">
        <v>334</v>
      </c>
      <c r="F311" s="7" t="s">
        <v>335</v>
      </c>
      <c r="G311" s="7" t="s">
        <v>22</v>
      </c>
      <c r="H311" s="75">
        <v>46224</v>
      </c>
      <c r="I311" s="7" t="s">
        <v>166</v>
      </c>
      <c r="J311" s="8" t="s">
        <v>24</v>
      </c>
      <c r="K311" s="7" t="s">
        <v>25</v>
      </c>
      <c r="L311" s="8">
        <v>15</v>
      </c>
      <c r="M311" s="74">
        <v>46231</v>
      </c>
      <c r="N311" s="78" t="str">
        <f t="shared" si="44"/>
        <v>Dentro do Prazo</v>
      </c>
      <c r="O311" s="57">
        <f t="shared" si="45"/>
        <v>46239</v>
      </c>
      <c r="P311" s="76" t="str">
        <f t="shared" ca="1" si="43"/>
        <v>Prazo Vencido</v>
      </c>
      <c r="Q311" s="84">
        <f t="shared" si="46"/>
        <v>7</v>
      </c>
    </row>
    <row r="312" spans="1:17" ht="13">
      <c r="A312" s="3">
        <v>46230</v>
      </c>
      <c r="B312" s="4" t="s">
        <v>26</v>
      </c>
      <c r="C312" s="4" t="s">
        <v>27</v>
      </c>
      <c r="D312" s="6" t="s">
        <v>19</v>
      </c>
      <c r="E312" s="7" t="s">
        <v>336</v>
      </c>
      <c r="F312" s="7" t="s">
        <v>337</v>
      </c>
      <c r="G312" s="7" t="s">
        <v>22</v>
      </c>
      <c r="H312" s="75">
        <v>46252</v>
      </c>
      <c r="I312" s="7" t="s">
        <v>166</v>
      </c>
      <c r="J312" s="8" t="s">
        <v>24</v>
      </c>
      <c r="K312" s="7" t="s">
        <v>25</v>
      </c>
      <c r="L312" s="8">
        <v>15</v>
      </c>
      <c r="M312" s="74">
        <v>46233</v>
      </c>
      <c r="N312" s="78" t="str">
        <f t="shared" si="44"/>
        <v>Dentro do Prazo</v>
      </c>
      <c r="O312" s="57">
        <f t="shared" si="45"/>
        <v>46245</v>
      </c>
      <c r="P312" s="76" t="str">
        <f t="shared" ca="1" si="43"/>
        <v>Prazo Vencido</v>
      </c>
      <c r="Q312" s="84">
        <f t="shared" si="46"/>
        <v>3</v>
      </c>
    </row>
    <row r="313" spans="1:17" ht="13">
      <c r="A313" s="3">
        <v>46233</v>
      </c>
      <c r="B313" s="4" t="s">
        <v>17</v>
      </c>
      <c r="C313" s="4" t="s">
        <v>27</v>
      </c>
      <c r="D313" s="6" t="s">
        <v>19</v>
      </c>
      <c r="E313" s="7" t="s">
        <v>338</v>
      </c>
      <c r="F313" s="7" t="s">
        <v>339</v>
      </c>
      <c r="G313" s="7" t="s">
        <v>22</v>
      </c>
      <c r="H313" s="75">
        <v>46252</v>
      </c>
      <c r="I313" s="7" t="s">
        <v>166</v>
      </c>
      <c r="J313" s="8" t="s">
        <v>24</v>
      </c>
      <c r="K313" s="7" t="s">
        <v>25</v>
      </c>
      <c r="L313" s="8">
        <v>15</v>
      </c>
      <c r="M313" s="74">
        <v>46233</v>
      </c>
      <c r="N313" s="78" t="str">
        <f t="shared" si="44"/>
        <v>Dentro do Prazo</v>
      </c>
      <c r="O313" s="57">
        <f t="shared" si="45"/>
        <v>46248</v>
      </c>
      <c r="P313" s="76" t="str">
        <f t="shared" ca="1" si="43"/>
        <v>Prazo Vencido</v>
      </c>
      <c r="Q313" s="84">
        <f t="shared" si="46"/>
        <v>0</v>
      </c>
    </row>
    <row r="314" spans="1:17" ht="13">
      <c r="A314" s="3">
        <v>46233</v>
      </c>
      <c r="B314" s="4" t="s">
        <v>17</v>
      </c>
      <c r="C314" s="4" t="s">
        <v>27</v>
      </c>
      <c r="D314" s="6" t="s">
        <v>19</v>
      </c>
      <c r="E314" s="7" t="s">
        <v>340</v>
      </c>
      <c r="F314" s="7" t="s">
        <v>341</v>
      </c>
      <c r="G314" s="7" t="s">
        <v>22</v>
      </c>
      <c r="H314" s="75">
        <v>46252</v>
      </c>
      <c r="I314" s="7" t="s">
        <v>166</v>
      </c>
      <c r="J314" s="8" t="s">
        <v>24</v>
      </c>
      <c r="K314" s="7" t="s">
        <v>25</v>
      </c>
      <c r="L314" s="8">
        <v>15</v>
      </c>
      <c r="M314" s="74">
        <v>46233</v>
      </c>
      <c r="N314" s="78" t="str">
        <f t="shared" si="44"/>
        <v>Dentro do Prazo</v>
      </c>
      <c r="O314" s="57">
        <f t="shared" si="45"/>
        <v>46248</v>
      </c>
      <c r="P314" s="76" t="str">
        <f t="shared" ca="1" si="43"/>
        <v>Prazo Vencido</v>
      </c>
      <c r="Q314" s="84">
        <f t="shared" si="46"/>
        <v>0</v>
      </c>
    </row>
    <row r="315" spans="1:17" ht="13">
      <c r="A315" s="3">
        <v>46233</v>
      </c>
      <c r="B315" s="4" t="s">
        <v>17</v>
      </c>
      <c r="C315" s="4" t="s">
        <v>27</v>
      </c>
      <c r="D315" s="6" t="s">
        <v>19</v>
      </c>
      <c r="E315" s="7" t="s">
        <v>342</v>
      </c>
      <c r="F315" s="7" t="s">
        <v>343</v>
      </c>
      <c r="G315" s="7" t="s">
        <v>22</v>
      </c>
      <c r="H315" s="75">
        <v>46252</v>
      </c>
      <c r="I315" s="7" t="s">
        <v>166</v>
      </c>
      <c r="J315" s="8" t="s">
        <v>24</v>
      </c>
      <c r="K315" s="7" t="s">
        <v>25</v>
      </c>
      <c r="L315" s="8">
        <v>15</v>
      </c>
      <c r="M315" s="74">
        <v>46233</v>
      </c>
      <c r="N315" s="78" t="str">
        <f t="shared" si="44"/>
        <v>Dentro do Prazo</v>
      </c>
      <c r="O315" s="57">
        <f t="shared" si="45"/>
        <v>46248</v>
      </c>
      <c r="P315" s="76" t="str">
        <f t="shared" ca="1" si="43"/>
        <v>Prazo Vencido</v>
      </c>
      <c r="Q315" s="84">
        <f t="shared" si="46"/>
        <v>0</v>
      </c>
    </row>
    <row r="316" spans="1:17" ht="13">
      <c r="A316" s="3">
        <v>46233</v>
      </c>
      <c r="B316" s="4" t="s">
        <v>17</v>
      </c>
      <c r="C316" s="4" t="s">
        <v>27</v>
      </c>
      <c r="D316" s="6" t="s">
        <v>19</v>
      </c>
      <c r="E316" s="7" t="s">
        <v>344</v>
      </c>
      <c r="F316" s="7" t="s">
        <v>345</v>
      </c>
      <c r="G316" s="7" t="s">
        <v>22</v>
      </c>
      <c r="H316" s="75">
        <v>46252</v>
      </c>
      <c r="I316" s="7" t="s">
        <v>166</v>
      </c>
      <c r="J316" s="8" t="s">
        <v>24</v>
      </c>
      <c r="K316" s="7" t="s">
        <v>25</v>
      </c>
      <c r="L316" s="8">
        <v>15</v>
      </c>
      <c r="M316" s="74">
        <v>46238</v>
      </c>
      <c r="N316" s="78" t="str">
        <f t="shared" si="44"/>
        <v>Dentro do Prazo</v>
      </c>
      <c r="O316" s="57">
        <f t="shared" si="45"/>
        <v>46248</v>
      </c>
      <c r="P316" s="76" t="str">
        <f t="shared" ca="1" si="43"/>
        <v>Prazo Vencido</v>
      </c>
      <c r="Q316" s="84">
        <f t="shared" si="46"/>
        <v>5</v>
      </c>
    </row>
    <row r="317" spans="1:17" ht="13">
      <c r="A317" s="3">
        <v>46234</v>
      </c>
      <c r="B317" s="4" t="s">
        <v>17</v>
      </c>
      <c r="C317" s="4" t="s">
        <v>27</v>
      </c>
      <c r="D317" s="6" t="s">
        <v>19</v>
      </c>
      <c r="E317" s="7" t="s">
        <v>346</v>
      </c>
      <c r="F317" s="7" t="s">
        <v>347</v>
      </c>
      <c r="G317" s="7" t="s">
        <v>22</v>
      </c>
      <c r="H317" s="75">
        <v>46252</v>
      </c>
      <c r="I317" s="7" t="s">
        <v>166</v>
      </c>
      <c r="J317" s="8" t="s">
        <v>24</v>
      </c>
      <c r="K317" s="7" t="s">
        <v>25</v>
      </c>
      <c r="L317" s="8">
        <v>15</v>
      </c>
      <c r="M317" s="74">
        <v>46238</v>
      </c>
      <c r="N317" s="78" t="str">
        <f t="shared" si="44"/>
        <v>Dentro do Prazo</v>
      </c>
      <c r="O317" s="57">
        <f t="shared" si="45"/>
        <v>46249</v>
      </c>
      <c r="P317" s="76" t="str">
        <f t="shared" ca="1" si="43"/>
        <v>Prazo Vencido</v>
      </c>
      <c r="Q317" s="84">
        <f t="shared" si="46"/>
        <v>4</v>
      </c>
    </row>
    <row r="318" spans="1:17" ht="13">
      <c r="A318" s="3">
        <v>46234</v>
      </c>
      <c r="B318" s="4" t="s">
        <v>17</v>
      </c>
      <c r="C318" s="4" t="s">
        <v>27</v>
      </c>
      <c r="D318" s="6" t="s">
        <v>19</v>
      </c>
      <c r="E318" s="7" t="s">
        <v>348</v>
      </c>
      <c r="F318" s="7" t="s">
        <v>349</v>
      </c>
      <c r="G318" s="7" t="s">
        <v>48</v>
      </c>
      <c r="H318" s="75">
        <v>46252</v>
      </c>
      <c r="I318" s="7" t="s">
        <v>166</v>
      </c>
      <c r="J318" s="8" t="s">
        <v>24</v>
      </c>
      <c r="K318" s="7" t="s">
        <v>25</v>
      </c>
      <c r="L318" s="8">
        <v>15</v>
      </c>
      <c r="M318" s="74">
        <v>46238</v>
      </c>
      <c r="N318" s="78" t="str">
        <f t="shared" si="44"/>
        <v>Dentro do Prazo</v>
      </c>
      <c r="O318" s="57">
        <f t="shared" si="45"/>
        <v>46249</v>
      </c>
      <c r="P318" s="76" t="str">
        <f t="shared" ca="1" si="43"/>
        <v>Prazo Vencido</v>
      </c>
      <c r="Q318" s="84">
        <f t="shared" si="46"/>
        <v>4</v>
      </c>
    </row>
    <row r="319" spans="1:17" ht="13">
      <c r="A319" s="3">
        <v>46234</v>
      </c>
      <c r="B319" s="4" t="s">
        <v>17</v>
      </c>
      <c r="C319" s="4" t="s">
        <v>27</v>
      </c>
      <c r="D319" s="6" t="s">
        <v>19</v>
      </c>
      <c r="E319" s="7" t="s">
        <v>350</v>
      </c>
      <c r="F319" s="7" t="s">
        <v>351</v>
      </c>
      <c r="G319" s="7" t="s">
        <v>48</v>
      </c>
      <c r="H319" s="75">
        <v>46252</v>
      </c>
      <c r="I319" s="7" t="s">
        <v>166</v>
      </c>
      <c r="J319" s="8" t="s">
        <v>24</v>
      </c>
      <c r="K319" s="7" t="s">
        <v>25</v>
      </c>
      <c r="L319" s="8">
        <v>15</v>
      </c>
      <c r="M319" s="74">
        <v>46238</v>
      </c>
      <c r="N319" s="78" t="str">
        <f t="shared" si="44"/>
        <v>Dentro do Prazo</v>
      </c>
      <c r="O319" s="57">
        <f t="shared" si="45"/>
        <v>46249</v>
      </c>
      <c r="P319" s="76" t="str">
        <f t="shared" ca="1" si="43"/>
        <v>Prazo Vencido</v>
      </c>
      <c r="Q319" s="84">
        <f t="shared" si="46"/>
        <v>4</v>
      </c>
    </row>
    <row r="320" spans="1:17" ht="13">
      <c r="A320" s="3">
        <v>46234</v>
      </c>
      <c r="B320" s="4" t="s">
        <v>17</v>
      </c>
      <c r="C320" s="4" t="s">
        <v>27</v>
      </c>
      <c r="D320" s="6" t="s">
        <v>19</v>
      </c>
      <c r="E320" s="7" t="s">
        <v>352</v>
      </c>
      <c r="F320" s="7" t="s">
        <v>353</v>
      </c>
      <c r="G320" s="7" t="s">
        <v>48</v>
      </c>
      <c r="H320" s="75">
        <v>46252</v>
      </c>
      <c r="I320" s="7" t="s">
        <v>166</v>
      </c>
      <c r="J320" s="8" t="s">
        <v>24</v>
      </c>
      <c r="K320" s="7" t="s">
        <v>25</v>
      </c>
      <c r="L320" s="8">
        <v>15</v>
      </c>
      <c r="M320" s="74">
        <v>46238</v>
      </c>
      <c r="N320" s="78" t="str">
        <f t="shared" si="44"/>
        <v>Dentro do Prazo</v>
      </c>
      <c r="O320" s="57">
        <f t="shared" si="45"/>
        <v>46249</v>
      </c>
      <c r="P320" s="76" t="str">
        <f t="shared" ca="1" si="43"/>
        <v>Prazo Vencido</v>
      </c>
      <c r="Q320" s="84">
        <f t="shared" si="46"/>
        <v>4</v>
      </c>
    </row>
    <row r="321" spans="1:17" ht="13">
      <c r="A321" s="3">
        <v>46234</v>
      </c>
      <c r="B321" s="4" t="s">
        <v>17</v>
      </c>
      <c r="C321" s="4" t="s">
        <v>27</v>
      </c>
      <c r="D321" s="6" t="s">
        <v>19</v>
      </c>
      <c r="E321" s="7" t="s">
        <v>354</v>
      </c>
      <c r="F321" s="7" t="s">
        <v>355</v>
      </c>
      <c r="G321" s="7" t="s">
        <v>22</v>
      </c>
      <c r="H321" s="75">
        <v>46252</v>
      </c>
      <c r="I321" s="7" t="s">
        <v>166</v>
      </c>
      <c r="J321" s="8" t="s">
        <v>24</v>
      </c>
      <c r="K321" s="7" t="s">
        <v>25</v>
      </c>
      <c r="L321" s="8">
        <v>15</v>
      </c>
      <c r="M321" s="74">
        <v>46238</v>
      </c>
      <c r="N321" s="78" t="str">
        <f t="shared" si="44"/>
        <v>Dentro do Prazo</v>
      </c>
      <c r="O321" s="57">
        <f t="shared" si="45"/>
        <v>46249</v>
      </c>
      <c r="P321" s="76" t="str">
        <f t="shared" ca="1" si="43"/>
        <v>Prazo Vencido</v>
      </c>
      <c r="Q321" s="84">
        <f t="shared" si="46"/>
        <v>4</v>
      </c>
    </row>
    <row r="322" spans="1:17" ht="13">
      <c r="A322" s="3"/>
      <c r="B322" s="4"/>
      <c r="C322" s="4"/>
      <c r="D322" s="6"/>
      <c r="E322" s="7"/>
      <c r="F322" s="7"/>
      <c r="G322" s="7"/>
      <c r="H322" s="75">
        <v>46252</v>
      </c>
      <c r="I322" s="2"/>
      <c r="J322" s="8"/>
      <c r="K322" s="5"/>
      <c r="L322" s="8"/>
      <c r="M322" s="74"/>
      <c r="N322" s="78" t="str">
        <f t="shared" ref="N322:N358" si="47">IF(AND(A322="",K561=""),"",IF(Q322="","Em Andamento",IF(M322&lt;=O322,"Dentro do Prazo","Fora do Prazo")))</f>
        <v/>
      </c>
      <c r="O322" s="57" t="str">
        <f t="shared" si="45"/>
        <v/>
      </c>
      <c r="P322" s="76" t="str">
        <f t="shared" ca="1" si="43"/>
        <v/>
      </c>
      <c r="Q322" s="84" t="str">
        <f t="shared" si="46"/>
        <v/>
      </c>
    </row>
    <row r="323" spans="1:17" ht="13">
      <c r="A323" s="3"/>
      <c r="B323" s="4"/>
      <c r="C323" s="4"/>
      <c r="D323" s="6"/>
      <c r="E323" s="7"/>
      <c r="F323" s="7"/>
      <c r="G323" s="7"/>
      <c r="H323" s="75">
        <v>46252</v>
      </c>
      <c r="I323" s="2"/>
      <c r="J323" s="8"/>
      <c r="K323" s="5"/>
      <c r="L323" s="8"/>
      <c r="M323" s="74"/>
      <c r="N323" s="78" t="str">
        <f t="shared" si="47"/>
        <v/>
      </c>
      <c r="O323" s="57" t="str">
        <f t="shared" si="45"/>
        <v/>
      </c>
      <c r="P323" s="76" t="str">
        <f t="shared" ca="1" si="43"/>
        <v/>
      </c>
      <c r="Q323" s="84" t="str">
        <f t="shared" si="46"/>
        <v/>
      </c>
    </row>
    <row r="324" spans="1:17" ht="13">
      <c r="A324" s="3"/>
      <c r="B324" s="4"/>
      <c r="C324" s="4"/>
      <c r="D324" s="6"/>
      <c r="E324" s="7"/>
      <c r="F324" s="7"/>
      <c r="G324" s="7"/>
      <c r="H324" s="75">
        <v>46252</v>
      </c>
      <c r="I324" s="2"/>
      <c r="J324" s="8"/>
      <c r="K324" s="5"/>
      <c r="L324" s="8"/>
      <c r="M324" s="74"/>
      <c r="N324" s="78" t="str">
        <f t="shared" si="47"/>
        <v/>
      </c>
      <c r="O324" s="57" t="str">
        <f t="shared" si="45"/>
        <v/>
      </c>
      <c r="P324" s="76" t="str">
        <f t="shared" ca="1" si="43"/>
        <v/>
      </c>
      <c r="Q324" s="84" t="str">
        <f t="shared" si="46"/>
        <v/>
      </c>
    </row>
    <row r="325" spans="1:17" ht="13">
      <c r="A325" s="3"/>
      <c r="B325" s="4"/>
      <c r="C325" s="4"/>
      <c r="D325" s="6"/>
      <c r="E325" s="7"/>
      <c r="F325" s="7"/>
      <c r="G325" s="7"/>
      <c r="H325" s="75">
        <v>46252</v>
      </c>
      <c r="I325" s="2"/>
      <c r="J325" s="8"/>
      <c r="K325" s="5"/>
      <c r="L325" s="8"/>
      <c r="M325" s="74"/>
      <c r="N325" s="78" t="str">
        <f t="shared" si="47"/>
        <v/>
      </c>
      <c r="O325" s="57" t="str">
        <f t="shared" si="45"/>
        <v/>
      </c>
      <c r="P325" s="76" t="str">
        <f t="shared" ca="1" si="43"/>
        <v/>
      </c>
      <c r="Q325" s="84" t="str">
        <f t="shared" si="46"/>
        <v/>
      </c>
    </row>
    <row r="326" spans="1:17" ht="13">
      <c r="A326" s="3"/>
      <c r="B326" s="4"/>
      <c r="C326" s="4"/>
      <c r="D326" s="6"/>
      <c r="E326" s="7"/>
      <c r="F326" s="7"/>
      <c r="G326" s="7"/>
      <c r="H326" s="75">
        <v>46252</v>
      </c>
      <c r="I326" s="2"/>
      <c r="J326" s="8"/>
      <c r="K326" s="5"/>
      <c r="L326" s="8"/>
      <c r="M326" s="74"/>
      <c r="N326" s="78" t="str">
        <f t="shared" si="47"/>
        <v/>
      </c>
      <c r="O326" s="57" t="str">
        <f t="shared" si="45"/>
        <v/>
      </c>
      <c r="P326" s="76" t="str">
        <f t="shared" ca="1" si="43"/>
        <v/>
      </c>
      <c r="Q326" s="84" t="str">
        <f t="shared" si="46"/>
        <v/>
      </c>
    </row>
    <row r="327" spans="1:17" ht="13">
      <c r="A327" s="3"/>
      <c r="B327" s="4"/>
      <c r="C327" s="4"/>
      <c r="D327" s="6"/>
      <c r="E327" s="7"/>
      <c r="F327" s="7"/>
      <c r="G327" s="7"/>
      <c r="H327" s="75">
        <v>46252</v>
      </c>
      <c r="I327" s="2"/>
      <c r="J327" s="8"/>
      <c r="K327" s="5"/>
      <c r="L327" s="8"/>
      <c r="M327" s="74"/>
      <c r="N327" s="78" t="str">
        <f t="shared" si="47"/>
        <v/>
      </c>
      <c r="O327" s="57" t="str">
        <f t="shared" si="45"/>
        <v/>
      </c>
      <c r="P327" s="76" t="str">
        <f t="shared" ca="1" si="43"/>
        <v/>
      </c>
      <c r="Q327" s="84" t="str">
        <f t="shared" si="46"/>
        <v/>
      </c>
    </row>
    <row r="328" spans="1:17" ht="13">
      <c r="A328" s="3"/>
      <c r="B328" s="4"/>
      <c r="C328" s="4"/>
      <c r="D328" s="6"/>
      <c r="E328" s="7"/>
      <c r="F328" s="7"/>
      <c r="G328" s="7"/>
      <c r="H328" s="75">
        <v>46252</v>
      </c>
      <c r="I328" s="2"/>
      <c r="J328" s="8"/>
      <c r="K328" s="5"/>
      <c r="L328" s="8"/>
      <c r="M328" s="74"/>
      <c r="N328" s="78" t="str">
        <f t="shared" si="47"/>
        <v/>
      </c>
      <c r="O328" s="57" t="str">
        <f t="shared" si="45"/>
        <v/>
      </c>
      <c r="P328" s="76" t="str">
        <f t="shared" ca="1" si="43"/>
        <v/>
      </c>
      <c r="Q328" s="84" t="str">
        <f t="shared" si="46"/>
        <v/>
      </c>
    </row>
    <row r="329" spans="1:17" ht="13">
      <c r="A329" s="3"/>
      <c r="B329" s="4"/>
      <c r="C329" s="4"/>
      <c r="D329" s="6"/>
      <c r="E329" s="7"/>
      <c r="F329" s="7"/>
      <c r="G329" s="7"/>
      <c r="H329" s="75">
        <v>46252</v>
      </c>
      <c r="I329" s="2"/>
      <c r="J329" s="8"/>
      <c r="K329" s="5"/>
      <c r="L329" s="8"/>
      <c r="M329" s="74"/>
      <c r="N329" s="78" t="str">
        <f t="shared" si="47"/>
        <v/>
      </c>
      <c r="O329" s="57" t="str">
        <f t="shared" si="45"/>
        <v/>
      </c>
      <c r="P329" s="76" t="str">
        <f t="shared" ca="1" si="43"/>
        <v/>
      </c>
      <c r="Q329" s="84" t="str">
        <f t="shared" si="46"/>
        <v/>
      </c>
    </row>
    <row r="330" spans="1:17" ht="13">
      <c r="A330" s="3"/>
      <c r="B330" s="4"/>
      <c r="C330" s="4"/>
      <c r="D330" s="6"/>
      <c r="E330" s="7"/>
      <c r="F330" s="7"/>
      <c r="G330" s="7"/>
      <c r="H330" s="75">
        <v>46252</v>
      </c>
      <c r="I330" s="2"/>
      <c r="J330" s="8"/>
      <c r="K330" s="5"/>
      <c r="L330" s="8"/>
      <c r="M330" s="74"/>
      <c r="N330" s="78" t="str">
        <f t="shared" si="47"/>
        <v/>
      </c>
      <c r="O330" s="57" t="str">
        <f t="shared" si="45"/>
        <v/>
      </c>
      <c r="P330" s="76" t="str">
        <f t="shared" ca="1" si="43"/>
        <v/>
      </c>
      <c r="Q330" s="84" t="str">
        <f t="shared" si="46"/>
        <v/>
      </c>
    </row>
    <row r="331" spans="1:17" ht="13">
      <c r="A331" s="3"/>
      <c r="B331" s="4"/>
      <c r="C331" s="4"/>
      <c r="D331" s="6"/>
      <c r="E331" s="7"/>
      <c r="F331" s="7"/>
      <c r="G331" s="7"/>
      <c r="H331" s="75">
        <v>46252</v>
      </c>
      <c r="I331" s="2"/>
      <c r="J331" s="8"/>
      <c r="K331" s="5"/>
      <c r="L331" s="8"/>
      <c r="M331" s="74"/>
      <c r="N331" s="78" t="str">
        <f t="shared" si="47"/>
        <v/>
      </c>
      <c r="O331" s="57" t="str">
        <f t="shared" si="45"/>
        <v/>
      </c>
      <c r="P331" s="76" t="str">
        <f t="shared" ca="1" si="43"/>
        <v/>
      </c>
      <c r="Q331" s="84" t="str">
        <f t="shared" si="46"/>
        <v/>
      </c>
    </row>
    <row r="332" spans="1:17" ht="13">
      <c r="A332" s="3"/>
      <c r="B332" s="4"/>
      <c r="C332" s="4"/>
      <c r="D332" s="6"/>
      <c r="E332" s="7"/>
      <c r="F332" s="7"/>
      <c r="G332" s="7"/>
      <c r="H332" s="75">
        <v>46252</v>
      </c>
      <c r="I332" s="2"/>
      <c r="J332" s="8"/>
      <c r="K332" s="5"/>
      <c r="L332" s="8"/>
      <c r="M332" s="74"/>
      <c r="N332" s="78" t="str">
        <f t="shared" si="47"/>
        <v/>
      </c>
      <c r="O332" s="57" t="str">
        <f t="shared" si="45"/>
        <v/>
      </c>
      <c r="P332" s="76" t="str">
        <f t="shared" ca="1" si="43"/>
        <v/>
      </c>
      <c r="Q332" s="84" t="str">
        <f t="shared" si="46"/>
        <v/>
      </c>
    </row>
    <row r="333" spans="1:17" ht="13">
      <c r="A333" s="3"/>
      <c r="B333" s="4"/>
      <c r="C333" s="4"/>
      <c r="D333" s="6"/>
      <c r="E333" s="7"/>
      <c r="F333" s="7"/>
      <c r="G333" s="7"/>
      <c r="H333" s="75">
        <v>46252</v>
      </c>
      <c r="I333" s="2"/>
      <c r="J333" s="8"/>
      <c r="K333" s="5"/>
      <c r="L333" s="8"/>
      <c r="M333" s="74"/>
      <c r="N333" s="78" t="str">
        <f t="shared" si="47"/>
        <v/>
      </c>
      <c r="O333" s="57" t="str">
        <f t="shared" si="45"/>
        <v/>
      </c>
      <c r="P333" s="76" t="str">
        <f t="shared" ca="1" si="43"/>
        <v/>
      </c>
      <c r="Q333" s="84" t="str">
        <f t="shared" si="46"/>
        <v/>
      </c>
    </row>
    <row r="334" spans="1:17" ht="13">
      <c r="A334" s="3"/>
      <c r="B334" s="4"/>
      <c r="C334" s="4"/>
      <c r="D334" s="6"/>
      <c r="E334" s="7"/>
      <c r="F334" s="7"/>
      <c r="G334" s="7"/>
      <c r="H334" s="75">
        <v>46252</v>
      </c>
      <c r="I334" s="2"/>
      <c r="J334" s="8"/>
      <c r="K334" s="5"/>
      <c r="L334" s="8"/>
      <c r="M334" s="74"/>
      <c r="N334" s="78" t="str">
        <f t="shared" si="47"/>
        <v/>
      </c>
      <c r="O334" s="57" t="str">
        <f t="shared" si="45"/>
        <v/>
      </c>
      <c r="P334" s="76" t="str">
        <f t="shared" ca="1" si="43"/>
        <v/>
      </c>
      <c r="Q334" s="84" t="str">
        <f t="shared" si="46"/>
        <v/>
      </c>
    </row>
    <row r="335" spans="1:17" ht="13">
      <c r="A335" s="3"/>
      <c r="B335" s="4"/>
      <c r="C335" s="4"/>
      <c r="D335" s="6"/>
      <c r="E335" s="7"/>
      <c r="F335" s="7"/>
      <c r="G335" s="7"/>
      <c r="H335" s="75">
        <v>46252</v>
      </c>
      <c r="I335" s="2"/>
      <c r="J335" s="8"/>
      <c r="K335" s="5"/>
      <c r="L335" s="8"/>
      <c r="M335" s="74"/>
      <c r="N335" s="78" t="str">
        <f t="shared" si="47"/>
        <v/>
      </c>
      <c r="O335" s="57" t="str">
        <f t="shared" si="45"/>
        <v/>
      </c>
      <c r="P335" s="76" t="str">
        <f t="shared" ca="1" si="43"/>
        <v/>
      </c>
      <c r="Q335" s="84" t="str">
        <f t="shared" si="46"/>
        <v/>
      </c>
    </row>
    <row r="336" spans="1:17" ht="13">
      <c r="A336" s="3"/>
      <c r="B336" s="4"/>
      <c r="C336" s="4"/>
      <c r="D336" s="6"/>
      <c r="E336" s="7"/>
      <c r="F336" s="7"/>
      <c r="G336" s="7"/>
      <c r="H336" s="75">
        <v>46252</v>
      </c>
      <c r="I336" s="2"/>
      <c r="J336" s="8"/>
      <c r="K336" s="5"/>
      <c r="L336" s="8"/>
      <c r="M336" s="74"/>
      <c r="N336" s="78" t="str">
        <f t="shared" si="47"/>
        <v/>
      </c>
      <c r="O336" s="57" t="str">
        <f t="shared" si="45"/>
        <v/>
      </c>
      <c r="P336" s="76" t="str">
        <f t="shared" ca="1" si="43"/>
        <v/>
      </c>
      <c r="Q336" s="84" t="str">
        <f t="shared" si="46"/>
        <v/>
      </c>
    </row>
    <row r="337" spans="1:17" ht="13">
      <c r="A337" s="3"/>
      <c r="B337" s="4"/>
      <c r="C337" s="4"/>
      <c r="D337" s="6"/>
      <c r="E337" s="7"/>
      <c r="F337" s="7"/>
      <c r="G337" s="7"/>
      <c r="H337" s="75">
        <v>46252</v>
      </c>
      <c r="I337" s="2"/>
      <c r="J337" s="8"/>
      <c r="K337" s="5"/>
      <c r="L337" s="8"/>
      <c r="M337" s="74"/>
      <c r="N337" s="78" t="str">
        <f t="shared" si="47"/>
        <v/>
      </c>
      <c r="O337" s="57" t="str">
        <f t="shared" si="45"/>
        <v/>
      </c>
      <c r="P337" s="76" t="str">
        <f t="shared" ca="1" si="43"/>
        <v/>
      </c>
      <c r="Q337" s="84" t="str">
        <f t="shared" si="46"/>
        <v/>
      </c>
    </row>
    <row r="338" spans="1:17" ht="13">
      <c r="A338" s="3"/>
      <c r="B338" s="4"/>
      <c r="C338" s="4"/>
      <c r="D338" s="6"/>
      <c r="E338" s="7"/>
      <c r="F338" s="7"/>
      <c r="G338" s="7"/>
      <c r="H338" s="75">
        <v>46252</v>
      </c>
      <c r="I338" s="2"/>
      <c r="J338" s="8"/>
      <c r="K338" s="5"/>
      <c r="L338" s="8"/>
      <c r="M338" s="74"/>
      <c r="N338" s="78" t="str">
        <f t="shared" si="47"/>
        <v/>
      </c>
      <c r="O338" s="57" t="str">
        <f t="shared" si="45"/>
        <v/>
      </c>
      <c r="P338" s="76" t="str">
        <f t="shared" ca="1" si="43"/>
        <v/>
      </c>
      <c r="Q338" s="84" t="str">
        <f t="shared" si="46"/>
        <v/>
      </c>
    </row>
    <row r="339" spans="1:17" ht="13">
      <c r="A339" s="3"/>
      <c r="B339" s="4"/>
      <c r="C339" s="4"/>
      <c r="D339" s="6"/>
      <c r="E339" s="7"/>
      <c r="F339" s="7"/>
      <c r="G339" s="7"/>
      <c r="H339" s="75">
        <v>46252</v>
      </c>
      <c r="I339" s="2"/>
      <c r="J339" s="8"/>
      <c r="K339" s="5"/>
      <c r="L339" s="8"/>
      <c r="M339" s="74"/>
      <c r="N339" s="78" t="str">
        <f t="shared" si="47"/>
        <v/>
      </c>
      <c r="O339" s="57" t="str">
        <f t="shared" si="45"/>
        <v/>
      </c>
      <c r="P339" s="76" t="str">
        <f t="shared" ca="1" si="43"/>
        <v/>
      </c>
      <c r="Q339" s="84" t="str">
        <f t="shared" si="46"/>
        <v/>
      </c>
    </row>
    <row r="340" spans="1:17" ht="13">
      <c r="A340" s="3"/>
      <c r="B340" s="4"/>
      <c r="C340" s="4"/>
      <c r="D340" s="6"/>
      <c r="E340" s="7"/>
      <c r="F340" s="7"/>
      <c r="G340" s="7"/>
      <c r="H340" s="75">
        <v>46252</v>
      </c>
      <c r="I340" s="2"/>
      <c r="J340" s="8"/>
      <c r="K340" s="5"/>
      <c r="L340" s="8"/>
      <c r="M340" s="74"/>
      <c r="N340" s="78" t="str">
        <f t="shared" si="47"/>
        <v/>
      </c>
      <c r="O340" s="57" t="str">
        <f t="shared" si="45"/>
        <v/>
      </c>
      <c r="P340" s="76" t="str">
        <f t="shared" ca="1" si="43"/>
        <v/>
      </c>
      <c r="Q340" s="84" t="str">
        <f t="shared" si="46"/>
        <v/>
      </c>
    </row>
    <row r="341" spans="1:17" ht="13">
      <c r="A341" s="3"/>
      <c r="B341" s="4"/>
      <c r="C341" s="4"/>
      <c r="D341" s="6"/>
      <c r="E341" s="7"/>
      <c r="F341" s="7"/>
      <c r="G341" s="7"/>
      <c r="H341" s="75">
        <v>46252</v>
      </c>
      <c r="I341" s="2"/>
      <c r="J341" s="8"/>
      <c r="K341" s="5"/>
      <c r="L341" s="8"/>
      <c r="M341" s="74"/>
      <c r="N341" s="78" t="str">
        <f t="shared" si="47"/>
        <v/>
      </c>
      <c r="O341" s="57" t="str">
        <f t="shared" si="45"/>
        <v/>
      </c>
      <c r="P341" s="76" t="str">
        <f t="shared" ref="P341:P371" ca="1" si="48">IF(O341="","",IF(O341-TODAY()=0,"Vence Hoje!",IF(O341-TODAY()&gt;=0,O341-TODAY()&amp;" Dia(s) para vencer","Prazo Vencido")))</f>
        <v/>
      </c>
      <c r="Q341" s="84" t="str">
        <f t="shared" si="46"/>
        <v/>
      </c>
    </row>
    <row r="342" spans="1:17" ht="13">
      <c r="A342" s="3"/>
      <c r="B342" s="4"/>
      <c r="C342" s="4"/>
      <c r="D342" s="6"/>
      <c r="E342" s="7"/>
      <c r="F342" s="7"/>
      <c r="G342" s="7"/>
      <c r="H342" s="75">
        <v>46252</v>
      </c>
      <c r="I342" s="2"/>
      <c r="J342" s="8"/>
      <c r="K342" s="5"/>
      <c r="L342" s="8"/>
      <c r="M342" s="74"/>
      <c r="N342" s="78" t="str">
        <f t="shared" si="47"/>
        <v/>
      </c>
      <c r="O342" s="57" t="str">
        <f t="shared" si="45"/>
        <v/>
      </c>
      <c r="P342" s="76" t="str">
        <f t="shared" ca="1" si="48"/>
        <v/>
      </c>
      <c r="Q342" s="84" t="str">
        <f t="shared" si="46"/>
        <v/>
      </c>
    </row>
    <row r="343" spans="1:17" ht="13">
      <c r="A343" s="3"/>
      <c r="B343" s="4"/>
      <c r="C343" s="4"/>
      <c r="D343" s="6"/>
      <c r="E343" s="7"/>
      <c r="F343" s="7"/>
      <c r="G343" s="7"/>
      <c r="H343" s="75">
        <v>46252</v>
      </c>
      <c r="I343" s="2"/>
      <c r="J343" s="8"/>
      <c r="K343" s="5"/>
      <c r="L343" s="8"/>
      <c r="M343" s="74"/>
      <c r="N343" s="78" t="str">
        <f t="shared" si="47"/>
        <v/>
      </c>
      <c r="O343" s="57" t="str">
        <f t="shared" si="45"/>
        <v/>
      </c>
      <c r="P343" s="76" t="str">
        <f t="shared" ca="1" si="48"/>
        <v/>
      </c>
      <c r="Q343" s="84" t="str">
        <f t="shared" si="46"/>
        <v/>
      </c>
    </row>
    <row r="344" spans="1:17" ht="13">
      <c r="A344" s="3"/>
      <c r="B344" s="4"/>
      <c r="C344" s="4"/>
      <c r="D344" s="6"/>
      <c r="E344" s="7"/>
      <c r="F344" s="7"/>
      <c r="G344" s="7"/>
      <c r="H344" s="75">
        <v>46252</v>
      </c>
      <c r="I344" s="2"/>
      <c r="J344" s="8"/>
      <c r="K344" s="5"/>
      <c r="L344" s="8"/>
      <c r="M344" s="74"/>
      <c r="N344" s="78" t="str">
        <f t="shared" si="47"/>
        <v/>
      </c>
      <c r="O344" s="57" t="str">
        <f t="shared" si="45"/>
        <v/>
      </c>
      <c r="P344" s="76" t="str">
        <f t="shared" ca="1" si="48"/>
        <v/>
      </c>
      <c r="Q344" s="84" t="str">
        <f t="shared" si="46"/>
        <v/>
      </c>
    </row>
    <row r="345" spans="1:17" ht="13">
      <c r="A345" s="3"/>
      <c r="B345" s="4"/>
      <c r="C345" s="4"/>
      <c r="D345" s="6"/>
      <c r="E345" s="7"/>
      <c r="F345" s="7"/>
      <c r="G345" s="7"/>
      <c r="H345" s="75">
        <v>46252</v>
      </c>
      <c r="I345" s="2"/>
      <c r="J345" s="8"/>
      <c r="K345" s="5"/>
      <c r="L345" s="8"/>
      <c r="M345" s="74"/>
      <c r="N345" s="78" t="str">
        <f t="shared" si="47"/>
        <v/>
      </c>
      <c r="O345" s="57" t="str">
        <f t="shared" si="45"/>
        <v/>
      </c>
      <c r="P345" s="76" t="str">
        <f t="shared" ca="1" si="48"/>
        <v/>
      </c>
      <c r="Q345" s="84" t="str">
        <f t="shared" si="46"/>
        <v/>
      </c>
    </row>
    <row r="346" spans="1:17" ht="13">
      <c r="A346" s="3"/>
      <c r="B346" s="4"/>
      <c r="C346" s="4"/>
      <c r="D346" s="6"/>
      <c r="E346" s="7"/>
      <c r="F346" s="7"/>
      <c r="G346" s="7"/>
      <c r="H346" s="75">
        <v>46252</v>
      </c>
      <c r="I346" s="2"/>
      <c r="J346" s="8"/>
      <c r="K346" s="5"/>
      <c r="L346" s="8"/>
      <c r="M346" s="74"/>
      <c r="N346" s="78" t="str">
        <f t="shared" si="47"/>
        <v/>
      </c>
      <c r="O346" s="57" t="str">
        <f t="shared" si="45"/>
        <v/>
      </c>
      <c r="P346" s="76" t="str">
        <f t="shared" ca="1" si="48"/>
        <v/>
      </c>
      <c r="Q346" s="84" t="str">
        <f t="shared" si="46"/>
        <v/>
      </c>
    </row>
    <row r="347" spans="1:17" ht="13">
      <c r="A347" s="3"/>
      <c r="B347" s="4"/>
      <c r="C347" s="4"/>
      <c r="D347" s="6"/>
      <c r="E347" s="7"/>
      <c r="F347" s="7"/>
      <c r="G347" s="7"/>
      <c r="H347" s="75">
        <v>46252</v>
      </c>
      <c r="I347" s="2"/>
      <c r="J347" s="8"/>
      <c r="K347" s="5"/>
      <c r="L347" s="8"/>
      <c r="M347" s="74"/>
      <c r="N347" s="78" t="str">
        <f t="shared" si="47"/>
        <v/>
      </c>
      <c r="O347" s="57" t="str">
        <f t="shared" si="45"/>
        <v/>
      </c>
      <c r="P347" s="76" t="str">
        <f t="shared" ca="1" si="48"/>
        <v/>
      </c>
      <c r="Q347" s="84" t="str">
        <f t="shared" si="46"/>
        <v/>
      </c>
    </row>
    <row r="348" spans="1:17" ht="13">
      <c r="A348" s="3"/>
      <c r="B348" s="4"/>
      <c r="C348" s="4"/>
      <c r="D348" s="6"/>
      <c r="E348" s="7"/>
      <c r="F348" s="7"/>
      <c r="G348" s="7"/>
      <c r="H348" s="75">
        <v>46252</v>
      </c>
      <c r="I348" s="2"/>
      <c r="J348" s="8"/>
      <c r="K348" s="5"/>
      <c r="L348" s="8"/>
      <c r="M348" s="74"/>
      <c r="N348" s="78" t="str">
        <f t="shared" si="47"/>
        <v/>
      </c>
      <c r="O348" s="57" t="str">
        <f t="shared" si="45"/>
        <v/>
      </c>
      <c r="P348" s="76" t="str">
        <f t="shared" ca="1" si="48"/>
        <v/>
      </c>
      <c r="Q348" s="84" t="str">
        <f t="shared" si="46"/>
        <v/>
      </c>
    </row>
    <row r="349" spans="1:17" ht="13">
      <c r="A349" s="3"/>
      <c r="B349" s="4"/>
      <c r="C349" s="4"/>
      <c r="D349" s="6"/>
      <c r="E349" s="7"/>
      <c r="F349" s="7"/>
      <c r="G349" s="7"/>
      <c r="H349" s="75">
        <v>46252</v>
      </c>
      <c r="I349" s="2"/>
      <c r="J349" s="8"/>
      <c r="K349" s="5"/>
      <c r="L349" s="8"/>
      <c r="M349" s="74"/>
      <c r="N349" s="78" t="str">
        <f t="shared" si="47"/>
        <v/>
      </c>
      <c r="O349" s="57" t="str">
        <f t="shared" si="45"/>
        <v/>
      </c>
      <c r="P349" s="76" t="str">
        <f t="shared" ca="1" si="48"/>
        <v/>
      </c>
      <c r="Q349" s="84" t="str">
        <f t="shared" si="46"/>
        <v/>
      </c>
    </row>
    <row r="350" spans="1:17" ht="13">
      <c r="A350" s="3"/>
      <c r="B350" s="4"/>
      <c r="C350" s="4"/>
      <c r="D350" s="6"/>
      <c r="E350" s="7"/>
      <c r="F350" s="7"/>
      <c r="G350" s="7"/>
      <c r="H350" s="75">
        <v>46252</v>
      </c>
      <c r="I350" s="2"/>
      <c r="J350" s="8"/>
      <c r="K350" s="5"/>
      <c r="L350" s="8"/>
      <c r="M350" s="74"/>
      <c r="N350" s="78" t="str">
        <f t="shared" si="47"/>
        <v/>
      </c>
      <c r="O350" s="57" t="str">
        <f t="shared" si="45"/>
        <v/>
      </c>
      <c r="P350" s="76" t="str">
        <f t="shared" ca="1" si="48"/>
        <v/>
      </c>
      <c r="Q350" s="84" t="str">
        <f t="shared" si="46"/>
        <v/>
      </c>
    </row>
    <row r="351" spans="1:17" ht="13">
      <c r="A351" s="3"/>
      <c r="B351" s="4"/>
      <c r="C351" s="4"/>
      <c r="D351" s="6"/>
      <c r="E351" s="7"/>
      <c r="F351" s="7"/>
      <c r="G351" s="7"/>
      <c r="H351" s="75">
        <v>46252</v>
      </c>
      <c r="I351" s="2"/>
      <c r="J351" s="8"/>
      <c r="K351" s="5"/>
      <c r="L351" s="8"/>
      <c r="M351" s="74"/>
      <c r="N351" s="78" t="str">
        <f t="shared" si="47"/>
        <v/>
      </c>
      <c r="O351" s="57" t="str">
        <f t="shared" si="45"/>
        <v/>
      </c>
      <c r="P351" s="76" t="str">
        <f t="shared" ca="1" si="48"/>
        <v/>
      </c>
      <c r="Q351" s="84" t="str">
        <f t="shared" si="46"/>
        <v/>
      </c>
    </row>
    <row r="352" spans="1:17" ht="13">
      <c r="A352" s="3"/>
      <c r="B352" s="4"/>
      <c r="C352" s="4"/>
      <c r="D352" s="6"/>
      <c r="E352" s="7"/>
      <c r="F352" s="7"/>
      <c r="G352" s="7"/>
      <c r="H352" s="75">
        <v>46252</v>
      </c>
      <c r="I352" s="2"/>
      <c r="J352" s="8"/>
      <c r="K352" s="5"/>
      <c r="L352" s="8"/>
      <c r="M352" s="74"/>
      <c r="N352" s="78" t="str">
        <f t="shared" si="47"/>
        <v/>
      </c>
      <c r="O352" s="57" t="str">
        <f t="shared" si="45"/>
        <v/>
      </c>
      <c r="P352" s="76" t="str">
        <f t="shared" ca="1" si="48"/>
        <v/>
      </c>
      <c r="Q352" s="84" t="str">
        <f t="shared" si="46"/>
        <v/>
      </c>
    </row>
    <row r="353" spans="1:17" ht="13">
      <c r="A353" s="3"/>
      <c r="B353" s="4"/>
      <c r="C353" s="4"/>
      <c r="D353" s="6"/>
      <c r="E353" s="7"/>
      <c r="F353" s="7"/>
      <c r="G353" s="7"/>
      <c r="H353" s="75">
        <v>46252</v>
      </c>
      <c r="I353" s="2"/>
      <c r="J353" s="8"/>
      <c r="K353" s="5"/>
      <c r="L353" s="8"/>
      <c r="M353" s="74"/>
      <c r="N353" s="78" t="str">
        <f t="shared" si="47"/>
        <v/>
      </c>
      <c r="O353" s="57" t="str">
        <f t="shared" si="45"/>
        <v/>
      </c>
      <c r="P353" s="76" t="str">
        <f t="shared" ca="1" si="48"/>
        <v/>
      </c>
      <c r="Q353" s="84" t="str">
        <f t="shared" si="46"/>
        <v/>
      </c>
    </row>
    <row r="354" spans="1:17" ht="13">
      <c r="A354" s="3"/>
      <c r="B354" s="4"/>
      <c r="C354" s="4"/>
      <c r="D354" s="6"/>
      <c r="E354" s="7"/>
      <c r="F354" s="7"/>
      <c r="G354" s="7"/>
      <c r="H354" s="75">
        <v>46252</v>
      </c>
      <c r="I354" s="2"/>
      <c r="J354" s="8"/>
      <c r="K354" s="5"/>
      <c r="L354" s="8"/>
      <c r="M354" s="74"/>
      <c r="N354" s="78" t="str">
        <f t="shared" si="47"/>
        <v/>
      </c>
      <c r="O354" s="57" t="str">
        <f t="shared" si="45"/>
        <v/>
      </c>
      <c r="P354" s="76" t="str">
        <f t="shared" ca="1" si="48"/>
        <v/>
      </c>
      <c r="Q354" s="84" t="str">
        <f t="shared" si="46"/>
        <v/>
      </c>
    </row>
    <row r="355" spans="1:17" ht="13">
      <c r="A355" s="3"/>
      <c r="B355" s="4"/>
      <c r="C355" s="4"/>
      <c r="D355" s="6"/>
      <c r="E355" s="7"/>
      <c r="F355" s="7"/>
      <c r="G355" s="7"/>
      <c r="H355" s="75">
        <v>46252</v>
      </c>
      <c r="I355" s="2"/>
      <c r="J355" s="8"/>
      <c r="K355" s="5"/>
      <c r="L355" s="8"/>
      <c r="M355" s="74"/>
      <c r="N355" s="78" t="str">
        <f t="shared" si="47"/>
        <v/>
      </c>
      <c r="O355" s="57" t="str">
        <f t="shared" si="45"/>
        <v/>
      </c>
      <c r="P355" s="76" t="str">
        <f t="shared" ca="1" si="48"/>
        <v/>
      </c>
      <c r="Q355" s="84" t="str">
        <f t="shared" si="46"/>
        <v/>
      </c>
    </row>
    <row r="356" spans="1:17" ht="13">
      <c r="A356" s="3"/>
      <c r="B356" s="4"/>
      <c r="C356" s="4"/>
      <c r="D356" s="6"/>
      <c r="E356" s="7"/>
      <c r="F356" s="7"/>
      <c r="G356" s="7"/>
      <c r="H356" s="75">
        <v>46252</v>
      </c>
      <c r="I356" s="2"/>
      <c r="J356" s="8"/>
      <c r="K356" s="5"/>
      <c r="L356" s="8"/>
      <c r="M356" s="74"/>
      <c r="N356" s="78" t="str">
        <f t="shared" si="47"/>
        <v/>
      </c>
      <c r="O356" s="57" t="str">
        <f t="shared" si="45"/>
        <v/>
      </c>
      <c r="P356" s="76" t="str">
        <f t="shared" ca="1" si="48"/>
        <v/>
      </c>
      <c r="Q356" s="84" t="str">
        <f t="shared" si="46"/>
        <v/>
      </c>
    </row>
    <row r="357" spans="1:17" ht="13">
      <c r="A357" s="3"/>
      <c r="B357" s="4"/>
      <c r="C357" s="4"/>
      <c r="D357" s="6"/>
      <c r="E357" s="7"/>
      <c r="F357" s="7"/>
      <c r="G357" s="7"/>
      <c r="H357" s="75">
        <v>46252</v>
      </c>
      <c r="I357" s="2"/>
      <c r="J357" s="8"/>
      <c r="K357" s="5"/>
      <c r="L357" s="8"/>
      <c r="M357" s="74"/>
      <c r="N357" s="78" t="str">
        <f t="shared" si="47"/>
        <v/>
      </c>
      <c r="O357" s="57" t="str">
        <f t="shared" si="45"/>
        <v/>
      </c>
      <c r="P357" s="76" t="str">
        <f t="shared" ca="1" si="48"/>
        <v/>
      </c>
      <c r="Q357" s="84" t="str">
        <f t="shared" si="46"/>
        <v/>
      </c>
    </row>
    <row r="358" spans="1:17" ht="13">
      <c r="A358" s="3"/>
      <c r="B358" s="4"/>
      <c r="C358" s="4"/>
      <c r="D358" s="6"/>
      <c r="E358" s="7"/>
      <c r="F358" s="7"/>
      <c r="G358" s="7"/>
      <c r="H358" s="75">
        <v>46252</v>
      </c>
      <c r="I358" s="2"/>
      <c r="J358" s="8"/>
      <c r="K358" s="5"/>
      <c r="L358" s="8"/>
      <c r="M358" s="74"/>
      <c r="N358" s="78" t="str">
        <f t="shared" si="47"/>
        <v/>
      </c>
      <c r="O358" s="57" t="str">
        <f t="shared" si="45"/>
        <v/>
      </c>
      <c r="P358" s="76" t="str">
        <f t="shared" ca="1" si="48"/>
        <v/>
      </c>
      <c r="Q358" s="84" t="str">
        <f t="shared" si="46"/>
        <v/>
      </c>
    </row>
    <row r="359" spans="1:17" ht="13">
      <c r="A359" s="3"/>
      <c r="B359" s="4"/>
      <c r="C359" s="4"/>
      <c r="D359" s="6"/>
      <c r="E359" s="7"/>
      <c r="F359" s="7"/>
      <c r="G359" s="7"/>
      <c r="H359" s="75">
        <v>46252</v>
      </c>
      <c r="I359" s="2"/>
      <c r="J359" s="8"/>
      <c r="K359" s="5"/>
      <c r="L359" s="8"/>
      <c r="M359" s="74"/>
      <c r="N359" s="78" t="str">
        <f t="shared" ref="N359:N371" si="49">IF(AND(A359="",K598=""),"",IF(Q359="","Em Andamento",IF(M359&lt;=O359,"Dentro do Prazo","Fora do Prazo")))</f>
        <v/>
      </c>
      <c r="O359" s="57" t="str">
        <f t="shared" ref="O359:O408" si="50">IF(OR(A359="",L359=""),"",A359+L359)</f>
        <v/>
      </c>
      <c r="P359" s="76" t="str">
        <f t="shared" ca="1" si="48"/>
        <v/>
      </c>
      <c r="Q359" s="84" t="str">
        <f t="shared" ref="Q359:Q374" si="51">IF(OR(A359="",M359=""),"",M359-A359)</f>
        <v/>
      </c>
    </row>
    <row r="360" spans="1:17" ht="13">
      <c r="A360" s="3"/>
      <c r="B360" s="4"/>
      <c r="C360" s="4"/>
      <c r="D360" s="6"/>
      <c r="E360" s="7"/>
      <c r="F360" s="7"/>
      <c r="G360" s="7"/>
      <c r="H360" s="75">
        <v>46252</v>
      </c>
      <c r="I360" s="2"/>
      <c r="J360" s="8"/>
      <c r="K360" s="5"/>
      <c r="L360" s="8"/>
      <c r="M360" s="74"/>
      <c r="N360" s="78" t="str">
        <f t="shared" si="49"/>
        <v/>
      </c>
      <c r="O360" s="57" t="str">
        <f t="shared" si="50"/>
        <v/>
      </c>
      <c r="P360" s="76" t="str">
        <f t="shared" ca="1" si="48"/>
        <v/>
      </c>
      <c r="Q360" s="84" t="str">
        <f t="shared" si="51"/>
        <v/>
      </c>
    </row>
    <row r="361" spans="1:17" ht="13">
      <c r="A361" s="3"/>
      <c r="B361" s="4"/>
      <c r="C361" s="4"/>
      <c r="D361" s="6"/>
      <c r="E361" s="7"/>
      <c r="F361" s="7"/>
      <c r="G361" s="7"/>
      <c r="H361" s="75">
        <v>46252</v>
      </c>
      <c r="I361" s="2"/>
      <c r="J361" s="8"/>
      <c r="K361" s="5"/>
      <c r="L361" s="8"/>
      <c r="M361" s="74"/>
      <c r="N361" s="78" t="str">
        <f t="shared" si="49"/>
        <v/>
      </c>
      <c r="O361" s="57" t="str">
        <f t="shared" si="50"/>
        <v/>
      </c>
      <c r="P361" s="76" t="str">
        <f t="shared" ca="1" si="48"/>
        <v/>
      </c>
      <c r="Q361" s="84" t="str">
        <f t="shared" si="51"/>
        <v/>
      </c>
    </row>
    <row r="362" spans="1:17" ht="13">
      <c r="A362" s="3"/>
      <c r="B362" s="4"/>
      <c r="C362" s="4"/>
      <c r="D362" s="6"/>
      <c r="E362" s="7"/>
      <c r="F362" s="7"/>
      <c r="G362" s="7"/>
      <c r="H362" s="75">
        <v>46252</v>
      </c>
      <c r="I362" s="2"/>
      <c r="J362" s="8"/>
      <c r="K362" s="5"/>
      <c r="L362" s="8"/>
      <c r="M362" s="74"/>
      <c r="N362" s="78" t="str">
        <f t="shared" si="49"/>
        <v/>
      </c>
      <c r="O362" s="57" t="str">
        <f t="shared" si="50"/>
        <v/>
      </c>
      <c r="P362" s="76" t="str">
        <f t="shared" ca="1" si="48"/>
        <v/>
      </c>
      <c r="Q362" s="84" t="str">
        <f t="shared" si="51"/>
        <v/>
      </c>
    </row>
    <row r="363" spans="1:17" ht="13">
      <c r="A363" s="3"/>
      <c r="B363" s="4"/>
      <c r="C363" s="4"/>
      <c r="D363" s="6"/>
      <c r="E363" s="7"/>
      <c r="F363" s="7"/>
      <c r="G363" s="7"/>
      <c r="H363" s="75">
        <v>46252</v>
      </c>
      <c r="I363" s="2"/>
      <c r="J363" s="8"/>
      <c r="K363" s="5"/>
      <c r="L363" s="8"/>
      <c r="M363" s="74"/>
      <c r="N363" s="78" t="str">
        <f t="shared" si="49"/>
        <v/>
      </c>
      <c r="O363" s="57" t="str">
        <f t="shared" si="50"/>
        <v/>
      </c>
      <c r="P363" s="76" t="str">
        <f t="shared" ca="1" si="48"/>
        <v/>
      </c>
      <c r="Q363" s="84" t="str">
        <f t="shared" si="51"/>
        <v/>
      </c>
    </row>
    <row r="364" spans="1:17" ht="13">
      <c r="A364" s="3"/>
      <c r="B364" s="4"/>
      <c r="C364" s="4"/>
      <c r="D364" s="6"/>
      <c r="E364" s="7"/>
      <c r="F364" s="7"/>
      <c r="G364" s="7"/>
      <c r="H364" s="75">
        <v>46252</v>
      </c>
      <c r="I364" s="2"/>
      <c r="J364" s="8"/>
      <c r="K364" s="5"/>
      <c r="L364" s="8"/>
      <c r="M364" s="74"/>
      <c r="N364" s="78" t="str">
        <f t="shared" si="49"/>
        <v/>
      </c>
      <c r="O364" s="57" t="str">
        <f t="shared" si="50"/>
        <v/>
      </c>
      <c r="P364" s="76" t="str">
        <f t="shared" ca="1" si="48"/>
        <v/>
      </c>
      <c r="Q364" s="84" t="str">
        <f t="shared" si="51"/>
        <v/>
      </c>
    </row>
    <row r="365" spans="1:17" ht="13">
      <c r="A365" s="3"/>
      <c r="B365" s="4"/>
      <c r="C365" s="4"/>
      <c r="D365" s="6"/>
      <c r="E365" s="7"/>
      <c r="F365" s="7"/>
      <c r="G365" s="7"/>
      <c r="H365" s="75">
        <v>46252</v>
      </c>
      <c r="I365" s="2"/>
      <c r="J365" s="8"/>
      <c r="K365" s="5"/>
      <c r="L365" s="8"/>
      <c r="M365" s="74"/>
      <c r="N365" s="78" t="str">
        <f t="shared" si="49"/>
        <v/>
      </c>
      <c r="O365" s="57" t="str">
        <f t="shared" si="50"/>
        <v/>
      </c>
      <c r="P365" s="76" t="str">
        <f t="shared" ca="1" si="48"/>
        <v/>
      </c>
      <c r="Q365" s="84" t="str">
        <f t="shared" si="51"/>
        <v/>
      </c>
    </row>
    <row r="366" spans="1:17" ht="13">
      <c r="A366" s="3"/>
      <c r="B366" s="4"/>
      <c r="C366" s="4"/>
      <c r="D366" s="6"/>
      <c r="E366" s="7"/>
      <c r="F366" s="7"/>
      <c r="G366" s="7"/>
      <c r="H366" s="75">
        <v>46252</v>
      </c>
      <c r="I366" s="2"/>
      <c r="J366" s="8"/>
      <c r="K366" s="5"/>
      <c r="L366" s="8"/>
      <c r="M366" s="74"/>
      <c r="N366" s="78" t="str">
        <f t="shared" si="49"/>
        <v/>
      </c>
      <c r="O366" s="57" t="str">
        <f t="shared" si="50"/>
        <v/>
      </c>
      <c r="P366" s="76" t="str">
        <f t="shared" ca="1" si="48"/>
        <v/>
      </c>
      <c r="Q366" s="84" t="str">
        <f t="shared" si="51"/>
        <v/>
      </c>
    </row>
    <row r="367" spans="1:17" ht="13">
      <c r="A367" s="3"/>
      <c r="B367" s="4"/>
      <c r="C367" s="4"/>
      <c r="D367" s="6"/>
      <c r="E367" s="7"/>
      <c r="F367" s="7"/>
      <c r="G367" s="7"/>
      <c r="H367" s="75">
        <v>46252</v>
      </c>
      <c r="I367" s="2"/>
      <c r="J367" s="8"/>
      <c r="K367" s="5"/>
      <c r="L367" s="8"/>
      <c r="M367" s="74"/>
      <c r="N367" s="78" t="str">
        <f t="shared" si="49"/>
        <v/>
      </c>
      <c r="O367" s="57" t="str">
        <f t="shared" si="50"/>
        <v/>
      </c>
      <c r="P367" s="76" t="str">
        <f t="shared" ca="1" si="48"/>
        <v/>
      </c>
      <c r="Q367" s="84" t="str">
        <f t="shared" si="51"/>
        <v/>
      </c>
    </row>
    <row r="368" spans="1:17" ht="13">
      <c r="A368" s="3"/>
      <c r="B368" s="4"/>
      <c r="C368" s="4"/>
      <c r="D368" s="6"/>
      <c r="E368" s="7"/>
      <c r="F368" s="7"/>
      <c r="G368" s="7"/>
      <c r="H368" s="75">
        <v>46252</v>
      </c>
      <c r="I368" s="2"/>
      <c r="J368" s="8"/>
      <c r="K368" s="5"/>
      <c r="L368" s="8"/>
      <c r="M368" s="74"/>
      <c r="N368" s="78" t="str">
        <f t="shared" si="49"/>
        <v/>
      </c>
      <c r="O368" s="57" t="str">
        <f t="shared" si="50"/>
        <v/>
      </c>
      <c r="P368" s="76" t="str">
        <f t="shared" ca="1" si="48"/>
        <v/>
      </c>
      <c r="Q368" s="84" t="str">
        <f t="shared" si="51"/>
        <v/>
      </c>
    </row>
    <row r="369" spans="1:17" ht="13">
      <c r="A369" s="3"/>
      <c r="B369" s="4"/>
      <c r="C369" s="4"/>
      <c r="D369" s="6"/>
      <c r="E369" s="7"/>
      <c r="F369" s="7"/>
      <c r="G369" s="7"/>
      <c r="H369" s="75">
        <v>46252</v>
      </c>
      <c r="I369" s="2"/>
      <c r="J369" s="8"/>
      <c r="K369" s="5"/>
      <c r="L369" s="8"/>
      <c r="M369" s="74"/>
      <c r="N369" s="78" t="str">
        <f t="shared" si="49"/>
        <v/>
      </c>
      <c r="O369" s="57" t="str">
        <f t="shared" si="50"/>
        <v/>
      </c>
      <c r="P369" s="76" t="str">
        <f t="shared" ca="1" si="48"/>
        <v/>
      </c>
      <c r="Q369" s="84" t="str">
        <f t="shared" si="51"/>
        <v/>
      </c>
    </row>
    <row r="370" spans="1:17" ht="13">
      <c r="A370" s="3"/>
      <c r="B370" s="4"/>
      <c r="C370" s="4"/>
      <c r="D370" s="6"/>
      <c r="E370" s="7"/>
      <c r="F370" s="7"/>
      <c r="G370" s="7"/>
      <c r="H370" s="75">
        <v>46252</v>
      </c>
      <c r="I370" s="2"/>
      <c r="J370" s="8"/>
      <c r="K370" s="5"/>
      <c r="L370" s="8"/>
      <c r="M370" s="74"/>
      <c r="N370" s="78" t="str">
        <f t="shared" si="49"/>
        <v/>
      </c>
      <c r="O370" s="57" t="str">
        <f t="shared" si="50"/>
        <v/>
      </c>
      <c r="P370" s="76" t="str">
        <f t="shared" ca="1" si="48"/>
        <v/>
      </c>
      <c r="Q370" s="84" t="str">
        <f t="shared" si="51"/>
        <v/>
      </c>
    </row>
    <row r="371" spans="1:17" ht="13">
      <c r="A371" s="3"/>
      <c r="B371" s="4"/>
      <c r="C371" s="4"/>
      <c r="D371" s="6"/>
      <c r="E371" s="7"/>
      <c r="F371" s="7"/>
      <c r="G371" s="7"/>
      <c r="H371" s="75">
        <v>46252</v>
      </c>
      <c r="I371" s="2"/>
      <c r="J371" s="8"/>
      <c r="K371" s="5"/>
      <c r="L371" s="8"/>
      <c r="M371" s="74"/>
      <c r="N371" s="78" t="str">
        <f t="shared" si="49"/>
        <v/>
      </c>
      <c r="O371" s="57" t="str">
        <f t="shared" si="50"/>
        <v/>
      </c>
      <c r="P371" s="76" t="str">
        <f t="shared" ca="1" si="48"/>
        <v/>
      </c>
      <c r="Q371" s="84" t="str">
        <f t="shared" si="51"/>
        <v/>
      </c>
    </row>
    <row r="372" spans="1:17" ht="13">
      <c r="A372" s="3"/>
      <c r="B372" s="4"/>
      <c r="C372" s="4"/>
      <c r="D372" s="6"/>
      <c r="E372" s="7"/>
      <c r="F372" s="7"/>
      <c r="G372" s="7"/>
      <c r="H372" s="75">
        <v>46252</v>
      </c>
      <c r="I372" s="2"/>
      <c r="J372" s="8"/>
      <c r="K372" s="5"/>
      <c r="L372" s="8"/>
      <c r="M372" s="74"/>
      <c r="N372" s="8"/>
      <c r="O372" s="57" t="str">
        <f t="shared" si="50"/>
        <v/>
      </c>
      <c r="P372" s="6"/>
      <c r="Q372" s="84" t="str">
        <f t="shared" si="51"/>
        <v/>
      </c>
    </row>
    <row r="373" spans="1:17" ht="13">
      <c r="A373" s="3"/>
      <c r="B373" s="4"/>
      <c r="C373" s="4"/>
      <c r="D373" s="6"/>
      <c r="E373" s="7"/>
      <c r="F373" s="7"/>
      <c r="G373" s="7"/>
      <c r="H373" s="75">
        <v>46252</v>
      </c>
      <c r="I373" s="2"/>
      <c r="J373" s="8"/>
      <c r="K373" s="5"/>
      <c r="L373" s="8"/>
      <c r="M373" s="74"/>
      <c r="N373" s="8"/>
      <c r="O373" s="57" t="str">
        <f t="shared" si="50"/>
        <v/>
      </c>
      <c r="P373" s="6"/>
      <c r="Q373" s="84" t="str">
        <f t="shared" si="51"/>
        <v/>
      </c>
    </row>
    <row r="374" spans="1:17" ht="13">
      <c r="A374" s="3"/>
      <c r="B374" s="4"/>
      <c r="C374" s="4"/>
      <c r="D374" s="6"/>
      <c r="E374" s="7"/>
      <c r="F374" s="7"/>
      <c r="G374" s="7"/>
      <c r="H374" s="75">
        <v>46252</v>
      </c>
      <c r="I374" s="2"/>
      <c r="J374" s="8"/>
      <c r="K374" s="5"/>
      <c r="L374" s="8"/>
      <c r="M374" s="74"/>
      <c r="N374" s="8"/>
      <c r="O374" s="57" t="str">
        <f t="shared" si="50"/>
        <v/>
      </c>
      <c r="P374" s="6"/>
      <c r="Q374" s="84" t="str">
        <f t="shared" si="51"/>
        <v/>
      </c>
    </row>
    <row r="375" spans="1:17" ht="13">
      <c r="A375" s="3"/>
      <c r="B375" s="4"/>
      <c r="C375" s="4"/>
      <c r="D375" s="6"/>
      <c r="E375" s="7"/>
      <c r="F375" s="7"/>
      <c r="G375" s="7"/>
      <c r="H375" s="75">
        <v>46252</v>
      </c>
      <c r="I375" s="2"/>
      <c r="J375" s="8"/>
      <c r="K375" s="5"/>
      <c r="L375" s="8"/>
      <c r="M375" s="74"/>
      <c r="N375" s="8"/>
      <c r="O375" s="57" t="str">
        <f t="shared" si="50"/>
        <v/>
      </c>
      <c r="P375" s="6"/>
      <c r="Q375" s="8"/>
    </row>
    <row r="376" spans="1:17" ht="13">
      <c r="A376" s="3"/>
      <c r="B376" s="4"/>
      <c r="C376" s="4"/>
      <c r="D376" s="6"/>
      <c r="E376" s="7"/>
      <c r="F376" s="7"/>
      <c r="G376" s="7"/>
      <c r="H376" s="75">
        <v>46252</v>
      </c>
      <c r="I376" s="2"/>
      <c r="J376" s="8"/>
      <c r="K376" s="5"/>
      <c r="L376" s="8"/>
      <c r="M376" s="74"/>
      <c r="N376" s="8"/>
      <c r="O376" s="57" t="str">
        <f t="shared" si="50"/>
        <v/>
      </c>
      <c r="P376" s="6"/>
      <c r="Q376" s="8"/>
    </row>
    <row r="377" spans="1:17" ht="13">
      <c r="A377" s="3"/>
      <c r="B377" s="4"/>
      <c r="C377" s="4"/>
      <c r="D377" s="6"/>
      <c r="E377" s="7"/>
      <c r="F377" s="7"/>
      <c r="G377" s="7"/>
      <c r="H377" s="75">
        <v>46252</v>
      </c>
      <c r="I377" s="2"/>
      <c r="J377" s="8"/>
      <c r="K377" s="5"/>
      <c r="L377" s="8"/>
      <c r="M377" s="74"/>
      <c r="N377" s="8"/>
      <c r="O377" s="57" t="str">
        <f t="shared" si="50"/>
        <v/>
      </c>
      <c r="P377" s="6"/>
      <c r="Q377" s="8"/>
    </row>
    <row r="378" spans="1:17" ht="13">
      <c r="A378" s="3"/>
      <c r="B378" s="4"/>
      <c r="C378" s="4"/>
      <c r="D378" s="6"/>
      <c r="E378" s="7"/>
      <c r="F378" s="7"/>
      <c r="G378" s="7"/>
      <c r="H378" s="75">
        <v>46252</v>
      </c>
      <c r="I378" s="2"/>
      <c r="J378" s="8"/>
      <c r="K378" s="5"/>
      <c r="L378" s="8"/>
      <c r="M378" s="74"/>
      <c r="N378" s="8"/>
      <c r="O378" s="57" t="str">
        <f t="shared" si="50"/>
        <v/>
      </c>
      <c r="P378" s="6"/>
      <c r="Q378" s="8"/>
    </row>
    <row r="379" spans="1:17" ht="13">
      <c r="A379" s="3"/>
      <c r="B379" s="4"/>
      <c r="C379" s="4"/>
      <c r="D379" s="6"/>
      <c r="E379" s="7"/>
      <c r="F379" s="7"/>
      <c r="G379" s="7"/>
      <c r="H379" s="75">
        <v>46252</v>
      </c>
      <c r="I379" s="2"/>
      <c r="J379" s="8"/>
      <c r="K379" s="5"/>
      <c r="L379" s="8"/>
      <c r="M379" s="74"/>
      <c r="N379" s="8"/>
      <c r="O379" s="57" t="str">
        <f t="shared" si="50"/>
        <v/>
      </c>
      <c r="P379" s="6"/>
      <c r="Q379" s="8"/>
    </row>
    <row r="380" spans="1:17" ht="13">
      <c r="A380" s="3"/>
      <c r="B380" s="4"/>
      <c r="C380" s="4"/>
      <c r="D380" s="6"/>
      <c r="E380" s="7"/>
      <c r="F380" s="7"/>
      <c r="G380" s="7"/>
      <c r="H380" s="75">
        <v>46252</v>
      </c>
      <c r="I380" s="2"/>
      <c r="J380" s="8"/>
      <c r="K380" s="5"/>
      <c r="L380" s="8"/>
      <c r="M380" s="74"/>
      <c r="N380" s="8"/>
      <c r="O380" s="57" t="str">
        <f t="shared" si="50"/>
        <v/>
      </c>
      <c r="P380" s="6"/>
      <c r="Q380" s="8"/>
    </row>
    <row r="381" spans="1:17" ht="13">
      <c r="A381" s="3"/>
      <c r="B381" s="4"/>
      <c r="C381" s="4"/>
      <c r="D381" s="6"/>
      <c r="E381" s="7"/>
      <c r="F381" s="7"/>
      <c r="G381" s="7"/>
      <c r="H381" s="75">
        <v>46252</v>
      </c>
      <c r="I381" s="2"/>
      <c r="J381" s="8"/>
      <c r="K381" s="5"/>
      <c r="L381" s="8"/>
      <c r="M381" s="74"/>
      <c r="N381" s="8"/>
      <c r="O381" s="57" t="str">
        <f t="shared" si="50"/>
        <v/>
      </c>
      <c r="P381" s="6"/>
      <c r="Q381" s="8"/>
    </row>
    <row r="382" spans="1:17" ht="13">
      <c r="A382" s="3"/>
      <c r="B382" s="4"/>
      <c r="C382" s="4"/>
      <c r="D382" s="6"/>
      <c r="E382" s="7"/>
      <c r="F382" s="7"/>
      <c r="G382" s="7"/>
      <c r="H382" s="75">
        <v>46252</v>
      </c>
      <c r="I382" s="2"/>
      <c r="J382" s="8"/>
      <c r="K382" s="5"/>
      <c r="L382" s="8"/>
      <c r="M382" s="74"/>
      <c r="N382" s="8"/>
      <c r="O382" s="57" t="str">
        <f t="shared" si="50"/>
        <v/>
      </c>
      <c r="P382" s="6"/>
      <c r="Q382" s="8"/>
    </row>
    <row r="383" spans="1:17" ht="13">
      <c r="A383" s="3"/>
      <c r="B383" s="4"/>
      <c r="C383" s="4"/>
      <c r="D383" s="6"/>
      <c r="E383" s="7"/>
      <c r="F383" s="7"/>
      <c r="G383" s="7"/>
      <c r="H383" s="75">
        <v>46252</v>
      </c>
      <c r="I383" s="2"/>
      <c r="J383" s="8"/>
      <c r="K383" s="5"/>
      <c r="L383" s="8"/>
      <c r="M383" s="74"/>
      <c r="N383" s="8"/>
      <c r="O383" s="57" t="str">
        <f t="shared" si="50"/>
        <v/>
      </c>
      <c r="P383" s="6"/>
      <c r="Q383" s="8"/>
    </row>
    <row r="384" spans="1:17" ht="13">
      <c r="A384" s="3"/>
      <c r="B384" s="4"/>
      <c r="C384" s="4"/>
      <c r="D384" s="6"/>
      <c r="E384" s="7"/>
      <c r="F384" s="7"/>
      <c r="G384" s="7"/>
      <c r="H384" s="75">
        <v>46252</v>
      </c>
      <c r="I384" s="2"/>
      <c r="J384" s="8"/>
      <c r="K384" s="5"/>
      <c r="L384" s="8"/>
      <c r="M384" s="74"/>
      <c r="N384" s="8"/>
      <c r="O384" s="57" t="str">
        <f t="shared" si="50"/>
        <v/>
      </c>
      <c r="P384" s="6"/>
      <c r="Q384" s="8"/>
    </row>
    <row r="385" spans="1:17" ht="13">
      <c r="A385" s="3"/>
      <c r="B385" s="4"/>
      <c r="C385" s="4"/>
      <c r="D385" s="6"/>
      <c r="E385" s="7"/>
      <c r="F385" s="7"/>
      <c r="G385" s="7"/>
      <c r="H385" s="75">
        <v>46252</v>
      </c>
      <c r="I385" s="2"/>
      <c r="J385" s="8"/>
      <c r="K385" s="5"/>
      <c r="L385" s="8"/>
      <c r="M385" s="74"/>
      <c r="N385" s="8"/>
      <c r="O385" s="57" t="str">
        <f t="shared" si="50"/>
        <v/>
      </c>
      <c r="P385" s="6"/>
      <c r="Q385" s="8"/>
    </row>
    <row r="386" spans="1:17" ht="13">
      <c r="A386" s="3"/>
      <c r="B386" s="4"/>
      <c r="C386" s="4"/>
      <c r="D386" s="6"/>
      <c r="E386" s="7"/>
      <c r="F386" s="7"/>
      <c r="G386" s="7"/>
      <c r="H386" s="75">
        <v>46252</v>
      </c>
      <c r="I386" s="2"/>
      <c r="J386" s="8"/>
      <c r="K386" s="5"/>
      <c r="L386" s="8"/>
      <c r="M386" s="74"/>
      <c r="N386" s="8"/>
      <c r="O386" s="57" t="str">
        <f t="shared" si="50"/>
        <v/>
      </c>
      <c r="P386" s="6"/>
      <c r="Q386" s="8"/>
    </row>
    <row r="387" spans="1:17" ht="13">
      <c r="A387" s="3"/>
      <c r="B387" s="4"/>
      <c r="C387" s="4"/>
      <c r="D387" s="6"/>
      <c r="E387" s="7"/>
      <c r="F387" s="7"/>
      <c r="G387" s="7"/>
      <c r="H387" s="75">
        <v>46252</v>
      </c>
      <c r="I387" s="2"/>
      <c r="J387" s="8"/>
      <c r="K387" s="5"/>
      <c r="L387" s="8"/>
      <c r="M387" s="74"/>
      <c r="N387" s="8"/>
      <c r="O387" s="57" t="str">
        <f t="shared" si="50"/>
        <v/>
      </c>
      <c r="P387" s="6"/>
      <c r="Q387" s="8"/>
    </row>
    <row r="388" spans="1:17" ht="13">
      <c r="A388" s="3"/>
      <c r="B388" s="4"/>
      <c r="C388" s="4"/>
      <c r="D388" s="6"/>
      <c r="E388" s="7"/>
      <c r="F388" s="7"/>
      <c r="G388" s="7"/>
      <c r="H388" s="75">
        <v>46252</v>
      </c>
      <c r="I388" s="2"/>
      <c r="J388" s="8"/>
      <c r="K388" s="5"/>
      <c r="L388" s="8"/>
      <c r="M388" s="74"/>
      <c r="N388" s="8"/>
      <c r="O388" s="57" t="str">
        <f t="shared" si="50"/>
        <v/>
      </c>
      <c r="P388" s="6"/>
      <c r="Q388" s="8"/>
    </row>
    <row r="389" spans="1:17" ht="13">
      <c r="A389" s="3"/>
      <c r="B389" s="4"/>
      <c r="C389" s="4"/>
      <c r="D389" s="6"/>
      <c r="E389" s="7"/>
      <c r="F389" s="7"/>
      <c r="G389" s="7"/>
      <c r="H389" s="75">
        <v>46252</v>
      </c>
      <c r="I389" s="2"/>
      <c r="J389" s="8"/>
      <c r="K389" s="5"/>
      <c r="L389" s="8"/>
      <c r="M389" s="74"/>
      <c r="N389" s="8"/>
      <c r="O389" s="57" t="str">
        <f t="shared" si="50"/>
        <v/>
      </c>
      <c r="P389" s="6"/>
      <c r="Q389" s="8"/>
    </row>
    <row r="390" spans="1:17" ht="13">
      <c r="A390" s="3"/>
      <c r="B390" s="4"/>
      <c r="C390" s="4"/>
      <c r="D390" s="6"/>
      <c r="E390" s="7"/>
      <c r="F390" s="7"/>
      <c r="G390" s="7"/>
      <c r="H390" s="75">
        <v>46252</v>
      </c>
      <c r="I390" s="2"/>
      <c r="J390" s="8"/>
      <c r="K390" s="5"/>
      <c r="L390" s="8"/>
      <c r="M390" s="74"/>
      <c r="N390" s="8"/>
      <c r="O390" s="57" t="str">
        <f t="shared" si="50"/>
        <v/>
      </c>
      <c r="P390" s="6"/>
      <c r="Q390" s="8"/>
    </row>
    <row r="391" spans="1:17" ht="13">
      <c r="A391" s="3"/>
      <c r="B391" s="4"/>
      <c r="C391" s="4"/>
      <c r="D391" s="6"/>
      <c r="E391" s="7"/>
      <c r="F391" s="7"/>
      <c r="G391" s="7"/>
      <c r="H391" s="75">
        <v>46252</v>
      </c>
      <c r="I391" s="2"/>
      <c r="J391" s="8"/>
      <c r="K391" s="5"/>
      <c r="L391" s="8"/>
      <c r="M391" s="74"/>
      <c r="N391" s="8"/>
      <c r="O391" s="57" t="str">
        <f t="shared" si="50"/>
        <v/>
      </c>
      <c r="P391" s="6"/>
      <c r="Q391" s="8"/>
    </row>
    <row r="392" spans="1:17" ht="13">
      <c r="A392" s="3"/>
      <c r="B392" s="4"/>
      <c r="C392" s="4"/>
      <c r="D392" s="6"/>
      <c r="E392" s="7"/>
      <c r="F392" s="7"/>
      <c r="G392" s="7"/>
      <c r="H392" s="75">
        <v>46252</v>
      </c>
      <c r="I392" s="2"/>
      <c r="J392" s="8"/>
      <c r="K392" s="5"/>
      <c r="L392" s="8"/>
      <c r="M392" s="74"/>
      <c r="N392" s="8"/>
      <c r="O392" s="57" t="str">
        <f t="shared" si="50"/>
        <v/>
      </c>
      <c r="P392" s="6"/>
      <c r="Q392" s="8"/>
    </row>
    <row r="393" spans="1:17" ht="13">
      <c r="A393" s="3"/>
      <c r="B393" s="4"/>
      <c r="C393" s="4"/>
      <c r="D393" s="6"/>
      <c r="E393" s="7"/>
      <c r="F393" s="7"/>
      <c r="G393" s="7"/>
      <c r="H393" s="75">
        <v>46252</v>
      </c>
      <c r="I393" s="2"/>
      <c r="J393" s="8"/>
      <c r="K393" s="5"/>
      <c r="L393" s="8"/>
      <c r="M393" s="74"/>
      <c r="N393" s="8"/>
      <c r="O393" s="57" t="str">
        <f t="shared" si="50"/>
        <v/>
      </c>
      <c r="P393" s="6"/>
      <c r="Q393" s="8"/>
    </row>
    <row r="394" spans="1:17" ht="13">
      <c r="A394" s="3"/>
      <c r="B394" s="4"/>
      <c r="C394" s="4"/>
      <c r="D394" s="6"/>
      <c r="E394" s="7"/>
      <c r="F394" s="7"/>
      <c r="G394" s="7"/>
      <c r="H394" s="75">
        <v>46252</v>
      </c>
      <c r="I394" s="2"/>
      <c r="J394" s="8"/>
      <c r="K394" s="5"/>
      <c r="L394" s="8"/>
      <c r="M394" s="74"/>
      <c r="N394" s="8"/>
      <c r="O394" s="57" t="str">
        <f t="shared" si="50"/>
        <v/>
      </c>
      <c r="P394" s="6"/>
      <c r="Q394" s="8"/>
    </row>
    <row r="395" spans="1:17" ht="13">
      <c r="A395" s="3"/>
      <c r="B395" s="4"/>
      <c r="C395" s="4"/>
      <c r="D395" s="6"/>
      <c r="E395" s="7"/>
      <c r="F395" s="7"/>
      <c r="G395" s="7"/>
      <c r="H395" s="75">
        <v>46252</v>
      </c>
      <c r="I395" s="2"/>
      <c r="J395" s="8"/>
      <c r="K395" s="5"/>
      <c r="L395" s="8"/>
      <c r="M395" s="74"/>
      <c r="N395" s="8"/>
      <c r="O395" s="57" t="str">
        <f t="shared" si="50"/>
        <v/>
      </c>
      <c r="P395" s="6"/>
      <c r="Q395" s="8"/>
    </row>
    <row r="396" spans="1:17" ht="13">
      <c r="A396" s="3"/>
      <c r="B396" s="4"/>
      <c r="C396" s="4"/>
      <c r="D396" s="6"/>
      <c r="E396" s="7"/>
      <c r="F396" s="7"/>
      <c r="G396" s="7"/>
      <c r="H396" s="75">
        <v>46252</v>
      </c>
      <c r="I396" s="2"/>
      <c r="J396" s="8"/>
      <c r="K396" s="5"/>
      <c r="L396" s="8"/>
      <c r="M396" s="74"/>
      <c r="N396" s="8"/>
      <c r="O396" s="57" t="str">
        <f t="shared" si="50"/>
        <v/>
      </c>
      <c r="P396" s="6"/>
      <c r="Q396" s="8"/>
    </row>
    <row r="397" spans="1:17" ht="13">
      <c r="A397" s="3"/>
      <c r="B397" s="4"/>
      <c r="C397" s="4"/>
      <c r="D397" s="6"/>
      <c r="E397" s="7"/>
      <c r="F397" s="7"/>
      <c r="G397" s="7"/>
      <c r="H397" s="75">
        <v>46252</v>
      </c>
      <c r="I397" s="2"/>
      <c r="J397" s="8"/>
      <c r="K397" s="5"/>
      <c r="L397" s="8"/>
      <c r="M397" s="74"/>
      <c r="N397" s="8"/>
      <c r="O397" s="57" t="str">
        <f t="shared" si="50"/>
        <v/>
      </c>
      <c r="P397" s="6"/>
      <c r="Q397" s="8"/>
    </row>
    <row r="398" spans="1:17" ht="13">
      <c r="A398" s="3"/>
      <c r="B398" s="4"/>
      <c r="C398" s="4"/>
      <c r="D398" s="6"/>
      <c r="E398" s="7"/>
      <c r="F398" s="7"/>
      <c r="G398" s="7"/>
      <c r="H398" s="75">
        <v>46252</v>
      </c>
      <c r="I398" s="2"/>
      <c r="J398" s="8"/>
      <c r="K398" s="5"/>
      <c r="L398" s="8"/>
      <c r="M398" s="74"/>
      <c r="N398" s="8"/>
      <c r="O398" s="57" t="str">
        <f t="shared" si="50"/>
        <v/>
      </c>
      <c r="P398" s="6"/>
      <c r="Q398" s="8"/>
    </row>
    <row r="399" spans="1:17" ht="13">
      <c r="A399" s="3"/>
      <c r="B399" s="4"/>
      <c r="C399" s="4"/>
      <c r="D399" s="6"/>
      <c r="E399" s="7"/>
      <c r="F399" s="7"/>
      <c r="G399" s="7"/>
      <c r="H399" s="75">
        <v>46252</v>
      </c>
      <c r="I399" s="2"/>
      <c r="J399" s="8"/>
      <c r="K399" s="5"/>
      <c r="L399" s="8"/>
      <c r="M399" s="74"/>
      <c r="N399" s="8"/>
      <c r="O399" s="57" t="str">
        <f t="shared" si="50"/>
        <v/>
      </c>
      <c r="P399" s="6"/>
      <c r="Q399" s="8"/>
    </row>
    <row r="400" spans="1:17" ht="13">
      <c r="A400" s="3"/>
      <c r="B400" s="4"/>
      <c r="C400" s="4"/>
      <c r="D400" s="6"/>
      <c r="E400" s="7"/>
      <c r="F400" s="7"/>
      <c r="G400" s="7"/>
      <c r="H400" s="75">
        <v>46252</v>
      </c>
      <c r="I400" s="2"/>
      <c r="J400" s="8"/>
      <c r="K400" s="5"/>
      <c r="L400" s="8"/>
      <c r="M400" s="74"/>
      <c r="N400" s="8"/>
      <c r="O400" s="57" t="str">
        <f t="shared" si="50"/>
        <v/>
      </c>
      <c r="P400" s="6"/>
      <c r="Q400" s="8"/>
    </row>
    <row r="401" spans="1:17" ht="13">
      <c r="A401" s="3"/>
      <c r="B401" s="4"/>
      <c r="C401" s="4"/>
      <c r="D401" s="6"/>
      <c r="E401" s="7"/>
      <c r="F401" s="7"/>
      <c r="G401" s="7"/>
      <c r="H401" s="75">
        <v>46252</v>
      </c>
      <c r="I401" s="2"/>
      <c r="J401" s="8"/>
      <c r="K401" s="5"/>
      <c r="L401" s="8"/>
      <c r="M401" s="74"/>
      <c r="N401" s="8"/>
      <c r="O401" s="57" t="str">
        <f t="shared" si="50"/>
        <v/>
      </c>
      <c r="P401" s="6"/>
      <c r="Q401" s="8"/>
    </row>
    <row r="402" spans="1:17" ht="13">
      <c r="A402" s="3"/>
      <c r="B402" s="4"/>
      <c r="C402" s="4"/>
      <c r="D402" s="6"/>
      <c r="E402" s="7"/>
      <c r="F402" s="7"/>
      <c r="G402" s="7"/>
      <c r="H402" s="75">
        <v>46252</v>
      </c>
      <c r="I402" s="2"/>
      <c r="J402" s="8"/>
      <c r="K402" s="5"/>
      <c r="L402" s="8"/>
      <c r="M402" s="74"/>
      <c r="N402" s="8"/>
      <c r="O402" s="57" t="str">
        <f t="shared" si="50"/>
        <v/>
      </c>
      <c r="P402" s="6"/>
      <c r="Q402" s="8"/>
    </row>
    <row r="403" spans="1:17" ht="13">
      <c r="A403" s="3"/>
      <c r="B403" s="4"/>
      <c r="C403" s="4"/>
      <c r="D403" s="6"/>
      <c r="E403" s="7"/>
      <c r="F403" s="7"/>
      <c r="G403" s="7"/>
      <c r="H403" s="75">
        <v>46252</v>
      </c>
      <c r="I403" s="2"/>
      <c r="J403" s="8"/>
      <c r="K403" s="5"/>
      <c r="L403" s="8"/>
      <c r="M403" s="74"/>
      <c r="N403" s="8"/>
      <c r="O403" s="57" t="str">
        <f t="shared" si="50"/>
        <v/>
      </c>
      <c r="P403" s="6"/>
      <c r="Q403" s="8"/>
    </row>
    <row r="404" spans="1:17" ht="13">
      <c r="A404" s="3"/>
      <c r="B404" s="4"/>
      <c r="C404" s="4"/>
      <c r="D404" s="6"/>
      <c r="E404" s="7"/>
      <c r="F404" s="7"/>
      <c r="G404" s="7"/>
      <c r="H404" s="75">
        <v>46252</v>
      </c>
      <c r="I404" s="2"/>
      <c r="J404" s="8"/>
      <c r="K404" s="5"/>
      <c r="L404" s="8"/>
      <c r="M404" s="74"/>
      <c r="N404" s="8"/>
      <c r="O404" s="57" t="str">
        <f t="shared" si="50"/>
        <v/>
      </c>
      <c r="P404" s="6"/>
      <c r="Q404" s="8"/>
    </row>
    <row r="405" spans="1:17" ht="13">
      <c r="A405" s="3"/>
      <c r="B405" s="4"/>
      <c r="C405" s="4"/>
      <c r="D405" s="6"/>
      <c r="E405" s="7"/>
      <c r="F405" s="7"/>
      <c r="G405" s="7"/>
      <c r="H405" s="75">
        <v>46252</v>
      </c>
      <c r="I405" s="2"/>
      <c r="J405" s="8"/>
      <c r="K405" s="5"/>
      <c r="L405" s="8"/>
      <c r="M405" s="74"/>
      <c r="N405" s="8"/>
      <c r="O405" s="57" t="str">
        <f t="shared" si="50"/>
        <v/>
      </c>
      <c r="P405" s="6"/>
      <c r="Q405" s="8"/>
    </row>
    <row r="406" spans="1:17" ht="13">
      <c r="A406" s="3"/>
      <c r="B406" s="4"/>
      <c r="C406" s="4"/>
      <c r="D406" s="6"/>
      <c r="E406" s="7"/>
      <c r="F406" s="7"/>
      <c r="G406" s="7"/>
      <c r="H406" s="75">
        <v>46252</v>
      </c>
      <c r="I406" s="2"/>
      <c r="J406" s="8"/>
      <c r="K406" s="5"/>
      <c r="L406" s="8"/>
      <c r="M406" s="74"/>
      <c r="N406" s="8"/>
      <c r="O406" s="57" t="str">
        <f t="shared" si="50"/>
        <v/>
      </c>
      <c r="P406" s="6"/>
      <c r="Q406" s="8"/>
    </row>
    <row r="407" spans="1:17" ht="13">
      <c r="A407" s="3"/>
      <c r="B407" s="4"/>
      <c r="C407" s="4"/>
      <c r="D407" s="6"/>
      <c r="E407" s="7"/>
      <c r="F407" s="7"/>
      <c r="G407" s="7"/>
      <c r="H407" s="75">
        <v>46252</v>
      </c>
      <c r="I407" s="2"/>
      <c r="J407" s="8"/>
      <c r="K407" s="5"/>
      <c r="L407" s="8"/>
      <c r="M407" s="74"/>
      <c r="N407" s="8"/>
      <c r="O407" s="57" t="str">
        <f t="shared" si="50"/>
        <v/>
      </c>
      <c r="P407" s="6"/>
      <c r="Q407" s="8"/>
    </row>
    <row r="408" spans="1:17" ht="13">
      <c r="A408" s="3"/>
      <c r="B408" s="4"/>
      <c r="C408" s="4"/>
      <c r="D408" s="6"/>
      <c r="E408" s="7"/>
      <c r="F408" s="7"/>
      <c r="G408" s="7"/>
      <c r="H408" s="75">
        <v>46252</v>
      </c>
      <c r="I408" s="2"/>
      <c r="J408" s="8"/>
      <c r="K408" s="5"/>
      <c r="L408" s="8"/>
      <c r="M408" s="74"/>
      <c r="N408" s="8"/>
      <c r="O408" s="57" t="str">
        <f t="shared" si="50"/>
        <v/>
      </c>
      <c r="P408" s="6"/>
      <c r="Q408" s="8"/>
    </row>
    <row r="409" spans="1:17" ht="13">
      <c r="A409" s="3">
        <v>46240</v>
      </c>
      <c r="B409" s="4" t="s">
        <v>36</v>
      </c>
      <c r="C409" s="4" t="s">
        <v>37</v>
      </c>
      <c r="D409" s="6" t="s">
        <v>19</v>
      </c>
      <c r="E409" s="7" t="s">
        <v>356</v>
      </c>
      <c r="F409" s="7" t="s">
        <v>357</v>
      </c>
      <c r="G409" s="7" t="s">
        <v>48</v>
      </c>
      <c r="H409" s="75">
        <v>46252</v>
      </c>
      <c r="I409" s="7" t="s">
        <v>247</v>
      </c>
      <c r="J409" s="8" t="s">
        <v>24</v>
      </c>
      <c r="K409" s="7" t="s">
        <v>25</v>
      </c>
      <c r="L409" s="8">
        <v>15</v>
      </c>
      <c r="M409" s="74">
        <v>46189</v>
      </c>
      <c r="N409" s="78" t="str">
        <f t="shared" ref="N409:N435" si="52">IF(AND(A409="",K648=""),"",IF(Q409="","Em Andamento",IF(M409&lt;=O409,"Dentro do Prazo","Fora do Prazo")))</f>
        <v>Dentro do Prazo</v>
      </c>
      <c r="O409" s="57">
        <f>IF(OR(A409="",L409=""),"",A409+L409)</f>
        <v>46255</v>
      </c>
      <c r="P409" s="76" t="str">
        <f ca="1">IF(O409="","",IF(O409-TODAY()=0,"Vence Hoje!",IF(O409-TODAY()&gt;=0,O409-TODAY()&amp;" Dia(s) para vencer","Prazo Vencido")))</f>
        <v>Prazo Vencido</v>
      </c>
      <c r="Q409" s="84">
        <f t="shared" ref="Q409:Q472" si="53">IF(OR(A409="",M409=""),"",M409-A409)</f>
        <v>-51</v>
      </c>
    </row>
    <row r="410" spans="1:17" ht="13">
      <c r="A410" s="3">
        <v>46237</v>
      </c>
      <c r="B410" s="4" t="s">
        <v>17</v>
      </c>
      <c r="C410" s="4" t="s">
        <v>27</v>
      </c>
      <c r="D410" s="6" t="s">
        <v>358</v>
      </c>
      <c r="E410" s="7" t="s">
        <v>358</v>
      </c>
      <c r="F410" s="7" t="s">
        <v>359</v>
      </c>
      <c r="G410" s="7" t="s">
        <v>48</v>
      </c>
      <c r="H410" s="75">
        <v>46252</v>
      </c>
      <c r="I410" s="7" t="s">
        <v>247</v>
      </c>
      <c r="J410" s="8" t="s">
        <v>24</v>
      </c>
      <c r="K410" s="7" t="s">
        <v>25</v>
      </c>
      <c r="L410" s="8">
        <v>15</v>
      </c>
      <c r="M410" s="75">
        <v>46238</v>
      </c>
      <c r="N410" s="78" t="str">
        <f t="shared" si="52"/>
        <v>Dentro do Prazo</v>
      </c>
      <c r="O410" s="57">
        <f t="shared" ref="O410:O473" si="54">IF(OR(A410="",L410=""),"",A410+L410)</f>
        <v>46252</v>
      </c>
      <c r="P410" s="76" t="str">
        <f t="shared" ref="P410:P473" ca="1" si="55">IF(O410="","",IF(O410-TODAY()=0,"Vence Hoje!",IF(O410-TODAY()&gt;=0,O410-TODAY()&amp;" Dia(s) para vencer","Prazo Vencido")))</f>
        <v>Prazo Vencido</v>
      </c>
      <c r="Q410" s="84">
        <f t="shared" si="53"/>
        <v>1</v>
      </c>
    </row>
    <row r="411" spans="1:17" ht="13">
      <c r="A411" s="3">
        <v>46237</v>
      </c>
      <c r="B411" s="4" t="s">
        <v>17</v>
      </c>
      <c r="C411" s="4" t="s">
        <v>27</v>
      </c>
      <c r="D411" s="6" t="s">
        <v>358</v>
      </c>
      <c r="E411" s="7" t="s">
        <v>358</v>
      </c>
      <c r="F411" s="7" t="s">
        <v>360</v>
      </c>
      <c r="G411" s="7" t="s">
        <v>48</v>
      </c>
      <c r="H411" s="75">
        <v>46252</v>
      </c>
      <c r="I411" s="7" t="s">
        <v>247</v>
      </c>
      <c r="J411" s="8" t="s">
        <v>24</v>
      </c>
      <c r="K411" s="7" t="s">
        <v>25</v>
      </c>
      <c r="L411" s="8"/>
      <c r="M411" s="75">
        <v>46238</v>
      </c>
      <c r="N411" s="78" t="str">
        <f t="shared" si="52"/>
        <v>Dentro do Prazo</v>
      </c>
      <c r="O411" s="57" t="str">
        <f t="shared" si="54"/>
        <v/>
      </c>
      <c r="P411" s="76" t="str">
        <f t="shared" ca="1" si="55"/>
        <v/>
      </c>
      <c r="Q411" s="84">
        <f t="shared" si="53"/>
        <v>1</v>
      </c>
    </row>
    <row r="412" spans="1:17" ht="13">
      <c r="A412" s="3">
        <v>46237</v>
      </c>
      <c r="B412" s="4" t="s">
        <v>17</v>
      </c>
      <c r="C412" s="4" t="s">
        <v>27</v>
      </c>
      <c r="D412" s="6" t="s">
        <v>358</v>
      </c>
      <c r="E412" s="7" t="s">
        <v>358</v>
      </c>
      <c r="F412" s="7" t="s">
        <v>361</v>
      </c>
      <c r="G412" s="7" t="s">
        <v>48</v>
      </c>
      <c r="H412" s="75">
        <v>46252</v>
      </c>
      <c r="I412" s="7" t="s">
        <v>247</v>
      </c>
      <c r="J412" s="8" t="s">
        <v>24</v>
      </c>
      <c r="K412" s="7" t="s">
        <v>25</v>
      </c>
      <c r="L412" s="8">
        <v>15</v>
      </c>
      <c r="M412" s="75">
        <v>46238</v>
      </c>
      <c r="N412" s="78" t="str">
        <f t="shared" si="52"/>
        <v>Dentro do Prazo</v>
      </c>
      <c r="O412" s="57">
        <f t="shared" si="54"/>
        <v>46252</v>
      </c>
      <c r="P412" s="76" t="str">
        <f t="shared" ca="1" si="55"/>
        <v>Prazo Vencido</v>
      </c>
      <c r="Q412" s="84">
        <f t="shared" si="53"/>
        <v>1</v>
      </c>
    </row>
    <row r="413" spans="1:17" ht="13">
      <c r="A413" s="3">
        <v>46237</v>
      </c>
      <c r="B413" s="4" t="s">
        <v>17</v>
      </c>
      <c r="C413" s="4" t="s">
        <v>27</v>
      </c>
      <c r="D413" s="6" t="s">
        <v>358</v>
      </c>
      <c r="E413" s="7" t="s">
        <v>358</v>
      </c>
      <c r="F413" s="7" t="s">
        <v>362</v>
      </c>
      <c r="G413" s="7" t="s">
        <v>48</v>
      </c>
      <c r="H413" s="75">
        <v>46252</v>
      </c>
      <c r="I413" s="7" t="s">
        <v>247</v>
      </c>
      <c r="J413" s="8" t="s">
        <v>24</v>
      </c>
      <c r="K413" s="7" t="s">
        <v>25</v>
      </c>
      <c r="L413" s="8">
        <v>15</v>
      </c>
      <c r="M413" s="75">
        <v>46238</v>
      </c>
      <c r="N413" s="78" t="str">
        <f t="shared" si="52"/>
        <v>Dentro do Prazo</v>
      </c>
      <c r="O413" s="57">
        <f t="shared" si="54"/>
        <v>46252</v>
      </c>
      <c r="P413" s="76" t="str">
        <f t="shared" ca="1" si="55"/>
        <v>Prazo Vencido</v>
      </c>
      <c r="Q413" s="84">
        <f t="shared" si="53"/>
        <v>1</v>
      </c>
    </row>
    <row r="414" spans="1:17" ht="13">
      <c r="A414" s="3">
        <v>46237</v>
      </c>
      <c r="B414" s="4" t="s">
        <v>17</v>
      </c>
      <c r="C414" s="4" t="s">
        <v>27</v>
      </c>
      <c r="D414" s="6" t="s">
        <v>358</v>
      </c>
      <c r="E414" s="7" t="s">
        <v>358</v>
      </c>
      <c r="F414" s="7" t="s">
        <v>363</v>
      </c>
      <c r="G414" s="7" t="s">
        <v>48</v>
      </c>
      <c r="H414" s="75">
        <v>46252</v>
      </c>
      <c r="I414" s="7" t="s">
        <v>247</v>
      </c>
      <c r="J414" s="8" t="s">
        <v>24</v>
      </c>
      <c r="K414" s="7" t="s">
        <v>25</v>
      </c>
      <c r="L414" s="8">
        <v>15</v>
      </c>
      <c r="M414" s="75">
        <v>46238</v>
      </c>
      <c r="N414" s="78" t="str">
        <f t="shared" si="52"/>
        <v>Dentro do Prazo</v>
      </c>
      <c r="O414" s="57">
        <f t="shared" si="54"/>
        <v>46252</v>
      </c>
      <c r="P414" s="76" t="str">
        <f t="shared" ca="1" si="55"/>
        <v>Prazo Vencido</v>
      </c>
      <c r="Q414" s="84">
        <f t="shared" si="53"/>
        <v>1</v>
      </c>
    </row>
    <row r="415" spans="1:17" ht="13">
      <c r="A415" s="3">
        <v>46237</v>
      </c>
      <c r="B415" s="4" t="s">
        <v>17</v>
      </c>
      <c r="C415" s="4" t="s">
        <v>27</v>
      </c>
      <c r="D415" s="6" t="s">
        <v>358</v>
      </c>
      <c r="E415" s="7" t="s">
        <v>358</v>
      </c>
      <c r="F415" s="7" t="s">
        <v>364</v>
      </c>
      <c r="G415" s="7" t="s">
        <v>48</v>
      </c>
      <c r="H415" s="75">
        <v>46252</v>
      </c>
      <c r="I415" s="7" t="s">
        <v>247</v>
      </c>
      <c r="J415" s="8" t="s">
        <v>24</v>
      </c>
      <c r="K415" s="7" t="s">
        <v>25</v>
      </c>
      <c r="L415" s="8">
        <v>15</v>
      </c>
      <c r="M415" s="75">
        <v>46238</v>
      </c>
      <c r="N415" s="78" t="str">
        <f t="shared" si="52"/>
        <v>Dentro do Prazo</v>
      </c>
      <c r="O415" s="57">
        <f t="shared" si="54"/>
        <v>46252</v>
      </c>
      <c r="P415" s="76" t="str">
        <f t="shared" ca="1" si="55"/>
        <v>Prazo Vencido</v>
      </c>
      <c r="Q415" s="84">
        <f t="shared" si="53"/>
        <v>1</v>
      </c>
    </row>
    <row r="416" spans="1:17" ht="13">
      <c r="A416" s="3">
        <v>46237</v>
      </c>
      <c r="B416" s="4" t="s">
        <v>17</v>
      </c>
      <c r="C416" s="4" t="s">
        <v>27</v>
      </c>
      <c r="D416" s="6" t="s">
        <v>358</v>
      </c>
      <c r="E416" s="7" t="s">
        <v>358</v>
      </c>
      <c r="F416" s="7" t="s">
        <v>365</v>
      </c>
      <c r="G416" s="7" t="s">
        <v>48</v>
      </c>
      <c r="H416" s="75">
        <v>46252</v>
      </c>
      <c r="I416" s="7" t="s">
        <v>247</v>
      </c>
      <c r="J416" s="8" t="s">
        <v>24</v>
      </c>
      <c r="K416" s="7" t="s">
        <v>25</v>
      </c>
      <c r="L416" s="8">
        <v>15</v>
      </c>
      <c r="M416" s="75">
        <v>46238</v>
      </c>
      <c r="N416" s="78" t="str">
        <f t="shared" si="52"/>
        <v>Dentro do Prazo</v>
      </c>
      <c r="O416" s="57">
        <f t="shared" si="54"/>
        <v>46252</v>
      </c>
      <c r="P416" s="76" t="str">
        <f t="shared" ca="1" si="55"/>
        <v>Prazo Vencido</v>
      </c>
      <c r="Q416" s="84">
        <f t="shared" si="53"/>
        <v>1</v>
      </c>
    </row>
    <row r="417" spans="1:17" ht="13">
      <c r="A417" s="3">
        <v>46237</v>
      </c>
      <c r="B417" s="4" t="s">
        <v>17</v>
      </c>
      <c r="C417" s="4" t="s">
        <v>27</v>
      </c>
      <c r="D417" s="6" t="s">
        <v>358</v>
      </c>
      <c r="E417" s="7" t="s">
        <v>358</v>
      </c>
      <c r="F417" s="7" t="s">
        <v>366</v>
      </c>
      <c r="G417" s="7" t="s">
        <v>48</v>
      </c>
      <c r="H417" s="75">
        <v>46252</v>
      </c>
      <c r="I417" s="7" t="s">
        <v>247</v>
      </c>
      <c r="J417" s="8" t="s">
        <v>24</v>
      </c>
      <c r="K417" s="7" t="s">
        <v>25</v>
      </c>
      <c r="L417" s="8">
        <v>15</v>
      </c>
      <c r="M417" s="75">
        <v>46238</v>
      </c>
      <c r="N417" s="78" t="str">
        <f t="shared" si="52"/>
        <v>Dentro do Prazo</v>
      </c>
      <c r="O417" s="57">
        <f t="shared" si="54"/>
        <v>46252</v>
      </c>
      <c r="P417" s="76" t="str">
        <f t="shared" ca="1" si="55"/>
        <v>Prazo Vencido</v>
      </c>
      <c r="Q417" s="84">
        <f t="shared" si="53"/>
        <v>1</v>
      </c>
    </row>
    <row r="418" spans="1:17" ht="13">
      <c r="A418" s="3">
        <v>46237</v>
      </c>
      <c r="B418" s="4" t="s">
        <v>17</v>
      </c>
      <c r="C418" s="4" t="s">
        <v>27</v>
      </c>
      <c r="D418" s="6" t="s">
        <v>358</v>
      </c>
      <c r="E418" s="7" t="s">
        <v>358</v>
      </c>
      <c r="F418" s="7" t="s">
        <v>367</v>
      </c>
      <c r="G418" s="7" t="s">
        <v>48</v>
      </c>
      <c r="H418" s="75">
        <v>46252</v>
      </c>
      <c r="I418" s="7" t="s">
        <v>247</v>
      </c>
      <c r="J418" s="8" t="s">
        <v>24</v>
      </c>
      <c r="K418" s="7" t="s">
        <v>25</v>
      </c>
      <c r="L418" s="8">
        <v>15</v>
      </c>
      <c r="M418" s="75">
        <v>46238</v>
      </c>
      <c r="N418" s="78" t="str">
        <f t="shared" si="52"/>
        <v>Dentro do Prazo</v>
      </c>
      <c r="O418" s="57">
        <f t="shared" si="54"/>
        <v>46252</v>
      </c>
      <c r="P418" s="76" t="str">
        <f t="shared" ca="1" si="55"/>
        <v>Prazo Vencido</v>
      </c>
      <c r="Q418" s="84">
        <f t="shared" si="53"/>
        <v>1</v>
      </c>
    </row>
    <row r="419" spans="1:17" ht="13">
      <c r="A419" s="3">
        <v>46237</v>
      </c>
      <c r="B419" s="4" t="s">
        <v>17</v>
      </c>
      <c r="C419" s="4" t="s">
        <v>27</v>
      </c>
      <c r="D419" s="6" t="s">
        <v>358</v>
      </c>
      <c r="E419" s="7" t="s">
        <v>358</v>
      </c>
      <c r="F419" s="7" t="s">
        <v>368</v>
      </c>
      <c r="G419" s="7" t="s">
        <v>48</v>
      </c>
      <c r="H419" s="75">
        <v>46252</v>
      </c>
      <c r="I419" s="7" t="s">
        <v>247</v>
      </c>
      <c r="J419" s="8" t="s">
        <v>24</v>
      </c>
      <c r="K419" s="7" t="s">
        <v>25</v>
      </c>
      <c r="L419" s="8">
        <v>15</v>
      </c>
      <c r="M419" s="75">
        <v>46238</v>
      </c>
      <c r="N419" s="78" t="str">
        <f t="shared" si="52"/>
        <v>Dentro do Prazo</v>
      </c>
      <c r="O419" s="57">
        <f t="shared" si="54"/>
        <v>46252</v>
      </c>
      <c r="P419" s="76" t="str">
        <f t="shared" ca="1" si="55"/>
        <v>Prazo Vencido</v>
      </c>
      <c r="Q419" s="84">
        <f t="shared" si="53"/>
        <v>1</v>
      </c>
    </row>
    <row r="420" spans="1:17" ht="13">
      <c r="A420" s="3">
        <v>46237</v>
      </c>
      <c r="B420" s="4" t="s">
        <v>17</v>
      </c>
      <c r="C420" s="4" t="s">
        <v>27</v>
      </c>
      <c r="D420" s="6" t="s">
        <v>358</v>
      </c>
      <c r="E420" s="7" t="s">
        <v>358</v>
      </c>
      <c r="F420" s="7" t="s">
        <v>369</v>
      </c>
      <c r="G420" s="7" t="s">
        <v>48</v>
      </c>
      <c r="H420" s="75">
        <v>46252</v>
      </c>
      <c r="I420" s="7" t="s">
        <v>247</v>
      </c>
      <c r="J420" s="8" t="s">
        <v>24</v>
      </c>
      <c r="K420" s="7" t="s">
        <v>25</v>
      </c>
      <c r="L420" s="8">
        <v>15</v>
      </c>
      <c r="M420" s="75">
        <v>46238</v>
      </c>
      <c r="N420" s="78" t="str">
        <f t="shared" si="52"/>
        <v>Dentro do Prazo</v>
      </c>
      <c r="O420" s="57">
        <f t="shared" si="54"/>
        <v>46252</v>
      </c>
      <c r="P420" s="76" t="str">
        <f t="shared" ca="1" si="55"/>
        <v>Prazo Vencido</v>
      </c>
      <c r="Q420" s="84">
        <f t="shared" si="53"/>
        <v>1</v>
      </c>
    </row>
    <row r="421" spans="1:17" ht="14">
      <c r="A421" s="3">
        <v>46237</v>
      </c>
      <c r="B421" s="92" t="s">
        <v>17</v>
      </c>
      <c r="C421" s="92" t="s">
        <v>27</v>
      </c>
      <c r="D421" s="6" t="s">
        <v>358</v>
      </c>
      <c r="E421" s="7" t="s">
        <v>358</v>
      </c>
      <c r="F421" s="7" t="s">
        <v>370</v>
      </c>
      <c r="G421" s="7" t="s">
        <v>48</v>
      </c>
      <c r="H421" s="75">
        <v>46252</v>
      </c>
      <c r="I421" s="7" t="s">
        <v>247</v>
      </c>
      <c r="J421" s="8" t="s">
        <v>24</v>
      </c>
      <c r="K421" s="7" t="s">
        <v>25</v>
      </c>
      <c r="L421" s="8">
        <v>15</v>
      </c>
      <c r="M421" s="74">
        <v>46242</v>
      </c>
      <c r="N421" s="78" t="str">
        <f t="shared" si="52"/>
        <v>Dentro do Prazo</v>
      </c>
      <c r="O421" s="57">
        <f t="shared" si="54"/>
        <v>46252</v>
      </c>
      <c r="P421" s="76" t="str">
        <f t="shared" ca="1" si="55"/>
        <v>Prazo Vencido</v>
      </c>
      <c r="Q421" s="84">
        <f t="shared" si="53"/>
        <v>5</v>
      </c>
    </row>
    <row r="422" spans="1:17" ht="14">
      <c r="A422" s="3">
        <v>46237</v>
      </c>
      <c r="B422" s="92" t="s">
        <v>17</v>
      </c>
      <c r="C422" s="92" t="s">
        <v>27</v>
      </c>
      <c r="D422" s="6" t="s">
        <v>358</v>
      </c>
      <c r="E422" s="7" t="s">
        <v>358</v>
      </c>
      <c r="F422" s="7" t="s">
        <v>371</v>
      </c>
      <c r="G422" s="7" t="s">
        <v>48</v>
      </c>
      <c r="H422" s="75">
        <v>46252</v>
      </c>
      <c r="I422" s="7" t="s">
        <v>247</v>
      </c>
      <c r="J422" s="8" t="s">
        <v>24</v>
      </c>
      <c r="K422" s="7" t="s">
        <v>25</v>
      </c>
      <c r="L422" s="8">
        <v>15</v>
      </c>
      <c r="M422" s="74">
        <v>46242</v>
      </c>
      <c r="N422" s="78" t="str">
        <f t="shared" si="52"/>
        <v>Dentro do Prazo</v>
      </c>
      <c r="O422" s="57">
        <f t="shared" si="54"/>
        <v>46252</v>
      </c>
      <c r="P422" s="76" t="str">
        <f t="shared" ca="1" si="55"/>
        <v>Prazo Vencido</v>
      </c>
      <c r="Q422" s="84">
        <f t="shared" si="53"/>
        <v>5</v>
      </c>
    </row>
    <row r="423" spans="1:17" ht="14">
      <c r="A423" s="3">
        <v>46237</v>
      </c>
      <c r="B423" s="92" t="s">
        <v>17</v>
      </c>
      <c r="C423" s="92" t="s">
        <v>27</v>
      </c>
      <c r="D423" s="6" t="s">
        <v>358</v>
      </c>
      <c r="E423" s="7" t="s">
        <v>358</v>
      </c>
      <c r="F423" s="7" t="s">
        <v>372</v>
      </c>
      <c r="G423" s="7" t="s">
        <v>48</v>
      </c>
      <c r="H423" s="75">
        <v>46252</v>
      </c>
      <c r="I423" s="7" t="s">
        <v>247</v>
      </c>
      <c r="J423" s="8" t="s">
        <v>24</v>
      </c>
      <c r="K423" s="7" t="s">
        <v>25</v>
      </c>
      <c r="L423" s="8">
        <v>15</v>
      </c>
      <c r="M423" s="74">
        <v>46242</v>
      </c>
      <c r="N423" s="78" t="str">
        <f t="shared" si="52"/>
        <v>Dentro do Prazo</v>
      </c>
      <c r="O423" s="57">
        <f t="shared" si="54"/>
        <v>46252</v>
      </c>
      <c r="P423" s="76" t="str">
        <f t="shared" ca="1" si="55"/>
        <v>Prazo Vencido</v>
      </c>
      <c r="Q423" s="84">
        <f t="shared" si="53"/>
        <v>5</v>
      </c>
    </row>
    <row r="424" spans="1:17" ht="14">
      <c r="A424" s="3">
        <v>46237</v>
      </c>
      <c r="B424" s="92" t="s">
        <v>17</v>
      </c>
      <c r="C424" s="92" t="s">
        <v>27</v>
      </c>
      <c r="D424" s="6" t="s">
        <v>358</v>
      </c>
      <c r="E424" s="7" t="s">
        <v>358</v>
      </c>
      <c r="F424" s="7" t="s">
        <v>373</v>
      </c>
      <c r="G424" s="7" t="s">
        <v>48</v>
      </c>
      <c r="H424" s="75">
        <v>46252</v>
      </c>
      <c r="I424" s="7" t="s">
        <v>247</v>
      </c>
      <c r="J424" s="8" t="s">
        <v>24</v>
      </c>
      <c r="K424" s="7" t="s">
        <v>25</v>
      </c>
      <c r="L424" s="8">
        <v>15</v>
      </c>
      <c r="M424" s="74">
        <v>46242</v>
      </c>
      <c r="N424" s="78" t="str">
        <f t="shared" si="52"/>
        <v>Dentro do Prazo</v>
      </c>
      <c r="O424" s="57">
        <f t="shared" si="54"/>
        <v>46252</v>
      </c>
      <c r="P424" s="76" t="str">
        <f t="shared" ca="1" si="55"/>
        <v>Prazo Vencido</v>
      </c>
      <c r="Q424" s="84">
        <f t="shared" si="53"/>
        <v>5</v>
      </c>
    </row>
    <row r="425" spans="1:17" ht="14">
      <c r="A425" s="3">
        <v>46237</v>
      </c>
      <c r="B425" s="92" t="s">
        <v>17</v>
      </c>
      <c r="C425" s="92" t="s">
        <v>27</v>
      </c>
      <c r="D425" s="6" t="s">
        <v>358</v>
      </c>
      <c r="E425" s="7" t="s">
        <v>358</v>
      </c>
      <c r="F425" s="7" t="s">
        <v>374</v>
      </c>
      <c r="G425" s="7" t="s">
        <v>48</v>
      </c>
      <c r="H425" s="75">
        <v>46252</v>
      </c>
      <c r="I425" s="7" t="s">
        <v>247</v>
      </c>
      <c r="J425" s="8" t="s">
        <v>24</v>
      </c>
      <c r="K425" s="7" t="s">
        <v>25</v>
      </c>
      <c r="L425" s="8">
        <v>15</v>
      </c>
      <c r="M425" s="74">
        <v>46242</v>
      </c>
      <c r="N425" s="78" t="str">
        <f t="shared" si="52"/>
        <v>Dentro do Prazo</v>
      </c>
      <c r="O425" s="57">
        <f t="shared" si="54"/>
        <v>46252</v>
      </c>
      <c r="P425" s="76" t="str">
        <f t="shared" ca="1" si="55"/>
        <v>Prazo Vencido</v>
      </c>
      <c r="Q425" s="84">
        <f t="shared" si="53"/>
        <v>5</v>
      </c>
    </row>
    <row r="426" spans="1:17" ht="14">
      <c r="A426" s="3">
        <v>46237</v>
      </c>
      <c r="B426" s="92" t="s">
        <v>17</v>
      </c>
      <c r="C426" s="92" t="s">
        <v>27</v>
      </c>
      <c r="D426" s="6" t="s">
        <v>358</v>
      </c>
      <c r="E426" s="7" t="s">
        <v>358</v>
      </c>
      <c r="F426" s="7" t="s">
        <v>375</v>
      </c>
      <c r="G426" s="7" t="s">
        <v>48</v>
      </c>
      <c r="H426" s="75">
        <v>46252</v>
      </c>
      <c r="I426" s="7" t="s">
        <v>247</v>
      </c>
      <c r="J426" s="8" t="s">
        <v>24</v>
      </c>
      <c r="K426" s="7" t="s">
        <v>25</v>
      </c>
      <c r="L426" s="8">
        <v>15</v>
      </c>
      <c r="M426" s="74">
        <v>46242</v>
      </c>
      <c r="N426" s="78" t="str">
        <f t="shared" si="52"/>
        <v>Dentro do Prazo</v>
      </c>
      <c r="O426" s="57">
        <f t="shared" si="54"/>
        <v>46252</v>
      </c>
      <c r="P426" s="76" t="str">
        <f t="shared" ca="1" si="55"/>
        <v>Prazo Vencido</v>
      </c>
      <c r="Q426" s="84">
        <f t="shared" si="53"/>
        <v>5</v>
      </c>
    </row>
    <row r="427" spans="1:17" ht="14">
      <c r="A427" s="3">
        <v>46237</v>
      </c>
      <c r="B427" s="92" t="s">
        <v>17</v>
      </c>
      <c r="C427" s="92" t="s">
        <v>27</v>
      </c>
      <c r="D427" s="6" t="s">
        <v>358</v>
      </c>
      <c r="E427" s="7" t="s">
        <v>358</v>
      </c>
      <c r="F427" s="7" t="s">
        <v>376</v>
      </c>
      <c r="G427" s="7" t="s">
        <v>48</v>
      </c>
      <c r="H427" s="75">
        <v>46252</v>
      </c>
      <c r="I427" s="7" t="s">
        <v>247</v>
      </c>
      <c r="J427" s="8" t="s">
        <v>24</v>
      </c>
      <c r="K427" s="7" t="s">
        <v>25</v>
      </c>
      <c r="L427" s="8">
        <v>15</v>
      </c>
      <c r="M427" s="74">
        <v>46242</v>
      </c>
      <c r="N427" s="78" t="str">
        <f t="shared" si="52"/>
        <v>Dentro do Prazo</v>
      </c>
      <c r="O427" s="57">
        <f t="shared" si="54"/>
        <v>46252</v>
      </c>
      <c r="P427" s="76" t="str">
        <f t="shared" ca="1" si="55"/>
        <v>Prazo Vencido</v>
      </c>
      <c r="Q427" s="84">
        <f t="shared" si="53"/>
        <v>5</v>
      </c>
    </row>
    <row r="428" spans="1:17" ht="14">
      <c r="A428" s="3">
        <v>46237</v>
      </c>
      <c r="B428" s="92" t="s">
        <v>17</v>
      </c>
      <c r="C428" s="92" t="s">
        <v>27</v>
      </c>
      <c r="D428" s="6" t="s">
        <v>358</v>
      </c>
      <c r="E428" s="7" t="s">
        <v>358</v>
      </c>
      <c r="F428" s="7" t="s">
        <v>377</v>
      </c>
      <c r="G428" s="7" t="s">
        <v>48</v>
      </c>
      <c r="H428" s="75">
        <v>46252</v>
      </c>
      <c r="I428" s="7" t="s">
        <v>247</v>
      </c>
      <c r="J428" s="8" t="s">
        <v>24</v>
      </c>
      <c r="K428" s="7" t="s">
        <v>25</v>
      </c>
      <c r="L428" s="8">
        <v>15</v>
      </c>
      <c r="M428" s="74">
        <v>46242</v>
      </c>
      <c r="N428" s="78" t="str">
        <f t="shared" si="52"/>
        <v>Dentro do Prazo</v>
      </c>
      <c r="O428" s="57">
        <f t="shared" si="54"/>
        <v>46252</v>
      </c>
      <c r="P428" s="76" t="str">
        <f t="shared" ca="1" si="55"/>
        <v>Prazo Vencido</v>
      </c>
      <c r="Q428" s="84">
        <f t="shared" si="53"/>
        <v>5</v>
      </c>
    </row>
    <row r="429" spans="1:17" ht="14">
      <c r="A429" s="3">
        <v>46237</v>
      </c>
      <c r="B429" s="92" t="s">
        <v>17</v>
      </c>
      <c r="C429" s="92" t="s">
        <v>27</v>
      </c>
      <c r="D429" s="6" t="s">
        <v>358</v>
      </c>
      <c r="E429" s="7" t="s">
        <v>358</v>
      </c>
      <c r="F429" s="7" t="s">
        <v>378</v>
      </c>
      <c r="G429" s="7" t="s">
        <v>48</v>
      </c>
      <c r="H429" s="75">
        <v>46252</v>
      </c>
      <c r="I429" s="7" t="s">
        <v>247</v>
      </c>
      <c r="J429" s="8" t="s">
        <v>24</v>
      </c>
      <c r="K429" s="7" t="s">
        <v>25</v>
      </c>
      <c r="L429" s="8">
        <v>15</v>
      </c>
      <c r="M429" s="74">
        <v>46242</v>
      </c>
      <c r="N429" s="78" t="str">
        <f t="shared" si="52"/>
        <v>Dentro do Prazo</v>
      </c>
      <c r="O429" s="57">
        <f t="shared" si="54"/>
        <v>46252</v>
      </c>
      <c r="P429" s="76" t="str">
        <f t="shared" ca="1" si="55"/>
        <v>Prazo Vencido</v>
      </c>
      <c r="Q429" s="84">
        <f t="shared" si="53"/>
        <v>5</v>
      </c>
    </row>
    <row r="430" spans="1:17" ht="13">
      <c r="A430" s="3">
        <v>46237</v>
      </c>
      <c r="B430" s="4" t="s">
        <v>174</v>
      </c>
      <c r="C430" s="4" t="s">
        <v>379</v>
      </c>
      <c r="D430" s="6" t="s">
        <v>358</v>
      </c>
      <c r="E430" s="7" t="s">
        <v>358</v>
      </c>
      <c r="F430" s="7" t="s">
        <v>380</v>
      </c>
      <c r="G430" s="7" t="s">
        <v>48</v>
      </c>
      <c r="H430" s="75">
        <v>46252</v>
      </c>
      <c r="I430" s="7" t="s">
        <v>247</v>
      </c>
      <c r="J430" s="8" t="s">
        <v>24</v>
      </c>
      <c r="K430" s="7" t="s">
        <v>25</v>
      </c>
      <c r="L430" s="8">
        <v>15</v>
      </c>
      <c r="M430" s="74">
        <v>46242</v>
      </c>
      <c r="N430" s="78" t="str">
        <f t="shared" si="52"/>
        <v>Dentro do Prazo</v>
      </c>
      <c r="O430" s="57">
        <f t="shared" si="54"/>
        <v>46252</v>
      </c>
      <c r="P430" s="76" t="str">
        <f t="shared" ca="1" si="55"/>
        <v>Prazo Vencido</v>
      </c>
      <c r="Q430" s="84">
        <f t="shared" si="53"/>
        <v>5</v>
      </c>
    </row>
    <row r="431" spans="1:17" ht="14">
      <c r="A431" s="3">
        <v>46237</v>
      </c>
      <c r="B431" s="92" t="s">
        <v>17</v>
      </c>
      <c r="C431" s="92" t="s">
        <v>27</v>
      </c>
      <c r="D431" s="6" t="s">
        <v>358</v>
      </c>
      <c r="E431" s="7" t="s">
        <v>358</v>
      </c>
      <c r="F431" s="7" t="s">
        <v>381</v>
      </c>
      <c r="G431" s="7" t="s">
        <v>48</v>
      </c>
      <c r="H431" s="75">
        <v>46252</v>
      </c>
      <c r="I431" s="7" t="s">
        <v>247</v>
      </c>
      <c r="J431" s="8" t="s">
        <v>24</v>
      </c>
      <c r="K431" s="7" t="s">
        <v>25</v>
      </c>
      <c r="L431" s="8">
        <v>15</v>
      </c>
      <c r="M431" s="74">
        <v>46242</v>
      </c>
      <c r="N431" s="78" t="str">
        <f t="shared" si="52"/>
        <v>Dentro do Prazo</v>
      </c>
      <c r="O431" s="57">
        <f t="shared" si="54"/>
        <v>46252</v>
      </c>
      <c r="P431" s="76" t="str">
        <f t="shared" ca="1" si="55"/>
        <v>Prazo Vencido</v>
      </c>
      <c r="Q431" s="84">
        <f t="shared" si="53"/>
        <v>5</v>
      </c>
    </row>
    <row r="432" spans="1:17" ht="14">
      <c r="A432" s="3">
        <v>46237</v>
      </c>
      <c r="B432" s="92" t="s">
        <v>17</v>
      </c>
      <c r="C432" s="92" t="s">
        <v>27</v>
      </c>
      <c r="D432" s="6" t="s">
        <v>358</v>
      </c>
      <c r="E432" s="7" t="s">
        <v>358</v>
      </c>
      <c r="F432" s="7" t="s">
        <v>382</v>
      </c>
      <c r="G432" s="7" t="s">
        <v>48</v>
      </c>
      <c r="H432" s="75">
        <v>46252</v>
      </c>
      <c r="I432" s="7" t="s">
        <v>247</v>
      </c>
      <c r="J432" s="8" t="s">
        <v>24</v>
      </c>
      <c r="K432" s="7" t="s">
        <v>25</v>
      </c>
      <c r="L432" s="8">
        <v>15</v>
      </c>
      <c r="M432" s="74">
        <v>46242</v>
      </c>
      <c r="N432" s="78" t="str">
        <f t="shared" si="52"/>
        <v>Dentro do Prazo</v>
      </c>
      <c r="O432" s="57">
        <f t="shared" si="54"/>
        <v>46252</v>
      </c>
      <c r="P432" s="76" t="str">
        <f t="shared" ca="1" si="55"/>
        <v>Prazo Vencido</v>
      </c>
      <c r="Q432" s="84">
        <f t="shared" si="53"/>
        <v>5</v>
      </c>
    </row>
    <row r="433" spans="1:17" ht="14">
      <c r="A433" s="3">
        <v>46237</v>
      </c>
      <c r="B433" s="92" t="s">
        <v>17</v>
      </c>
      <c r="C433" s="92" t="s">
        <v>27</v>
      </c>
      <c r="D433" s="6" t="s">
        <v>358</v>
      </c>
      <c r="E433" s="7" t="s">
        <v>358</v>
      </c>
      <c r="F433" s="7" t="s">
        <v>383</v>
      </c>
      <c r="G433" s="7" t="s">
        <v>48</v>
      </c>
      <c r="H433" s="75">
        <v>46252</v>
      </c>
      <c r="I433" s="7" t="s">
        <v>247</v>
      </c>
      <c r="J433" s="8" t="s">
        <v>24</v>
      </c>
      <c r="K433" s="7" t="s">
        <v>25</v>
      </c>
      <c r="L433" s="8">
        <v>15</v>
      </c>
      <c r="M433" s="74">
        <v>46242</v>
      </c>
      <c r="N433" s="78" t="str">
        <f t="shared" si="52"/>
        <v>Dentro do Prazo</v>
      </c>
      <c r="O433" s="57">
        <f t="shared" si="54"/>
        <v>46252</v>
      </c>
      <c r="P433" s="76" t="str">
        <f t="shared" ca="1" si="55"/>
        <v>Prazo Vencido</v>
      </c>
      <c r="Q433" s="84">
        <f t="shared" si="53"/>
        <v>5</v>
      </c>
    </row>
    <row r="434" spans="1:17" ht="14">
      <c r="A434" s="3">
        <v>46237</v>
      </c>
      <c r="B434" s="92" t="s">
        <v>17</v>
      </c>
      <c r="C434" s="92" t="s">
        <v>27</v>
      </c>
      <c r="D434" s="6" t="s">
        <v>358</v>
      </c>
      <c r="E434" s="7" t="s">
        <v>358</v>
      </c>
      <c r="F434" s="7" t="s">
        <v>384</v>
      </c>
      <c r="G434" s="7" t="s">
        <v>48</v>
      </c>
      <c r="H434" s="75">
        <v>46252</v>
      </c>
      <c r="I434" s="7" t="s">
        <v>247</v>
      </c>
      <c r="J434" s="8" t="s">
        <v>24</v>
      </c>
      <c r="K434" s="7" t="s">
        <v>25</v>
      </c>
      <c r="L434" s="8">
        <v>15</v>
      </c>
      <c r="M434" s="74">
        <v>46242</v>
      </c>
      <c r="N434" s="78" t="str">
        <f t="shared" si="52"/>
        <v>Dentro do Prazo</v>
      </c>
      <c r="O434" s="57">
        <f t="shared" si="54"/>
        <v>46252</v>
      </c>
      <c r="P434" s="76" t="str">
        <f t="shared" ca="1" si="55"/>
        <v>Prazo Vencido</v>
      </c>
      <c r="Q434" s="84">
        <f t="shared" si="53"/>
        <v>5</v>
      </c>
    </row>
    <row r="435" spans="1:17" ht="14">
      <c r="A435" s="3">
        <v>46237</v>
      </c>
      <c r="B435" s="92" t="s">
        <v>17</v>
      </c>
      <c r="C435" s="92" t="s">
        <v>27</v>
      </c>
      <c r="D435" s="6" t="s">
        <v>358</v>
      </c>
      <c r="E435" s="7" t="s">
        <v>358</v>
      </c>
      <c r="F435" s="7" t="s">
        <v>385</v>
      </c>
      <c r="G435" s="7" t="s">
        <v>48</v>
      </c>
      <c r="H435" s="75">
        <v>46252</v>
      </c>
      <c r="I435" s="7" t="s">
        <v>247</v>
      </c>
      <c r="J435" s="8" t="s">
        <v>24</v>
      </c>
      <c r="K435" s="7" t="s">
        <v>25</v>
      </c>
      <c r="L435" s="8">
        <v>15</v>
      </c>
      <c r="M435" s="74">
        <v>46242</v>
      </c>
      <c r="N435" s="78" t="str">
        <f t="shared" si="52"/>
        <v>Dentro do Prazo</v>
      </c>
      <c r="O435" s="57">
        <f t="shared" si="54"/>
        <v>46252</v>
      </c>
      <c r="P435" s="76" t="str">
        <f t="shared" ca="1" si="55"/>
        <v>Prazo Vencido</v>
      </c>
      <c r="Q435" s="84">
        <f t="shared" si="53"/>
        <v>5</v>
      </c>
    </row>
    <row r="436" spans="1:17" ht="13">
      <c r="A436" s="3">
        <v>46245</v>
      </c>
      <c r="B436" s="2" t="s">
        <v>17</v>
      </c>
      <c r="C436" s="4" t="s">
        <v>27</v>
      </c>
      <c r="D436" s="7" t="s">
        <v>19</v>
      </c>
      <c r="E436" s="7" t="s">
        <v>386</v>
      </c>
      <c r="F436" s="7" t="s">
        <v>376</v>
      </c>
      <c r="G436" s="7" t="s">
        <v>22</v>
      </c>
      <c r="H436" s="75">
        <v>46252</v>
      </c>
      <c r="I436" s="7" t="s">
        <v>247</v>
      </c>
      <c r="J436" s="8" t="s">
        <v>24</v>
      </c>
      <c r="K436" s="7" t="s">
        <v>25</v>
      </c>
      <c r="L436" s="8">
        <v>15</v>
      </c>
      <c r="M436" s="74">
        <v>46251</v>
      </c>
      <c r="N436" s="78" t="str">
        <f>IF(AND(A436="",K673=""),"",IF(Q436="","Em Andamento",IF(M436&lt;=O436,"Dentro do Prazo","Fora do Prazo")))</f>
        <v>Dentro do Prazo</v>
      </c>
      <c r="O436" s="57">
        <f t="shared" si="54"/>
        <v>46260</v>
      </c>
      <c r="P436" s="76" t="str">
        <f t="shared" ca="1" si="55"/>
        <v>Prazo Vencido</v>
      </c>
      <c r="Q436" s="84">
        <f t="shared" si="53"/>
        <v>6</v>
      </c>
    </row>
    <row r="437" spans="1:17" ht="13">
      <c r="A437" s="3"/>
      <c r="B437" s="2"/>
      <c r="C437" s="4"/>
      <c r="D437" s="7"/>
      <c r="E437" s="7"/>
      <c r="F437" s="7"/>
      <c r="G437" s="7"/>
      <c r="H437" s="75">
        <v>46252</v>
      </c>
      <c r="I437" s="2"/>
      <c r="J437" s="8"/>
      <c r="K437" s="5"/>
      <c r="L437" s="8"/>
      <c r="M437" s="74"/>
      <c r="N437" s="78" t="str">
        <f t="shared" ref="N437:N468" si="56">IF(AND(A437="",K676=""),"",IF(Q437="","Em Andamento",IF(M437&lt;=O437,"Dentro do Prazo","Fora do Prazo")))</f>
        <v/>
      </c>
      <c r="O437" s="57" t="str">
        <f t="shared" si="54"/>
        <v/>
      </c>
      <c r="P437" s="76" t="str">
        <f t="shared" ca="1" si="55"/>
        <v/>
      </c>
      <c r="Q437" s="84" t="str">
        <f t="shared" si="53"/>
        <v/>
      </c>
    </row>
    <row r="438" spans="1:17" ht="13">
      <c r="A438" s="3"/>
      <c r="B438" s="2"/>
      <c r="C438" s="4"/>
      <c r="D438" s="7"/>
      <c r="E438" s="7"/>
      <c r="F438" s="7"/>
      <c r="G438" s="7"/>
      <c r="H438" s="75">
        <v>46252</v>
      </c>
      <c r="I438" s="2"/>
      <c r="J438" s="8"/>
      <c r="K438" s="5"/>
      <c r="L438" s="8"/>
      <c r="M438" s="74"/>
      <c r="N438" s="78" t="str">
        <f t="shared" si="56"/>
        <v/>
      </c>
      <c r="O438" s="57" t="str">
        <f t="shared" si="54"/>
        <v/>
      </c>
      <c r="P438" s="76" t="str">
        <f t="shared" ca="1" si="55"/>
        <v/>
      </c>
      <c r="Q438" s="84" t="str">
        <f t="shared" si="53"/>
        <v/>
      </c>
    </row>
    <row r="439" spans="1:17" ht="13">
      <c r="A439" s="3"/>
      <c r="B439" s="2"/>
      <c r="C439" s="4"/>
      <c r="D439" s="7"/>
      <c r="E439" s="7"/>
      <c r="F439" s="7"/>
      <c r="G439" s="7"/>
      <c r="H439" s="75">
        <v>46252</v>
      </c>
      <c r="I439" s="2"/>
      <c r="J439" s="8"/>
      <c r="K439" s="5"/>
      <c r="L439" s="8"/>
      <c r="M439" s="74"/>
      <c r="N439" s="78" t="str">
        <f t="shared" si="56"/>
        <v/>
      </c>
      <c r="O439" s="57" t="str">
        <f t="shared" si="54"/>
        <v/>
      </c>
      <c r="P439" s="76" t="str">
        <f t="shared" ca="1" si="55"/>
        <v/>
      </c>
      <c r="Q439" s="84" t="str">
        <f t="shared" si="53"/>
        <v/>
      </c>
    </row>
    <row r="440" spans="1:17" ht="13">
      <c r="A440" s="3"/>
      <c r="B440" s="2"/>
      <c r="C440" s="4"/>
      <c r="D440" s="7"/>
      <c r="E440" s="7"/>
      <c r="F440" s="7"/>
      <c r="G440" s="7"/>
      <c r="H440" s="75">
        <v>46252</v>
      </c>
      <c r="I440" s="2"/>
      <c r="J440" s="8"/>
      <c r="K440" s="5"/>
      <c r="L440" s="8"/>
      <c r="M440" s="74"/>
      <c r="N440" s="78" t="str">
        <f t="shared" si="56"/>
        <v/>
      </c>
      <c r="O440" s="57" t="str">
        <f t="shared" si="54"/>
        <v/>
      </c>
      <c r="P440" s="76" t="str">
        <f t="shared" ca="1" si="55"/>
        <v/>
      </c>
      <c r="Q440" s="84" t="str">
        <f t="shared" si="53"/>
        <v/>
      </c>
    </row>
    <row r="441" spans="1:17" ht="13">
      <c r="A441" s="3"/>
      <c r="B441" s="2"/>
      <c r="C441" s="4"/>
      <c r="D441" s="7"/>
      <c r="E441" s="7"/>
      <c r="F441" s="7"/>
      <c r="G441" s="7"/>
      <c r="H441" s="75">
        <v>46252</v>
      </c>
      <c r="I441" s="2"/>
      <c r="J441" s="8"/>
      <c r="K441" s="5"/>
      <c r="L441" s="8"/>
      <c r="M441" s="74"/>
      <c r="N441" s="78" t="str">
        <f t="shared" si="56"/>
        <v/>
      </c>
      <c r="O441" s="57" t="str">
        <f t="shared" si="54"/>
        <v/>
      </c>
      <c r="P441" s="76" t="str">
        <f t="shared" ca="1" si="55"/>
        <v/>
      </c>
      <c r="Q441" s="84" t="str">
        <f t="shared" si="53"/>
        <v/>
      </c>
    </row>
    <row r="442" spans="1:17" ht="13">
      <c r="A442" s="3"/>
      <c r="B442" s="2"/>
      <c r="C442" s="4"/>
      <c r="D442" s="7"/>
      <c r="E442" s="7"/>
      <c r="F442" s="7"/>
      <c r="G442" s="7"/>
      <c r="H442" s="75">
        <v>46252</v>
      </c>
      <c r="I442" s="2"/>
      <c r="J442" s="8"/>
      <c r="K442" s="5"/>
      <c r="L442" s="8"/>
      <c r="M442" s="74"/>
      <c r="N442" s="78" t="str">
        <f t="shared" si="56"/>
        <v/>
      </c>
      <c r="O442" s="57" t="str">
        <f t="shared" si="54"/>
        <v/>
      </c>
      <c r="P442" s="76" t="str">
        <f t="shared" ca="1" si="55"/>
        <v/>
      </c>
      <c r="Q442" s="84" t="str">
        <f t="shared" si="53"/>
        <v/>
      </c>
    </row>
    <row r="443" spans="1:17" ht="13">
      <c r="A443" s="3"/>
      <c r="B443" s="2"/>
      <c r="C443" s="4"/>
      <c r="D443" s="7"/>
      <c r="E443" s="7"/>
      <c r="F443" s="7"/>
      <c r="G443" s="7"/>
      <c r="H443" s="75">
        <v>46252</v>
      </c>
      <c r="I443" s="2"/>
      <c r="J443" s="8"/>
      <c r="K443" s="5"/>
      <c r="L443" s="8"/>
      <c r="M443" s="74"/>
      <c r="N443" s="78" t="str">
        <f t="shared" si="56"/>
        <v/>
      </c>
      <c r="O443" s="57" t="str">
        <f t="shared" si="54"/>
        <v/>
      </c>
      <c r="P443" s="76" t="str">
        <f t="shared" ca="1" si="55"/>
        <v/>
      </c>
      <c r="Q443" s="84" t="str">
        <f t="shared" si="53"/>
        <v/>
      </c>
    </row>
    <row r="444" spans="1:17" ht="13">
      <c r="A444" s="3"/>
      <c r="B444" s="2"/>
      <c r="C444" s="4"/>
      <c r="D444" s="7"/>
      <c r="E444" s="7"/>
      <c r="F444" s="7"/>
      <c r="G444" s="7"/>
      <c r="H444" s="75">
        <v>46252</v>
      </c>
      <c r="I444" s="2"/>
      <c r="J444" s="8"/>
      <c r="K444" s="5"/>
      <c r="L444" s="8"/>
      <c r="M444" s="74"/>
      <c r="N444" s="78" t="str">
        <f t="shared" si="56"/>
        <v/>
      </c>
      <c r="O444" s="57" t="str">
        <f t="shared" si="54"/>
        <v/>
      </c>
      <c r="P444" s="76" t="str">
        <f t="shared" ca="1" si="55"/>
        <v/>
      </c>
      <c r="Q444" s="84" t="str">
        <f t="shared" si="53"/>
        <v/>
      </c>
    </row>
    <row r="445" spans="1:17" ht="13">
      <c r="A445" s="3"/>
      <c r="B445" s="2"/>
      <c r="C445" s="4"/>
      <c r="D445" s="7"/>
      <c r="E445" s="7"/>
      <c r="F445" s="7"/>
      <c r="G445" s="7"/>
      <c r="H445" s="75">
        <v>46252</v>
      </c>
      <c r="I445" s="2"/>
      <c r="J445" s="8"/>
      <c r="K445" s="5"/>
      <c r="L445" s="8"/>
      <c r="M445" s="74"/>
      <c r="N445" s="78" t="str">
        <f t="shared" si="56"/>
        <v/>
      </c>
      <c r="O445" s="57" t="str">
        <f t="shared" si="54"/>
        <v/>
      </c>
      <c r="P445" s="76" t="str">
        <f t="shared" ca="1" si="55"/>
        <v/>
      </c>
      <c r="Q445" s="84" t="str">
        <f t="shared" si="53"/>
        <v/>
      </c>
    </row>
    <row r="446" spans="1:17" ht="13">
      <c r="A446" s="3"/>
      <c r="B446" s="2"/>
      <c r="C446" s="4"/>
      <c r="D446" s="7"/>
      <c r="E446" s="7"/>
      <c r="F446" s="7"/>
      <c r="G446" s="7"/>
      <c r="H446" s="75">
        <v>46252</v>
      </c>
      <c r="I446" s="2"/>
      <c r="J446" s="8"/>
      <c r="K446" s="5"/>
      <c r="L446" s="8"/>
      <c r="M446" s="74"/>
      <c r="N446" s="78" t="str">
        <f t="shared" si="56"/>
        <v/>
      </c>
      <c r="O446" s="57" t="str">
        <f t="shared" si="54"/>
        <v/>
      </c>
      <c r="P446" s="76" t="str">
        <f t="shared" ca="1" si="55"/>
        <v/>
      </c>
      <c r="Q446" s="84" t="str">
        <f t="shared" si="53"/>
        <v/>
      </c>
    </row>
    <row r="447" spans="1:17" ht="13">
      <c r="A447" s="3"/>
      <c r="B447" s="2"/>
      <c r="C447" s="4"/>
      <c r="D447" s="7"/>
      <c r="E447" s="7"/>
      <c r="F447" s="7"/>
      <c r="G447" s="7"/>
      <c r="H447" s="75">
        <v>46252</v>
      </c>
      <c r="I447" s="2"/>
      <c r="J447" s="8"/>
      <c r="K447" s="5"/>
      <c r="L447" s="8"/>
      <c r="M447" s="74"/>
      <c r="N447" s="78" t="str">
        <f t="shared" si="56"/>
        <v/>
      </c>
      <c r="O447" s="57" t="str">
        <f t="shared" si="54"/>
        <v/>
      </c>
      <c r="P447" s="76" t="str">
        <f t="shared" ca="1" si="55"/>
        <v/>
      </c>
      <c r="Q447" s="84" t="str">
        <f t="shared" si="53"/>
        <v/>
      </c>
    </row>
    <row r="448" spans="1:17" ht="13">
      <c r="A448" s="3"/>
      <c r="B448" s="2"/>
      <c r="C448" s="4"/>
      <c r="D448" s="7"/>
      <c r="E448" s="7"/>
      <c r="F448" s="7"/>
      <c r="G448" s="7"/>
      <c r="H448" s="75">
        <v>46252</v>
      </c>
      <c r="I448" s="2"/>
      <c r="J448" s="8"/>
      <c r="K448" s="5"/>
      <c r="L448" s="8"/>
      <c r="M448" s="74"/>
      <c r="N448" s="78" t="str">
        <f t="shared" si="56"/>
        <v/>
      </c>
      <c r="O448" s="57" t="str">
        <f t="shared" si="54"/>
        <v/>
      </c>
      <c r="P448" s="76" t="str">
        <f t="shared" ca="1" si="55"/>
        <v/>
      </c>
      <c r="Q448" s="84" t="str">
        <f t="shared" si="53"/>
        <v/>
      </c>
    </row>
    <row r="449" spans="1:17" ht="13">
      <c r="A449" s="3"/>
      <c r="B449" s="2"/>
      <c r="C449" s="4"/>
      <c r="D449" s="7"/>
      <c r="E449" s="7"/>
      <c r="F449" s="7"/>
      <c r="G449" s="7"/>
      <c r="H449" s="75">
        <v>46252</v>
      </c>
      <c r="I449" s="2"/>
      <c r="J449" s="8"/>
      <c r="K449" s="5"/>
      <c r="L449" s="8"/>
      <c r="M449" s="74"/>
      <c r="N449" s="78" t="str">
        <f t="shared" si="56"/>
        <v/>
      </c>
      <c r="O449" s="57" t="str">
        <f t="shared" si="54"/>
        <v/>
      </c>
      <c r="P449" s="76" t="str">
        <f t="shared" ca="1" si="55"/>
        <v/>
      </c>
      <c r="Q449" s="84" t="str">
        <f t="shared" si="53"/>
        <v/>
      </c>
    </row>
    <row r="450" spans="1:17" ht="13">
      <c r="A450" s="3"/>
      <c r="B450" s="2"/>
      <c r="C450" s="4"/>
      <c r="D450" s="7"/>
      <c r="E450" s="7"/>
      <c r="F450" s="7"/>
      <c r="G450" s="7"/>
      <c r="H450" s="75">
        <v>46252</v>
      </c>
      <c r="I450" s="2"/>
      <c r="J450" s="8"/>
      <c r="K450" s="5"/>
      <c r="L450" s="8"/>
      <c r="M450" s="74"/>
      <c r="N450" s="78" t="str">
        <f t="shared" si="56"/>
        <v/>
      </c>
      <c r="O450" s="57" t="str">
        <f t="shared" si="54"/>
        <v/>
      </c>
      <c r="P450" s="76" t="str">
        <f t="shared" ca="1" si="55"/>
        <v/>
      </c>
      <c r="Q450" s="84" t="str">
        <f t="shared" si="53"/>
        <v/>
      </c>
    </row>
    <row r="451" spans="1:17" ht="13">
      <c r="A451" s="3"/>
      <c r="B451" s="2"/>
      <c r="C451" s="4"/>
      <c r="D451" s="7"/>
      <c r="E451" s="7"/>
      <c r="F451" s="7"/>
      <c r="G451" s="7"/>
      <c r="H451" s="75">
        <v>46252</v>
      </c>
      <c r="I451" s="2"/>
      <c r="J451" s="8"/>
      <c r="K451" s="5"/>
      <c r="L451" s="8"/>
      <c r="M451" s="74"/>
      <c r="N451" s="78" t="str">
        <f t="shared" si="56"/>
        <v/>
      </c>
      <c r="O451" s="57" t="str">
        <f t="shared" si="54"/>
        <v/>
      </c>
      <c r="P451" s="76" t="str">
        <f t="shared" ca="1" si="55"/>
        <v/>
      </c>
      <c r="Q451" s="84" t="str">
        <f t="shared" si="53"/>
        <v/>
      </c>
    </row>
    <row r="452" spans="1:17" ht="13">
      <c r="A452" s="3"/>
      <c r="B452" s="2"/>
      <c r="C452" s="4"/>
      <c r="D452" s="7"/>
      <c r="E452" s="7"/>
      <c r="F452" s="7"/>
      <c r="G452" s="7"/>
      <c r="H452" s="75">
        <v>46252</v>
      </c>
      <c r="I452" s="2"/>
      <c r="J452" s="8"/>
      <c r="K452" s="5"/>
      <c r="L452" s="8"/>
      <c r="M452" s="74"/>
      <c r="N452" s="78" t="str">
        <f t="shared" si="56"/>
        <v/>
      </c>
      <c r="O452" s="57" t="str">
        <f t="shared" si="54"/>
        <v/>
      </c>
      <c r="P452" s="76" t="str">
        <f t="shared" ca="1" si="55"/>
        <v/>
      </c>
      <c r="Q452" s="84" t="str">
        <f t="shared" si="53"/>
        <v/>
      </c>
    </row>
    <row r="453" spans="1:17" ht="13">
      <c r="A453" s="3"/>
      <c r="B453" s="2"/>
      <c r="C453" s="4"/>
      <c r="D453" s="7"/>
      <c r="E453" s="7"/>
      <c r="F453" s="7"/>
      <c r="G453" s="7"/>
      <c r="H453" s="75">
        <v>46252</v>
      </c>
      <c r="I453" s="2"/>
      <c r="J453" s="8"/>
      <c r="K453" s="5"/>
      <c r="L453" s="8"/>
      <c r="M453" s="74"/>
      <c r="N453" s="78" t="str">
        <f t="shared" si="56"/>
        <v/>
      </c>
      <c r="O453" s="57" t="str">
        <f t="shared" si="54"/>
        <v/>
      </c>
      <c r="P453" s="76" t="str">
        <f t="shared" ca="1" si="55"/>
        <v/>
      </c>
      <c r="Q453" s="84" t="str">
        <f t="shared" si="53"/>
        <v/>
      </c>
    </row>
    <row r="454" spans="1:17" ht="13">
      <c r="A454" s="3"/>
      <c r="B454" s="2"/>
      <c r="C454" s="4"/>
      <c r="D454" s="7"/>
      <c r="E454" s="7"/>
      <c r="F454" s="7"/>
      <c r="G454" s="7"/>
      <c r="H454" s="75">
        <v>46252</v>
      </c>
      <c r="I454" s="2"/>
      <c r="J454" s="8"/>
      <c r="K454" s="5"/>
      <c r="L454" s="8"/>
      <c r="M454" s="74"/>
      <c r="N454" s="78" t="str">
        <f t="shared" si="56"/>
        <v/>
      </c>
      <c r="O454" s="57" t="str">
        <f t="shared" si="54"/>
        <v/>
      </c>
      <c r="P454" s="76" t="str">
        <f t="shared" ca="1" si="55"/>
        <v/>
      </c>
      <c r="Q454" s="84" t="str">
        <f t="shared" si="53"/>
        <v/>
      </c>
    </row>
    <row r="455" spans="1:17" ht="13">
      <c r="A455" s="3"/>
      <c r="B455" s="2"/>
      <c r="C455" s="4"/>
      <c r="D455" s="7"/>
      <c r="E455" s="7"/>
      <c r="F455" s="7"/>
      <c r="G455" s="7"/>
      <c r="H455" s="75">
        <v>46252</v>
      </c>
      <c r="I455" s="2"/>
      <c r="J455" s="8"/>
      <c r="K455" s="5"/>
      <c r="L455" s="8"/>
      <c r="M455" s="74"/>
      <c r="N455" s="78" t="str">
        <f t="shared" si="56"/>
        <v/>
      </c>
      <c r="O455" s="57" t="str">
        <f t="shared" si="54"/>
        <v/>
      </c>
      <c r="P455" s="76" t="str">
        <f t="shared" ca="1" si="55"/>
        <v/>
      </c>
      <c r="Q455" s="84" t="str">
        <f t="shared" si="53"/>
        <v/>
      </c>
    </row>
    <row r="456" spans="1:17" ht="13">
      <c r="A456" s="3"/>
      <c r="B456" s="2"/>
      <c r="C456" s="4"/>
      <c r="D456" s="7"/>
      <c r="E456" s="7"/>
      <c r="F456" s="7"/>
      <c r="G456" s="7"/>
      <c r="H456" s="75">
        <v>46252</v>
      </c>
      <c r="I456" s="2"/>
      <c r="J456" s="8"/>
      <c r="K456" s="5"/>
      <c r="L456" s="8"/>
      <c r="M456" s="74"/>
      <c r="N456" s="78" t="str">
        <f t="shared" si="56"/>
        <v/>
      </c>
      <c r="O456" s="57" t="str">
        <f t="shared" si="54"/>
        <v/>
      </c>
      <c r="P456" s="76" t="str">
        <f t="shared" ca="1" si="55"/>
        <v/>
      </c>
      <c r="Q456" s="84" t="str">
        <f t="shared" si="53"/>
        <v/>
      </c>
    </row>
    <row r="457" spans="1:17" ht="13">
      <c r="A457" s="3"/>
      <c r="B457" s="2"/>
      <c r="C457" s="4"/>
      <c r="D457" s="7"/>
      <c r="E457" s="7"/>
      <c r="F457" s="7"/>
      <c r="G457" s="7"/>
      <c r="H457" s="75">
        <v>46252</v>
      </c>
      <c r="I457" s="2"/>
      <c r="J457" s="8"/>
      <c r="K457" s="5"/>
      <c r="L457" s="8"/>
      <c r="M457" s="74"/>
      <c r="N457" s="78" t="str">
        <f t="shared" si="56"/>
        <v/>
      </c>
      <c r="O457" s="57" t="str">
        <f t="shared" si="54"/>
        <v/>
      </c>
      <c r="P457" s="76" t="str">
        <f t="shared" ca="1" si="55"/>
        <v/>
      </c>
      <c r="Q457" s="84" t="str">
        <f t="shared" si="53"/>
        <v/>
      </c>
    </row>
    <row r="458" spans="1:17" ht="13">
      <c r="A458" s="3"/>
      <c r="B458" s="2"/>
      <c r="C458" s="4"/>
      <c r="D458" s="7"/>
      <c r="E458" s="7"/>
      <c r="F458" s="7"/>
      <c r="G458" s="7"/>
      <c r="H458" s="75">
        <v>46252</v>
      </c>
      <c r="I458" s="2"/>
      <c r="J458" s="8"/>
      <c r="K458" s="5"/>
      <c r="L458" s="8"/>
      <c r="M458" s="74"/>
      <c r="N458" s="78" t="str">
        <f t="shared" si="56"/>
        <v/>
      </c>
      <c r="O458" s="57" t="str">
        <f t="shared" si="54"/>
        <v/>
      </c>
      <c r="P458" s="76" t="str">
        <f t="shared" ca="1" si="55"/>
        <v/>
      </c>
      <c r="Q458" s="84" t="str">
        <f t="shared" si="53"/>
        <v/>
      </c>
    </row>
    <row r="459" spans="1:17" ht="13">
      <c r="A459" s="3"/>
      <c r="B459" s="2"/>
      <c r="C459" s="4"/>
      <c r="D459" s="7"/>
      <c r="E459" s="7"/>
      <c r="F459" s="7"/>
      <c r="G459" s="7"/>
      <c r="H459" s="75">
        <v>46252</v>
      </c>
      <c r="I459" s="2"/>
      <c r="J459" s="8"/>
      <c r="K459" s="5"/>
      <c r="L459" s="8"/>
      <c r="M459" s="74"/>
      <c r="N459" s="78" t="str">
        <f t="shared" si="56"/>
        <v/>
      </c>
      <c r="O459" s="57" t="str">
        <f t="shared" si="54"/>
        <v/>
      </c>
      <c r="P459" s="76" t="str">
        <f t="shared" ca="1" si="55"/>
        <v/>
      </c>
      <c r="Q459" s="84" t="str">
        <f t="shared" si="53"/>
        <v/>
      </c>
    </row>
    <row r="460" spans="1:17" ht="13">
      <c r="A460" s="3"/>
      <c r="B460" s="2"/>
      <c r="C460" s="4"/>
      <c r="D460" s="7"/>
      <c r="E460" s="7"/>
      <c r="F460" s="7"/>
      <c r="G460" s="7"/>
      <c r="H460" s="75">
        <v>46252</v>
      </c>
      <c r="I460" s="2"/>
      <c r="J460" s="8"/>
      <c r="K460" s="5"/>
      <c r="L460" s="8"/>
      <c r="M460" s="74"/>
      <c r="N460" s="78" t="str">
        <f t="shared" si="56"/>
        <v/>
      </c>
      <c r="O460" s="57" t="str">
        <f t="shared" si="54"/>
        <v/>
      </c>
      <c r="P460" s="76" t="str">
        <f t="shared" ca="1" si="55"/>
        <v/>
      </c>
      <c r="Q460" s="84" t="str">
        <f t="shared" si="53"/>
        <v/>
      </c>
    </row>
    <row r="461" spans="1:17" ht="13">
      <c r="A461" s="3"/>
      <c r="B461" s="2"/>
      <c r="C461" s="4"/>
      <c r="D461" s="7"/>
      <c r="E461" s="7"/>
      <c r="F461" s="7"/>
      <c r="G461" s="7"/>
      <c r="H461" s="75">
        <v>46252</v>
      </c>
      <c r="I461" s="2"/>
      <c r="J461" s="8"/>
      <c r="K461" s="5"/>
      <c r="L461" s="8"/>
      <c r="M461" s="74"/>
      <c r="N461" s="78" t="str">
        <f t="shared" si="56"/>
        <v/>
      </c>
      <c r="O461" s="57" t="str">
        <f t="shared" si="54"/>
        <v/>
      </c>
      <c r="P461" s="76" t="str">
        <f t="shared" ca="1" si="55"/>
        <v/>
      </c>
      <c r="Q461" s="84" t="str">
        <f t="shared" si="53"/>
        <v/>
      </c>
    </row>
    <row r="462" spans="1:17" ht="13">
      <c r="A462" s="3"/>
      <c r="B462" s="2"/>
      <c r="C462" s="4"/>
      <c r="D462" s="7"/>
      <c r="E462" s="7"/>
      <c r="F462" s="7"/>
      <c r="G462" s="7"/>
      <c r="H462" s="75">
        <v>46252</v>
      </c>
      <c r="I462" s="2"/>
      <c r="J462" s="8"/>
      <c r="K462" s="5"/>
      <c r="L462" s="8"/>
      <c r="M462" s="74"/>
      <c r="N462" s="78" t="str">
        <f t="shared" si="56"/>
        <v/>
      </c>
      <c r="O462" s="57" t="str">
        <f t="shared" si="54"/>
        <v/>
      </c>
      <c r="P462" s="76" t="str">
        <f t="shared" ca="1" si="55"/>
        <v/>
      </c>
      <c r="Q462" s="84" t="str">
        <f t="shared" si="53"/>
        <v/>
      </c>
    </row>
    <row r="463" spans="1:17" ht="13">
      <c r="A463" s="3"/>
      <c r="B463" s="2"/>
      <c r="C463" s="4"/>
      <c r="D463" s="7"/>
      <c r="E463" s="7"/>
      <c r="F463" s="7"/>
      <c r="G463" s="7"/>
      <c r="H463" s="75">
        <v>46252</v>
      </c>
      <c r="I463" s="2"/>
      <c r="J463" s="8"/>
      <c r="K463" s="5"/>
      <c r="L463" s="8"/>
      <c r="M463" s="74"/>
      <c r="N463" s="78" t="str">
        <f t="shared" si="56"/>
        <v/>
      </c>
      <c r="O463" s="57" t="str">
        <f t="shared" si="54"/>
        <v/>
      </c>
      <c r="P463" s="76" t="str">
        <f t="shared" ca="1" si="55"/>
        <v/>
      </c>
      <c r="Q463" s="84" t="str">
        <f t="shared" si="53"/>
        <v/>
      </c>
    </row>
    <row r="464" spans="1:17" ht="13">
      <c r="A464" s="3"/>
      <c r="B464" s="2"/>
      <c r="C464" s="4"/>
      <c r="D464" s="7"/>
      <c r="E464" s="7"/>
      <c r="F464" s="7"/>
      <c r="G464" s="7"/>
      <c r="H464" s="75">
        <v>46252</v>
      </c>
      <c r="I464" s="2"/>
      <c r="J464" s="8"/>
      <c r="K464" s="5"/>
      <c r="L464" s="8"/>
      <c r="M464" s="74"/>
      <c r="N464" s="78" t="str">
        <f t="shared" si="56"/>
        <v/>
      </c>
      <c r="O464" s="57" t="str">
        <f t="shared" si="54"/>
        <v/>
      </c>
      <c r="P464" s="76" t="str">
        <f t="shared" ca="1" si="55"/>
        <v/>
      </c>
      <c r="Q464" s="84" t="str">
        <f t="shared" si="53"/>
        <v/>
      </c>
    </row>
    <row r="465" spans="1:17" ht="13">
      <c r="A465" s="3"/>
      <c r="B465" s="2"/>
      <c r="C465" s="4"/>
      <c r="D465" s="7"/>
      <c r="E465" s="7"/>
      <c r="F465" s="7"/>
      <c r="G465" s="7"/>
      <c r="H465" s="75">
        <v>46252</v>
      </c>
      <c r="I465" s="2"/>
      <c r="J465" s="8"/>
      <c r="K465" s="5"/>
      <c r="L465" s="8"/>
      <c r="M465" s="74"/>
      <c r="N465" s="78" t="str">
        <f t="shared" si="56"/>
        <v/>
      </c>
      <c r="O465" s="57" t="str">
        <f t="shared" si="54"/>
        <v/>
      </c>
      <c r="P465" s="76" t="str">
        <f t="shared" ca="1" si="55"/>
        <v/>
      </c>
      <c r="Q465" s="84" t="str">
        <f t="shared" si="53"/>
        <v/>
      </c>
    </row>
    <row r="466" spans="1:17" ht="13">
      <c r="A466" s="3"/>
      <c r="B466" s="2"/>
      <c r="C466" s="4"/>
      <c r="D466" s="7"/>
      <c r="E466" s="7"/>
      <c r="F466" s="7"/>
      <c r="G466" s="7"/>
      <c r="H466" s="75">
        <v>46252</v>
      </c>
      <c r="I466" s="2"/>
      <c r="J466" s="8"/>
      <c r="K466" s="5"/>
      <c r="L466" s="8"/>
      <c r="M466" s="74"/>
      <c r="N466" s="78" t="str">
        <f t="shared" si="56"/>
        <v/>
      </c>
      <c r="O466" s="57" t="str">
        <f t="shared" si="54"/>
        <v/>
      </c>
      <c r="P466" s="76" t="str">
        <f t="shared" ca="1" si="55"/>
        <v/>
      </c>
      <c r="Q466" s="84" t="str">
        <f t="shared" si="53"/>
        <v/>
      </c>
    </row>
    <row r="467" spans="1:17" ht="13">
      <c r="A467" s="3"/>
      <c r="B467" s="2"/>
      <c r="C467" s="4"/>
      <c r="D467" s="7"/>
      <c r="E467" s="7"/>
      <c r="F467" s="7"/>
      <c r="G467" s="7"/>
      <c r="H467" s="75">
        <v>46252</v>
      </c>
      <c r="I467" s="2"/>
      <c r="J467" s="8"/>
      <c r="K467" s="5"/>
      <c r="L467" s="8"/>
      <c r="M467" s="74"/>
      <c r="N467" s="78" t="str">
        <f t="shared" si="56"/>
        <v/>
      </c>
      <c r="O467" s="57" t="str">
        <f t="shared" si="54"/>
        <v/>
      </c>
      <c r="P467" s="76" t="str">
        <f t="shared" ca="1" si="55"/>
        <v/>
      </c>
      <c r="Q467" s="84" t="str">
        <f t="shared" si="53"/>
        <v/>
      </c>
    </row>
    <row r="468" spans="1:17" ht="13">
      <c r="A468" s="3"/>
      <c r="B468" s="2"/>
      <c r="C468" s="4"/>
      <c r="D468" s="7"/>
      <c r="E468" s="7"/>
      <c r="F468" s="7"/>
      <c r="G468" s="7"/>
      <c r="H468" s="75">
        <v>46252</v>
      </c>
      <c r="I468" s="2"/>
      <c r="J468" s="8"/>
      <c r="K468" s="5"/>
      <c r="L468" s="8"/>
      <c r="M468" s="74"/>
      <c r="N468" s="78" t="str">
        <f t="shared" si="56"/>
        <v/>
      </c>
      <c r="O468" s="57" t="str">
        <f t="shared" si="54"/>
        <v/>
      </c>
      <c r="P468" s="76" t="str">
        <f t="shared" ca="1" si="55"/>
        <v/>
      </c>
      <c r="Q468" s="84" t="str">
        <f t="shared" si="53"/>
        <v/>
      </c>
    </row>
    <row r="469" spans="1:17" ht="13">
      <c r="A469" s="3"/>
      <c r="B469" s="2"/>
      <c r="C469" s="4"/>
      <c r="D469" s="7"/>
      <c r="E469" s="7"/>
      <c r="F469" s="7"/>
      <c r="G469" s="7"/>
      <c r="H469" s="75">
        <v>46252</v>
      </c>
      <c r="I469" s="2"/>
      <c r="J469" s="8"/>
      <c r="K469" s="5"/>
      <c r="L469" s="8"/>
      <c r="M469" s="74"/>
      <c r="N469" s="78" t="str">
        <f t="shared" ref="N469:N500" si="57">IF(AND(A469="",K708=""),"",IF(Q469="","Em Andamento",IF(M469&lt;=O469,"Dentro do Prazo","Fora do Prazo")))</f>
        <v/>
      </c>
      <c r="O469" s="57" t="str">
        <f t="shared" si="54"/>
        <v/>
      </c>
      <c r="P469" s="76" t="str">
        <f t="shared" ca="1" si="55"/>
        <v/>
      </c>
      <c r="Q469" s="84" t="str">
        <f t="shared" si="53"/>
        <v/>
      </c>
    </row>
    <row r="470" spans="1:17" ht="13">
      <c r="A470" s="3"/>
      <c r="B470" s="2"/>
      <c r="C470" s="4"/>
      <c r="D470" s="7"/>
      <c r="E470" s="7"/>
      <c r="F470" s="7"/>
      <c r="G470" s="7"/>
      <c r="H470" s="75">
        <v>46252</v>
      </c>
      <c r="I470" s="2"/>
      <c r="J470" s="8"/>
      <c r="K470" s="5"/>
      <c r="L470" s="8"/>
      <c r="M470" s="74"/>
      <c r="N470" s="78" t="str">
        <f t="shared" si="57"/>
        <v/>
      </c>
      <c r="O470" s="57" t="str">
        <f t="shared" si="54"/>
        <v/>
      </c>
      <c r="P470" s="76" t="str">
        <f t="shared" ca="1" si="55"/>
        <v/>
      </c>
      <c r="Q470" s="84" t="str">
        <f t="shared" si="53"/>
        <v/>
      </c>
    </row>
    <row r="471" spans="1:17" ht="13">
      <c r="A471" s="3"/>
      <c r="B471" s="2"/>
      <c r="C471" s="4"/>
      <c r="D471" s="7"/>
      <c r="E471" s="7"/>
      <c r="F471" s="7"/>
      <c r="G471" s="7"/>
      <c r="H471" s="75">
        <v>46252</v>
      </c>
      <c r="I471" s="2"/>
      <c r="J471" s="8"/>
      <c r="K471" s="5"/>
      <c r="L471" s="8"/>
      <c r="M471" s="74"/>
      <c r="N471" s="78" t="str">
        <f t="shared" si="57"/>
        <v/>
      </c>
      <c r="O471" s="57" t="str">
        <f t="shared" si="54"/>
        <v/>
      </c>
      <c r="P471" s="76" t="str">
        <f t="shared" ca="1" si="55"/>
        <v/>
      </c>
      <c r="Q471" s="84" t="str">
        <f t="shared" si="53"/>
        <v/>
      </c>
    </row>
    <row r="472" spans="1:17" ht="13">
      <c r="A472" s="3"/>
      <c r="B472" s="2"/>
      <c r="C472" s="4"/>
      <c r="D472" s="7"/>
      <c r="E472" s="7"/>
      <c r="F472" s="7"/>
      <c r="G472" s="7"/>
      <c r="H472" s="75">
        <v>46252</v>
      </c>
      <c r="I472" s="2"/>
      <c r="J472" s="8"/>
      <c r="K472" s="5"/>
      <c r="L472" s="8"/>
      <c r="M472" s="74"/>
      <c r="N472" s="78" t="str">
        <f t="shared" si="57"/>
        <v/>
      </c>
      <c r="O472" s="57" t="str">
        <f t="shared" si="54"/>
        <v/>
      </c>
      <c r="P472" s="76" t="str">
        <f t="shared" ca="1" si="55"/>
        <v/>
      </c>
      <c r="Q472" s="84" t="str">
        <f t="shared" si="53"/>
        <v/>
      </c>
    </row>
    <row r="473" spans="1:17" ht="13">
      <c r="A473" s="3"/>
      <c r="B473" s="2"/>
      <c r="C473" s="4"/>
      <c r="D473" s="7"/>
      <c r="E473" s="7"/>
      <c r="F473" s="7"/>
      <c r="G473" s="7"/>
      <c r="H473" s="75">
        <v>46252</v>
      </c>
      <c r="I473" s="2"/>
      <c r="J473" s="8"/>
      <c r="K473" s="5"/>
      <c r="L473" s="8"/>
      <c r="M473" s="74"/>
      <c r="N473" s="78" t="str">
        <f t="shared" si="57"/>
        <v/>
      </c>
      <c r="O473" s="57" t="str">
        <f t="shared" si="54"/>
        <v/>
      </c>
      <c r="P473" s="76" t="str">
        <f t="shared" ca="1" si="55"/>
        <v/>
      </c>
      <c r="Q473" s="84" t="str">
        <f t="shared" ref="Q473:Q536" si="58">IF(OR(A473="",M473=""),"",M473-A473)</f>
        <v/>
      </c>
    </row>
    <row r="474" spans="1:17" ht="13">
      <c r="A474" s="3"/>
      <c r="B474" s="2"/>
      <c r="C474" s="4"/>
      <c r="D474" s="7"/>
      <c r="E474" s="7"/>
      <c r="F474" s="7"/>
      <c r="G474" s="7"/>
      <c r="H474" s="75">
        <v>46252</v>
      </c>
      <c r="I474" s="2"/>
      <c r="J474" s="8"/>
      <c r="K474" s="5"/>
      <c r="L474" s="8"/>
      <c r="M474" s="74"/>
      <c r="N474" s="78" t="str">
        <f t="shared" si="57"/>
        <v/>
      </c>
      <c r="O474" s="57" t="str">
        <f t="shared" ref="O474:O506" si="59">IF(OR(A474="",L474=""),"",A474+L474)</f>
        <v/>
      </c>
      <c r="P474" s="76" t="str">
        <f t="shared" ref="P474:P511" ca="1" si="60">IF(O474="","",IF(O474-TODAY()=0,"Vence Hoje!",IF(O474-TODAY()&gt;=0,O474-TODAY()&amp;" Dia(s) para vencer","Prazo Vencido")))</f>
        <v/>
      </c>
      <c r="Q474" s="84" t="str">
        <f t="shared" si="58"/>
        <v/>
      </c>
    </row>
    <row r="475" spans="1:17" ht="13">
      <c r="A475" s="3"/>
      <c r="B475" s="2"/>
      <c r="C475" s="4"/>
      <c r="D475" s="7"/>
      <c r="E475" s="7"/>
      <c r="F475" s="7"/>
      <c r="G475" s="7"/>
      <c r="H475" s="75">
        <v>46252</v>
      </c>
      <c r="I475" s="2"/>
      <c r="J475" s="8"/>
      <c r="K475" s="5"/>
      <c r="L475" s="8"/>
      <c r="M475" s="74"/>
      <c r="N475" s="78" t="str">
        <f t="shared" si="57"/>
        <v/>
      </c>
      <c r="O475" s="57" t="str">
        <f t="shared" si="59"/>
        <v/>
      </c>
      <c r="P475" s="76" t="str">
        <f t="shared" ca="1" si="60"/>
        <v/>
      </c>
      <c r="Q475" s="84" t="str">
        <f t="shared" si="58"/>
        <v/>
      </c>
    </row>
    <row r="476" spans="1:17" ht="13">
      <c r="A476" s="3"/>
      <c r="B476" s="2"/>
      <c r="C476" s="4"/>
      <c r="D476" s="7"/>
      <c r="E476" s="7"/>
      <c r="F476" s="7"/>
      <c r="G476" s="7"/>
      <c r="H476" s="75">
        <v>46252</v>
      </c>
      <c r="I476" s="2"/>
      <c r="J476" s="8"/>
      <c r="K476" s="5"/>
      <c r="L476" s="8"/>
      <c r="M476" s="74"/>
      <c r="N476" s="78" t="str">
        <f t="shared" si="57"/>
        <v/>
      </c>
      <c r="O476" s="57" t="str">
        <f t="shared" si="59"/>
        <v/>
      </c>
      <c r="P476" s="76" t="str">
        <f t="shared" ca="1" si="60"/>
        <v/>
      </c>
      <c r="Q476" s="84" t="str">
        <f t="shared" si="58"/>
        <v/>
      </c>
    </row>
    <row r="477" spans="1:17" ht="13">
      <c r="A477" s="3"/>
      <c r="B477" s="2"/>
      <c r="C477" s="4"/>
      <c r="D477" s="7"/>
      <c r="E477" s="7"/>
      <c r="F477" s="7"/>
      <c r="G477" s="7"/>
      <c r="H477" s="75">
        <v>46252</v>
      </c>
      <c r="I477" s="2"/>
      <c r="J477" s="8"/>
      <c r="K477" s="5"/>
      <c r="L477" s="8"/>
      <c r="M477" s="74"/>
      <c r="N477" s="78" t="str">
        <f t="shared" si="57"/>
        <v/>
      </c>
      <c r="O477" s="57" t="str">
        <f t="shared" si="59"/>
        <v/>
      </c>
      <c r="P477" s="76" t="str">
        <f t="shared" ca="1" si="60"/>
        <v/>
      </c>
      <c r="Q477" s="84" t="str">
        <f t="shared" si="58"/>
        <v/>
      </c>
    </row>
    <row r="478" spans="1:17" ht="13">
      <c r="A478" s="3"/>
      <c r="B478" s="2"/>
      <c r="C478" s="4"/>
      <c r="D478" s="7"/>
      <c r="E478" s="7"/>
      <c r="F478" s="7"/>
      <c r="G478" s="7"/>
      <c r="H478" s="75">
        <v>46252</v>
      </c>
      <c r="I478" s="2"/>
      <c r="J478" s="8"/>
      <c r="K478" s="5"/>
      <c r="L478" s="8"/>
      <c r="M478" s="74"/>
      <c r="N478" s="78" t="str">
        <f t="shared" si="57"/>
        <v/>
      </c>
      <c r="O478" s="57" t="str">
        <f t="shared" si="59"/>
        <v/>
      </c>
      <c r="P478" s="76" t="str">
        <f t="shared" ca="1" si="60"/>
        <v/>
      </c>
      <c r="Q478" s="84" t="str">
        <f t="shared" si="58"/>
        <v/>
      </c>
    </row>
    <row r="479" spans="1:17" ht="13">
      <c r="A479" s="3"/>
      <c r="B479" s="2"/>
      <c r="C479" s="4"/>
      <c r="D479" s="7"/>
      <c r="E479" s="7"/>
      <c r="F479" s="7"/>
      <c r="G479" s="7"/>
      <c r="H479" s="75">
        <v>46252</v>
      </c>
      <c r="I479" s="2"/>
      <c r="J479" s="8"/>
      <c r="K479" s="5"/>
      <c r="L479" s="8"/>
      <c r="M479" s="74"/>
      <c r="N479" s="78" t="str">
        <f t="shared" si="57"/>
        <v/>
      </c>
      <c r="O479" s="57" t="str">
        <f t="shared" si="59"/>
        <v/>
      </c>
      <c r="P479" s="76" t="str">
        <f t="shared" ca="1" si="60"/>
        <v/>
      </c>
      <c r="Q479" s="84" t="str">
        <f t="shared" si="58"/>
        <v/>
      </c>
    </row>
    <row r="480" spans="1:17" ht="13">
      <c r="A480" s="3"/>
      <c r="B480" s="2"/>
      <c r="C480" s="4"/>
      <c r="D480" s="7"/>
      <c r="E480" s="7"/>
      <c r="F480" s="7"/>
      <c r="G480" s="7"/>
      <c r="H480" s="75">
        <v>46252</v>
      </c>
      <c r="I480" s="2"/>
      <c r="J480" s="8"/>
      <c r="K480" s="5"/>
      <c r="L480" s="8"/>
      <c r="M480" s="74"/>
      <c r="N480" s="78" t="str">
        <f t="shared" si="57"/>
        <v/>
      </c>
      <c r="O480" s="57" t="str">
        <f t="shared" si="59"/>
        <v/>
      </c>
      <c r="P480" s="76" t="str">
        <f t="shared" ca="1" si="60"/>
        <v/>
      </c>
      <c r="Q480" s="84" t="str">
        <f t="shared" si="58"/>
        <v/>
      </c>
    </row>
    <row r="481" spans="1:17" ht="13">
      <c r="A481" s="3"/>
      <c r="B481" s="2"/>
      <c r="C481" s="4"/>
      <c r="D481" s="7"/>
      <c r="E481" s="7"/>
      <c r="F481" s="7"/>
      <c r="G481" s="7"/>
      <c r="H481" s="75">
        <v>46252</v>
      </c>
      <c r="I481" s="2"/>
      <c r="J481" s="8"/>
      <c r="K481" s="5"/>
      <c r="L481" s="8"/>
      <c r="M481" s="74"/>
      <c r="N481" s="78" t="str">
        <f t="shared" si="57"/>
        <v/>
      </c>
      <c r="O481" s="57" t="str">
        <f t="shared" si="59"/>
        <v/>
      </c>
      <c r="P481" s="76" t="str">
        <f t="shared" ca="1" si="60"/>
        <v/>
      </c>
      <c r="Q481" s="84" t="str">
        <f t="shared" si="58"/>
        <v/>
      </c>
    </row>
    <row r="482" spans="1:17" ht="13">
      <c r="A482" s="3"/>
      <c r="B482" s="2"/>
      <c r="C482" s="4"/>
      <c r="D482" s="7"/>
      <c r="E482" s="7"/>
      <c r="F482" s="7"/>
      <c r="G482" s="7"/>
      <c r="H482" s="75">
        <v>46252</v>
      </c>
      <c r="I482" s="2"/>
      <c r="J482" s="8"/>
      <c r="K482" s="5"/>
      <c r="L482" s="8"/>
      <c r="M482" s="74"/>
      <c r="N482" s="78" t="str">
        <f t="shared" si="57"/>
        <v/>
      </c>
      <c r="O482" s="57" t="str">
        <f t="shared" si="59"/>
        <v/>
      </c>
      <c r="P482" s="76" t="str">
        <f t="shared" ca="1" si="60"/>
        <v/>
      </c>
      <c r="Q482" s="84" t="str">
        <f t="shared" si="58"/>
        <v/>
      </c>
    </row>
    <row r="483" spans="1:17" ht="13">
      <c r="A483" s="3"/>
      <c r="B483" s="2"/>
      <c r="C483" s="4"/>
      <c r="D483" s="7"/>
      <c r="E483" s="7"/>
      <c r="F483" s="7"/>
      <c r="G483" s="7"/>
      <c r="H483" s="75">
        <v>46252</v>
      </c>
      <c r="I483" s="2"/>
      <c r="J483" s="8"/>
      <c r="K483" s="5"/>
      <c r="L483" s="8"/>
      <c r="M483" s="74"/>
      <c r="N483" s="78" t="str">
        <f t="shared" si="57"/>
        <v/>
      </c>
      <c r="O483" s="57" t="str">
        <f t="shared" si="59"/>
        <v/>
      </c>
      <c r="P483" s="76" t="str">
        <f t="shared" ca="1" si="60"/>
        <v/>
      </c>
      <c r="Q483" s="84" t="str">
        <f t="shared" si="58"/>
        <v/>
      </c>
    </row>
    <row r="484" spans="1:17" ht="13">
      <c r="A484" s="3"/>
      <c r="B484" s="2"/>
      <c r="C484" s="4"/>
      <c r="D484" s="7"/>
      <c r="E484" s="7"/>
      <c r="F484" s="7"/>
      <c r="G484" s="7"/>
      <c r="H484" s="75">
        <v>46252</v>
      </c>
      <c r="I484" s="2"/>
      <c r="J484" s="8"/>
      <c r="K484" s="5"/>
      <c r="L484" s="8"/>
      <c r="M484" s="74"/>
      <c r="N484" s="78" t="str">
        <f t="shared" si="57"/>
        <v/>
      </c>
      <c r="O484" s="57" t="str">
        <f t="shared" si="59"/>
        <v/>
      </c>
      <c r="P484" s="76" t="str">
        <f t="shared" ca="1" si="60"/>
        <v/>
      </c>
      <c r="Q484" s="84" t="str">
        <f t="shared" si="58"/>
        <v/>
      </c>
    </row>
    <row r="485" spans="1:17" ht="13">
      <c r="A485" s="3"/>
      <c r="B485" s="2"/>
      <c r="C485" s="4"/>
      <c r="D485" s="7"/>
      <c r="E485" s="7"/>
      <c r="F485" s="7"/>
      <c r="G485" s="7"/>
      <c r="H485" s="75">
        <v>46252</v>
      </c>
      <c r="I485" s="2"/>
      <c r="J485" s="8"/>
      <c r="K485" s="5"/>
      <c r="L485" s="8"/>
      <c r="M485" s="74"/>
      <c r="N485" s="78" t="str">
        <f t="shared" si="57"/>
        <v/>
      </c>
      <c r="O485" s="57" t="str">
        <f t="shared" si="59"/>
        <v/>
      </c>
      <c r="P485" s="76" t="str">
        <f t="shared" ca="1" si="60"/>
        <v/>
      </c>
      <c r="Q485" s="84" t="str">
        <f t="shared" si="58"/>
        <v/>
      </c>
    </row>
    <row r="486" spans="1:17" ht="13">
      <c r="A486" s="3"/>
      <c r="B486" s="2"/>
      <c r="C486" s="4"/>
      <c r="D486" s="7"/>
      <c r="E486" s="7"/>
      <c r="F486" s="7"/>
      <c r="G486" s="7"/>
      <c r="H486" s="75">
        <v>46252</v>
      </c>
      <c r="I486" s="2"/>
      <c r="J486" s="8"/>
      <c r="K486" s="5"/>
      <c r="L486" s="8"/>
      <c r="M486" s="74"/>
      <c r="N486" s="78" t="str">
        <f t="shared" si="57"/>
        <v/>
      </c>
      <c r="O486" s="57" t="str">
        <f t="shared" si="59"/>
        <v/>
      </c>
      <c r="P486" s="76" t="str">
        <f t="shared" ca="1" si="60"/>
        <v/>
      </c>
      <c r="Q486" s="84" t="str">
        <f t="shared" si="58"/>
        <v/>
      </c>
    </row>
    <row r="487" spans="1:17" ht="13">
      <c r="A487" s="3"/>
      <c r="B487" s="2"/>
      <c r="C487" s="4"/>
      <c r="D487" s="7"/>
      <c r="E487" s="7"/>
      <c r="F487" s="7"/>
      <c r="G487" s="7"/>
      <c r="H487" s="75">
        <v>46252</v>
      </c>
      <c r="I487" s="2"/>
      <c r="J487" s="8"/>
      <c r="K487" s="5"/>
      <c r="L487" s="8"/>
      <c r="M487" s="74"/>
      <c r="N487" s="78" t="str">
        <f t="shared" si="57"/>
        <v/>
      </c>
      <c r="O487" s="57" t="str">
        <f t="shared" si="59"/>
        <v/>
      </c>
      <c r="P487" s="76" t="str">
        <f t="shared" ca="1" si="60"/>
        <v/>
      </c>
      <c r="Q487" s="84" t="str">
        <f t="shared" si="58"/>
        <v/>
      </c>
    </row>
    <row r="488" spans="1:17" ht="13">
      <c r="A488" s="3"/>
      <c r="B488" s="2"/>
      <c r="C488" s="4"/>
      <c r="D488" s="7"/>
      <c r="E488" s="7"/>
      <c r="F488" s="7"/>
      <c r="G488" s="7"/>
      <c r="H488" s="75">
        <v>46252</v>
      </c>
      <c r="I488" s="2"/>
      <c r="J488" s="8"/>
      <c r="K488" s="5"/>
      <c r="L488" s="8"/>
      <c r="M488" s="74"/>
      <c r="N488" s="78" t="str">
        <f t="shared" si="57"/>
        <v/>
      </c>
      <c r="O488" s="57" t="str">
        <f t="shared" si="59"/>
        <v/>
      </c>
      <c r="P488" s="76" t="str">
        <f t="shared" ca="1" si="60"/>
        <v/>
      </c>
      <c r="Q488" s="84" t="str">
        <f t="shared" si="58"/>
        <v/>
      </c>
    </row>
    <row r="489" spans="1:17" ht="13">
      <c r="A489" s="3"/>
      <c r="B489" s="2"/>
      <c r="C489" s="4"/>
      <c r="D489" s="7"/>
      <c r="E489" s="7"/>
      <c r="F489" s="7"/>
      <c r="G489" s="7"/>
      <c r="H489" s="75">
        <v>46252</v>
      </c>
      <c r="I489" s="2"/>
      <c r="J489" s="8"/>
      <c r="K489" s="5"/>
      <c r="L489" s="8"/>
      <c r="M489" s="74"/>
      <c r="N489" s="78" t="str">
        <f t="shared" si="57"/>
        <v/>
      </c>
      <c r="O489" s="57" t="str">
        <f t="shared" si="59"/>
        <v/>
      </c>
      <c r="P489" s="76" t="str">
        <f t="shared" ca="1" si="60"/>
        <v/>
      </c>
      <c r="Q489" s="84" t="str">
        <f t="shared" si="58"/>
        <v/>
      </c>
    </row>
    <row r="490" spans="1:17" ht="13">
      <c r="A490" s="3"/>
      <c r="B490" s="2"/>
      <c r="C490" s="4"/>
      <c r="D490" s="7"/>
      <c r="E490" s="7"/>
      <c r="F490" s="7"/>
      <c r="G490" s="7"/>
      <c r="H490" s="75">
        <v>46252</v>
      </c>
      <c r="I490" s="2"/>
      <c r="J490" s="8"/>
      <c r="K490" s="5"/>
      <c r="L490" s="8"/>
      <c r="M490" s="74"/>
      <c r="N490" s="78" t="str">
        <f t="shared" si="57"/>
        <v/>
      </c>
      <c r="O490" s="57" t="str">
        <f t="shared" si="59"/>
        <v/>
      </c>
      <c r="P490" s="76" t="str">
        <f t="shared" ca="1" si="60"/>
        <v/>
      </c>
      <c r="Q490" s="84" t="str">
        <f t="shared" si="58"/>
        <v/>
      </c>
    </row>
    <row r="491" spans="1:17" ht="13">
      <c r="A491" s="3"/>
      <c r="B491" s="2"/>
      <c r="C491" s="4"/>
      <c r="D491" s="7"/>
      <c r="E491" s="7"/>
      <c r="F491" s="7"/>
      <c r="G491" s="7"/>
      <c r="H491" s="75">
        <v>46252</v>
      </c>
      <c r="I491" s="2"/>
      <c r="J491" s="8"/>
      <c r="K491" s="5"/>
      <c r="L491" s="8"/>
      <c r="M491" s="74"/>
      <c r="N491" s="78" t="str">
        <f t="shared" si="57"/>
        <v/>
      </c>
      <c r="O491" s="57" t="str">
        <f t="shared" si="59"/>
        <v/>
      </c>
      <c r="P491" s="76" t="str">
        <f t="shared" ca="1" si="60"/>
        <v/>
      </c>
      <c r="Q491" s="84" t="str">
        <f t="shared" si="58"/>
        <v/>
      </c>
    </row>
    <row r="492" spans="1:17" ht="13">
      <c r="A492" s="3"/>
      <c r="B492" s="2"/>
      <c r="C492" s="4"/>
      <c r="D492" s="7"/>
      <c r="E492" s="7"/>
      <c r="F492" s="7"/>
      <c r="G492" s="7"/>
      <c r="H492" s="75">
        <v>46252</v>
      </c>
      <c r="I492" s="2"/>
      <c r="J492" s="8"/>
      <c r="K492" s="5"/>
      <c r="L492" s="8"/>
      <c r="M492" s="74"/>
      <c r="N492" s="78" t="str">
        <f t="shared" si="57"/>
        <v/>
      </c>
      <c r="O492" s="57" t="str">
        <f t="shared" si="59"/>
        <v/>
      </c>
      <c r="P492" s="76" t="str">
        <f t="shared" ca="1" si="60"/>
        <v/>
      </c>
      <c r="Q492" s="84" t="str">
        <f t="shared" si="58"/>
        <v/>
      </c>
    </row>
    <row r="493" spans="1:17" ht="13">
      <c r="A493" s="3"/>
      <c r="B493" s="2"/>
      <c r="C493" s="4"/>
      <c r="D493" s="7"/>
      <c r="E493" s="7"/>
      <c r="F493" s="7"/>
      <c r="G493" s="7"/>
      <c r="H493" s="75">
        <v>46252</v>
      </c>
      <c r="I493" s="2"/>
      <c r="J493" s="8"/>
      <c r="K493" s="5"/>
      <c r="L493" s="8"/>
      <c r="M493" s="74"/>
      <c r="N493" s="78" t="str">
        <f t="shared" si="57"/>
        <v/>
      </c>
      <c r="O493" s="57" t="str">
        <f t="shared" si="59"/>
        <v/>
      </c>
      <c r="P493" s="76" t="str">
        <f t="shared" ca="1" si="60"/>
        <v/>
      </c>
      <c r="Q493" s="84" t="str">
        <f t="shared" si="58"/>
        <v/>
      </c>
    </row>
    <row r="494" spans="1:17" ht="13">
      <c r="A494" s="3"/>
      <c r="B494" s="2"/>
      <c r="C494" s="4"/>
      <c r="D494" s="7"/>
      <c r="E494" s="7"/>
      <c r="F494" s="7"/>
      <c r="G494" s="7"/>
      <c r="H494" s="75">
        <v>46252</v>
      </c>
      <c r="I494" s="2"/>
      <c r="J494" s="8"/>
      <c r="K494" s="5"/>
      <c r="L494" s="8"/>
      <c r="M494" s="74"/>
      <c r="N494" s="78" t="str">
        <f t="shared" si="57"/>
        <v/>
      </c>
      <c r="O494" s="57" t="str">
        <f t="shared" si="59"/>
        <v/>
      </c>
      <c r="P494" s="76" t="str">
        <f t="shared" ca="1" si="60"/>
        <v/>
      </c>
      <c r="Q494" s="84" t="str">
        <f t="shared" si="58"/>
        <v/>
      </c>
    </row>
    <row r="495" spans="1:17" ht="13">
      <c r="A495" s="3"/>
      <c r="B495" s="2"/>
      <c r="C495" s="4"/>
      <c r="D495" s="7"/>
      <c r="E495" s="7"/>
      <c r="F495" s="7"/>
      <c r="G495" s="7"/>
      <c r="H495" s="75">
        <v>46252</v>
      </c>
      <c r="I495" s="2"/>
      <c r="J495" s="8"/>
      <c r="K495" s="5"/>
      <c r="L495" s="8"/>
      <c r="M495" s="74"/>
      <c r="N495" s="78" t="str">
        <f t="shared" si="57"/>
        <v/>
      </c>
      <c r="O495" s="57" t="str">
        <f t="shared" si="59"/>
        <v/>
      </c>
      <c r="P495" s="76" t="str">
        <f t="shared" ca="1" si="60"/>
        <v/>
      </c>
      <c r="Q495" s="84" t="str">
        <f t="shared" si="58"/>
        <v/>
      </c>
    </row>
    <row r="496" spans="1:17" ht="13">
      <c r="A496" s="3"/>
      <c r="B496" s="2"/>
      <c r="C496" s="4"/>
      <c r="D496" s="7"/>
      <c r="E496" s="7"/>
      <c r="F496" s="7"/>
      <c r="G496" s="7"/>
      <c r="H496" s="75">
        <v>46252</v>
      </c>
      <c r="I496" s="2"/>
      <c r="J496" s="8"/>
      <c r="K496" s="5"/>
      <c r="L496" s="8"/>
      <c r="M496" s="74"/>
      <c r="N496" s="78" t="str">
        <f t="shared" si="57"/>
        <v/>
      </c>
      <c r="O496" s="57" t="str">
        <f t="shared" si="59"/>
        <v/>
      </c>
      <c r="P496" s="76" t="str">
        <f t="shared" ca="1" si="60"/>
        <v/>
      </c>
      <c r="Q496" s="84" t="str">
        <f t="shared" si="58"/>
        <v/>
      </c>
    </row>
    <row r="497" spans="1:17" ht="13">
      <c r="A497" s="3"/>
      <c r="B497" s="2"/>
      <c r="C497" s="4"/>
      <c r="D497" s="7"/>
      <c r="E497" s="7"/>
      <c r="F497" s="7"/>
      <c r="G497" s="7"/>
      <c r="H497" s="75">
        <v>46252</v>
      </c>
      <c r="I497" s="2"/>
      <c r="J497" s="8"/>
      <c r="K497" s="5"/>
      <c r="L497" s="8"/>
      <c r="M497" s="74"/>
      <c r="N497" s="78" t="str">
        <f t="shared" si="57"/>
        <v/>
      </c>
      <c r="O497" s="57" t="str">
        <f t="shared" si="59"/>
        <v/>
      </c>
      <c r="P497" s="76" t="str">
        <f t="shared" ca="1" si="60"/>
        <v/>
      </c>
      <c r="Q497" s="84" t="str">
        <f t="shared" si="58"/>
        <v/>
      </c>
    </row>
    <row r="498" spans="1:17" ht="13">
      <c r="A498" s="3"/>
      <c r="B498" s="2"/>
      <c r="C498" s="4"/>
      <c r="D498" s="7"/>
      <c r="E498" s="7"/>
      <c r="F498" s="7"/>
      <c r="G498" s="7"/>
      <c r="H498" s="75">
        <v>46252</v>
      </c>
      <c r="I498" s="2"/>
      <c r="J498" s="8"/>
      <c r="K498" s="5"/>
      <c r="L498" s="8"/>
      <c r="M498" s="74"/>
      <c r="N498" s="78" t="str">
        <f t="shared" si="57"/>
        <v/>
      </c>
      <c r="O498" s="57" t="str">
        <f t="shared" si="59"/>
        <v/>
      </c>
      <c r="P498" s="76" t="str">
        <f t="shared" ca="1" si="60"/>
        <v/>
      </c>
      <c r="Q498" s="84" t="str">
        <f t="shared" si="58"/>
        <v/>
      </c>
    </row>
    <row r="499" spans="1:17" ht="13">
      <c r="A499" s="3"/>
      <c r="B499" s="2"/>
      <c r="C499" s="4"/>
      <c r="D499" s="7"/>
      <c r="E499" s="7"/>
      <c r="F499" s="7"/>
      <c r="G499" s="7"/>
      <c r="H499" s="75">
        <v>46252</v>
      </c>
      <c r="I499" s="2"/>
      <c r="J499" s="8"/>
      <c r="K499" s="5"/>
      <c r="L499" s="8"/>
      <c r="M499" s="74"/>
      <c r="N499" s="78" t="str">
        <f t="shared" si="57"/>
        <v/>
      </c>
      <c r="O499" s="57" t="str">
        <f t="shared" si="59"/>
        <v/>
      </c>
      <c r="P499" s="76" t="str">
        <f t="shared" ca="1" si="60"/>
        <v/>
      </c>
      <c r="Q499" s="84" t="str">
        <f t="shared" si="58"/>
        <v/>
      </c>
    </row>
    <row r="500" spans="1:17" ht="13">
      <c r="A500" s="3"/>
      <c r="B500" s="2"/>
      <c r="C500" s="4"/>
      <c r="D500" s="7"/>
      <c r="E500" s="7"/>
      <c r="F500" s="7"/>
      <c r="G500" s="7"/>
      <c r="H500" s="75">
        <v>46252</v>
      </c>
      <c r="I500" s="2"/>
      <c r="J500" s="8"/>
      <c r="K500" s="5"/>
      <c r="L500" s="8"/>
      <c r="M500" s="74"/>
      <c r="N500" s="78" t="str">
        <f t="shared" si="57"/>
        <v/>
      </c>
      <c r="O500" s="57" t="str">
        <f t="shared" si="59"/>
        <v/>
      </c>
      <c r="P500" s="76" t="str">
        <f t="shared" ca="1" si="60"/>
        <v/>
      </c>
      <c r="Q500" s="84" t="str">
        <f t="shared" si="58"/>
        <v/>
      </c>
    </row>
    <row r="501" spans="1:17" ht="13">
      <c r="A501" s="3"/>
      <c r="B501" s="2"/>
      <c r="C501" s="4"/>
      <c r="D501" s="7"/>
      <c r="E501" s="7"/>
      <c r="F501" s="7"/>
      <c r="G501" s="7"/>
      <c r="H501" s="75">
        <v>46252</v>
      </c>
      <c r="I501" s="2"/>
      <c r="J501" s="8"/>
      <c r="K501" s="5"/>
      <c r="L501" s="8"/>
      <c r="M501" s="74"/>
      <c r="N501" s="78" t="str">
        <f t="shared" ref="N501:N532" si="61">IF(AND(A501="",K740=""),"",IF(Q501="","Em Andamento",IF(M501&lt;=O501,"Dentro do Prazo","Fora do Prazo")))</f>
        <v/>
      </c>
      <c r="O501" s="57" t="str">
        <f t="shared" si="59"/>
        <v/>
      </c>
      <c r="P501" s="76" t="str">
        <f t="shared" ca="1" si="60"/>
        <v/>
      </c>
      <c r="Q501" s="84" t="str">
        <f t="shared" si="58"/>
        <v/>
      </c>
    </row>
    <row r="502" spans="1:17" ht="13">
      <c r="A502" s="3"/>
      <c r="B502" s="2"/>
      <c r="C502" s="4"/>
      <c r="D502" s="7"/>
      <c r="E502" s="7"/>
      <c r="F502" s="7"/>
      <c r="G502" s="7"/>
      <c r="H502" s="75">
        <v>46252</v>
      </c>
      <c r="I502" s="2"/>
      <c r="J502" s="8"/>
      <c r="K502" s="5"/>
      <c r="L502" s="8"/>
      <c r="M502" s="74"/>
      <c r="N502" s="78" t="str">
        <f t="shared" si="61"/>
        <v/>
      </c>
      <c r="O502" s="57" t="str">
        <f t="shared" si="59"/>
        <v/>
      </c>
      <c r="P502" s="76" t="str">
        <f t="shared" ca="1" si="60"/>
        <v/>
      </c>
      <c r="Q502" s="84" t="str">
        <f t="shared" si="58"/>
        <v/>
      </c>
    </row>
    <row r="503" spans="1:17" ht="13">
      <c r="A503" s="3"/>
      <c r="B503" s="2"/>
      <c r="C503" s="4"/>
      <c r="D503" s="7"/>
      <c r="E503" s="7"/>
      <c r="F503" s="7"/>
      <c r="G503" s="7"/>
      <c r="H503" s="75">
        <v>46252</v>
      </c>
      <c r="I503" s="2"/>
      <c r="J503" s="8"/>
      <c r="K503" s="5"/>
      <c r="L503" s="8"/>
      <c r="M503" s="74"/>
      <c r="N503" s="8"/>
      <c r="O503" s="57" t="str">
        <f t="shared" si="59"/>
        <v/>
      </c>
      <c r="P503" s="76" t="str">
        <f t="shared" ca="1" si="60"/>
        <v/>
      </c>
      <c r="Q503" s="84" t="str">
        <f t="shared" si="58"/>
        <v/>
      </c>
    </row>
    <row r="504" spans="1:17" ht="13">
      <c r="A504" s="3"/>
      <c r="B504" s="2"/>
      <c r="C504" s="4"/>
      <c r="D504" s="7"/>
      <c r="E504" s="7"/>
      <c r="F504" s="7"/>
      <c r="G504" s="7"/>
      <c r="H504" s="75">
        <v>46252</v>
      </c>
      <c r="I504" s="2"/>
      <c r="J504" s="8"/>
      <c r="K504" s="5"/>
      <c r="L504" s="8"/>
      <c r="M504" s="74"/>
      <c r="N504" s="8"/>
      <c r="O504" s="57" t="str">
        <f t="shared" si="59"/>
        <v/>
      </c>
      <c r="P504" s="76" t="str">
        <f t="shared" ca="1" si="60"/>
        <v/>
      </c>
      <c r="Q504" s="84" t="str">
        <f t="shared" si="58"/>
        <v/>
      </c>
    </row>
    <row r="505" spans="1:17" ht="13">
      <c r="A505" s="3"/>
      <c r="B505" s="2"/>
      <c r="C505" s="4"/>
      <c r="D505" s="7"/>
      <c r="E505" s="7"/>
      <c r="F505" s="7"/>
      <c r="G505" s="7"/>
      <c r="H505" s="75">
        <v>46252</v>
      </c>
      <c r="I505" s="2"/>
      <c r="J505" s="8"/>
      <c r="K505" s="5"/>
      <c r="L505" s="8"/>
      <c r="M505" s="74"/>
      <c r="N505" s="8"/>
      <c r="O505" s="57" t="str">
        <f t="shared" si="59"/>
        <v/>
      </c>
      <c r="P505" s="76" t="str">
        <f t="shared" ca="1" si="60"/>
        <v/>
      </c>
      <c r="Q505" s="84" t="str">
        <f t="shared" si="58"/>
        <v/>
      </c>
    </row>
    <row r="506" spans="1:17" ht="13">
      <c r="A506" s="3"/>
      <c r="B506" s="2"/>
      <c r="C506" s="4"/>
      <c r="D506" s="7"/>
      <c r="E506" s="7"/>
      <c r="F506" s="7"/>
      <c r="G506" s="7"/>
      <c r="H506" s="75">
        <v>46252</v>
      </c>
      <c r="I506" s="2"/>
      <c r="J506" s="8"/>
      <c r="K506" s="5"/>
      <c r="L506" s="8"/>
      <c r="M506" s="74"/>
      <c r="N506" s="8"/>
      <c r="O506" s="57" t="str">
        <f t="shared" si="59"/>
        <v/>
      </c>
      <c r="P506" s="76" t="str">
        <f t="shared" ca="1" si="60"/>
        <v/>
      </c>
      <c r="Q506" s="84" t="str">
        <f t="shared" si="58"/>
        <v/>
      </c>
    </row>
    <row r="507" spans="1:17" ht="13">
      <c r="A507" s="3"/>
      <c r="B507" s="2"/>
      <c r="C507" s="4"/>
      <c r="D507" s="7"/>
      <c r="E507" s="7"/>
      <c r="F507" s="7"/>
      <c r="G507" s="7"/>
      <c r="H507" s="75">
        <v>46252</v>
      </c>
      <c r="I507" s="2"/>
      <c r="J507" s="8"/>
      <c r="K507" s="5"/>
      <c r="L507" s="8"/>
      <c r="M507" s="74"/>
      <c r="N507" s="8"/>
      <c r="O507" s="10"/>
      <c r="P507" s="76" t="str">
        <f t="shared" ca="1" si="60"/>
        <v/>
      </c>
      <c r="Q507" s="84" t="str">
        <f t="shared" si="58"/>
        <v/>
      </c>
    </row>
    <row r="508" spans="1:17" ht="13">
      <c r="A508" s="3"/>
      <c r="B508" s="2"/>
      <c r="C508" s="4"/>
      <c r="D508" s="7"/>
      <c r="E508" s="7"/>
      <c r="F508" s="7"/>
      <c r="G508" s="7"/>
      <c r="H508" s="75">
        <v>46252</v>
      </c>
      <c r="I508" s="2"/>
      <c r="J508" s="8"/>
      <c r="K508" s="5"/>
      <c r="L508" s="8"/>
      <c r="M508" s="74"/>
      <c r="N508" s="8"/>
      <c r="O508" s="10"/>
      <c r="P508" s="76" t="str">
        <f t="shared" ca="1" si="60"/>
        <v/>
      </c>
      <c r="Q508" s="84" t="str">
        <f t="shared" si="58"/>
        <v/>
      </c>
    </row>
    <row r="509" spans="1:17" ht="13">
      <c r="A509" s="3"/>
      <c r="B509" s="2"/>
      <c r="C509" s="4"/>
      <c r="D509" s="7"/>
      <c r="E509" s="7"/>
      <c r="F509" s="7"/>
      <c r="G509" s="7"/>
      <c r="H509" s="75">
        <v>46252</v>
      </c>
      <c r="I509" s="2"/>
      <c r="J509" s="8"/>
      <c r="K509" s="5"/>
      <c r="L509" s="8"/>
      <c r="M509" s="74"/>
      <c r="N509" s="8"/>
      <c r="O509" s="10"/>
      <c r="P509" s="76" t="str">
        <f t="shared" ca="1" si="60"/>
        <v/>
      </c>
      <c r="Q509" s="84" t="str">
        <f t="shared" si="58"/>
        <v/>
      </c>
    </row>
    <row r="510" spans="1:17" ht="13">
      <c r="A510" s="3"/>
      <c r="B510" s="2"/>
      <c r="C510" s="4"/>
      <c r="D510" s="7"/>
      <c r="E510" s="7"/>
      <c r="F510" s="7"/>
      <c r="G510" s="7"/>
      <c r="H510" s="75">
        <v>46252</v>
      </c>
      <c r="I510" s="2"/>
      <c r="J510" s="8"/>
      <c r="K510" s="5"/>
      <c r="L510" s="8"/>
      <c r="M510" s="74"/>
      <c r="N510" s="8"/>
      <c r="O510" s="10"/>
      <c r="P510" s="76" t="str">
        <f t="shared" ca="1" si="60"/>
        <v/>
      </c>
      <c r="Q510" s="84" t="str">
        <f t="shared" si="58"/>
        <v/>
      </c>
    </row>
    <row r="511" spans="1:17" ht="13">
      <c r="A511" s="3"/>
      <c r="B511" s="2"/>
      <c r="C511" s="4"/>
      <c r="D511" s="7"/>
      <c r="E511" s="7"/>
      <c r="F511" s="7"/>
      <c r="G511" s="7"/>
      <c r="H511" s="75">
        <v>46252</v>
      </c>
      <c r="I511" s="2"/>
      <c r="J511" s="8"/>
      <c r="K511" s="5"/>
      <c r="L511" s="8"/>
      <c r="M511" s="74"/>
      <c r="N511" s="8"/>
      <c r="O511" s="10"/>
      <c r="P511" s="76" t="str">
        <f t="shared" ca="1" si="60"/>
        <v/>
      </c>
      <c r="Q511" s="84" t="str">
        <f t="shared" si="58"/>
        <v/>
      </c>
    </row>
    <row r="512" spans="1:17" ht="13">
      <c r="A512" s="3"/>
      <c r="B512" s="2"/>
      <c r="C512" s="4"/>
      <c r="D512" s="7"/>
      <c r="E512" s="7"/>
      <c r="F512" s="7"/>
      <c r="G512" s="7"/>
      <c r="H512" s="75">
        <v>46252</v>
      </c>
      <c r="I512" s="2"/>
      <c r="J512" s="8"/>
      <c r="K512" s="5"/>
      <c r="L512" s="8"/>
      <c r="M512" s="74"/>
      <c r="N512" s="8"/>
      <c r="O512" s="10"/>
      <c r="P512" s="6"/>
      <c r="Q512" s="84" t="str">
        <f t="shared" si="58"/>
        <v/>
      </c>
    </row>
    <row r="513" spans="1:17" ht="13">
      <c r="A513" s="3"/>
      <c r="B513" s="2"/>
      <c r="C513" s="4"/>
      <c r="D513" s="7"/>
      <c r="E513" s="7"/>
      <c r="F513" s="7"/>
      <c r="G513" s="7"/>
      <c r="H513" s="75">
        <v>46252</v>
      </c>
      <c r="I513" s="2"/>
      <c r="J513" s="8"/>
      <c r="K513" s="5"/>
      <c r="L513" s="8"/>
      <c r="M513" s="74"/>
      <c r="N513" s="8"/>
      <c r="O513" s="10"/>
      <c r="P513" s="6"/>
      <c r="Q513" s="84" t="str">
        <f t="shared" si="58"/>
        <v/>
      </c>
    </row>
    <row r="514" spans="1:17" ht="13">
      <c r="A514" s="3"/>
      <c r="B514" s="2"/>
      <c r="C514" s="4"/>
      <c r="D514" s="7"/>
      <c r="E514" s="7"/>
      <c r="F514" s="7"/>
      <c r="G514" s="7"/>
      <c r="H514" s="75">
        <v>46252</v>
      </c>
      <c r="I514" s="2"/>
      <c r="J514" s="8"/>
      <c r="K514" s="5"/>
      <c r="L514" s="8"/>
      <c r="M514" s="74"/>
      <c r="N514" s="8"/>
      <c r="O514" s="10"/>
      <c r="P514" s="6"/>
      <c r="Q514" s="84" t="str">
        <f t="shared" si="58"/>
        <v/>
      </c>
    </row>
    <row r="515" spans="1:17" ht="13">
      <c r="A515" s="3"/>
      <c r="B515" s="2"/>
      <c r="C515" s="4"/>
      <c r="D515" s="7"/>
      <c r="E515" s="7"/>
      <c r="F515" s="7"/>
      <c r="G515" s="7"/>
      <c r="H515" s="75">
        <v>46252</v>
      </c>
      <c r="I515" s="2"/>
      <c r="J515" s="8"/>
      <c r="K515" s="5"/>
      <c r="L515" s="8"/>
      <c r="M515" s="74"/>
      <c r="N515" s="8"/>
      <c r="O515" s="10"/>
      <c r="P515" s="6"/>
      <c r="Q515" s="84" t="str">
        <f t="shared" si="58"/>
        <v/>
      </c>
    </row>
    <row r="516" spans="1:17" ht="13">
      <c r="A516" s="3"/>
      <c r="B516" s="2"/>
      <c r="C516" s="4"/>
      <c r="D516" s="7"/>
      <c r="E516" s="7"/>
      <c r="F516" s="7"/>
      <c r="G516" s="7"/>
      <c r="H516" s="75">
        <v>46252</v>
      </c>
      <c r="I516" s="2"/>
      <c r="J516" s="8"/>
      <c r="K516" s="5"/>
      <c r="L516" s="8"/>
      <c r="M516" s="74"/>
      <c r="N516" s="8"/>
      <c r="O516" s="10"/>
      <c r="P516" s="6"/>
      <c r="Q516" s="84" t="str">
        <f t="shared" si="58"/>
        <v/>
      </c>
    </row>
    <row r="517" spans="1:17" ht="13">
      <c r="A517" s="3"/>
      <c r="B517" s="2"/>
      <c r="C517" s="4"/>
      <c r="D517" s="7"/>
      <c r="E517" s="7"/>
      <c r="F517" s="7"/>
      <c r="G517" s="7"/>
      <c r="H517" s="75">
        <v>46252</v>
      </c>
      <c r="I517" s="2"/>
      <c r="J517" s="8"/>
      <c r="K517" s="5"/>
      <c r="L517" s="8"/>
      <c r="M517" s="74"/>
      <c r="N517" s="8"/>
      <c r="O517" s="10"/>
      <c r="P517" s="6"/>
      <c r="Q517" s="84" t="str">
        <f t="shared" si="58"/>
        <v/>
      </c>
    </row>
    <row r="518" spans="1:17" ht="13">
      <c r="A518" s="3"/>
      <c r="B518" s="2"/>
      <c r="C518" s="4"/>
      <c r="D518" s="7"/>
      <c r="E518" s="7"/>
      <c r="F518" s="7"/>
      <c r="G518" s="7"/>
      <c r="H518" s="75">
        <v>46252</v>
      </c>
      <c r="I518" s="2"/>
      <c r="J518" s="8"/>
      <c r="K518" s="5"/>
      <c r="L518" s="8"/>
      <c r="M518" s="74"/>
      <c r="N518" s="8"/>
      <c r="O518" s="10"/>
      <c r="P518" s="6"/>
      <c r="Q518" s="84" t="str">
        <f t="shared" si="58"/>
        <v/>
      </c>
    </row>
    <row r="519" spans="1:17" ht="13">
      <c r="A519" s="3"/>
      <c r="B519" s="2"/>
      <c r="C519" s="4"/>
      <c r="D519" s="7"/>
      <c r="E519" s="7"/>
      <c r="F519" s="7"/>
      <c r="G519" s="7"/>
      <c r="H519" s="75">
        <v>46252</v>
      </c>
      <c r="I519" s="2"/>
      <c r="J519" s="8"/>
      <c r="K519" s="5"/>
      <c r="L519" s="8"/>
      <c r="M519" s="74"/>
      <c r="N519" s="8"/>
      <c r="O519" s="10"/>
      <c r="P519" s="6"/>
      <c r="Q519" s="84" t="str">
        <f t="shared" si="58"/>
        <v/>
      </c>
    </row>
    <row r="520" spans="1:17" ht="13">
      <c r="A520" s="3"/>
      <c r="B520" s="2"/>
      <c r="C520" s="4"/>
      <c r="D520" s="7"/>
      <c r="E520" s="7"/>
      <c r="F520" s="7"/>
      <c r="G520" s="7"/>
      <c r="H520" s="75">
        <v>46252</v>
      </c>
      <c r="I520" s="2"/>
      <c r="J520" s="8"/>
      <c r="K520" s="5"/>
      <c r="L520" s="8"/>
      <c r="M520" s="74"/>
      <c r="N520" s="8"/>
      <c r="O520" s="10"/>
      <c r="P520" s="6"/>
      <c r="Q520" s="84" t="str">
        <f t="shared" si="58"/>
        <v/>
      </c>
    </row>
    <row r="521" spans="1:17" ht="13">
      <c r="A521" s="3"/>
      <c r="B521" s="2"/>
      <c r="C521" s="4"/>
      <c r="D521" s="7"/>
      <c r="E521" s="7"/>
      <c r="F521" s="7"/>
      <c r="G521" s="7"/>
      <c r="H521" s="75">
        <v>46252</v>
      </c>
      <c r="I521" s="2"/>
      <c r="J521" s="8"/>
      <c r="K521" s="5"/>
      <c r="L521" s="8"/>
      <c r="M521" s="74"/>
      <c r="N521" s="8"/>
      <c r="O521" s="10"/>
      <c r="P521" s="6"/>
      <c r="Q521" s="84" t="str">
        <f t="shared" si="58"/>
        <v/>
      </c>
    </row>
    <row r="522" spans="1:17" ht="13">
      <c r="A522" s="3"/>
      <c r="B522" s="2"/>
      <c r="C522" s="4"/>
      <c r="D522" s="7"/>
      <c r="E522" s="7"/>
      <c r="F522" s="7"/>
      <c r="G522" s="7"/>
      <c r="H522" s="75">
        <v>46252</v>
      </c>
      <c r="I522" s="2"/>
      <c r="J522" s="8"/>
      <c r="K522" s="5"/>
      <c r="L522" s="8"/>
      <c r="M522" s="74"/>
      <c r="N522" s="8"/>
      <c r="O522" s="10"/>
      <c r="P522" s="6"/>
      <c r="Q522" s="84" t="str">
        <f t="shared" si="58"/>
        <v/>
      </c>
    </row>
    <row r="523" spans="1:17" ht="13">
      <c r="A523" s="3"/>
      <c r="B523" s="2"/>
      <c r="C523" s="4"/>
      <c r="D523" s="7"/>
      <c r="E523" s="7"/>
      <c r="F523" s="7"/>
      <c r="G523" s="7"/>
      <c r="H523" s="75">
        <v>46252</v>
      </c>
      <c r="I523" s="2"/>
      <c r="J523" s="8"/>
      <c r="K523" s="5"/>
      <c r="L523" s="8"/>
      <c r="M523" s="74"/>
      <c r="N523" s="8"/>
      <c r="O523" s="10"/>
      <c r="P523" s="6"/>
      <c r="Q523" s="84" t="str">
        <f t="shared" si="58"/>
        <v/>
      </c>
    </row>
    <row r="524" spans="1:17" ht="13">
      <c r="A524" s="3"/>
      <c r="B524" s="2"/>
      <c r="C524" s="4"/>
      <c r="D524" s="7"/>
      <c r="E524" s="7"/>
      <c r="F524" s="7"/>
      <c r="G524" s="7"/>
      <c r="H524" s="75">
        <v>46252</v>
      </c>
      <c r="I524" s="2"/>
      <c r="J524" s="8"/>
      <c r="K524" s="5"/>
      <c r="L524" s="8"/>
      <c r="M524" s="74"/>
      <c r="N524" s="8"/>
      <c r="O524" s="10"/>
      <c r="P524" s="6"/>
      <c r="Q524" s="84" t="str">
        <f t="shared" si="58"/>
        <v/>
      </c>
    </row>
    <row r="525" spans="1:17" ht="13">
      <c r="A525" s="3"/>
      <c r="B525" s="2"/>
      <c r="C525" s="4"/>
      <c r="D525" s="7"/>
      <c r="E525" s="7"/>
      <c r="F525" s="7"/>
      <c r="G525" s="7"/>
      <c r="H525" s="75">
        <v>46252</v>
      </c>
      <c r="I525" s="2"/>
      <c r="J525" s="8"/>
      <c r="K525" s="5"/>
      <c r="L525" s="8"/>
      <c r="M525" s="74"/>
      <c r="N525" s="8"/>
      <c r="O525" s="10"/>
      <c r="P525" s="6"/>
      <c r="Q525" s="84" t="str">
        <f t="shared" si="58"/>
        <v/>
      </c>
    </row>
    <row r="526" spans="1:17" ht="13">
      <c r="A526" s="3"/>
      <c r="B526" s="2"/>
      <c r="C526" s="4"/>
      <c r="D526" s="7"/>
      <c r="E526" s="7"/>
      <c r="F526" s="7"/>
      <c r="G526" s="7"/>
      <c r="H526" s="75">
        <v>46252</v>
      </c>
      <c r="I526" s="2"/>
      <c r="J526" s="8"/>
      <c r="K526" s="5"/>
      <c r="L526" s="8"/>
      <c r="M526" s="74"/>
      <c r="N526" s="8"/>
      <c r="O526" s="10"/>
      <c r="P526" s="6"/>
      <c r="Q526" s="84" t="str">
        <f t="shared" si="58"/>
        <v/>
      </c>
    </row>
    <row r="527" spans="1:17" ht="13">
      <c r="A527" s="3"/>
      <c r="B527" s="2"/>
      <c r="C527" s="4"/>
      <c r="D527" s="7"/>
      <c r="E527" s="7"/>
      <c r="F527" s="7"/>
      <c r="G527" s="7"/>
      <c r="H527" s="75">
        <v>46252</v>
      </c>
      <c r="I527" s="2"/>
      <c r="J527" s="8"/>
      <c r="K527" s="5"/>
      <c r="L527" s="8"/>
      <c r="M527" s="74"/>
      <c r="N527" s="8"/>
      <c r="O527" s="10"/>
      <c r="P527" s="6"/>
      <c r="Q527" s="84" t="str">
        <f t="shared" si="58"/>
        <v/>
      </c>
    </row>
    <row r="528" spans="1:17" ht="13">
      <c r="A528" s="3"/>
      <c r="B528" s="2"/>
      <c r="C528" s="4"/>
      <c r="D528" s="7"/>
      <c r="E528" s="7"/>
      <c r="F528" s="7"/>
      <c r="G528" s="7"/>
      <c r="H528" s="75">
        <v>46252</v>
      </c>
      <c r="I528" s="2"/>
      <c r="J528" s="8"/>
      <c r="K528" s="5"/>
      <c r="L528" s="8"/>
      <c r="M528" s="74"/>
      <c r="N528" s="8"/>
      <c r="O528" s="10"/>
      <c r="P528" s="6"/>
      <c r="Q528" s="84" t="str">
        <f t="shared" si="58"/>
        <v/>
      </c>
    </row>
    <row r="529" spans="1:17" ht="13">
      <c r="A529" s="3"/>
      <c r="B529" s="2"/>
      <c r="C529" s="4"/>
      <c r="D529" s="7"/>
      <c r="E529" s="7"/>
      <c r="F529" s="7"/>
      <c r="G529" s="7"/>
      <c r="H529" s="75">
        <v>46252</v>
      </c>
      <c r="I529" s="2"/>
      <c r="J529" s="8"/>
      <c r="K529" s="5"/>
      <c r="L529" s="8"/>
      <c r="M529" s="74"/>
      <c r="N529" s="8"/>
      <c r="O529" s="10"/>
      <c r="P529" s="6"/>
      <c r="Q529" s="84" t="str">
        <f t="shared" si="58"/>
        <v/>
      </c>
    </row>
    <row r="530" spans="1:17" ht="13">
      <c r="A530" s="3"/>
      <c r="B530" s="2"/>
      <c r="C530" s="4"/>
      <c r="D530" s="7"/>
      <c r="E530" s="7"/>
      <c r="F530" s="7"/>
      <c r="G530" s="7"/>
      <c r="H530" s="75">
        <v>46252</v>
      </c>
      <c r="I530" s="2"/>
      <c r="J530" s="8"/>
      <c r="K530" s="5"/>
      <c r="L530" s="8"/>
      <c r="M530" s="74"/>
      <c r="N530" s="8"/>
      <c r="O530" s="10"/>
      <c r="P530" s="6"/>
      <c r="Q530" s="84" t="str">
        <f t="shared" si="58"/>
        <v/>
      </c>
    </row>
    <row r="531" spans="1:17" ht="13">
      <c r="A531" s="3"/>
      <c r="B531" s="2"/>
      <c r="C531" s="4"/>
      <c r="D531" s="7"/>
      <c r="E531" s="7"/>
      <c r="F531" s="7"/>
      <c r="G531" s="7"/>
      <c r="H531" s="75">
        <v>46252</v>
      </c>
      <c r="I531" s="2"/>
      <c r="J531" s="8"/>
      <c r="K531" s="5"/>
      <c r="L531" s="8"/>
      <c r="M531" s="74"/>
      <c r="N531" s="8"/>
      <c r="O531" s="10"/>
      <c r="P531" s="6"/>
      <c r="Q531" s="84" t="str">
        <f t="shared" si="58"/>
        <v/>
      </c>
    </row>
    <row r="532" spans="1:17" ht="13">
      <c r="A532" s="3"/>
      <c r="B532" s="2"/>
      <c r="C532" s="4"/>
      <c r="D532" s="7"/>
      <c r="E532" s="7"/>
      <c r="F532" s="7"/>
      <c r="G532" s="7"/>
      <c r="H532" s="75">
        <v>46252</v>
      </c>
      <c r="I532" s="2"/>
      <c r="J532" s="8"/>
      <c r="K532" s="5"/>
      <c r="L532" s="8"/>
      <c r="M532" s="74"/>
      <c r="N532" s="8"/>
      <c r="O532" s="10"/>
      <c r="P532" s="6"/>
      <c r="Q532" s="84" t="str">
        <f t="shared" si="58"/>
        <v/>
      </c>
    </row>
    <row r="533" spans="1:17" ht="13">
      <c r="A533" s="3">
        <v>46245</v>
      </c>
      <c r="B533" s="2" t="s">
        <v>17</v>
      </c>
      <c r="C533" s="4" t="s">
        <v>27</v>
      </c>
      <c r="D533" s="7" t="s">
        <v>19</v>
      </c>
      <c r="E533" s="7" t="s">
        <v>387</v>
      </c>
      <c r="F533" s="7" t="s">
        <v>388</v>
      </c>
      <c r="G533" s="7" t="s">
        <v>22</v>
      </c>
      <c r="H533" s="75">
        <v>46252</v>
      </c>
      <c r="I533" s="7" t="s">
        <v>247</v>
      </c>
      <c r="J533" s="8" t="s">
        <v>24</v>
      </c>
      <c r="K533" s="7" t="s">
        <v>25</v>
      </c>
      <c r="L533" s="8">
        <v>15</v>
      </c>
      <c r="M533" s="74">
        <v>46247</v>
      </c>
      <c r="N533" s="78" t="str">
        <f t="shared" ref="N533:N565" si="62">IF(AND(A533="",K770=""),"",IF(Q533="","Em Andamento",IF(M533&lt;=O533,"Dentro do Prazo","Fora do Prazo")))</f>
        <v>Dentro do Prazo</v>
      </c>
      <c r="O533" s="57">
        <f t="shared" ref="O533:O596" si="63">IF(OR(A533="",L533=""),"",A533+L533)</f>
        <v>46260</v>
      </c>
      <c r="P533" s="76" t="str">
        <f t="shared" ref="P533:P596" ca="1" si="64">IF(O533="","",IF(O533-TODAY()=0,"Vence Hoje!",IF(O533-TODAY()&gt;=0,O533-TODAY()&amp;" Dia(s) para vencer","Prazo Vencido")))</f>
        <v>Prazo Vencido</v>
      </c>
      <c r="Q533" s="84">
        <f t="shared" si="58"/>
        <v>2</v>
      </c>
    </row>
    <row r="534" spans="1:17" ht="13">
      <c r="A534" s="3">
        <v>46245</v>
      </c>
      <c r="B534" s="2" t="s">
        <v>26</v>
      </c>
      <c r="C534" s="4" t="s">
        <v>27</v>
      </c>
      <c r="D534" s="7" t="s">
        <v>19</v>
      </c>
      <c r="E534" s="7" t="s">
        <v>389</v>
      </c>
      <c r="F534" s="7" t="s">
        <v>390</v>
      </c>
      <c r="G534" s="7" t="s">
        <v>22</v>
      </c>
      <c r="H534" s="75">
        <v>46252</v>
      </c>
      <c r="I534" s="7" t="s">
        <v>247</v>
      </c>
      <c r="J534" s="8" t="s">
        <v>24</v>
      </c>
      <c r="K534" s="7" t="s">
        <v>25</v>
      </c>
      <c r="L534" s="8">
        <v>15</v>
      </c>
      <c r="M534" s="74">
        <v>46247</v>
      </c>
      <c r="N534" s="78" t="str">
        <f t="shared" si="62"/>
        <v>Dentro do Prazo</v>
      </c>
      <c r="O534" s="57">
        <f t="shared" si="63"/>
        <v>46260</v>
      </c>
      <c r="P534" s="76" t="str">
        <f t="shared" ca="1" si="64"/>
        <v>Prazo Vencido</v>
      </c>
      <c r="Q534" s="84">
        <f t="shared" si="58"/>
        <v>2</v>
      </c>
    </row>
    <row r="535" spans="1:17" ht="13">
      <c r="A535" s="3">
        <v>46252</v>
      </c>
      <c r="B535" s="2" t="s">
        <v>17</v>
      </c>
      <c r="C535" s="4" t="s">
        <v>27</v>
      </c>
      <c r="D535" s="7" t="s">
        <v>19</v>
      </c>
      <c r="E535" s="7" t="s">
        <v>391</v>
      </c>
      <c r="F535" s="7" t="s">
        <v>392</v>
      </c>
      <c r="G535" s="7" t="s">
        <v>22</v>
      </c>
      <c r="H535" s="7"/>
      <c r="I535" s="7" t="s">
        <v>247</v>
      </c>
      <c r="J535" s="8" t="s">
        <v>24</v>
      </c>
      <c r="K535" s="7" t="s">
        <v>25</v>
      </c>
      <c r="L535" s="8">
        <v>15</v>
      </c>
      <c r="M535" s="74">
        <v>46253</v>
      </c>
      <c r="N535" s="78" t="str">
        <f t="shared" si="62"/>
        <v>Dentro do Prazo</v>
      </c>
      <c r="O535" s="57">
        <f t="shared" si="63"/>
        <v>46267</v>
      </c>
      <c r="P535" s="76" t="str">
        <f t="shared" ca="1" si="64"/>
        <v>Prazo Vencido</v>
      </c>
      <c r="Q535" s="84">
        <f t="shared" si="58"/>
        <v>1</v>
      </c>
    </row>
    <row r="536" spans="1:17" ht="13">
      <c r="A536" s="3">
        <v>46252</v>
      </c>
      <c r="B536" s="2" t="s">
        <v>17</v>
      </c>
      <c r="C536" s="4" t="s">
        <v>27</v>
      </c>
      <c r="D536" s="7" t="s">
        <v>19</v>
      </c>
      <c r="E536" s="7" t="s">
        <v>393</v>
      </c>
      <c r="F536" s="7" t="s">
        <v>394</v>
      </c>
      <c r="G536" s="7" t="s">
        <v>48</v>
      </c>
      <c r="H536" s="7"/>
      <c r="I536" s="7" t="s">
        <v>247</v>
      </c>
      <c r="J536" s="8" t="s">
        <v>24</v>
      </c>
      <c r="K536" s="7" t="s">
        <v>25</v>
      </c>
      <c r="L536" s="8">
        <v>15</v>
      </c>
      <c r="M536" s="74">
        <v>46253</v>
      </c>
      <c r="N536" s="78" t="str">
        <f t="shared" si="62"/>
        <v>Dentro do Prazo</v>
      </c>
      <c r="O536" s="57">
        <f t="shared" si="63"/>
        <v>46267</v>
      </c>
      <c r="P536" s="76" t="str">
        <f t="shared" ca="1" si="64"/>
        <v>Prazo Vencido</v>
      </c>
      <c r="Q536" s="84">
        <f t="shared" si="58"/>
        <v>1</v>
      </c>
    </row>
    <row r="537" spans="1:17" ht="13">
      <c r="A537" s="3">
        <v>46252</v>
      </c>
      <c r="B537" s="2" t="s">
        <v>17</v>
      </c>
      <c r="C537" s="4" t="s">
        <v>27</v>
      </c>
      <c r="D537" s="7" t="s">
        <v>19</v>
      </c>
      <c r="E537" s="7" t="s">
        <v>395</v>
      </c>
      <c r="F537" s="7" t="s">
        <v>396</v>
      </c>
      <c r="G537" s="7" t="s">
        <v>48</v>
      </c>
      <c r="H537" s="7"/>
      <c r="I537" s="7" t="s">
        <v>247</v>
      </c>
      <c r="J537" s="8" t="s">
        <v>24</v>
      </c>
      <c r="K537" s="7" t="s">
        <v>25</v>
      </c>
      <c r="L537" s="8">
        <v>15</v>
      </c>
      <c r="M537" s="74">
        <v>46253</v>
      </c>
      <c r="N537" s="78" t="str">
        <f t="shared" si="62"/>
        <v>Dentro do Prazo</v>
      </c>
      <c r="O537" s="57">
        <f t="shared" si="63"/>
        <v>46267</v>
      </c>
      <c r="P537" s="76" t="str">
        <f t="shared" ca="1" si="64"/>
        <v>Prazo Vencido</v>
      </c>
      <c r="Q537" s="84">
        <f t="shared" ref="Q537:Q600" si="65">IF(OR(A537="",M537=""),"",M537-A537)</f>
        <v>1</v>
      </c>
    </row>
    <row r="538" spans="1:17" ht="13">
      <c r="A538" s="3">
        <v>46252</v>
      </c>
      <c r="B538" s="2" t="s">
        <v>17</v>
      </c>
      <c r="C538" s="4" t="s">
        <v>27</v>
      </c>
      <c r="D538" s="7" t="s">
        <v>19</v>
      </c>
      <c r="E538" s="7" t="s">
        <v>397</v>
      </c>
      <c r="F538" s="7" t="s">
        <v>398</v>
      </c>
      <c r="G538" s="7" t="s">
        <v>48</v>
      </c>
      <c r="H538" s="7"/>
      <c r="I538" s="2" t="s">
        <v>166</v>
      </c>
      <c r="J538" s="8" t="s">
        <v>24</v>
      </c>
      <c r="K538" s="7" t="s">
        <v>25</v>
      </c>
      <c r="L538" s="8">
        <v>15</v>
      </c>
      <c r="M538" s="74"/>
      <c r="N538" s="78" t="str">
        <f t="shared" si="62"/>
        <v>Em Andamento</v>
      </c>
      <c r="O538" s="57">
        <f t="shared" si="63"/>
        <v>46267</v>
      </c>
      <c r="P538" s="76" t="str">
        <f t="shared" ca="1" si="64"/>
        <v>Prazo Vencido</v>
      </c>
      <c r="Q538" s="84" t="str">
        <f t="shared" si="65"/>
        <v/>
      </c>
    </row>
    <row r="539" spans="1:17" ht="13">
      <c r="A539" s="3">
        <v>46252</v>
      </c>
      <c r="B539" s="2" t="s">
        <v>17</v>
      </c>
      <c r="C539" s="4" t="s">
        <v>27</v>
      </c>
      <c r="D539" s="7" t="s">
        <v>19</v>
      </c>
      <c r="E539" s="7" t="s">
        <v>399</v>
      </c>
      <c r="F539" s="7" t="s">
        <v>400</v>
      </c>
      <c r="G539" s="7" t="s">
        <v>48</v>
      </c>
      <c r="H539" s="7"/>
      <c r="I539" s="7" t="s">
        <v>247</v>
      </c>
      <c r="J539" s="8" t="s">
        <v>24</v>
      </c>
      <c r="K539" s="7" t="s">
        <v>25</v>
      </c>
      <c r="L539" s="8">
        <v>15</v>
      </c>
      <c r="M539" s="74">
        <v>46267</v>
      </c>
      <c r="N539" s="78" t="str">
        <f t="shared" si="62"/>
        <v>Dentro do Prazo</v>
      </c>
      <c r="O539" s="57">
        <f t="shared" si="63"/>
        <v>46267</v>
      </c>
      <c r="P539" s="76" t="str">
        <f t="shared" ca="1" si="64"/>
        <v>Prazo Vencido</v>
      </c>
      <c r="Q539" s="84">
        <f t="shared" si="65"/>
        <v>15</v>
      </c>
    </row>
    <row r="540" spans="1:17" ht="13">
      <c r="A540" s="3">
        <v>46252</v>
      </c>
      <c r="B540" s="2" t="s">
        <v>26</v>
      </c>
      <c r="C540" s="4" t="s">
        <v>27</v>
      </c>
      <c r="D540" s="7" t="s">
        <v>19</v>
      </c>
      <c r="E540" s="7" t="s">
        <v>401</v>
      </c>
      <c r="F540" s="7" t="s">
        <v>402</v>
      </c>
      <c r="G540" s="7" t="s">
        <v>22</v>
      </c>
      <c r="H540" s="7"/>
      <c r="I540" s="7" t="s">
        <v>247</v>
      </c>
      <c r="J540" s="8" t="s">
        <v>24</v>
      </c>
      <c r="K540" s="7" t="s">
        <v>25</v>
      </c>
      <c r="L540" s="8">
        <v>15</v>
      </c>
      <c r="M540" s="74">
        <v>46267</v>
      </c>
      <c r="N540" s="78" t="str">
        <f t="shared" si="62"/>
        <v>Dentro do Prazo</v>
      </c>
      <c r="O540" s="57">
        <f t="shared" si="63"/>
        <v>46267</v>
      </c>
      <c r="P540" s="76" t="str">
        <f t="shared" ca="1" si="64"/>
        <v>Prazo Vencido</v>
      </c>
      <c r="Q540" s="84">
        <f t="shared" si="65"/>
        <v>15</v>
      </c>
    </row>
    <row r="541" spans="1:17" ht="13">
      <c r="A541" s="3">
        <v>46252</v>
      </c>
      <c r="B541" s="2" t="s">
        <v>31</v>
      </c>
      <c r="C541" s="4" t="s">
        <v>32</v>
      </c>
      <c r="D541" s="7" t="s">
        <v>19</v>
      </c>
      <c r="E541" s="7" t="s">
        <v>234</v>
      </c>
      <c r="F541" s="7" t="s">
        <v>403</v>
      </c>
      <c r="G541" s="7" t="s">
        <v>48</v>
      </c>
      <c r="H541" s="7"/>
      <c r="I541" s="2" t="s">
        <v>166</v>
      </c>
      <c r="J541" s="8" t="s">
        <v>24</v>
      </c>
      <c r="K541" s="7" t="s">
        <v>25</v>
      </c>
      <c r="L541" s="8">
        <v>15</v>
      </c>
      <c r="M541" s="74">
        <v>46267</v>
      </c>
      <c r="N541" s="78" t="str">
        <f t="shared" si="62"/>
        <v>Dentro do Prazo</v>
      </c>
      <c r="O541" s="57">
        <f t="shared" si="63"/>
        <v>46267</v>
      </c>
      <c r="P541" s="76" t="str">
        <f t="shared" ca="1" si="64"/>
        <v>Prazo Vencido</v>
      </c>
      <c r="Q541" s="84">
        <f t="shared" si="65"/>
        <v>15</v>
      </c>
    </row>
    <row r="542" spans="1:17" ht="13">
      <c r="A542" s="3">
        <v>46252</v>
      </c>
      <c r="B542" s="2" t="s">
        <v>404</v>
      </c>
      <c r="C542" s="4" t="s">
        <v>32</v>
      </c>
      <c r="D542" s="7" t="s">
        <v>19</v>
      </c>
      <c r="E542" s="7" t="s">
        <v>405</v>
      </c>
      <c r="F542" s="7" t="s">
        <v>406</v>
      </c>
      <c r="G542" s="7" t="s">
        <v>22</v>
      </c>
      <c r="H542" s="75">
        <v>46303</v>
      </c>
      <c r="I542" s="2" t="s">
        <v>166</v>
      </c>
      <c r="J542" s="8" t="s">
        <v>24</v>
      </c>
      <c r="K542" s="7" t="s">
        <v>25</v>
      </c>
      <c r="L542" s="8">
        <v>15</v>
      </c>
      <c r="M542" s="74">
        <v>46266</v>
      </c>
      <c r="N542" s="78" t="str">
        <f t="shared" si="62"/>
        <v>Dentro do Prazo</v>
      </c>
      <c r="O542" s="57">
        <f t="shared" si="63"/>
        <v>46267</v>
      </c>
      <c r="P542" s="76" t="str">
        <f t="shared" ca="1" si="64"/>
        <v>Prazo Vencido</v>
      </c>
      <c r="Q542" s="84">
        <f t="shared" si="65"/>
        <v>14</v>
      </c>
    </row>
    <row r="543" spans="1:17" ht="13">
      <c r="A543" s="3"/>
      <c r="B543" s="2"/>
      <c r="C543" s="4"/>
      <c r="D543" s="7"/>
      <c r="E543" s="7"/>
      <c r="F543" s="7"/>
      <c r="G543" s="7"/>
      <c r="H543" s="7"/>
      <c r="I543" s="2"/>
      <c r="J543" s="8"/>
      <c r="K543" s="5"/>
      <c r="L543" s="8"/>
      <c r="M543" s="74"/>
      <c r="N543" s="78" t="str">
        <f t="shared" si="62"/>
        <v/>
      </c>
      <c r="O543" s="57" t="str">
        <f t="shared" si="63"/>
        <v/>
      </c>
      <c r="P543" s="76" t="str">
        <f t="shared" ca="1" si="64"/>
        <v/>
      </c>
      <c r="Q543" s="84" t="str">
        <f t="shared" si="65"/>
        <v/>
      </c>
    </row>
    <row r="544" spans="1:17" ht="13">
      <c r="A544" s="3"/>
      <c r="B544" s="2"/>
      <c r="C544" s="4"/>
      <c r="D544" s="7"/>
      <c r="E544" s="7"/>
      <c r="F544" s="7"/>
      <c r="G544" s="7"/>
      <c r="H544" s="7"/>
      <c r="I544" s="2"/>
      <c r="J544" s="8"/>
      <c r="K544" s="5"/>
      <c r="L544" s="8"/>
      <c r="M544" s="74"/>
      <c r="N544" s="78" t="str">
        <f t="shared" si="62"/>
        <v/>
      </c>
      <c r="O544" s="57" t="str">
        <f t="shared" si="63"/>
        <v/>
      </c>
      <c r="P544" s="76" t="str">
        <f t="shared" ca="1" si="64"/>
        <v/>
      </c>
      <c r="Q544" s="84" t="str">
        <f t="shared" si="65"/>
        <v/>
      </c>
    </row>
    <row r="545" spans="1:17" ht="13">
      <c r="A545" s="3"/>
      <c r="B545" s="2"/>
      <c r="C545" s="4"/>
      <c r="D545" s="7"/>
      <c r="E545" s="7"/>
      <c r="F545" s="7"/>
      <c r="G545" s="7"/>
      <c r="H545" s="7"/>
      <c r="I545" s="2"/>
      <c r="J545" s="8"/>
      <c r="K545" s="5"/>
      <c r="L545" s="8"/>
      <c r="M545" s="74"/>
      <c r="N545" s="78" t="str">
        <f t="shared" si="62"/>
        <v/>
      </c>
      <c r="O545" s="57" t="str">
        <f t="shared" si="63"/>
        <v/>
      </c>
      <c r="P545" s="76" t="str">
        <f t="shared" ca="1" si="64"/>
        <v/>
      </c>
      <c r="Q545" s="84" t="str">
        <f t="shared" si="65"/>
        <v/>
      </c>
    </row>
    <row r="546" spans="1:17" ht="13">
      <c r="A546" s="3"/>
      <c r="B546" s="2"/>
      <c r="C546" s="4"/>
      <c r="D546" s="7"/>
      <c r="E546" s="7"/>
      <c r="F546" s="7"/>
      <c r="G546" s="7"/>
      <c r="H546" s="7"/>
      <c r="I546" s="2"/>
      <c r="J546" s="8"/>
      <c r="K546" s="5"/>
      <c r="L546" s="8"/>
      <c r="M546" s="74"/>
      <c r="N546" s="78" t="str">
        <f t="shared" si="62"/>
        <v/>
      </c>
      <c r="O546" s="57" t="str">
        <f t="shared" si="63"/>
        <v/>
      </c>
      <c r="P546" s="76" t="str">
        <f t="shared" ca="1" si="64"/>
        <v/>
      </c>
      <c r="Q546" s="84" t="str">
        <f t="shared" si="65"/>
        <v/>
      </c>
    </row>
    <row r="547" spans="1:17" ht="13">
      <c r="A547" s="3"/>
      <c r="B547" s="2"/>
      <c r="C547" s="4"/>
      <c r="D547" s="7"/>
      <c r="E547" s="7"/>
      <c r="F547" s="7"/>
      <c r="G547" s="7"/>
      <c r="H547" s="7"/>
      <c r="I547" s="2"/>
      <c r="J547" s="8"/>
      <c r="K547" s="5"/>
      <c r="L547" s="8"/>
      <c r="M547" s="74"/>
      <c r="N547" s="78" t="str">
        <f t="shared" si="62"/>
        <v/>
      </c>
      <c r="O547" s="57" t="str">
        <f t="shared" si="63"/>
        <v/>
      </c>
      <c r="P547" s="76" t="str">
        <f t="shared" ca="1" si="64"/>
        <v/>
      </c>
      <c r="Q547" s="84" t="str">
        <f t="shared" si="65"/>
        <v/>
      </c>
    </row>
    <row r="548" spans="1:17" ht="13">
      <c r="A548" s="3"/>
      <c r="B548" s="2"/>
      <c r="C548" s="4"/>
      <c r="D548" s="7"/>
      <c r="E548" s="7"/>
      <c r="F548" s="7"/>
      <c r="G548" s="7"/>
      <c r="H548" s="7"/>
      <c r="I548" s="2"/>
      <c r="J548" s="8"/>
      <c r="K548" s="5"/>
      <c r="L548" s="8"/>
      <c r="M548" s="74"/>
      <c r="N548" s="78" t="str">
        <f t="shared" si="62"/>
        <v/>
      </c>
      <c r="O548" s="57" t="str">
        <f t="shared" si="63"/>
        <v/>
      </c>
      <c r="P548" s="76" t="str">
        <f t="shared" ca="1" si="64"/>
        <v/>
      </c>
      <c r="Q548" s="84" t="str">
        <f t="shared" si="65"/>
        <v/>
      </c>
    </row>
    <row r="549" spans="1:17" ht="13">
      <c r="A549" s="3"/>
      <c r="B549" s="2"/>
      <c r="C549" s="4"/>
      <c r="D549" s="7"/>
      <c r="E549" s="7"/>
      <c r="F549" s="7"/>
      <c r="G549" s="7"/>
      <c r="H549" s="7"/>
      <c r="I549" s="2"/>
      <c r="J549" s="8"/>
      <c r="K549" s="5"/>
      <c r="L549" s="8"/>
      <c r="M549" s="74"/>
      <c r="N549" s="78" t="str">
        <f t="shared" si="62"/>
        <v/>
      </c>
      <c r="O549" s="57" t="str">
        <f t="shared" si="63"/>
        <v/>
      </c>
      <c r="P549" s="76" t="str">
        <f t="shared" ca="1" si="64"/>
        <v/>
      </c>
      <c r="Q549" s="84" t="str">
        <f t="shared" si="65"/>
        <v/>
      </c>
    </row>
    <row r="550" spans="1:17" ht="13">
      <c r="A550" s="3"/>
      <c r="B550" s="2"/>
      <c r="C550" s="4"/>
      <c r="D550" s="7"/>
      <c r="E550" s="7"/>
      <c r="F550" s="7"/>
      <c r="G550" s="7"/>
      <c r="H550" s="7"/>
      <c r="I550" s="2"/>
      <c r="J550" s="8"/>
      <c r="K550" s="5"/>
      <c r="L550" s="8"/>
      <c r="M550" s="74"/>
      <c r="N550" s="78" t="str">
        <f t="shared" si="62"/>
        <v/>
      </c>
      <c r="O550" s="57" t="str">
        <f t="shared" si="63"/>
        <v/>
      </c>
      <c r="P550" s="76" t="str">
        <f t="shared" ca="1" si="64"/>
        <v/>
      </c>
      <c r="Q550" s="84" t="str">
        <f t="shared" si="65"/>
        <v/>
      </c>
    </row>
    <row r="551" spans="1:17" ht="13">
      <c r="A551" s="3"/>
      <c r="B551" s="2"/>
      <c r="C551" s="4"/>
      <c r="D551" s="7"/>
      <c r="E551" s="7"/>
      <c r="F551" s="7"/>
      <c r="G551" s="7"/>
      <c r="H551" s="7"/>
      <c r="I551" s="2"/>
      <c r="J551" s="8"/>
      <c r="K551" s="5"/>
      <c r="L551" s="8"/>
      <c r="M551" s="74"/>
      <c r="N551" s="78" t="str">
        <f t="shared" si="62"/>
        <v/>
      </c>
      <c r="O551" s="57" t="str">
        <f t="shared" si="63"/>
        <v/>
      </c>
      <c r="P551" s="76" t="str">
        <f t="shared" ca="1" si="64"/>
        <v/>
      </c>
      <c r="Q551" s="84" t="str">
        <f t="shared" si="65"/>
        <v/>
      </c>
    </row>
    <row r="552" spans="1:17" ht="13">
      <c r="A552" s="3"/>
      <c r="B552" s="2"/>
      <c r="C552" s="4"/>
      <c r="D552" s="7"/>
      <c r="E552" s="7"/>
      <c r="F552" s="7"/>
      <c r="G552" s="7"/>
      <c r="H552" s="7"/>
      <c r="I552" s="2"/>
      <c r="J552" s="8"/>
      <c r="K552" s="5"/>
      <c r="L552" s="8"/>
      <c r="M552" s="74"/>
      <c r="N552" s="78" t="str">
        <f t="shared" si="62"/>
        <v/>
      </c>
      <c r="O552" s="57" t="str">
        <f t="shared" si="63"/>
        <v/>
      </c>
      <c r="P552" s="76" t="str">
        <f t="shared" ca="1" si="64"/>
        <v/>
      </c>
      <c r="Q552" s="84" t="str">
        <f t="shared" si="65"/>
        <v/>
      </c>
    </row>
    <row r="553" spans="1:17" ht="13">
      <c r="A553" s="3"/>
      <c r="B553" s="2"/>
      <c r="C553" s="4"/>
      <c r="D553" s="7"/>
      <c r="E553" s="7"/>
      <c r="F553" s="7"/>
      <c r="G553" s="7"/>
      <c r="H553" s="7"/>
      <c r="I553" s="2"/>
      <c r="J553" s="8"/>
      <c r="K553" s="5"/>
      <c r="L553" s="8"/>
      <c r="M553" s="74"/>
      <c r="N553" s="78" t="str">
        <f t="shared" si="62"/>
        <v/>
      </c>
      <c r="O553" s="57" t="str">
        <f t="shared" si="63"/>
        <v/>
      </c>
      <c r="P553" s="76" t="str">
        <f t="shared" ca="1" si="64"/>
        <v/>
      </c>
      <c r="Q553" s="84" t="str">
        <f t="shared" si="65"/>
        <v/>
      </c>
    </row>
    <row r="554" spans="1:17" ht="13">
      <c r="A554" s="3"/>
      <c r="B554" s="2"/>
      <c r="C554" s="4"/>
      <c r="D554" s="7"/>
      <c r="E554" s="7"/>
      <c r="F554" s="7"/>
      <c r="G554" s="7"/>
      <c r="H554" s="7"/>
      <c r="I554" s="2"/>
      <c r="J554" s="8"/>
      <c r="K554" s="5"/>
      <c r="L554" s="8"/>
      <c r="M554" s="74"/>
      <c r="N554" s="78" t="str">
        <f t="shared" si="62"/>
        <v/>
      </c>
      <c r="O554" s="57" t="str">
        <f t="shared" si="63"/>
        <v/>
      </c>
      <c r="P554" s="76" t="str">
        <f t="shared" ca="1" si="64"/>
        <v/>
      </c>
      <c r="Q554" s="84" t="str">
        <f t="shared" si="65"/>
        <v/>
      </c>
    </row>
    <row r="555" spans="1:17" ht="13">
      <c r="A555" s="3"/>
      <c r="B555" s="2"/>
      <c r="C555" s="4"/>
      <c r="D555" s="7"/>
      <c r="E555" s="7"/>
      <c r="F555" s="7"/>
      <c r="G555" s="7"/>
      <c r="H555" s="7"/>
      <c r="I555" s="2"/>
      <c r="J555" s="8"/>
      <c r="K555" s="5"/>
      <c r="L555" s="8"/>
      <c r="M555" s="74"/>
      <c r="N555" s="78" t="str">
        <f t="shared" si="62"/>
        <v/>
      </c>
      <c r="O555" s="57" t="str">
        <f t="shared" si="63"/>
        <v/>
      </c>
      <c r="P555" s="76" t="str">
        <f t="shared" ca="1" si="64"/>
        <v/>
      </c>
      <c r="Q555" s="84" t="str">
        <f t="shared" si="65"/>
        <v/>
      </c>
    </row>
    <row r="556" spans="1:17" ht="13">
      <c r="A556" s="3"/>
      <c r="B556" s="2"/>
      <c r="C556" s="4"/>
      <c r="D556" s="7"/>
      <c r="E556" s="7"/>
      <c r="F556" s="7"/>
      <c r="G556" s="7"/>
      <c r="H556" s="7"/>
      <c r="I556" s="2"/>
      <c r="J556" s="8"/>
      <c r="K556" s="5"/>
      <c r="L556" s="8"/>
      <c r="M556" s="74"/>
      <c r="N556" s="78" t="str">
        <f t="shared" si="62"/>
        <v/>
      </c>
      <c r="O556" s="57" t="str">
        <f t="shared" si="63"/>
        <v/>
      </c>
      <c r="P556" s="76" t="str">
        <f t="shared" ca="1" si="64"/>
        <v/>
      </c>
      <c r="Q556" s="84" t="str">
        <f t="shared" si="65"/>
        <v/>
      </c>
    </row>
    <row r="557" spans="1:17" ht="13">
      <c r="A557" s="3"/>
      <c r="B557" s="2"/>
      <c r="C557" s="4"/>
      <c r="D557" s="7"/>
      <c r="E557" s="7"/>
      <c r="F557" s="7"/>
      <c r="G557" s="7"/>
      <c r="H557" s="7"/>
      <c r="I557" s="2"/>
      <c r="J557" s="8"/>
      <c r="K557" s="5"/>
      <c r="L557" s="8"/>
      <c r="M557" s="74"/>
      <c r="N557" s="78" t="str">
        <f t="shared" si="62"/>
        <v/>
      </c>
      <c r="O557" s="57" t="str">
        <f t="shared" si="63"/>
        <v/>
      </c>
      <c r="P557" s="76" t="str">
        <f t="shared" ca="1" si="64"/>
        <v/>
      </c>
      <c r="Q557" s="84" t="str">
        <f t="shared" si="65"/>
        <v/>
      </c>
    </row>
    <row r="558" spans="1:17" ht="13">
      <c r="A558" s="3"/>
      <c r="B558" s="2"/>
      <c r="C558" s="4"/>
      <c r="D558" s="7"/>
      <c r="E558" s="7"/>
      <c r="F558" s="7"/>
      <c r="G558" s="7"/>
      <c r="H558" s="7"/>
      <c r="I558" s="2"/>
      <c r="J558" s="8"/>
      <c r="K558" s="5"/>
      <c r="L558" s="8"/>
      <c r="M558" s="74"/>
      <c r="N558" s="78" t="str">
        <f t="shared" si="62"/>
        <v/>
      </c>
      <c r="O558" s="57" t="str">
        <f t="shared" si="63"/>
        <v/>
      </c>
      <c r="P558" s="76" t="str">
        <f t="shared" ca="1" si="64"/>
        <v/>
      </c>
      <c r="Q558" s="84" t="str">
        <f t="shared" si="65"/>
        <v/>
      </c>
    </row>
    <row r="559" spans="1:17" ht="13">
      <c r="A559" s="3"/>
      <c r="B559" s="2"/>
      <c r="C559" s="4"/>
      <c r="D559" s="7"/>
      <c r="E559" s="7"/>
      <c r="F559" s="7"/>
      <c r="G559" s="7"/>
      <c r="H559" s="7"/>
      <c r="I559" s="2"/>
      <c r="J559" s="8"/>
      <c r="K559" s="5"/>
      <c r="L559" s="8"/>
      <c r="M559" s="74"/>
      <c r="N559" s="78" t="str">
        <f t="shared" si="62"/>
        <v/>
      </c>
      <c r="O559" s="57" t="str">
        <f t="shared" si="63"/>
        <v/>
      </c>
      <c r="P559" s="76" t="str">
        <f t="shared" ca="1" si="64"/>
        <v/>
      </c>
      <c r="Q559" s="84" t="str">
        <f t="shared" si="65"/>
        <v/>
      </c>
    </row>
    <row r="560" spans="1:17" ht="13">
      <c r="A560" s="3"/>
      <c r="B560" s="2"/>
      <c r="C560" s="4"/>
      <c r="D560" s="7"/>
      <c r="E560" s="7"/>
      <c r="F560" s="7"/>
      <c r="G560" s="7"/>
      <c r="H560" s="7"/>
      <c r="I560" s="2"/>
      <c r="J560" s="8"/>
      <c r="K560" s="5"/>
      <c r="L560" s="8"/>
      <c r="M560" s="74"/>
      <c r="N560" s="78" t="str">
        <f t="shared" si="62"/>
        <v/>
      </c>
      <c r="O560" s="57" t="str">
        <f t="shared" si="63"/>
        <v/>
      </c>
      <c r="P560" s="76" t="str">
        <f t="shared" ca="1" si="64"/>
        <v/>
      </c>
      <c r="Q560" s="84" t="str">
        <f t="shared" si="65"/>
        <v/>
      </c>
    </row>
    <row r="561" spans="1:17" ht="13">
      <c r="A561" s="3"/>
      <c r="B561" s="2"/>
      <c r="C561" s="4"/>
      <c r="D561" s="7"/>
      <c r="E561" s="7"/>
      <c r="F561" s="7"/>
      <c r="G561" s="7"/>
      <c r="H561" s="7"/>
      <c r="I561" s="2"/>
      <c r="J561" s="8"/>
      <c r="K561" s="5"/>
      <c r="L561" s="8"/>
      <c r="M561" s="74"/>
      <c r="N561" s="78" t="str">
        <f t="shared" si="62"/>
        <v>Em Andamento</v>
      </c>
      <c r="O561" s="57" t="str">
        <f t="shared" si="63"/>
        <v/>
      </c>
      <c r="P561" s="76" t="str">
        <f t="shared" ca="1" si="64"/>
        <v/>
      </c>
      <c r="Q561" s="84" t="str">
        <f t="shared" si="65"/>
        <v/>
      </c>
    </row>
    <row r="562" spans="1:17" ht="13">
      <c r="A562" s="3"/>
      <c r="B562" s="2"/>
      <c r="C562" s="4"/>
      <c r="D562" s="7"/>
      <c r="E562" s="7"/>
      <c r="F562" s="7"/>
      <c r="G562" s="7"/>
      <c r="H562" s="7"/>
      <c r="I562" s="2"/>
      <c r="J562" s="8"/>
      <c r="K562" s="5"/>
      <c r="L562" s="8"/>
      <c r="M562" s="74"/>
      <c r="N562" s="78" t="str">
        <f t="shared" si="62"/>
        <v>Em Andamento</v>
      </c>
      <c r="O562" s="57" t="str">
        <f t="shared" si="63"/>
        <v/>
      </c>
      <c r="P562" s="76" t="str">
        <f t="shared" ca="1" si="64"/>
        <v/>
      </c>
      <c r="Q562" s="84" t="str">
        <f t="shared" si="65"/>
        <v/>
      </c>
    </row>
    <row r="563" spans="1:17" ht="13">
      <c r="A563" s="3"/>
      <c r="B563" s="2"/>
      <c r="C563" s="4"/>
      <c r="D563" s="7"/>
      <c r="E563" s="7"/>
      <c r="F563" s="7"/>
      <c r="G563" s="7"/>
      <c r="H563" s="7"/>
      <c r="I563" s="2"/>
      <c r="J563" s="8"/>
      <c r="K563" s="5"/>
      <c r="L563" s="8"/>
      <c r="M563" s="74"/>
      <c r="N563" s="78" t="str">
        <f t="shared" si="62"/>
        <v>Em Andamento</v>
      </c>
      <c r="O563" s="57" t="str">
        <f t="shared" si="63"/>
        <v/>
      </c>
      <c r="P563" s="76" t="str">
        <f t="shared" ca="1" si="64"/>
        <v/>
      </c>
      <c r="Q563" s="84" t="str">
        <f t="shared" si="65"/>
        <v/>
      </c>
    </row>
    <row r="564" spans="1:17" ht="13">
      <c r="A564" s="3"/>
      <c r="B564" s="2"/>
      <c r="C564" s="4"/>
      <c r="D564" s="7"/>
      <c r="E564" s="7"/>
      <c r="F564" s="7"/>
      <c r="G564" s="7"/>
      <c r="H564" s="7"/>
      <c r="I564" s="2"/>
      <c r="J564" s="8"/>
      <c r="K564" s="5"/>
      <c r="L564" s="8"/>
      <c r="M564" s="74"/>
      <c r="N564" s="78" t="str">
        <f t="shared" si="62"/>
        <v>Em Andamento</v>
      </c>
      <c r="O564" s="57" t="str">
        <f t="shared" si="63"/>
        <v/>
      </c>
      <c r="P564" s="76" t="str">
        <f t="shared" ca="1" si="64"/>
        <v/>
      </c>
      <c r="Q564" s="84" t="str">
        <f t="shared" si="65"/>
        <v/>
      </c>
    </row>
    <row r="565" spans="1:17" ht="13">
      <c r="A565" s="3"/>
      <c r="B565" s="2"/>
      <c r="C565" s="4"/>
      <c r="D565" s="7"/>
      <c r="E565" s="7"/>
      <c r="F565" s="7"/>
      <c r="G565" s="7"/>
      <c r="H565" s="7"/>
      <c r="I565" s="2"/>
      <c r="J565" s="8"/>
      <c r="K565" s="5"/>
      <c r="L565" s="8"/>
      <c r="M565" s="74"/>
      <c r="N565" s="78" t="str">
        <f t="shared" si="62"/>
        <v/>
      </c>
      <c r="O565" s="57" t="str">
        <f t="shared" si="63"/>
        <v/>
      </c>
      <c r="P565" s="76" t="str">
        <f t="shared" ca="1" si="64"/>
        <v/>
      </c>
      <c r="Q565" s="84" t="str">
        <f t="shared" si="65"/>
        <v/>
      </c>
    </row>
    <row r="566" spans="1:17" ht="13">
      <c r="A566" s="3"/>
      <c r="B566" s="2"/>
      <c r="C566" s="4"/>
      <c r="D566" s="7"/>
      <c r="E566" s="7"/>
      <c r="F566" s="7"/>
      <c r="G566" s="7"/>
      <c r="H566" s="7"/>
      <c r="I566" s="2"/>
      <c r="J566" s="8"/>
      <c r="K566" s="5"/>
      <c r="L566" s="8"/>
      <c r="M566" s="74"/>
      <c r="N566" s="78" t="e">
        <f>IF(AND(A566="",#REF!=""),"",IF(Q566="","Em Andamento",IF(M566&lt;=O566,"Dentro do Prazo","Fora do Prazo")))</f>
        <v>#REF!</v>
      </c>
      <c r="O566" s="57" t="str">
        <f t="shared" si="63"/>
        <v/>
      </c>
      <c r="P566" s="76" t="str">
        <f t="shared" ca="1" si="64"/>
        <v/>
      </c>
      <c r="Q566" s="84" t="str">
        <f t="shared" si="65"/>
        <v/>
      </c>
    </row>
    <row r="567" spans="1:17" ht="13">
      <c r="A567" s="3"/>
      <c r="B567" s="2"/>
      <c r="C567" s="4"/>
      <c r="D567" s="7"/>
      <c r="E567" s="7"/>
      <c r="F567" s="7"/>
      <c r="G567" s="7"/>
      <c r="H567" s="7"/>
      <c r="I567" s="2"/>
      <c r="J567" s="8"/>
      <c r="K567" s="5"/>
      <c r="L567" s="8"/>
      <c r="M567" s="74"/>
      <c r="N567" s="78" t="str">
        <f t="shared" ref="N567:N598" si="66">IF(AND(A567="",K803=""),"",IF(Q567="","Em Andamento",IF(M567&lt;=O567,"Dentro do Prazo","Fora do Prazo")))</f>
        <v>Em Andamento</v>
      </c>
      <c r="O567" s="57" t="str">
        <f t="shared" si="63"/>
        <v/>
      </c>
      <c r="P567" s="76" t="str">
        <f t="shared" ca="1" si="64"/>
        <v/>
      </c>
      <c r="Q567" s="84" t="str">
        <f t="shared" si="65"/>
        <v/>
      </c>
    </row>
    <row r="568" spans="1:17" ht="13">
      <c r="A568" s="3"/>
      <c r="B568" s="2"/>
      <c r="C568" s="4"/>
      <c r="D568" s="7"/>
      <c r="E568" s="7"/>
      <c r="F568" s="7"/>
      <c r="G568" s="7"/>
      <c r="H568" s="7"/>
      <c r="I568" s="2"/>
      <c r="J568" s="8"/>
      <c r="K568" s="5"/>
      <c r="L568" s="8"/>
      <c r="M568" s="74"/>
      <c r="N568" s="78" t="str">
        <f t="shared" si="66"/>
        <v>Em Andamento</v>
      </c>
      <c r="O568" s="57" t="str">
        <f t="shared" si="63"/>
        <v/>
      </c>
      <c r="P568" s="76" t="str">
        <f t="shared" ca="1" si="64"/>
        <v/>
      </c>
      <c r="Q568" s="84" t="str">
        <f t="shared" si="65"/>
        <v/>
      </c>
    </row>
    <row r="569" spans="1:17" ht="13">
      <c r="A569" s="3"/>
      <c r="B569" s="2"/>
      <c r="C569" s="4"/>
      <c r="D569" s="7"/>
      <c r="E569" s="7"/>
      <c r="F569" s="7"/>
      <c r="G569" s="7"/>
      <c r="H569" s="7"/>
      <c r="I569" s="2"/>
      <c r="J569" s="8"/>
      <c r="K569" s="5"/>
      <c r="L569" s="8"/>
      <c r="M569" s="74"/>
      <c r="N569" s="78" t="str">
        <f t="shared" si="66"/>
        <v>Em Andamento</v>
      </c>
      <c r="O569" s="57" t="str">
        <f t="shared" si="63"/>
        <v/>
      </c>
      <c r="P569" s="76" t="str">
        <f t="shared" ca="1" si="64"/>
        <v/>
      </c>
      <c r="Q569" s="84" t="str">
        <f t="shared" si="65"/>
        <v/>
      </c>
    </row>
    <row r="570" spans="1:17" ht="13">
      <c r="A570" s="3"/>
      <c r="B570" s="2"/>
      <c r="C570" s="4"/>
      <c r="D570" s="7"/>
      <c r="E570" s="7"/>
      <c r="F570" s="7"/>
      <c r="G570" s="7"/>
      <c r="H570" s="7"/>
      <c r="I570" s="2"/>
      <c r="J570" s="8"/>
      <c r="K570" s="5"/>
      <c r="L570" s="8"/>
      <c r="M570" s="74"/>
      <c r="N570" s="78" t="str">
        <f t="shared" si="66"/>
        <v>Em Andamento</v>
      </c>
      <c r="O570" s="57" t="str">
        <f t="shared" si="63"/>
        <v/>
      </c>
      <c r="P570" s="76" t="str">
        <f t="shared" ca="1" si="64"/>
        <v/>
      </c>
      <c r="Q570" s="84" t="str">
        <f t="shared" si="65"/>
        <v/>
      </c>
    </row>
    <row r="571" spans="1:17" ht="13">
      <c r="A571" s="3"/>
      <c r="B571" s="2"/>
      <c r="C571" s="4"/>
      <c r="D571" s="7"/>
      <c r="E571" s="7"/>
      <c r="F571" s="7"/>
      <c r="G571" s="7"/>
      <c r="H571" s="7"/>
      <c r="I571" s="2"/>
      <c r="J571" s="8"/>
      <c r="K571" s="5"/>
      <c r="L571" s="8"/>
      <c r="M571" s="74"/>
      <c r="N571" s="78" t="str">
        <f t="shared" si="66"/>
        <v>Em Andamento</v>
      </c>
      <c r="O571" s="57" t="str">
        <f t="shared" si="63"/>
        <v/>
      </c>
      <c r="P571" s="76" t="str">
        <f t="shared" ca="1" si="64"/>
        <v/>
      </c>
      <c r="Q571" s="84" t="str">
        <f t="shared" si="65"/>
        <v/>
      </c>
    </row>
    <row r="572" spans="1:17" ht="13">
      <c r="A572" s="3"/>
      <c r="B572" s="2"/>
      <c r="C572" s="4"/>
      <c r="D572" s="7"/>
      <c r="E572" s="7"/>
      <c r="F572" s="7"/>
      <c r="G572" s="7"/>
      <c r="H572" s="7"/>
      <c r="I572" s="2"/>
      <c r="J572" s="8"/>
      <c r="K572" s="5"/>
      <c r="L572" s="8"/>
      <c r="M572" s="74"/>
      <c r="N572" s="78" t="str">
        <f t="shared" si="66"/>
        <v>Em Andamento</v>
      </c>
      <c r="O572" s="57" t="str">
        <f t="shared" si="63"/>
        <v/>
      </c>
      <c r="P572" s="76" t="str">
        <f t="shared" ca="1" si="64"/>
        <v/>
      </c>
      <c r="Q572" s="84" t="str">
        <f t="shared" si="65"/>
        <v/>
      </c>
    </row>
    <row r="573" spans="1:17" ht="13">
      <c r="A573" s="3"/>
      <c r="B573" s="2"/>
      <c r="C573" s="4"/>
      <c r="D573" s="7"/>
      <c r="E573" s="7"/>
      <c r="F573" s="7"/>
      <c r="G573" s="7"/>
      <c r="H573" s="7"/>
      <c r="I573" s="2"/>
      <c r="J573" s="8"/>
      <c r="K573" s="5"/>
      <c r="L573" s="8"/>
      <c r="M573" s="74"/>
      <c r="N573" s="78" t="str">
        <f t="shared" si="66"/>
        <v>Em Andamento</v>
      </c>
      <c r="O573" s="57" t="str">
        <f t="shared" si="63"/>
        <v/>
      </c>
      <c r="P573" s="76" t="str">
        <f t="shared" ca="1" si="64"/>
        <v/>
      </c>
      <c r="Q573" s="84" t="str">
        <f t="shared" si="65"/>
        <v/>
      </c>
    </row>
    <row r="574" spans="1:17" ht="13">
      <c r="A574" s="3"/>
      <c r="B574" s="2"/>
      <c r="C574" s="4"/>
      <c r="D574" s="7"/>
      <c r="E574" s="7"/>
      <c r="F574" s="7"/>
      <c r="G574" s="7"/>
      <c r="H574" s="7"/>
      <c r="I574" s="2"/>
      <c r="J574" s="8"/>
      <c r="K574" s="5"/>
      <c r="L574" s="8"/>
      <c r="M574" s="74"/>
      <c r="N574" s="78" t="str">
        <f t="shared" si="66"/>
        <v>Em Andamento</v>
      </c>
      <c r="O574" s="57" t="str">
        <f t="shared" si="63"/>
        <v/>
      </c>
      <c r="P574" s="76" t="str">
        <f t="shared" ca="1" si="64"/>
        <v/>
      </c>
      <c r="Q574" s="84" t="str">
        <f t="shared" si="65"/>
        <v/>
      </c>
    </row>
    <row r="575" spans="1:17" ht="13">
      <c r="A575" s="3"/>
      <c r="B575" s="2"/>
      <c r="C575" s="4"/>
      <c r="D575" s="7"/>
      <c r="E575" s="7"/>
      <c r="F575" s="7"/>
      <c r="G575" s="7"/>
      <c r="H575" s="7"/>
      <c r="I575" s="2"/>
      <c r="J575" s="8"/>
      <c r="K575" s="5"/>
      <c r="L575" s="8"/>
      <c r="M575" s="74"/>
      <c r="N575" s="78" t="str">
        <f t="shared" si="66"/>
        <v>Em Andamento</v>
      </c>
      <c r="O575" s="57" t="str">
        <f t="shared" si="63"/>
        <v/>
      </c>
      <c r="P575" s="76" t="str">
        <f t="shared" ca="1" si="64"/>
        <v/>
      </c>
      <c r="Q575" s="84" t="str">
        <f t="shared" si="65"/>
        <v/>
      </c>
    </row>
    <row r="576" spans="1:17" ht="13">
      <c r="A576" s="3"/>
      <c r="B576" s="2"/>
      <c r="C576" s="4"/>
      <c r="D576" s="7"/>
      <c r="E576" s="7"/>
      <c r="F576" s="7"/>
      <c r="G576" s="7"/>
      <c r="H576" s="7"/>
      <c r="I576" s="2"/>
      <c r="J576" s="8"/>
      <c r="K576" s="5"/>
      <c r="L576" s="8"/>
      <c r="M576" s="74"/>
      <c r="N576" s="78" t="str">
        <f t="shared" si="66"/>
        <v/>
      </c>
      <c r="O576" s="57" t="str">
        <f t="shared" si="63"/>
        <v/>
      </c>
      <c r="P576" s="76" t="str">
        <f t="shared" ca="1" si="64"/>
        <v/>
      </c>
      <c r="Q576" s="84" t="str">
        <f t="shared" si="65"/>
        <v/>
      </c>
    </row>
    <row r="577" spans="1:17" ht="13">
      <c r="A577" s="3"/>
      <c r="B577" s="2"/>
      <c r="C577" s="4"/>
      <c r="D577" s="7"/>
      <c r="E577" s="7"/>
      <c r="F577" s="7"/>
      <c r="G577" s="7"/>
      <c r="H577" s="7"/>
      <c r="I577" s="2"/>
      <c r="J577" s="8"/>
      <c r="K577" s="5"/>
      <c r="L577" s="8"/>
      <c r="M577" s="74"/>
      <c r="N577" s="78" t="str">
        <f t="shared" si="66"/>
        <v/>
      </c>
      <c r="O577" s="57" t="str">
        <f t="shared" si="63"/>
        <v/>
      </c>
      <c r="P577" s="76" t="str">
        <f t="shared" ca="1" si="64"/>
        <v/>
      </c>
      <c r="Q577" s="84" t="str">
        <f t="shared" si="65"/>
        <v/>
      </c>
    </row>
    <row r="578" spans="1:17" ht="13">
      <c r="A578" s="3"/>
      <c r="B578" s="2"/>
      <c r="C578" s="4"/>
      <c r="D578" s="7"/>
      <c r="E578" s="7"/>
      <c r="F578" s="7"/>
      <c r="G578" s="7"/>
      <c r="H578" s="7"/>
      <c r="I578" s="2"/>
      <c r="J578" s="8"/>
      <c r="K578" s="5"/>
      <c r="L578" s="8"/>
      <c r="M578" s="74"/>
      <c r="N578" s="78" t="str">
        <f t="shared" si="66"/>
        <v/>
      </c>
      <c r="O578" s="57" t="str">
        <f t="shared" si="63"/>
        <v/>
      </c>
      <c r="P578" s="76" t="str">
        <f t="shared" ca="1" si="64"/>
        <v/>
      </c>
      <c r="Q578" s="84" t="str">
        <f t="shared" si="65"/>
        <v/>
      </c>
    </row>
    <row r="579" spans="1:17" ht="13">
      <c r="A579" s="3"/>
      <c r="B579" s="2"/>
      <c r="C579" s="4"/>
      <c r="D579" s="7"/>
      <c r="E579" s="7"/>
      <c r="F579" s="7"/>
      <c r="G579" s="7"/>
      <c r="H579" s="7"/>
      <c r="I579" s="2"/>
      <c r="J579" s="8"/>
      <c r="K579" s="5"/>
      <c r="L579" s="8"/>
      <c r="M579" s="74"/>
      <c r="N579" s="78" t="str">
        <f t="shared" si="66"/>
        <v/>
      </c>
      <c r="O579" s="57" t="str">
        <f t="shared" si="63"/>
        <v/>
      </c>
      <c r="P579" s="76" t="str">
        <f t="shared" ca="1" si="64"/>
        <v/>
      </c>
      <c r="Q579" s="84" t="str">
        <f t="shared" si="65"/>
        <v/>
      </c>
    </row>
    <row r="580" spans="1:17" ht="13">
      <c r="A580" s="3"/>
      <c r="B580" s="2"/>
      <c r="C580" s="4"/>
      <c r="D580" s="7"/>
      <c r="E580" s="7"/>
      <c r="F580" s="7"/>
      <c r="G580" s="7"/>
      <c r="H580" s="7"/>
      <c r="I580" s="2"/>
      <c r="J580" s="8"/>
      <c r="K580" s="5"/>
      <c r="L580" s="8"/>
      <c r="M580" s="74"/>
      <c r="N580" s="78" t="str">
        <f t="shared" si="66"/>
        <v/>
      </c>
      <c r="O580" s="57" t="str">
        <f t="shared" si="63"/>
        <v/>
      </c>
      <c r="P580" s="76" t="str">
        <f t="shared" ca="1" si="64"/>
        <v/>
      </c>
      <c r="Q580" s="84" t="str">
        <f t="shared" si="65"/>
        <v/>
      </c>
    </row>
    <row r="581" spans="1:17" ht="13">
      <c r="A581" s="3"/>
      <c r="B581" s="2"/>
      <c r="C581" s="4"/>
      <c r="D581" s="7"/>
      <c r="E581" s="7"/>
      <c r="F581" s="7"/>
      <c r="G581" s="7"/>
      <c r="H581" s="7"/>
      <c r="I581" s="2"/>
      <c r="J581" s="8"/>
      <c r="K581" s="5"/>
      <c r="L581" s="8"/>
      <c r="M581" s="74"/>
      <c r="N581" s="78" t="str">
        <f t="shared" si="66"/>
        <v/>
      </c>
      <c r="O581" s="57" t="str">
        <f t="shared" si="63"/>
        <v/>
      </c>
      <c r="P581" s="76" t="str">
        <f t="shared" ca="1" si="64"/>
        <v/>
      </c>
      <c r="Q581" s="84" t="str">
        <f t="shared" si="65"/>
        <v/>
      </c>
    </row>
    <row r="582" spans="1:17" ht="13">
      <c r="A582" s="3"/>
      <c r="B582" s="2"/>
      <c r="C582" s="4"/>
      <c r="D582" s="7"/>
      <c r="E582" s="7"/>
      <c r="F582" s="7"/>
      <c r="G582" s="7"/>
      <c r="H582" s="7"/>
      <c r="I582" s="2"/>
      <c r="J582" s="8"/>
      <c r="K582" s="5"/>
      <c r="L582" s="8"/>
      <c r="M582" s="74"/>
      <c r="N582" s="78" t="str">
        <f t="shared" si="66"/>
        <v/>
      </c>
      <c r="O582" s="57" t="str">
        <f t="shared" si="63"/>
        <v/>
      </c>
      <c r="P582" s="76" t="str">
        <f t="shared" ca="1" si="64"/>
        <v/>
      </c>
      <c r="Q582" s="84" t="str">
        <f t="shared" si="65"/>
        <v/>
      </c>
    </row>
    <row r="583" spans="1:17" ht="13">
      <c r="A583" s="3"/>
      <c r="B583" s="2"/>
      <c r="C583" s="4"/>
      <c r="D583" s="7"/>
      <c r="E583" s="7"/>
      <c r="F583" s="7"/>
      <c r="G583" s="7"/>
      <c r="H583" s="7"/>
      <c r="I583" s="2"/>
      <c r="J583" s="8"/>
      <c r="K583" s="5"/>
      <c r="L583" s="8"/>
      <c r="M583" s="74"/>
      <c r="N583" s="78" t="str">
        <f t="shared" si="66"/>
        <v/>
      </c>
      <c r="O583" s="57" t="str">
        <f t="shared" si="63"/>
        <v/>
      </c>
      <c r="P583" s="76" t="str">
        <f t="shared" ca="1" si="64"/>
        <v/>
      </c>
      <c r="Q583" s="84" t="str">
        <f t="shared" si="65"/>
        <v/>
      </c>
    </row>
    <row r="584" spans="1:17" ht="13">
      <c r="A584" s="3"/>
      <c r="B584" s="2"/>
      <c r="C584" s="4"/>
      <c r="D584" s="7"/>
      <c r="E584" s="7"/>
      <c r="F584" s="7"/>
      <c r="G584" s="7"/>
      <c r="H584" s="7"/>
      <c r="I584" s="2"/>
      <c r="J584" s="8"/>
      <c r="K584" s="5"/>
      <c r="L584" s="8"/>
      <c r="M584" s="74"/>
      <c r="N584" s="78" t="str">
        <f t="shared" si="66"/>
        <v/>
      </c>
      <c r="O584" s="57" t="str">
        <f t="shared" si="63"/>
        <v/>
      </c>
      <c r="P584" s="76" t="str">
        <f t="shared" ca="1" si="64"/>
        <v/>
      </c>
      <c r="Q584" s="84" t="str">
        <f t="shared" si="65"/>
        <v/>
      </c>
    </row>
    <row r="585" spans="1:17" ht="13">
      <c r="A585" s="3"/>
      <c r="B585" s="2"/>
      <c r="C585" s="4"/>
      <c r="D585" s="7"/>
      <c r="E585" s="7"/>
      <c r="F585" s="7"/>
      <c r="G585" s="7"/>
      <c r="H585" s="7"/>
      <c r="I585" s="2"/>
      <c r="J585" s="8"/>
      <c r="K585" s="5"/>
      <c r="L585" s="8"/>
      <c r="M585" s="74"/>
      <c r="N585" s="78" t="str">
        <f t="shared" si="66"/>
        <v/>
      </c>
      <c r="O585" s="57" t="str">
        <f t="shared" si="63"/>
        <v/>
      </c>
      <c r="P585" s="76" t="str">
        <f t="shared" ca="1" si="64"/>
        <v/>
      </c>
      <c r="Q585" s="84" t="str">
        <f t="shared" si="65"/>
        <v/>
      </c>
    </row>
    <row r="586" spans="1:17" ht="13">
      <c r="A586" s="3"/>
      <c r="B586" s="2"/>
      <c r="C586" s="4"/>
      <c r="D586" s="7"/>
      <c r="E586" s="7"/>
      <c r="F586" s="7"/>
      <c r="G586" s="7"/>
      <c r="H586" s="7"/>
      <c r="I586" s="2"/>
      <c r="J586" s="8"/>
      <c r="K586" s="5"/>
      <c r="L586" s="8"/>
      <c r="M586" s="74"/>
      <c r="N586" s="78" t="str">
        <f t="shared" si="66"/>
        <v/>
      </c>
      <c r="O586" s="57" t="str">
        <f t="shared" si="63"/>
        <v/>
      </c>
      <c r="P586" s="76" t="str">
        <f t="shared" ca="1" si="64"/>
        <v/>
      </c>
      <c r="Q586" s="84" t="str">
        <f t="shared" si="65"/>
        <v/>
      </c>
    </row>
    <row r="587" spans="1:17" ht="13">
      <c r="A587" s="3"/>
      <c r="B587" s="2"/>
      <c r="C587" s="4"/>
      <c r="D587" s="7"/>
      <c r="E587" s="7"/>
      <c r="F587" s="7"/>
      <c r="G587" s="7"/>
      <c r="H587" s="7"/>
      <c r="I587" s="2"/>
      <c r="J587" s="8"/>
      <c r="K587" s="5"/>
      <c r="L587" s="8"/>
      <c r="M587" s="74"/>
      <c r="N587" s="78" t="str">
        <f t="shared" si="66"/>
        <v/>
      </c>
      <c r="O587" s="57" t="str">
        <f t="shared" si="63"/>
        <v/>
      </c>
      <c r="P587" s="76" t="str">
        <f t="shared" ca="1" si="64"/>
        <v/>
      </c>
      <c r="Q587" s="84" t="str">
        <f t="shared" si="65"/>
        <v/>
      </c>
    </row>
    <row r="588" spans="1:17" ht="13">
      <c r="A588" s="3"/>
      <c r="B588" s="2"/>
      <c r="C588" s="4"/>
      <c r="D588" s="7"/>
      <c r="E588" s="7"/>
      <c r="F588" s="7"/>
      <c r="G588" s="7"/>
      <c r="H588" s="7"/>
      <c r="I588" s="2"/>
      <c r="J588" s="8"/>
      <c r="K588" s="5"/>
      <c r="L588" s="8"/>
      <c r="M588" s="74"/>
      <c r="N588" s="78" t="str">
        <f t="shared" si="66"/>
        <v/>
      </c>
      <c r="O588" s="57" t="str">
        <f t="shared" si="63"/>
        <v/>
      </c>
      <c r="P588" s="76" t="str">
        <f t="shared" ca="1" si="64"/>
        <v/>
      </c>
      <c r="Q588" s="84" t="str">
        <f t="shared" si="65"/>
        <v/>
      </c>
    </row>
    <row r="589" spans="1:17" ht="13">
      <c r="A589" s="3"/>
      <c r="B589" s="2"/>
      <c r="C589" s="4"/>
      <c r="D589" s="7"/>
      <c r="E589" s="7"/>
      <c r="F589" s="7"/>
      <c r="G589" s="7"/>
      <c r="H589" s="7"/>
      <c r="I589" s="2"/>
      <c r="J589" s="8"/>
      <c r="K589" s="5"/>
      <c r="L589" s="8"/>
      <c r="M589" s="74"/>
      <c r="N589" s="78" t="str">
        <f t="shared" si="66"/>
        <v>Em Andamento</v>
      </c>
      <c r="O589" s="57" t="str">
        <f t="shared" si="63"/>
        <v/>
      </c>
      <c r="P589" s="76" t="str">
        <f t="shared" ca="1" si="64"/>
        <v/>
      </c>
      <c r="Q589" s="84" t="str">
        <f t="shared" si="65"/>
        <v/>
      </c>
    </row>
    <row r="590" spans="1:17" ht="13">
      <c r="A590" s="3"/>
      <c r="B590" s="2"/>
      <c r="C590" s="4"/>
      <c r="D590" s="7"/>
      <c r="E590" s="7"/>
      <c r="F590" s="7"/>
      <c r="G590" s="7"/>
      <c r="H590" s="7"/>
      <c r="I590" s="2"/>
      <c r="J590" s="8"/>
      <c r="K590" s="5"/>
      <c r="L590" s="8"/>
      <c r="M590" s="74"/>
      <c r="N590" s="78" t="str">
        <f t="shared" si="66"/>
        <v>Em Andamento</v>
      </c>
      <c r="O590" s="57" t="str">
        <f t="shared" si="63"/>
        <v/>
      </c>
      <c r="P590" s="76" t="str">
        <f t="shared" ca="1" si="64"/>
        <v/>
      </c>
      <c r="Q590" s="84" t="str">
        <f t="shared" si="65"/>
        <v/>
      </c>
    </row>
    <row r="591" spans="1:17" ht="13">
      <c r="A591" s="3"/>
      <c r="B591" s="2"/>
      <c r="C591" s="4"/>
      <c r="D591" s="7"/>
      <c r="E591" s="7"/>
      <c r="F591" s="7"/>
      <c r="G591" s="7"/>
      <c r="H591" s="7"/>
      <c r="I591" s="2"/>
      <c r="J591" s="8"/>
      <c r="K591" s="5"/>
      <c r="L591" s="8"/>
      <c r="M591" s="74"/>
      <c r="N591" s="78" t="str">
        <f t="shared" si="66"/>
        <v>Em Andamento</v>
      </c>
      <c r="O591" s="57" t="str">
        <f t="shared" si="63"/>
        <v/>
      </c>
      <c r="P591" s="76" t="str">
        <f t="shared" ca="1" si="64"/>
        <v/>
      </c>
      <c r="Q591" s="84" t="str">
        <f t="shared" si="65"/>
        <v/>
      </c>
    </row>
    <row r="592" spans="1:17" ht="13">
      <c r="A592" s="3"/>
      <c r="B592" s="2"/>
      <c r="C592" s="4"/>
      <c r="D592" s="7"/>
      <c r="E592" s="7"/>
      <c r="F592" s="7"/>
      <c r="G592" s="7"/>
      <c r="H592" s="7"/>
      <c r="I592" s="2"/>
      <c r="J592" s="8"/>
      <c r="K592" s="5"/>
      <c r="L592" s="8"/>
      <c r="M592" s="74"/>
      <c r="N592" s="78" t="str">
        <f t="shared" si="66"/>
        <v>Em Andamento</v>
      </c>
      <c r="O592" s="57" t="str">
        <f t="shared" si="63"/>
        <v/>
      </c>
      <c r="P592" s="76" t="str">
        <f t="shared" ca="1" si="64"/>
        <v/>
      </c>
      <c r="Q592" s="84" t="str">
        <f t="shared" si="65"/>
        <v/>
      </c>
    </row>
    <row r="593" spans="1:17" ht="13">
      <c r="A593" s="3"/>
      <c r="B593" s="2"/>
      <c r="C593" s="4"/>
      <c r="D593" s="7"/>
      <c r="E593" s="7"/>
      <c r="F593" s="7"/>
      <c r="G593" s="7"/>
      <c r="H593" s="7"/>
      <c r="I593" s="2"/>
      <c r="J593" s="8"/>
      <c r="K593" s="5"/>
      <c r="L593" s="8"/>
      <c r="M593" s="74"/>
      <c r="N593" s="78" t="str">
        <f t="shared" si="66"/>
        <v>Em Andamento</v>
      </c>
      <c r="O593" s="57" t="str">
        <f t="shared" si="63"/>
        <v/>
      </c>
      <c r="P593" s="76" t="str">
        <f t="shared" ca="1" si="64"/>
        <v/>
      </c>
      <c r="Q593" s="84" t="str">
        <f t="shared" si="65"/>
        <v/>
      </c>
    </row>
    <row r="594" spans="1:17" ht="13">
      <c r="A594" s="3"/>
      <c r="B594" s="2"/>
      <c r="C594" s="4"/>
      <c r="D594" s="7"/>
      <c r="E594" s="7"/>
      <c r="F594" s="7"/>
      <c r="G594" s="7"/>
      <c r="H594" s="7"/>
      <c r="I594" s="2"/>
      <c r="J594" s="8"/>
      <c r="K594" s="5"/>
      <c r="L594" s="8"/>
      <c r="M594" s="74"/>
      <c r="N594" s="78" t="str">
        <f t="shared" si="66"/>
        <v>Em Andamento</v>
      </c>
      <c r="O594" s="57" t="str">
        <f t="shared" si="63"/>
        <v/>
      </c>
      <c r="P594" s="76" t="str">
        <f t="shared" ca="1" si="64"/>
        <v/>
      </c>
      <c r="Q594" s="84" t="str">
        <f t="shared" si="65"/>
        <v/>
      </c>
    </row>
    <row r="595" spans="1:17" ht="13">
      <c r="A595" s="3"/>
      <c r="B595" s="2"/>
      <c r="C595" s="4"/>
      <c r="D595" s="7"/>
      <c r="E595" s="7"/>
      <c r="F595" s="7"/>
      <c r="G595" s="7"/>
      <c r="H595" s="7"/>
      <c r="I595" s="2"/>
      <c r="J595" s="8"/>
      <c r="K595" s="5"/>
      <c r="L595" s="8"/>
      <c r="M595" s="74"/>
      <c r="N595" s="78" t="str">
        <f t="shared" si="66"/>
        <v>Em Andamento</v>
      </c>
      <c r="O595" s="57" t="str">
        <f t="shared" si="63"/>
        <v/>
      </c>
      <c r="P595" s="76" t="str">
        <f t="shared" ca="1" si="64"/>
        <v/>
      </c>
      <c r="Q595" s="84" t="str">
        <f t="shared" si="65"/>
        <v/>
      </c>
    </row>
    <row r="596" spans="1:17" ht="13">
      <c r="A596" s="3"/>
      <c r="B596" s="2"/>
      <c r="C596" s="4"/>
      <c r="D596" s="7"/>
      <c r="E596" s="7"/>
      <c r="F596" s="7"/>
      <c r="G596" s="7"/>
      <c r="H596" s="7"/>
      <c r="I596" s="2"/>
      <c r="J596" s="8"/>
      <c r="K596" s="5"/>
      <c r="L596" s="8"/>
      <c r="M596" s="74"/>
      <c r="N596" s="78" t="str">
        <f t="shared" si="66"/>
        <v>Em Andamento</v>
      </c>
      <c r="O596" s="57" t="str">
        <f t="shared" si="63"/>
        <v/>
      </c>
      <c r="P596" s="76" t="str">
        <f t="shared" ca="1" si="64"/>
        <v/>
      </c>
      <c r="Q596" s="84" t="str">
        <f t="shared" si="65"/>
        <v/>
      </c>
    </row>
    <row r="597" spans="1:17" ht="13">
      <c r="A597" s="3"/>
      <c r="B597" s="2"/>
      <c r="C597" s="4"/>
      <c r="D597" s="7"/>
      <c r="E597" s="7"/>
      <c r="F597" s="7"/>
      <c r="G597" s="7"/>
      <c r="H597" s="7"/>
      <c r="I597" s="2"/>
      <c r="J597" s="8"/>
      <c r="K597" s="5"/>
      <c r="L597" s="8"/>
      <c r="M597" s="74"/>
      <c r="N597" s="78" t="str">
        <f t="shared" si="66"/>
        <v>Em Andamento</v>
      </c>
      <c r="O597" s="57" t="str">
        <f t="shared" ref="O597:O624" si="67">IF(OR(A597="",L597=""),"",A597+L597)</f>
        <v/>
      </c>
      <c r="P597" s="76" t="str">
        <f t="shared" ref="P597:P628" ca="1" si="68">IF(O597="","",IF(O597-TODAY()=0,"Vence Hoje!",IF(O597-TODAY()&gt;=0,O597-TODAY()&amp;" Dia(s) para vencer","Prazo Vencido")))</f>
        <v/>
      </c>
      <c r="Q597" s="84" t="str">
        <f t="shared" si="65"/>
        <v/>
      </c>
    </row>
    <row r="598" spans="1:17" ht="13">
      <c r="A598" s="3"/>
      <c r="B598" s="2"/>
      <c r="C598" s="4"/>
      <c r="D598" s="7"/>
      <c r="E598" s="7"/>
      <c r="F598" s="7"/>
      <c r="G598" s="7"/>
      <c r="H598" s="7"/>
      <c r="I598" s="2"/>
      <c r="J598" s="8"/>
      <c r="K598" s="5"/>
      <c r="L598" s="8"/>
      <c r="M598" s="74"/>
      <c r="N598" s="78" t="str">
        <f t="shared" si="66"/>
        <v>Em Andamento</v>
      </c>
      <c r="O598" s="57" t="str">
        <f t="shared" si="67"/>
        <v/>
      </c>
      <c r="P598" s="76" t="str">
        <f t="shared" ca="1" si="68"/>
        <v/>
      </c>
      <c r="Q598" s="84" t="str">
        <f t="shared" si="65"/>
        <v/>
      </c>
    </row>
    <row r="599" spans="1:17" ht="13">
      <c r="A599" s="3"/>
      <c r="B599" s="2"/>
      <c r="C599" s="4"/>
      <c r="D599" s="7"/>
      <c r="E599" s="7"/>
      <c r="F599" s="7"/>
      <c r="G599" s="7"/>
      <c r="H599" s="7"/>
      <c r="I599" s="2"/>
      <c r="J599" s="8"/>
      <c r="K599" s="5"/>
      <c r="L599" s="8"/>
      <c r="M599" s="74"/>
      <c r="N599" s="78" t="str">
        <f t="shared" ref="N599:N630" si="69">IF(AND(A599="",K835=""),"",IF(Q599="","Em Andamento",IF(M599&lt;=O599,"Dentro do Prazo","Fora do Prazo")))</f>
        <v>Em Andamento</v>
      </c>
      <c r="O599" s="57" t="str">
        <f t="shared" si="67"/>
        <v/>
      </c>
      <c r="P599" s="76" t="str">
        <f t="shared" ca="1" si="68"/>
        <v/>
      </c>
      <c r="Q599" s="84" t="str">
        <f t="shared" si="65"/>
        <v/>
      </c>
    </row>
    <row r="600" spans="1:17" ht="13">
      <c r="A600" s="3"/>
      <c r="B600" s="2"/>
      <c r="C600" s="4"/>
      <c r="D600" s="7"/>
      <c r="E600" s="7"/>
      <c r="F600" s="7"/>
      <c r="G600" s="7"/>
      <c r="H600" s="7"/>
      <c r="I600" s="2"/>
      <c r="J600" s="8"/>
      <c r="K600" s="5"/>
      <c r="L600" s="8"/>
      <c r="M600" s="74"/>
      <c r="N600" s="78" t="str">
        <f t="shared" si="69"/>
        <v>Em Andamento</v>
      </c>
      <c r="O600" s="57" t="str">
        <f t="shared" si="67"/>
        <v/>
      </c>
      <c r="P600" s="76" t="str">
        <f t="shared" ca="1" si="68"/>
        <v/>
      </c>
      <c r="Q600" s="84" t="str">
        <f t="shared" si="65"/>
        <v/>
      </c>
    </row>
    <row r="601" spans="1:17" ht="13">
      <c r="A601" s="3"/>
      <c r="B601" s="2"/>
      <c r="C601" s="4"/>
      <c r="D601" s="7"/>
      <c r="E601" s="7"/>
      <c r="F601" s="7"/>
      <c r="G601" s="7"/>
      <c r="H601" s="7"/>
      <c r="I601" s="2"/>
      <c r="J601" s="8"/>
      <c r="K601" s="5"/>
      <c r="L601" s="8"/>
      <c r="M601" s="74"/>
      <c r="N601" s="78" t="str">
        <f t="shared" si="69"/>
        <v>Em Andamento</v>
      </c>
      <c r="O601" s="57" t="str">
        <f t="shared" si="67"/>
        <v/>
      </c>
      <c r="P601" s="76" t="str">
        <f t="shared" ca="1" si="68"/>
        <v/>
      </c>
      <c r="Q601" s="84" t="str">
        <f t="shared" ref="Q601:Q663" si="70">IF(OR(A601="",M601=""),"",M601-A601)</f>
        <v/>
      </c>
    </row>
    <row r="602" spans="1:17" ht="13">
      <c r="A602" s="3"/>
      <c r="B602" s="2"/>
      <c r="C602" s="4"/>
      <c r="D602" s="7"/>
      <c r="E602" s="7"/>
      <c r="F602" s="7"/>
      <c r="G602" s="7"/>
      <c r="H602" s="7"/>
      <c r="I602" s="2"/>
      <c r="J602" s="8"/>
      <c r="K602" s="5"/>
      <c r="L602" s="8"/>
      <c r="M602" s="74"/>
      <c r="N602" s="78" t="str">
        <f t="shared" si="69"/>
        <v>Em Andamento</v>
      </c>
      <c r="O602" s="57" t="str">
        <f t="shared" si="67"/>
        <v/>
      </c>
      <c r="P602" s="76" t="str">
        <f t="shared" ca="1" si="68"/>
        <v/>
      </c>
      <c r="Q602" s="84" t="str">
        <f t="shared" si="70"/>
        <v/>
      </c>
    </row>
    <row r="603" spans="1:17" ht="13">
      <c r="A603" s="3"/>
      <c r="B603" s="2"/>
      <c r="C603" s="4"/>
      <c r="D603" s="7"/>
      <c r="E603" s="7"/>
      <c r="F603" s="7"/>
      <c r="G603" s="7"/>
      <c r="H603" s="7"/>
      <c r="I603" s="2"/>
      <c r="J603" s="8"/>
      <c r="K603" s="5"/>
      <c r="L603" s="8"/>
      <c r="M603" s="74"/>
      <c r="N603" s="78" t="str">
        <f t="shared" si="69"/>
        <v>Em Andamento</v>
      </c>
      <c r="O603" s="57" t="str">
        <f t="shared" si="67"/>
        <v/>
      </c>
      <c r="P603" s="76" t="str">
        <f t="shared" ca="1" si="68"/>
        <v/>
      </c>
      <c r="Q603" s="84" t="str">
        <f t="shared" si="70"/>
        <v/>
      </c>
    </row>
    <row r="604" spans="1:17" ht="13">
      <c r="A604" s="3"/>
      <c r="B604" s="2"/>
      <c r="C604" s="4"/>
      <c r="D604" s="7"/>
      <c r="E604" s="7"/>
      <c r="F604" s="7"/>
      <c r="G604" s="7"/>
      <c r="H604" s="7"/>
      <c r="I604" s="2"/>
      <c r="J604" s="8"/>
      <c r="K604" s="5"/>
      <c r="L604" s="8"/>
      <c r="M604" s="74"/>
      <c r="N604" s="78" t="str">
        <f t="shared" si="69"/>
        <v>Em Andamento</v>
      </c>
      <c r="O604" s="57" t="str">
        <f t="shared" si="67"/>
        <v/>
      </c>
      <c r="P604" s="76" t="str">
        <f t="shared" ca="1" si="68"/>
        <v/>
      </c>
      <c r="Q604" s="84" t="str">
        <f t="shared" si="70"/>
        <v/>
      </c>
    </row>
    <row r="605" spans="1:17" ht="13">
      <c r="A605" s="3"/>
      <c r="B605" s="2"/>
      <c r="C605" s="4"/>
      <c r="D605" s="7"/>
      <c r="E605" s="7"/>
      <c r="F605" s="7"/>
      <c r="G605" s="7"/>
      <c r="H605" s="7"/>
      <c r="I605" s="2"/>
      <c r="J605" s="8"/>
      <c r="K605" s="5"/>
      <c r="L605" s="8"/>
      <c r="M605" s="74"/>
      <c r="N605" s="78" t="str">
        <f t="shared" si="69"/>
        <v>Em Andamento</v>
      </c>
      <c r="O605" s="57" t="str">
        <f t="shared" si="67"/>
        <v/>
      </c>
      <c r="P605" s="76" t="str">
        <f t="shared" ca="1" si="68"/>
        <v/>
      </c>
      <c r="Q605" s="84" t="str">
        <f t="shared" si="70"/>
        <v/>
      </c>
    </row>
    <row r="606" spans="1:17" ht="13">
      <c r="A606" s="3"/>
      <c r="B606" s="2"/>
      <c r="C606" s="4"/>
      <c r="D606" s="7"/>
      <c r="E606" s="7"/>
      <c r="F606" s="7"/>
      <c r="G606" s="7"/>
      <c r="H606" s="7"/>
      <c r="I606" s="2"/>
      <c r="J606" s="8"/>
      <c r="K606" s="5"/>
      <c r="L606" s="8"/>
      <c r="M606" s="74"/>
      <c r="N606" s="78" t="str">
        <f t="shared" si="69"/>
        <v>Em Andamento</v>
      </c>
      <c r="O606" s="57" t="str">
        <f t="shared" si="67"/>
        <v/>
      </c>
      <c r="P606" s="76" t="str">
        <f t="shared" ca="1" si="68"/>
        <v/>
      </c>
      <c r="Q606" s="84" t="str">
        <f t="shared" si="70"/>
        <v/>
      </c>
    </row>
    <row r="607" spans="1:17" ht="13">
      <c r="A607" s="3"/>
      <c r="B607" s="2"/>
      <c r="C607" s="4"/>
      <c r="D607" s="7"/>
      <c r="E607" s="7"/>
      <c r="F607" s="7"/>
      <c r="G607" s="7"/>
      <c r="H607" s="7"/>
      <c r="I607" s="2"/>
      <c r="J607" s="8"/>
      <c r="K607" s="5"/>
      <c r="L607" s="8"/>
      <c r="M607" s="74"/>
      <c r="N607" s="78" t="str">
        <f t="shared" si="69"/>
        <v>Em Andamento</v>
      </c>
      <c r="O607" s="57" t="str">
        <f t="shared" si="67"/>
        <v/>
      </c>
      <c r="P607" s="76" t="str">
        <f t="shared" ca="1" si="68"/>
        <v/>
      </c>
      <c r="Q607" s="84" t="str">
        <f t="shared" si="70"/>
        <v/>
      </c>
    </row>
    <row r="608" spans="1:17" ht="13">
      <c r="A608" s="3"/>
      <c r="B608" s="2"/>
      <c r="C608" s="4"/>
      <c r="D608" s="7"/>
      <c r="E608" s="7"/>
      <c r="F608" s="7"/>
      <c r="G608" s="7"/>
      <c r="H608" s="7"/>
      <c r="I608" s="2"/>
      <c r="J608" s="8"/>
      <c r="K608" s="5"/>
      <c r="L608" s="8"/>
      <c r="M608" s="74"/>
      <c r="N608" s="78" t="str">
        <f t="shared" si="69"/>
        <v>Em Andamento</v>
      </c>
      <c r="O608" s="57" t="str">
        <f t="shared" si="67"/>
        <v/>
      </c>
      <c r="P608" s="76" t="str">
        <f t="shared" ca="1" si="68"/>
        <v/>
      </c>
      <c r="Q608" s="84" t="str">
        <f t="shared" si="70"/>
        <v/>
      </c>
    </row>
    <row r="609" spans="1:17" ht="13">
      <c r="A609" s="3"/>
      <c r="B609" s="2"/>
      <c r="C609" s="4"/>
      <c r="D609" s="7"/>
      <c r="E609" s="7"/>
      <c r="F609" s="7"/>
      <c r="G609" s="7"/>
      <c r="H609" s="7"/>
      <c r="I609" s="2"/>
      <c r="J609" s="8"/>
      <c r="K609" s="5"/>
      <c r="L609" s="8"/>
      <c r="M609" s="74"/>
      <c r="N609" s="78" t="str">
        <f t="shared" si="69"/>
        <v>Em Andamento</v>
      </c>
      <c r="O609" s="57" t="str">
        <f t="shared" si="67"/>
        <v/>
      </c>
      <c r="P609" s="76" t="str">
        <f t="shared" ca="1" si="68"/>
        <v/>
      </c>
      <c r="Q609" s="84" t="str">
        <f t="shared" si="70"/>
        <v/>
      </c>
    </row>
    <row r="610" spans="1:17" ht="13">
      <c r="A610" s="3"/>
      <c r="B610" s="2"/>
      <c r="C610" s="4"/>
      <c r="D610" s="7"/>
      <c r="E610" s="7"/>
      <c r="F610" s="7"/>
      <c r="G610" s="7"/>
      <c r="H610" s="7"/>
      <c r="I610" s="2"/>
      <c r="J610" s="8"/>
      <c r="K610" s="5"/>
      <c r="L610" s="8"/>
      <c r="M610" s="74"/>
      <c r="N610" s="78" t="str">
        <f t="shared" si="69"/>
        <v>Em Andamento</v>
      </c>
      <c r="O610" s="57" t="str">
        <f t="shared" si="67"/>
        <v/>
      </c>
      <c r="P610" s="76" t="str">
        <f t="shared" ca="1" si="68"/>
        <v/>
      </c>
      <c r="Q610" s="84" t="str">
        <f t="shared" si="70"/>
        <v/>
      </c>
    </row>
    <row r="611" spans="1:17" ht="13">
      <c r="A611" s="3"/>
      <c r="B611" s="2"/>
      <c r="C611" s="4"/>
      <c r="D611" s="7"/>
      <c r="E611" s="7"/>
      <c r="F611" s="7"/>
      <c r="G611" s="7"/>
      <c r="H611" s="7"/>
      <c r="I611" s="2"/>
      <c r="J611" s="8"/>
      <c r="K611" s="5"/>
      <c r="L611" s="8"/>
      <c r="M611" s="74"/>
      <c r="N611" s="78" t="str">
        <f t="shared" si="69"/>
        <v>Em Andamento</v>
      </c>
      <c r="O611" s="57" t="str">
        <f t="shared" si="67"/>
        <v/>
      </c>
      <c r="P611" s="76" t="str">
        <f t="shared" ca="1" si="68"/>
        <v/>
      </c>
      <c r="Q611" s="84" t="str">
        <f t="shared" si="70"/>
        <v/>
      </c>
    </row>
    <row r="612" spans="1:17" ht="13">
      <c r="A612" s="3"/>
      <c r="B612" s="2"/>
      <c r="C612" s="4"/>
      <c r="D612" s="7"/>
      <c r="E612" s="7"/>
      <c r="F612" s="7"/>
      <c r="G612" s="7"/>
      <c r="H612" s="7"/>
      <c r="I612" s="2"/>
      <c r="J612" s="8"/>
      <c r="K612" s="5"/>
      <c r="L612" s="8"/>
      <c r="M612" s="74"/>
      <c r="N612" s="78" t="str">
        <f t="shared" si="69"/>
        <v>Em Andamento</v>
      </c>
      <c r="O612" s="57" t="str">
        <f t="shared" si="67"/>
        <v/>
      </c>
      <c r="P612" s="76" t="str">
        <f t="shared" ca="1" si="68"/>
        <v/>
      </c>
      <c r="Q612" s="84" t="str">
        <f t="shared" si="70"/>
        <v/>
      </c>
    </row>
    <row r="613" spans="1:17" ht="13">
      <c r="A613" s="3"/>
      <c r="B613" s="2"/>
      <c r="C613" s="4"/>
      <c r="D613" s="7"/>
      <c r="E613" s="7"/>
      <c r="F613" s="7"/>
      <c r="G613" s="7"/>
      <c r="H613" s="7"/>
      <c r="I613" s="2"/>
      <c r="J613" s="8"/>
      <c r="K613" s="5"/>
      <c r="L613" s="8"/>
      <c r="M613" s="74"/>
      <c r="N613" s="78" t="str">
        <f t="shared" si="69"/>
        <v>Em Andamento</v>
      </c>
      <c r="O613" s="57" t="str">
        <f t="shared" si="67"/>
        <v/>
      </c>
      <c r="P613" s="76" t="str">
        <f t="shared" ca="1" si="68"/>
        <v/>
      </c>
      <c r="Q613" s="84" t="str">
        <f t="shared" si="70"/>
        <v/>
      </c>
    </row>
    <row r="614" spans="1:17" ht="13">
      <c r="A614" s="3"/>
      <c r="B614" s="2"/>
      <c r="C614" s="4"/>
      <c r="D614" s="7"/>
      <c r="E614" s="7"/>
      <c r="F614" s="7"/>
      <c r="G614" s="7"/>
      <c r="H614" s="7"/>
      <c r="I614" s="2"/>
      <c r="J614" s="8"/>
      <c r="K614" s="5"/>
      <c r="L614" s="8"/>
      <c r="M614" s="74"/>
      <c r="N614" s="78" t="str">
        <f t="shared" si="69"/>
        <v>Em Andamento</v>
      </c>
      <c r="O614" s="57" t="str">
        <f t="shared" si="67"/>
        <v/>
      </c>
      <c r="P614" s="76" t="str">
        <f t="shared" ca="1" si="68"/>
        <v/>
      </c>
      <c r="Q614" s="84" t="str">
        <f t="shared" si="70"/>
        <v/>
      </c>
    </row>
    <row r="615" spans="1:17" ht="13">
      <c r="A615" s="3"/>
      <c r="B615" s="2"/>
      <c r="C615" s="4"/>
      <c r="D615" s="7"/>
      <c r="E615" s="7"/>
      <c r="F615" s="7"/>
      <c r="G615" s="7"/>
      <c r="H615" s="7"/>
      <c r="I615" s="2"/>
      <c r="J615" s="8"/>
      <c r="K615" s="5"/>
      <c r="L615" s="8"/>
      <c r="M615" s="74"/>
      <c r="N615" s="78" t="str">
        <f t="shared" si="69"/>
        <v>Em Andamento</v>
      </c>
      <c r="O615" s="57" t="str">
        <f t="shared" si="67"/>
        <v/>
      </c>
      <c r="P615" s="76" t="str">
        <f t="shared" ca="1" si="68"/>
        <v/>
      </c>
      <c r="Q615" s="84" t="str">
        <f t="shared" si="70"/>
        <v/>
      </c>
    </row>
    <row r="616" spans="1:17" ht="13">
      <c r="A616" s="3"/>
      <c r="B616" s="2"/>
      <c r="C616" s="4"/>
      <c r="D616" s="7"/>
      <c r="E616" s="7"/>
      <c r="F616" s="7"/>
      <c r="G616" s="7"/>
      <c r="H616" s="7"/>
      <c r="I616" s="2"/>
      <c r="J616" s="8"/>
      <c r="K616" s="5"/>
      <c r="L616" s="8"/>
      <c r="M616" s="74"/>
      <c r="N616" s="78" t="str">
        <f t="shared" si="69"/>
        <v>Em Andamento</v>
      </c>
      <c r="O616" s="57" t="str">
        <f t="shared" si="67"/>
        <v/>
      </c>
      <c r="P616" s="76" t="str">
        <f t="shared" ca="1" si="68"/>
        <v/>
      </c>
      <c r="Q616" s="84" t="str">
        <f t="shared" si="70"/>
        <v/>
      </c>
    </row>
    <row r="617" spans="1:17" ht="13">
      <c r="A617" s="3"/>
      <c r="B617" s="2"/>
      <c r="C617" s="4"/>
      <c r="D617" s="7"/>
      <c r="E617" s="7"/>
      <c r="F617" s="7"/>
      <c r="G617" s="7"/>
      <c r="H617" s="7"/>
      <c r="I617" s="2"/>
      <c r="J617" s="8"/>
      <c r="K617" s="5"/>
      <c r="L617" s="8"/>
      <c r="M617" s="74"/>
      <c r="N617" s="78" t="str">
        <f t="shared" si="69"/>
        <v>Em Andamento</v>
      </c>
      <c r="O617" s="57" t="str">
        <f t="shared" si="67"/>
        <v/>
      </c>
      <c r="P617" s="76" t="str">
        <f t="shared" ca="1" si="68"/>
        <v/>
      </c>
      <c r="Q617" s="84" t="str">
        <f t="shared" si="70"/>
        <v/>
      </c>
    </row>
    <row r="618" spans="1:17" ht="13">
      <c r="A618" s="3"/>
      <c r="B618" s="2"/>
      <c r="C618" s="4"/>
      <c r="D618" s="7"/>
      <c r="E618" s="7"/>
      <c r="F618" s="7"/>
      <c r="G618" s="7"/>
      <c r="H618" s="7"/>
      <c r="I618" s="2"/>
      <c r="J618" s="8"/>
      <c r="K618" s="5"/>
      <c r="L618" s="8"/>
      <c r="M618" s="74"/>
      <c r="N618" s="78" t="str">
        <f t="shared" si="69"/>
        <v>Em Andamento</v>
      </c>
      <c r="O618" s="57" t="str">
        <f t="shared" si="67"/>
        <v/>
      </c>
      <c r="P618" s="76" t="str">
        <f t="shared" ca="1" si="68"/>
        <v/>
      </c>
      <c r="Q618" s="84" t="str">
        <f t="shared" si="70"/>
        <v/>
      </c>
    </row>
    <row r="619" spans="1:17" ht="13">
      <c r="A619" s="3"/>
      <c r="B619" s="2"/>
      <c r="C619" s="4"/>
      <c r="D619" s="7"/>
      <c r="E619" s="7"/>
      <c r="F619" s="7"/>
      <c r="G619" s="7"/>
      <c r="H619" s="7"/>
      <c r="I619" s="2"/>
      <c r="J619" s="8"/>
      <c r="K619" s="5"/>
      <c r="L619" s="8"/>
      <c r="M619" s="74"/>
      <c r="N619" s="78" t="str">
        <f t="shared" si="69"/>
        <v>Em Andamento</v>
      </c>
      <c r="O619" s="57" t="str">
        <f t="shared" si="67"/>
        <v/>
      </c>
      <c r="P619" s="76" t="str">
        <f t="shared" ca="1" si="68"/>
        <v/>
      </c>
      <c r="Q619" s="84" t="str">
        <f t="shared" si="70"/>
        <v/>
      </c>
    </row>
    <row r="620" spans="1:17" ht="13">
      <c r="A620" s="3"/>
      <c r="B620" s="2"/>
      <c r="C620" s="4"/>
      <c r="D620" s="7"/>
      <c r="E620" s="7"/>
      <c r="F620" s="7"/>
      <c r="G620" s="7"/>
      <c r="H620" s="7"/>
      <c r="I620" s="2"/>
      <c r="J620" s="8"/>
      <c r="K620" s="5"/>
      <c r="L620" s="8"/>
      <c r="M620" s="74"/>
      <c r="N620" s="78" t="str">
        <f t="shared" si="69"/>
        <v>Em Andamento</v>
      </c>
      <c r="O620" s="57" t="str">
        <f t="shared" si="67"/>
        <v/>
      </c>
      <c r="P620" s="76" t="str">
        <f t="shared" ca="1" si="68"/>
        <v/>
      </c>
      <c r="Q620" s="84" t="str">
        <f t="shared" si="70"/>
        <v/>
      </c>
    </row>
    <row r="621" spans="1:17" ht="13">
      <c r="A621" s="3"/>
      <c r="B621" s="2"/>
      <c r="C621" s="4"/>
      <c r="D621" s="7"/>
      <c r="E621" s="7"/>
      <c r="F621" s="7"/>
      <c r="G621" s="7"/>
      <c r="H621" s="7"/>
      <c r="I621" s="2"/>
      <c r="J621" s="8"/>
      <c r="K621" s="5"/>
      <c r="L621" s="8"/>
      <c r="M621" s="74"/>
      <c r="N621" s="8"/>
      <c r="O621" s="57" t="str">
        <f t="shared" si="67"/>
        <v/>
      </c>
      <c r="P621" s="76" t="str">
        <f t="shared" ca="1" si="68"/>
        <v/>
      </c>
      <c r="Q621" s="84" t="str">
        <f t="shared" si="70"/>
        <v/>
      </c>
    </row>
    <row r="622" spans="1:17" ht="13">
      <c r="A622" s="3"/>
      <c r="B622" s="2"/>
      <c r="C622" s="4"/>
      <c r="D622" s="7"/>
      <c r="E622" s="7"/>
      <c r="F622" s="7"/>
      <c r="G622" s="7"/>
      <c r="H622" s="7"/>
      <c r="I622" s="2"/>
      <c r="J622" s="8"/>
      <c r="K622" s="5"/>
      <c r="L622" s="8"/>
      <c r="M622" s="74"/>
      <c r="N622" s="8"/>
      <c r="O622" s="57" t="str">
        <f t="shared" si="67"/>
        <v/>
      </c>
      <c r="P622" s="76" t="str">
        <f t="shared" ca="1" si="68"/>
        <v/>
      </c>
      <c r="Q622" s="84" t="str">
        <f t="shared" si="70"/>
        <v/>
      </c>
    </row>
    <row r="623" spans="1:17" ht="13">
      <c r="A623" s="3"/>
      <c r="B623" s="2"/>
      <c r="C623" s="4"/>
      <c r="D623" s="7"/>
      <c r="E623" s="7"/>
      <c r="F623" s="7"/>
      <c r="G623" s="7"/>
      <c r="H623" s="7"/>
      <c r="I623" s="2"/>
      <c r="J623" s="8"/>
      <c r="K623" s="5"/>
      <c r="L623" s="8"/>
      <c r="M623" s="74"/>
      <c r="N623" s="8"/>
      <c r="O623" s="57" t="str">
        <f t="shared" si="67"/>
        <v/>
      </c>
      <c r="P623" s="76" t="str">
        <f t="shared" ca="1" si="68"/>
        <v/>
      </c>
      <c r="Q623" s="84" t="str">
        <f t="shared" si="70"/>
        <v/>
      </c>
    </row>
    <row r="624" spans="1:17" ht="13">
      <c r="A624" s="3"/>
      <c r="B624" s="2"/>
      <c r="C624" s="4"/>
      <c r="D624" s="7"/>
      <c r="E624" s="7"/>
      <c r="F624" s="7"/>
      <c r="G624" s="7"/>
      <c r="H624" s="7"/>
      <c r="I624" s="2"/>
      <c r="J624" s="8"/>
      <c r="K624" s="5"/>
      <c r="L624" s="8"/>
      <c r="M624" s="74"/>
      <c r="N624" s="8"/>
      <c r="O624" s="57" t="str">
        <f t="shared" si="67"/>
        <v/>
      </c>
      <c r="P624" s="76" t="str">
        <f t="shared" ca="1" si="68"/>
        <v/>
      </c>
      <c r="Q624" s="84" t="str">
        <f t="shared" si="70"/>
        <v/>
      </c>
    </row>
    <row r="625" spans="1:17" ht="13">
      <c r="A625" s="3"/>
      <c r="B625" s="2"/>
      <c r="C625" s="4"/>
      <c r="D625" s="7"/>
      <c r="E625" s="7"/>
      <c r="F625" s="7"/>
      <c r="G625" s="7"/>
      <c r="H625" s="7"/>
      <c r="I625" s="2"/>
      <c r="J625" s="8"/>
      <c r="K625" s="5"/>
      <c r="L625" s="8"/>
      <c r="M625" s="74"/>
      <c r="N625" s="8"/>
      <c r="O625" s="10"/>
      <c r="P625" s="76" t="str">
        <f t="shared" ca="1" si="68"/>
        <v/>
      </c>
      <c r="Q625" s="84" t="str">
        <f t="shared" si="70"/>
        <v/>
      </c>
    </row>
    <row r="626" spans="1:17" ht="13">
      <c r="A626" s="3"/>
      <c r="B626" s="2"/>
      <c r="C626" s="4"/>
      <c r="D626" s="7"/>
      <c r="E626" s="7"/>
      <c r="F626" s="7"/>
      <c r="G626" s="7"/>
      <c r="H626" s="7"/>
      <c r="I626" s="2"/>
      <c r="J626" s="8"/>
      <c r="K626" s="5"/>
      <c r="L626" s="8"/>
      <c r="M626" s="74"/>
      <c r="N626" s="8"/>
      <c r="O626" s="10"/>
      <c r="P626" s="76" t="str">
        <f t="shared" ca="1" si="68"/>
        <v/>
      </c>
      <c r="Q626" s="84" t="str">
        <f t="shared" si="70"/>
        <v/>
      </c>
    </row>
    <row r="627" spans="1:17" ht="13">
      <c r="A627" s="3"/>
      <c r="B627" s="2"/>
      <c r="C627" s="4"/>
      <c r="D627" s="7"/>
      <c r="E627" s="7"/>
      <c r="F627" s="7"/>
      <c r="G627" s="7"/>
      <c r="H627" s="7"/>
      <c r="I627" s="2"/>
      <c r="J627" s="8"/>
      <c r="K627" s="5"/>
      <c r="L627" s="8"/>
      <c r="M627" s="74"/>
      <c r="N627" s="8"/>
      <c r="O627" s="10"/>
      <c r="P627" s="76" t="str">
        <f t="shared" ca="1" si="68"/>
        <v/>
      </c>
      <c r="Q627" s="84" t="str">
        <f t="shared" si="70"/>
        <v/>
      </c>
    </row>
    <row r="628" spans="1:17" ht="13">
      <c r="A628" s="3"/>
      <c r="B628" s="2"/>
      <c r="C628" s="4"/>
      <c r="D628" s="7"/>
      <c r="E628" s="7"/>
      <c r="F628" s="7"/>
      <c r="G628" s="7"/>
      <c r="H628" s="7"/>
      <c r="I628" s="2"/>
      <c r="J628" s="8"/>
      <c r="K628" s="5"/>
      <c r="L628" s="8"/>
      <c r="M628" s="74"/>
      <c r="N628" s="8"/>
      <c r="O628" s="10"/>
      <c r="P628" s="76" t="str">
        <f t="shared" ca="1" si="68"/>
        <v/>
      </c>
      <c r="Q628" s="84" t="str">
        <f t="shared" si="70"/>
        <v/>
      </c>
    </row>
    <row r="629" spans="1:17" ht="13">
      <c r="A629" s="3"/>
      <c r="B629" s="2"/>
      <c r="C629" s="4"/>
      <c r="D629" s="7"/>
      <c r="E629" s="7"/>
      <c r="F629" s="7"/>
      <c r="G629" s="7"/>
      <c r="H629" s="7"/>
      <c r="I629" s="2"/>
      <c r="J629" s="8"/>
      <c r="K629" s="5"/>
      <c r="L629" s="8"/>
      <c r="M629" s="74"/>
      <c r="N629" s="8"/>
      <c r="O629" s="10"/>
      <c r="P629" s="6"/>
      <c r="Q629" s="84" t="str">
        <f t="shared" si="70"/>
        <v/>
      </c>
    </row>
    <row r="630" spans="1:17" ht="13">
      <c r="A630" s="3"/>
      <c r="B630" s="2"/>
      <c r="C630" s="4"/>
      <c r="D630" s="7"/>
      <c r="E630" s="7"/>
      <c r="F630" s="7"/>
      <c r="G630" s="7"/>
      <c r="H630" s="7"/>
      <c r="I630" s="2"/>
      <c r="J630" s="8"/>
      <c r="K630" s="5"/>
      <c r="L630" s="8"/>
      <c r="M630" s="74"/>
      <c r="N630" s="8"/>
      <c r="O630" s="10"/>
      <c r="P630" s="6"/>
      <c r="Q630" s="84" t="str">
        <f t="shared" si="70"/>
        <v/>
      </c>
    </row>
    <row r="631" spans="1:17" ht="13">
      <c r="A631" s="3"/>
      <c r="B631" s="2"/>
      <c r="C631" s="4"/>
      <c r="D631" s="7"/>
      <c r="E631" s="7"/>
      <c r="F631" s="7"/>
      <c r="G631" s="7"/>
      <c r="H631" s="7"/>
      <c r="I631" s="2"/>
      <c r="J631" s="8"/>
      <c r="K631" s="5"/>
      <c r="L631" s="8"/>
      <c r="M631" s="74"/>
      <c r="N631" s="8"/>
      <c r="O631" s="10"/>
      <c r="P631" s="6"/>
      <c r="Q631" s="84" t="str">
        <f t="shared" si="70"/>
        <v/>
      </c>
    </row>
    <row r="632" spans="1:17" ht="13">
      <c r="A632" s="3"/>
      <c r="B632" s="2"/>
      <c r="C632" s="4"/>
      <c r="D632" s="7"/>
      <c r="E632" s="7"/>
      <c r="F632" s="7"/>
      <c r="G632" s="7"/>
      <c r="H632" s="7"/>
      <c r="I632" s="2"/>
      <c r="J632" s="8"/>
      <c r="K632" s="5"/>
      <c r="L632" s="8"/>
      <c r="M632" s="74"/>
      <c r="N632" s="8"/>
      <c r="O632" s="10"/>
      <c r="P632" s="6"/>
      <c r="Q632" s="84" t="str">
        <f t="shared" si="70"/>
        <v/>
      </c>
    </row>
    <row r="633" spans="1:17" ht="13">
      <c r="A633" s="3"/>
      <c r="B633" s="2"/>
      <c r="C633" s="4"/>
      <c r="D633" s="7"/>
      <c r="E633" s="7"/>
      <c r="F633" s="7"/>
      <c r="G633" s="7"/>
      <c r="H633" s="7"/>
      <c r="I633" s="2"/>
      <c r="J633" s="8"/>
      <c r="K633" s="5"/>
      <c r="L633" s="8"/>
      <c r="M633" s="74"/>
      <c r="N633" s="8"/>
      <c r="O633" s="10"/>
      <c r="P633" s="6"/>
      <c r="Q633" s="84" t="str">
        <f t="shared" si="70"/>
        <v/>
      </c>
    </row>
    <row r="634" spans="1:17" ht="13">
      <c r="A634" s="3"/>
      <c r="B634" s="2"/>
      <c r="C634" s="4"/>
      <c r="D634" s="7"/>
      <c r="E634" s="7"/>
      <c r="F634" s="7"/>
      <c r="G634" s="7"/>
      <c r="H634" s="7"/>
      <c r="I634" s="2"/>
      <c r="J634" s="8"/>
      <c r="K634" s="5"/>
      <c r="L634" s="8"/>
      <c r="M634" s="74"/>
      <c r="N634" s="8"/>
      <c r="O634" s="10"/>
      <c r="P634" s="6"/>
      <c r="Q634" s="84" t="str">
        <f t="shared" si="70"/>
        <v/>
      </c>
    </row>
    <row r="635" spans="1:17" ht="13">
      <c r="A635" s="3"/>
      <c r="B635" s="2"/>
      <c r="C635" s="4"/>
      <c r="D635" s="7"/>
      <c r="E635" s="7"/>
      <c r="F635" s="7"/>
      <c r="G635" s="7"/>
      <c r="H635" s="7"/>
      <c r="I635" s="2"/>
      <c r="J635" s="8"/>
      <c r="K635" s="5"/>
      <c r="L635" s="8"/>
      <c r="M635" s="74"/>
      <c r="N635" s="8"/>
      <c r="O635" s="10"/>
      <c r="P635" s="6"/>
      <c r="Q635" s="84" t="str">
        <f t="shared" si="70"/>
        <v/>
      </c>
    </row>
    <row r="636" spans="1:17" ht="13">
      <c r="A636" s="3"/>
      <c r="B636" s="2"/>
      <c r="C636" s="4"/>
      <c r="D636" s="7"/>
      <c r="E636" s="7"/>
      <c r="F636" s="7"/>
      <c r="G636" s="7"/>
      <c r="H636" s="7"/>
      <c r="I636" s="2"/>
      <c r="J636" s="8"/>
      <c r="K636" s="5"/>
      <c r="L636" s="8"/>
      <c r="M636" s="74"/>
      <c r="N636" s="8"/>
      <c r="O636" s="10"/>
      <c r="P636" s="6"/>
      <c r="Q636" s="84" t="str">
        <f t="shared" si="70"/>
        <v/>
      </c>
    </row>
    <row r="637" spans="1:17" ht="13">
      <c r="A637" s="3"/>
      <c r="B637" s="2"/>
      <c r="C637" s="4"/>
      <c r="D637" s="7"/>
      <c r="E637" s="7"/>
      <c r="F637" s="7"/>
      <c r="G637" s="7"/>
      <c r="H637" s="7"/>
      <c r="I637" s="2"/>
      <c r="J637" s="8"/>
      <c r="K637" s="5"/>
      <c r="L637" s="8"/>
      <c r="M637" s="74"/>
      <c r="N637" s="8"/>
      <c r="O637" s="10"/>
      <c r="P637" s="6"/>
      <c r="Q637" s="84" t="str">
        <f t="shared" si="70"/>
        <v/>
      </c>
    </row>
    <row r="638" spans="1:17" ht="13">
      <c r="A638" s="3"/>
      <c r="B638" s="2"/>
      <c r="C638" s="4"/>
      <c r="D638" s="7"/>
      <c r="E638" s="7"/>
      <c r="F638" s="7"/>
      <c r="G638" s="7"/>
      <c r="H638" s="7"/>
      <c r="I638" s="2"/>
      <c r="J638" s="8"/>
      <c r="K638" s="5"/>
      <c r="L638" s="8"/>
      <c r="M638" s="74"/>
      <c r="N638" s="8"/>
      <c r="O638" s="10"/>
      <c r="P638" s="6"/>
      <c r="Q638" s="84" t="str">
        <f t="shared" si="70"/>
        <v/>
      </c>
    </row>
    <row r="639" spans="1:17" ht="13">
      <c r="A639" s="3"/>
      <c r="B639" s="2"/>
      <c r="C639" s="4"/>
      <c r="D639" s="7"/>
      <c r="E639" s="7"/>
      <c r="F639" s="7"/>
      <c r="G639" s="7"/>
      <c r="H639" s="7"/>
      <c r="I639" s="2"/>
      <c r="J639" s="8"/>
      <c r="K639" s="5"/>
      <c r="L639" s="8"/>
      <c r="M639" s="74"/>
      <c r="N639" s="8"/>
      <c r="O639" s="10"/>
      <c r="P639" s="6"/>
      <c r="Q639" s="84" t="str">
        <f t="shared" si="70"/>
        <v/>
      </c>
    </row>
    <row r="640" spans="1:17" ht="13">
      <c r="A640" s="3">
        <v>46253</v>
      </c>
      <c r="B640" s="2" t="s">
        <v>407</v>
      </c>
      <c r="C640" s="4" t="s">
        <v>121</v>
      </c>
      <c r="D640" s="7" t="s">
        <v>19</v>
      </c>
      <c r="E640" s="7" t="s">
        <v>408</v>
      </c>
      <c r="F640" s="7" t="s">
        <v>409</v>
      </c>
      <c r="G640" s="7" t="s">
        <v>48</v>
      </c>
      <c r="H640" s="7"/>
      <c r="I640" s="7" t="s">
        <v>247</v>
      </c>
      <c r="J640" s="8" t="s">
        <v>24</v>
      </c>
      <c r="K640" s="7" t="s">
        <v>25</v>
      </c>
      <c r="L640" s="8">
        <v>15</v>
      </c>
      <c r="M640" s="74">
        <v>46258</v>
      </c>
      <c r="N640" s="78" t="str">
        <f t="shared" ref="N640:N646" si="71">IF(AND(A640="",K876=""),"",IF(Q640="","Em Andamento",IF(M640&lt;=O640,"Dentro do Prazo","Fora do Prazo")))</f>
        <v>Dentro do Prazo</v>
      </c>
      <c r="O640" s="57">
        <f t="shared" ref="O640:O702" si="72">IF(OR(A640="",L640=""),"",A640+L640)</f>
        <v>46268</v>
      </c>
      <c r="P640" s="76" t="str">
        <f t="shared" ref="P640:P702" ca="1" si="73">IF(O640="","",IF(O640-TODAY()=0,"Vence Hoje!",IF(O640-TODAY()&gt;=0,O640-TODAY()&amp;" Dia(s) para vencer","Prazo Vencido")))</f>
        <v>Prazo Vencido</v>
      </c>
      <c r="Q640" s="84">
        <f t="shared" si="70"/>
        <v>5</v>
      </c>
    </row>
    <row r="641" spans="1:17" ht="13">
      <c r="A641" s="3">
        <v>46258</v>
      </c>
      <c r="B641" s="2" t="s">
        <v>17</v>
      </c>
      <c r="C641" s="4" t="s">
        <v>27</v>
      </c>
      <c r="D641" s="7" t="s">
        <v>19</v>
      </c>
      <c r="E641" s="7" t="s">
        <v>410</v>
      </c>
      <c r="F641" s="7" t="s">
        <v>411</v>
      </c>
      <c r="G641" s="7" t="s">
        <v>22</v>
      </c>
      <c r="H641" s="7"/>
      <c r="I641" s="7" t="s">
        <v>247</v>
      </c>
      <c r="J641" s="8" t="s">
        <v>24</v>
      </c>
      <c r="K641" s="7" t="s">
        <v>25</v>
      </c>
      <c r="L641" s="8">
        <v>15</v>
      </c>
      <c r="M641" s="74">
        <v>46267</v>
      </c>
      <c r="N641" s="78" t="str">
        <f t="shared" si="71"/>
        <v>Dentro do Prazo</v>
      </c>
      <c r="O641" s="57">
        <f t="shared" si="72"/>
        <v>46273</v>
      </c>
      <c r="P641" s="76" t="str">
        <f t="shared" ca="1" si="73"/>
        <v>Prazo Vencido</v>
      </c>
      <c r="Q641" s="84">
        <f t="shared" si="70"/>
        <v>9</v>
      </c>
    </row>
    <row r="642" spans="1:17" ht="13">
      <c r="A642" s="3">
        <v>46258</v>
      </c>
      <c r="B642" s="2" t="s">
        <v>17</v>
      </c>
      <c r="C642" s="4" t="s">
        <v>27</v>
      </c>
      <c r="D642" s="7" t="s">
        <v>19</v>
      </c>
      <c r="E642" s="7" t="s">
        <v>412</v>
      </c>
      <c r="F642" s="7" t="s">
        <v>413</v>
      </c>
      <c r="G642" s="7" t="s">
        <v>22</v>
      </c>
      <c r="H642" s="7"/>
      <c r="I642" s="7" t="s">
        <v>247</v>
      </c>
      <c r="J642" s="8" t="s">
        <v>24</v>
      </c>
      <c r="K642" s="7" t="s">
        <v>25</v>
      </c>
      <c r="L642" s="8">
        <v>15</v>
      </c>
      <c r="M642" s="74">
        <v>46267</v>
      </c>
      <c r="N642" s="78" t="str">
        <f t="shared" si="71"/>
        <v>Dentro do Prazo</v>
      </c>
      <c r="O642" s="57">
        <f t="shared" si="72"/>
        <v>46273</v>
      </c>
      <c r="P642" s="76" t="str">
        <f t="shared" ca="1" si="73"/>
        <v>Prazo Vencido</v>
      </c>
      <c r="Q642" s="84">
        <f t="shared" si="70"/>
        <v>9</v>
      </c>
    </row>
    <row r="643" spans="1:17" ht="13">
      <c r="A643" s="3">
        <v>46258</v>
      </c>
      <c r="B643" s="2" t="s">
        <v>17</v>
      </c>
      <c r="C643" s="4" t="s">
        <v>27</v>
      </c>
      <c r="D643" s="7" t="s">
        <v>19</v>
      </c>
      <c r="E643" s="7" t="s">
        <v>414</v>
      </c>
      <c r="F643" s="7" t="s">
        <v>415</v>
      </c>
      <c r="G643" s="7" t="s">
        <v>22</v>
      </c>
      <c r="H643" s="7"/>
      <c r="I643" s="7" t="s">
        <v>247</v>
      </c>
      <c r="J643" s="8" t="s">
        <v>24</v>
      </c>
      <c r="K643" s="7" t="s">
        <v>25</v>
      </c>
      <c r="L643" s="8">
        <v>15</v>
      </c>
      <c r="M643" s="74">
        <v>46267</v>
      </c>
      <c r="N643" s="78" t="str">
        <f t="shared" si="71"/>
        <v>Dentro do Prazo</v>
      </c>
      <c r="O643" s="57">
        <f t="shared" si="72"/>
        <v>46273</v>
      </c>
      <c r="P643" s="76" t="str">
        <f t="shared" ca="1" si="73"/>
        <v>Prazo Vencido</v>
      </c>
      <c r="Q643" s="84">
        <f t="shared" si="70"/>
        <v>9</v>
      </c>
    </row>
    <row r="644" spans="1:17" ht="13">
      <c r="A644" s="3">
        <v>46258</v>
      </c>
      <c r="B644" s="2" t="s">
        <v>17</v>
      </c>
      <c r="C644" s="4" t="s">
        <v>27</v>
      </c>
      <c r="D644" s="7" t="s">
        <v>19</v>
      </c>
      <c r="E644" s="7" t="s">
        <v>416</v>
      </c>
      <c r="F644" s="7" t="s">
        <v>417</v>
      </c>
      <c r="G644" s="7" t="s">
        <v>22</v>
      </c>
      <c r="H644" s="7"/>
      <c r="I644" s="7" t="s">
        <v>247</v>
      </c>
      <c r="J644" s="8" t="s">
        <v>24</v>
      </c>
      <c r="K644" s="7" t="s">
        <v>25</v>
      </c>
      <c r="L644" s="8">
        <v>15</v>
      </c>
      <c r="M644" s="74">
        <v>46267</v>
      </c>
      <c r="N644" s="78" t="str">
        <f t="shared" si="71"/>
        <v>Dentro do Prazo</v>
      </c>
      <c r="O644" s="57">
        <f t="shared" si="72"/>
        <v>46273</v>
      </c>
      <c r="P644" s="76" t="str">
        <f t="shared" ca="1" si="73"/>
        <v>Prazo Vencido</v>
      </c>
      <c r="Q644" s="84">
        <f t="shared" si="70"/>
        <v>9</v>
      </c>
    </row>
    <row r="645" spans="1:17" ht="13">
      <c r="A645" s="3">
        <v>46258</v>
      </c>
      <c r="B645" s="2" t="s">
        <v>17</v>
      </c>
      <c r="C645" s="4" t="s">
        <v>27</v>
      </c>
      <c r="D645" s="7" t="s">
        <v>19</v>
      </c>
      <c r="E645" s="7" t="s">
        <v>418</v>
      </c>
      <c r="F645" s="7" t="s">
        <v>419</v>
      </c>
      <c r="G645" s="7" t="s">
        <v>22</v>
      </c>
      <c r="H645" s="75">
        <v>46275</v>
      </c>
      <c r="I645" s="2" t="s">
        <v>166</v>
      </c>
      <c r="J645" s="8" t="s">
        <v>24</v>
      </c>
      <c r="K645" s="7" t="s">
        <v>25</v>
      </c>
      <c r="L645" s="8">
        <v>15</v>
      </c>
      <c r="M645" s="74">
        <v>46266</v>
      </c>
      <c r="N645" s="78" t="str">
        <f t="shared" si="71"/>
        <v>Dentro do Prazo</v>
      </c>
      <c r="O645" s="57">
        <f t="shared" ref="O645:O659" si="74">IF(OR(A645="",L645=""),"",A645+L645)</f>
        <v>46273</v>
      </c>
      <c r="P645" s="76" t="str">
        <f t="shared" ref="P645:P659" ca="1" si="75">IF(O645="","",IF(O645-TODAY()=0,"Vence Hoje!",IF(O645-TODAY()&gt;=0,O645-TODAY()&amp;" Dia(s) para vencer","Prazo Vencido")))</f>
        <v>Prazo Vencido</v>
      </c>
      <c r="Q645" s="84">
        <f>IF(OR(A645="",M645=""),"",M645-A645)</f>
        <v>8</v>
      </c>
    </row>
    <row r="646" spans="1:17" ht="13">
      <c r="A646" s="3">
        <v>46258</v>
      </c>
      <c r="B646" s="2" t="s">
        <v>17</v>
      </c>
      <c r="C646" s="4" t="s">
        <v>27</v>
      </c>
      <c r="D646" s="7" t="s">
        <v>19</v>
      </c>
      <c r="E646" s="7" t="s">
        <v>420</v>
      </c>
      <c r="F646" s="7" t="s">
        <v>421</v>
      </c>
      <c r="G646" s="7" t="s">
        <v>22</v>
      </c>
      <c r="H646" s="75">
        <v>46275</v>
      </c>
      <c r="I646" s="2" t="s">
        <v>166</v>
      </c>
      <c r="J646" s="8" t="s">
        <v>24</v>
      </c>
      <c r="K646" s="7" t="s">
        <v>25</v>
      </c>
      <c r="L646" s="8">
        <v>15</v>
      </c>
      <c r="M646" s="74">
        <v>46266</v>
      </c>
      <c r="N646" s="78" t="str">
        <f t="shared" si="71"/>
        <v>Dentro do Prazo</v>
      </c>
      <c r="O646" s="57">
        <f t="shared" si="74"/>
        <v>46273</v>
      </c>
      <c r="P646" s="76" t="str">
        <f t="shared" ca="1" si="75"/>
        <v>Prazo Vencido</v>
      </c>
      <c r="Q646" s="84">
        <f>IF(OR(A646="",M646=""),"",M646-A646)</f>
        <v>8</v>
      </c>
    </row>
    <row r="647" spans="1:17" ht="13">
      <c r="A647" s="3">
        <v>46258</v>
      </c>
      <c r="B647" s="2" t="s">
        <v>407</v>
      </c>
      <c r="C647" s="4" t="s">
        <v>121</v>
      </c>
      <c r="D647" s="7" t="s">
        <v>19</v>
      </c>
      <c r="E647" s="7" t="s">
        <v>126</v>
      </c>
      <c r="F647" s="7" t="s">
        <v>422</v>
      </c>
      <c r="G647" s="7" t="s">
        <v>48</v>
      </c>
      <c r="H647" s="7"/>
      <c r="I647" s="7" t="s">
        <v>247</v>
      </c>
      <c r="J647" s="8" t="s">
        <v>24</v>
      </c>
      <c r="K647" s="7" t="s">
        <v>25</v>
      </c>
      <c r="L647" s="8">
        <v>15</v>
      </c>
      <c r="M647" s="74">
        <v>46258</v>
      </c>
      <c r="N647" s="78" t="str">
        <f t="shared" ref="N647:N678" si="76">IF(AND(A647="",K884=""),"",IF(Q647="","Em Andamento",IF(M647&lt;=O647,"Dentro do Prazo","Fora do Prazo")))</f>
        <v>Dentro do Prazo</v>
      </c>
      <c r="O647" s="57">
        <f t="shared" si="74"/>
        <v>46273</v>
      </c>
      <c r="P647" s="76" t="str">
        <f t="shared" ca="1" si="75"/>
        <v>Prazo Vencido</v>
      </c>
      <c r="Q647" s="84">
        <f>IF(OR(A647="",M647=""),"",M647-A647)</f>
        <v>0</v>
      </c>
    </row>
    <row r="648" spans="1:17" ht="13">
      <c r="A648" s="3">
        <v>46281</v>
      </c>
      <c r="B648" s="2" t="s">
        <v>407</v>
      </c>
      <c r="C648" s="4" t="s">
        <v>121</v>
      </c>
      <c r="D648" s="7" t="s">
        <v>19</v>
      </c>
      <c r="E648" s="7" t="s">
        <v>423</v>
      </c>
      <c r="F648" s="7" t="s">
        <v>424</v>
      </c>
      <c r="G648" s="7" t="s">
        <v>48</v>
      </c>
      <c r="H648" s="7"/>
      <c r="I648" s="7" t="s">
        <v>247</v>
      </c>
      <c r="J648" s="8" t="s">
        <v>24</v>
      </c>
      <c r="K648" s="7" t="s">
        <v>25</v>
      </c>
      <c r="L648" s="8">
        <v>15</v>
      </c>
      <c r="M648" s="74">
        <v>46258</v>
      </c>
      <c r="N648" s="78" t="str">
        <f t="shared" si="76"/>
        <v>Dentro do Prazo</v>
      </c>
      <c r="O648" s="57">
        <f t="shared" si="74"/>
        <v>46296</v>
      </c>
      <c r="P648" s="76" t="str">
        <f t="shared" ca="1" si="75"/>
        <v>Prazo Vencido</v>
      </c>
      <c r="Q648" s="84">
        <f>IF(OR(A648="",M648=""),"",M648-A648)</f>
        <v>-23</v>
      </c>
    </row>
    <row r="649" spans="1:17" ht="13">
      <c r="A649" s="3">
        <v>46279</v>
      </c>
      <c r="B649" s="2" t="s">
        <v>17</v>
      </c>
      <c r="C649" s="4" t="s">
        <v>27</v>
      </c>
      <c r="D649" s="7" t="s">
        <v>19</v>
      </c>
      <c r="E649" s="7" t="s">
        <v>425</v>
      </c>
      <c r="F649" s="7" t="s">
        <v>426</v>
      </c>
      <c r="G649" s="7" t="s">
        <v>48</v>
      </c>
      <c r="H649" s="7"/>
      <c r="I649" s="2" t="s">
        <v>166</v>
      </c>
      <c r="J649" s="8" t="s">
        <v>24</v>
      </c>
      <c r="K649" s="7" t="s">
        <v>25</v>
      </c>
      <c r="L649" s="8">
        <v>15</v>
      </c>
      <c r="M649" s="74"/>
      <c r="N649" s="78" t="str">
        <f t="shared" si="76"/>
        <v>Em Andamento</v>
      </c>
      <c r="O649" s="57">
        <f t="shared" si="74"/>
        <v>46294</v>
      </c>
      <c r="P649" s="76" t="str">
        <f t="shared" ca="1" si="75"/>
        <v>Prazo Vencido</v>
      </c>
      <c r="Q649" s="84" t="str">
        <f t="shared" ref="Q649:Q653" si="77">IF(OR(A649="",M649=""),"",M649-A649)</f>
        <v/>
      </c>
    </row>
    <row r="650" spans="1:17" ht="13">
      <c r="A650" s="3">
        <v>46279</v>
      </c>
      <c r="B650" s="2" t="s">
        <v>17</v>
      </c>
      <c r="C650" s="4" t="s">
        <v>27</v>
      </c>
      <c r="D650" s="7" t="s">
        <v>19</v>
      </c>
      <c r="E650" s="7" t="s">
        <v>427</v>
      </c>
      <c r="F650" s="7" t="s">
        <v>428</v>
      </c>
      <c r="G650" s="7" t="s">
        <v>48</v>
      </c>
      <c r="H650" s="75">
        <v>46303</v>
      </c>
      <c r="I650" s="2" t="s">
        <v>166</v>
      </c>
      <c r="J650" s="8" t="s">
        <v>24</v>
      </c>
      <c r="K650" s="7" t="s">
        <v>25</v>
      </c>
      <c r="L650" s="8">
        <v>15</v>
      </c>
      <c r="M650" s="74">
        <v>46288</v>
      </c>
      <c r="N650" s="78" t="str">
        <f t="shared" si="76"/>
        <v>Dentro do Prazo</v>
      </c>
      <c r="O650" s="57">
        <f t="shared" si="74"/>
        <v>46294</v>
      </c>
      <c r="P650" s="76" t="str">
        <f t="shared" ca="1" si="75"/>
        <v>Prazo Vencido</v>
      </c>
      <c r="Q650" s="84">
        <f t="shared" si="77"/>
        <v>9</v>
      </c>
    </row>
    <row r="651" spans="1:17" ht="13">
      <c r="A651" s="3">
        <v>46262</v>
      </c>
      <c r="B651" s="2" t="s">
        <v>17</v>
      </c>
      <c r="C651" s="4" t="s">
        <v>27</v>
      </c>
      <c r="D651" s="7" t="s">
        <v>19</v>
      </c>
      <c r="E651" s="7" t="s">
        <v>429</v>
      </c>
      <c r="F651" s="7" t="s">
        <v>430</v>
      </c>
      <c r="G651" s="7" t="s">
        <v>22</v>
      </c>
      <c r="H651" s="7"/>
      <c r="I651" s="2" t="s">
        <v>166</v>
      </c>
      <c r="J651" s="8" t="s">
        <v>24</v>
      </c>
      <c r="K651" s="7" t="s">
        <v>25</v>
      </c>
      <c r="L651" s="8">
        <v>15</v>
      </c>
      <c r="M651" s="74"/>
      <c r="N651" s="78" t="str">
        <f t="shared" si="76"/>
        <v>Em Andamento</v>
      </c>
      <c r="O651" s="57">
        <f t="shared" si="74"/>
        <v>46277</v>
      </c>
      <c r="P651" s="76" t="str">
        <f t="shared" ca="1" si="75"/>
        <v>Prazo Vencido</v>
      </c>
      <c r="Q651" s="84" t="str">
        <f t="shared" si="77"/>
        <v/>
      </c>
    </row>
    <row r="652" spans="1:17" ht="13">
      <c r="A652" s="3">
        <v>46262</v>
      </c>
      <c r="B652" s="2" t="s">
        <v>17</v>
      </c>
      <c r="C652" s="4" t="s">
        <v>27</v>
      </c>
      <c r="D652" s="7" t="s">
        <v>19</v>
      </c>
      <c r="E652" s="7" t="s">
        <v>431</v>
      </c>
      <c r="F652" s="7" t="s">
        <v>432</v>
      </c>
      <c r="G652" s="7" t="s">
        <v>22</v>
      </c>
      <c r="H652" s="75">
        <v>46289</v>
      </c>
      <c r="I652" s="2" t="s">
        <v>166</v>
      </c>
      <c r="J652" s="8" t="s">
        <v>24</v>
      </c>
      <c r="K652" s="7" t="s">
        <v>25</v>
      </c>
      <c r="L652" s="8">
        <v>15</v>
      </c>
      <c r="M652" s="74">
        <v>46277</v>
      </c>
      <c r="N652" s="78" t="str">
        <f t="shared" si="76"/>
        <v>Dentro do Prazo</v>
      </c>
      <c r="O652" s="57">
        <f t="shared" si="74"/>
        <v>46277</v>
      </c>
      <c r="P652" s="76" t="str">
        <f t="shared" ca="1" si="75"/>
        <v>Prazo Vencido</v>
      </c>
      <c r="Q652" s="84">
        <f t="shared" si="77"/>
        <v>15</v>
      </c>
    </row>
    <row r="653" spans="1:17" ht="13">
      <c r="A653" s="3">
        <v>46262</v>
      </c>
      <c r="B653" s="2" t="s">
        <v>17</v>
      </c>
      <c r="C653" s="4" t="s">
        <v>27</v>
      </c>
      <c r="D653" s="7" t="s">
        <v>19</v>
      </c>
      <c r="E653" s="7" t="s">
        <v>433</v>
      </c>
      <c r="F653" s="7" t="s">
        <v>434</v>
      </c>
      <c r="G653" s="7" t="s">
        <v>22</v>
      </c>
      <c r="H653" s="7"/>
      <c r="I653" s="2" t="s">
        <v>166</v>
      </c>
      <c r="J653" s="8" t="s">
        <v>24</v>
      </c>
      <c r="K653" s="7" t="s">
        <v>25</v>
      </c>
      <c r="L653" s="8">
        <v>15</v>
      </c>
      <c r="M653" s="74"/>
      <c r="N653" s="78" t="str">
        <f t="shared" si="76"/>
        <v>Em Andamento</v>
      </c>
      <c r="O653" s="57">
        <f t="shared" si="74"/>
        <v>46277</v>
      </c>
      <c r="P653" s="76" t="str">
        <f t="shared" ca="1" si="75"/>
        <v>Prazo Vencido</v>
      </c>
      <c r="Q653" s="84" t="str">
        <f t="shared" si="77"/>
        <v/>
      </c>
    </row>
    <row r="654" spans="1:17" ht="13">
      <c r="A654" s="3">
        <v>46262</v>
      </c>
      <c r="B654" s="2" t="s">
        <v>26</v>
      </c>
      <c r="C654" s="4" t="s">
        <v>27</v>
      </c>
      <c r="D654" s="7" t="s">
        <v>19</v>
      </c>
      <c r="E654" s="7" t="s">
        <v>435</v>
      </c>
      <c r="F654" s="7" t="s">
        <v>436</v>
      </c>
      <c r="G654" s="7" t="s">
        <v>48</v>
      </c>
      <c r="H654" s="75">
        <v>46275</v>
      </c>
      <c r="I654" s="2" t="s">
        <v>166</v>
      </c>
      <c r="J654" s="8" t="s">
        <v>24</v>
      </c>
      <c r="K654" s="7" t="s">
        <v>25</v>
      </c>
      <c r="L654" s="8">
        <v>15</v>
      </c>
      <c r="M654" s="74">
        <v>46266</v>
      </c>
      <c r="N654" s="78" t="str">
        <f t="shared" si="76"/>
        <v>Dentro do Prazo</v>
      </c>
      <c r="O654" s="57">
        <f t="shared" si="74"/>
        <v>46277</v>
      </c>
      <c r="P654" s="76" t="str">
        <f t="shared" ca="1" si="75"/>
        <v>Prazo Vencido</v>
      </c>
      <c r="Q654" s="84">
        <f t="shared" ref="Q654:Q658" si="78">IF(OR(A654="",M654=""),"",M654-A654)</f>
        <v>4</v>
      </c>
    </row>
    <row r="655" spans="1:17" ht="13">
      <c r="A655" s="3">
        <v>46262</v>
      </c>
      <c r="B655" s="2" t="s">
        <v>26</v>
      </c>
      <c r="C655" s="4" t="s">
        <v>27</v>
      </c>
      <c r="D655" s="7" t="s">
        <v>19</v>
      </c>
      <c r="E655" s="7" t="s">
        <v>437</v>
      </c>
      <c r="F655" s="7" t="s">
        <v>402</v>
      </c>
      <c r="G655" s="7" t="s">
        <v>48</v>
      </c>
      <c r="H655" s="75">
        <v>46275</v>
      </c>
      <c r="I655" s="2" t="s">
        <v>166</v>
      </c>
      <c r="J655" s="8" t="s">
        <v>24</v>
      </c>
      <c r="K655" s="7" t="s">
        <v>25</v>
      </c>
      <c r="L655" s="8">
        <v>15</v>
      </c>
      <c r="M655" s="74">
        <v>46266</v>
      </c>
      <c r="N655" s="78" t="str">
        <f t="shared" si="76"/>
        <v>Dentro do Prazo</v>
      </c>
      <c r="O655" s="57">
        <f t="shared" si="74"/>
        <v>46277</v>
      </c>
      <c r="P655" s="76" t="str">
        <f t="shared" ca="1" si="75"/>
        <v>Prazo Vencido</v>
      </c>
      <c r="Q655" s="84">
        <f t="shared" si="78"/>
        <v>4</v>
      </c>
    </row>
    <row r="656" spans="1:17" ht="13">
      <c r="A656" s="3">
        <v>46279</v>
      </c>
      <c r="B656" s="93" t="s">
        <v>26</v>
      </c>
      <c r="C656" s="4" t="s">
        <v>27</v>
      </c>
      <c r="D656" s="7" t="s">
        <v>19</v>
      </c>
      <c r="E656" s="7" t="s">
        <v>438</v>
      </c>
      <c r="F656" s="7" t="s">
        <v>439</v>
      </c>
      <c r="G656" s="7" t="s">
        <v>22</v>
      </c>
      <c r="H656" s="75">
        <v>46303</v>
      </c>
      <c r="I656" s="2" t="s">
        <v>166</v>
      </c>
      <c r="J656" s="8" t="s">
        <v>24</v>
      </c>
      <c r="K656" s="7" t="s">
        <v>25</v>
      </c>
      <c r="L656" s="8">
        <v>15</v>
      </c>
      <c r="M656" s="74">
        <v>46289</v>
      </c>
      <c r="N656" s="78" t="str">
        <f t="shared" si="76"/>
        <v>Dentro do Prazo</v>
      </c>
      <c r="O656" s="57">
        <f t="shared" si="74"/>
        <v>46294</v>
      </c>
      <c r="P656" s="76" t="str">
        <f t="shared" ca="1" si="75"/>
        <v>Prazo Vencido</v>
      </c>
      <c r="Q656" s="84">
        <f t="shared" si="78"/>
        <v>10</v>
      </c>
    </row>
    <row r="657" spans="1:17" ht="13">
      <c r="A657" s="3">
        <v>46279</v>
      </c>
      <c r="B657" s="93" t="s">
        <v>26</v>
      </c>
      <c r="C657" s="4" t="s">
        <v>27</v>
      </c>
      <c r="D657" s="7" t="s">
        <v>19</v>
      </c>
      <c r="E657" s="7" t="s">
        <v>440</v>
      </c>
      <c r="F657" s="7" t="s">
        <v>441</v>
      </c>
      <c r="G657" s="7" t="s">
        <v>22</v>
      </c>
      <c r="H657" s="75">
        <v>46296</v>
      </c>
      <c r="I657" s="2" t="s">
        <v>166</v>
      </c>
      <c r="J657" s="8" t="s">
        <v>24</v>
      </c>
      <c r="K657" s="7" t="s">
        <v>25</v>
      </c>
      <c r="L657" s="8">
        <v>15</v>
      </c>
      <c r="M657" s="74">
        <v>46275</v>
      </c>
      <c r="N657" s="78" t="str">
        <f t="shared" si="76"/>
        <v>Dentro do Prazo</v>
      </c>
      <c r="O657" s="57">
        <f t="shared" si="74"/>
        <v>46294</v>
      </c>
      <c r="P657" s="76" t="str">
        <f t="shared" ca="1" si="75"/>
        <v>Prazo Vencido</v>
      </c>
      <c r="Q657" s="84">
        <f t="shared" si="78"/>
        <v>-4</v>
      </c>
    </row>
    <row r="658" spans="1:17" ht="13">
      <c r="A658" s="3">
        <v>46262</v>
      </c>
      <c r="B658" s="93" t="s">
        <v>17</v>
      </c>
      <c r="C658" s="4" t="s">
        <v>27</v>
      </c>
      <c r="D658" s="7" t="s">
        <v>19</v>
      </c>
      <c r="E658" s="7" t="s">
        <v>442</v>
      </c>
      <c r="F658" s="7" t="s">
        <v>443</v>
      </c>
      <c r="G658" s="7" t="s">
        <v>22</v>
      </c>
      <c r="H658" s="7"/>
      <c r="I658" s="2" t="s">
        <v>166</v>
      </c>
      <c r="J658" s="8" t="s">
        <v>24</v>
      </c>
      <c r="K658" s="7" t="s">
        <v>25</v>
      </c>
      <c r="L658" s="8">
        <v>15</v>
      </c>
      <c r="M658" s="74"/>
      <c r="N658" s="78" t="str">
        <f t="shared" si="76"/>
        <v>Em Andamento</v>
      </c>
      <c r="O658" s="57">
        <f t="shared" si="74"/>
        <v>46277</v>
      </c>
      <c r="P658" s="76" t="str">
        <f t="shared" ca="1" si="75"/>
        <v>Prazo Vencido</v>
      </c>
      <c r="Q658" s="84" t="str">
        <f t="shared" si="78"/>
        <v/>
      </c>
    </row>
    <row r="659" spans="1:17" ht="13">
      <c r="A659" s="3">
        <v>46262</v>
      </c>
      <c r="B659" s="93" t="s">
        <v>17</v>
      </c>
      <c r="C659" s="4" t="s">
        <v>27</v>
      </c>
      <c r="D659" s="7" t="s">
        <v>19</v>
      </c>
      <c r="E659" s="7" t="s">
        <v>444</v>
      </c>
      <c r="F659" s="7" t="s">
        <v>445</v>
      </c>
      <c r="G659" s="7" t="s">
        <v>22</v>
      </c>
      <c r="H659" s="75">
        <v>46275</v>
      </c>
      <c r="I659" s="2" t="s">
        <v>166</v>
      </c>
      <c r="J659" s="8" t="s">
        <v>24</v>
      </c>
      <c r="K659" s="7" t="s">
        <v>25</v>
      </c>
      <c r="L659" s="8">
        <v>15</v>
      </c>
      <c r="M659" s="74">
        <v>46266</v>
      </c>
      <c r="N659" s="78" t="str">
        <f t="shared" si="76"/>
        <v>Dentro do Prazo</v>
      </c>
      <c r="O659" s="57">
        <f t="shared" si="74"/>
        <v>46277</v>
      </c>
      <c r="P659" s="76" t="str">
        <f t="shared" ca="1" si="75"/>
        <v>Prazo Vencido</v>
      </c>
      <c r="Q659" s="84">
        <f t="shared" ref="Q659:Q661" si="79">IF(OR(A659="",M659=""),"",M659-A659)</f>
        <v>4</v>
      </c>
    </row>
    <row r="660" spans="1:17" ht="13">
      <c r="A660" s="3">
        <v>46279</v>
      </c>
      <c r="B660" s="93" t="s">
        <v>53</v>
      </c>
      <c r="C660" s="4" t="s">
        <v>32</v>
      </c>
      <c r="D660" s="7" t="s">
        <v>19</v>
      </c>
      <c r="E660" s="7" t="s">
        <v>446</v>
      </c>
      <c r="F660" s="7" t="s">
        <v>447</v>
      </c>
      <c r="G660" s="7" t="s">
        <v>48</v>
      </c>
      <c r="H660" s="7"/>
      <c r="I660" s="2" t="s">
        <v>166</v>
      </c>
      <c r="J660" s="8" t="s">
        <v>24</v>
      </c>
      <c r="K660" s="7" t="s">
        <v>25</v>
      </c>
      <c r="L660" s="8">
        <v>15</v>
      </c>
      <c r="M660" s="74">
        <v>46287</v>
      </c>
      <c r="N660" s="78" t="str">
        <f t="shared" si="76"/>
        <v>Dentro do Prazo</v>
      </c>
      <c r="O660" s="57">
        <f t="shared" ref="O660:O661" si="80">IF(OR(A660="",L660=""),"",A660+L660)</f>
        <v>46294</v>
      </c>
      <c r="P660" s="76" t="str">
        <f t="shared" ca="1" si="73"/>
        <v>Prazo Vencido</v>
      </c>
      <c r="Q660" s="84">
        <f t="shared" si="79"/>
        <v>8</v>
      </c>
    </row>
    <row r="661" spans="1:17" ht="13">
      <c r="A661" s="3">
        <v>46279</v>
      </c>
      <c r="B661" s="93" t="s">
        <v>326</v>
      </c>
      <c r="C661" s="4" t="s">
        <v>121</v>
      </c>
      <c r="D661" s="7" t="s">
        <v>19</v>
      </c>
      <c r="E661" s="7" t="s">
        <v>448</v>
      </c>
      <c r="F661" s="7" t="s">
        <v>449</v>
      </c>
      <c r="G661" s="7" t="s">
        <v>22</v>
      </c>
      <c r="H661" s="7"/>
      <c r="I661" s="2" t="s">
        <v>166</v>
      </c>
      <c r="J661" s="8" t="s">
        <v>24</v>
      </c>
      <c r="K661" s="7" t="s">
        <v>25</v>
      </c>
      <c r="L661" s="8">
        <v>15</v>
      </c>
      <c r="M661" s="74">
        <v>46279</v>
      </c>
      <c r="N661" s="78" t="str">
        <f t="shared" si="76"/>
        <v>Dentro do Prazo</v>
      </c>
      <c r="O661" s="57">
        <f t="shared" si="80"/>
        <v>46294</v>
      </c>
      <c r="P661" s="76" t="str">
        <f t="shared" ca="1" si="73"/>
        <v>Prazo Vencido</v>
      </c>
      <c r="Q661" s="84">
        <f t="shared" si="79"/>
        <v>0</v>
      </c>
    </row>
    <row r="662" spans="1:17" ht="13">
      <c r="A662" s="3"/>
      <c r="B662" s="93"/>
      <c r="C662" s="4"/>
      <c r="D662" s="7"/>
      <c r="E662" s="7"/>
      <c r="F662" s="7"/>
      <c r="G662" s="7"/>
      <c r="H662" s="75"/>
      <c r="I662" s="2"/>
      <c r="J662" s="8"/>
      <c r="K662" s="7"/>
      <c r="L662" s="8"/>
      <c r="M662" s="74"/>
      <c r="N662" s="78" t="str">
        <f t="shared" si="76"/>
        <v/>
      </c>
      <c r="O662" s="57" t="str">
        <f>IF(OR(A662="",L662=""),"",A662+L662)</f>
        <v/>
      </c>
      <c r="P662" s="76" t="str">
        <f ca="1">IF(O662="","",IF(O662-TODAY()=0,"Vence Hoje!",IF(O662-TODAY()&gt;=0,O662-TODAY()&amp;" Dia(s) para vencer","Prazo Vencido")))</f>
        <v/>
      </c>
      <c r="Q662" s="84" t="str">
        <f>IF(OR(A662="",M662=""),"",M662-A662)</f>
        <v/>
      </c>
    </row>
    <row r="663" spans="1:17" ht="13">
      <c r="A663" s="3"/>
      <c r="B663" s="93"/>
      <c r="C663" s="4"/>
      <c r="D663" s="7"/>
      <c r="E663" s="7"/>
      <c r="F663" s="7"/>
      <c r="G663" s="7"/>
      <c r="H663" s="7"/>
      <c r="I663" s="2"/>
      <c r="J663" s="8"/>
      <c r="K663" s="7"/>
      <c r="L663" s="8"/>
      <c r="M663" s="74"/>
      <c r="N663" s="78" t="str">
        <f t="shared" si="76"/>
        <v/>
      </c>
      <c r="O663" s="57" t="str">
        <f t="shared" si="72"/>
        <v/>
      </c>
      <c r="P663" s="76" t="str">
        <f t="shared" ca="1" si="73"/>
        <v/>
      </c>
      <c r="Q663" s="84" t="str">
        <f t="shared" si="70"/>
        <v/>
      </c>
    </row>
    <row r="664" spans="1:17" ht="13">
      <c r="A664" s="3"/>
      <c r="B664" s="93"/>
      <c r="C664" s="4"/>
      <c r="D664" s="7"/>
      <c r="E664" s="7"/>
      <c r="F664" s="7"/>
      <c r="G664" s="7"/>
      <c r="H664" s="7"/>
      <c r="I664" s="2"/>
      <c r="J664" s="8"/>
      <c r="K664" s="7"/>
      <c r="L664" s="8"/>
      <c r="M664" s="74"/>
      <c r="N664" s="78" t="str">
        <f t="shared" si="76"/>
        <v/>
      </c>
      <c r="O664" s="57" t="str">
        <f t="shared" si="72"/>
        <v/>
      </c>
      <c r="P664" s="76" t="str">
        <f t="shared" ca="1" si="73"/>
        <v/>
      </c>
      <c r="Q664" s="84" t="str">
        <f t="shared" ref="Q664:Q727" si="81">IF(OR(A664="",M664=""),"",M664-A664)</f>
        <v/>
      </c>
    </row>
    <row r="665" spans="1:17" ht="13">
      <c r="A665" s="3"/>
      <c r="B665" s="93"/>
      <c r="C665" s="4"/>
      <c r="D665" s="7"/>
      <c r="E665" s="7"/>
      <c r="F665" s="7"/>
      <c r="G665" s="7"/>
      <c r="H665" s="7"/>
      <c r="I665" s="2"/>
      <c r="J665" s="8"/>
      <c r="K665" s="7"/>
      <c r="L665" s="8"/>
      <c r="M665" s="74"/>
      <c r="N665" s="78" t="str">
        <f t="shared" si="76"/>
        <v/>
      </c>
      <c r="O665" s="57" t="str">
        <f t="shared" si="72"/>
        <v/>
      </c>
      <c r="P665" s="76" t="str">
        <f t="shared" ca="1" si="73"/>
        <v/>
      </c>
      <c r="Q665" s="84" t="str">
        <f t="shared" si="81"/>
        <v/>
      </c>
    </row>
    <row r="666" spans="1:17" ht="13">
      <c r="A666" s="3"/>
      <c r="B666" s="93"/>
      <c r="C666" s="4"/>
      <c r="D666" s="7"/>
      <c r="E666" s="7"/>
      <c r="F666" s="7"/>
      <c r="G666" s="7"/>
      <c r="H666" s="7"/>
      <c r="I666" s="2"/>
      <c r="J666" s="8"/>
      <c r="K666" s="7"/>
      <c r="L666" s="8"/>
      <c r="M666" s="74"/>
      <c r="N666" s="78" t="str">
        <f t="shared" si="76"/>
        <v/>
      </c>
      <c r="O666" s="57" t="str">
        <f t="shared" si="72"/>
        <v/>
      </c>
      <c r="P666" s="76" t="str">
        <f t="shared" ca="1" si="73"/>
        <v/>
      </c>
      <c r="Q666" s="84" t="str">
        <f t="shared" si="81"/>
        <v/>
      </c>
    </row>
    <row r="667" spans="1:17" ht="13">
      <c r="A667" s="3"/>
      <c r="B667" s="93"/>
      <c r="C667" s="4"/>
      <c r="D667" s="7"/>
      <c r="E667" s="7"/>
      <c r="F667" s="7"/>
      <c r="G667" s="7"/>
      <c r="H667" s="7"/>
      <c r="I667" s="2"/>
      <c r="J667" s="8"/>
      <c r="K667" s="7"/>
      <c r="L667" s="8"/>
      <c r="M667" s="74"/>
      <c r="N667" s="78" t="str">
        <f t="shared" si="76"/>
        <v/>
      </c>
      <c r="O667" s="57" t="str">
        <f t="shared" si="72"/>
        <v/>
      </c>
      <c r="P667" s="76" t="str">
        <f t="shared" ca="1" si="73"/>
        <v/>
      </c>
      <c r="Q667" s="84" t="str">
        <f t="shared" si="81"/>
        <v/>
      </c>
    </row>
    <row r="668" spans="1:17" ht="13">
      <c r="A668" s="3"/>
      <c r="B668" s="93"/>
      <c r="C668" s="4"/>
      <c r="D668" s="7"/>
      <c r="E668" s="7"/>
      <c r="F668" s="7"/>
      <c r="G668" s="7"/>
      <c r="H668" s="7"/>
      <c r="I668" s="2"/>
      <c r="J668" s="8"/>
      <c r="K668" s="7"/>
      <c r="L668" s="8"/>
      <c r="M668" s="74"/>
      <c r="N668" s="78" t="str">
        <f t="shared" si="76"/>
        <v/>
      </c>
      <c r="O668" s="57" t="str">
        <f t="shared" si="72"/>
        <v/>
      </c>
      <c r="P668" s="76" t="str">
        <f t="shared" ca="1" si="73"/>
        <v/>
      </c>
      <c r="Q668" s="84" t="str">
        <f t="shared" si="81"/>
        <v/>
      </c>
    </row>
    <row r="669" spans="1:17" ht="13">
      <c r="A669" s="3"/>
      <c r="B669" s="93"/>
      <c r="C669" s="4"/>
      <c r="D669" s="7"/>
      <c r="E669" s="7"/>
      <c r="F669" s="7"/>
      <c r="G669" s="7"/>
      <c r="H669" s="7"/>
      <c r="I669" s="2"/>
      <c r="J669" s="8"/>
      <c r="K669" s="7"/>
      <c r="L669" s="8"/>
      <c r="M669" s="74"/>
      <c r="N669" s="78" t="str">
        <f t="shared" si="76"/>
        <v/>
      </c>
      <c r="O669" s="57" t="str">
        <f t="shared" si="72"/>
        <v/>
      </c>
      <c r="P669" s="76" t="str">
        <f t="shared" ca="1" si="73"/>
        <v/>
      </c>
      <c r="Q669" s="84" t="str">
        <f t="shared" si="81"/>
        <v/>
      </c>
    </row>
    <row r="670" spans="1:17" ht="13">
      <c r="A670" s="3"/>
      <c r="B670" s="93"/>
      <c r="C670" s="4"/>
      <c r="D670" s="7"/>
      <c r="E670" s="7"/>
      <c r="F670" s="7"/>
      <c r="G670" s="7"/>
      <c r="H670" s="7"/>
      <c r="I670" s="2"/>
      <c r="J670" s="8"/>
      <c r="K670" s="7"/>
      <c r="L670" s="8"/>
      <c r="M670" s="74"/>
      <c r="N670" s="78" t="str">
        <f t="shared" si="76"/>
        <v/>
      </c>
      <c r="O670" s="57" t="str">
        <f t="shared" si="72"/>
        <v/>
      </c>
      <c r="P670" s="76" t="str">
        <f t="shared" ca="1" si="73"/>
        <v/>
      </c>
      <c r="Q670" s="84" t="str">
        <f t="shared" si="81"/>
        <v/>
      </c>
    </row>
    <row r="671" spans="1:17" ht="13">
      <c r="A671" s="3"/>
      <c r="B671" s="93"/>
      <c r="C671" s="4"/>
      <c r="D671" s="7"/>
      <c r="E671" s="7"/>
      <c r="F671" s="7"/>
      <c r="G671" s="7"/>
      <c r="H671" s="7"/>
      <c r="I671" s="2"/>
      <c r="J671" s="8"/>
      <c r="K671" s="7"/>
      <c r="L671" s="8"/>
      <c r="M671" s="74"/>
      <c r="N671" s="78" t="str">
        <f t="shared" si="76"/>
        <v/>
      </c>
      <c r="O671" s="57" t="str">
        <f t="shared" si="72"/>
        <v/>
      </c>
      <c r="P671" s="76" t="str">
        <f t="shared" ca="1" si="73"/>
        <v/>
      </c>
      <c r="Q671" s="84" t="str">
        <f t="shared" si="81"/>
        <v/>
      </c>
    </row>
    <row r="672" spans="1:17" ht="13">
      <c r="A672" s="3"/>
      <c r="B672" s="93"/>
      <c r="C672" s="4"/>
      <c r="D672" s="7"/>
      <c r="E672" s="7"/>
      <c r="F672" s="7"/>
      <c r="G672" s="7"/>
      <c r="H672" s="7"/>
      <c r="I672" s="2"/>
      <c r="J672" s="8"/>
      <c r="K672" s="7"/>
      <c r="L672" s="8"/>
      <c r="M672" s="74"/>
      <c r="N672" s="78" t="str">
        <f t="shared" si="76"/>
        <v/>
      </c>
      <c r="O672" s="57" t="str">
        <f t="shared" si="72"/>
        <v/>
      </c>
      <c r="P672" s="76" t="str">
        <f t="shared" ca="1" si="73"/>
        <v/>
      </c>
      <c r="Q672" s="84" t="str">
        <f t="shared" si="81"/>
        <v/>
      </c>
    </row>
    <row r="673" spans="1:17" ht="13">
      <c r="A673" s="3"/>
      <c r="B673" s="93"/>
      <c r="C673" s="4"/>
      <c r="D673" s="7"/>
      <c r="E673" s="7"/>
      <c r="F673" s="7"/>
      <c r="G673" s="7"/>
      <c r="H673" s="7"/>
      <c r="I673" s="2"/>
      <c r="J673" s="8"/>
      <c r="K673" s="7"/>
      <c r="L673" s="8"/>
      <c r="M673" s="74"/>
      <c r="N673" s="78" t="str">
        <f t="shared" si="76"/>
        <v/>
      </c>
      <c r="O673" s="57" t="str">
        <f t="shared" si="72"/>
        <v/>
      </c>
      <c r="P673" s="76" t="str">
        <f t="shared" ca="1" si="73"/>
        <v/>
      </c>
      <c r="Q673" s="84" t="str">
        <f t="shared" si="81"/>
        <v/>
      </c>
    </row>
    <row r="674" spans="1:17" ht="13">
      <c r="A674" s="3"/>
      <c r="B674" s="93"/>
      <c r="C674" s="4"/>
      <c r="D674" s="7"/>
      <c r="E674" s="7"/>
      <c r="F674" s="7"/>
      <c r="G674" s="7"/>
      <c r="H674" s="7"/>
      <c r="I674" s="2"/>
      <c r="J674" s="8"/>
      <c r="K674" s="7"/>
      <c r="L674" s="8"/>
      <c r="M674" s="74"/>
      <c r="N674" s="78" t="str">
        <f t="shared" si="76"/>
        <v/>
      </c>
      <c r="O674" s="57" t="str">
        <f t="shared" si="72"/>
        <v/>
      </c>
      <c r="P674" s="76" t="str">
        <f t="shared" ca="1" si="73"/>
        <v/>
      </c>
      <c r="Q674" s="84" t="str">
        <f t="shared" si="81"/>
        <v/>
      </c>
    </row>
    <row r="675" spans="1:17" ht="13">
      <c r="A675" s="3"/>
      <c r="B675" s="93"/>
      <c r="C675" s="4"/>
      <c r="D675" s="7"/>
      <c r="E675" s="7"/>
      <c r="F675" s="7"/>
      <c r="G675" s="7"/>
      <c r="H675" s="7"/>
      <c r="I675" s="2"/>
      <c r="J675" s="8"/>
      <c r="K675" s="7"/>
      <c r="L675" s="8"/>
      <c r="M675" s="74"/>
      <c r="N675" s="78" t="str">
        <f t="shared" si="76"/>
        <v/>
      </c>
      <c r="O675" s="57" t="str">
        <f t="shared" si="72"/>
        <v/>
      </c>
      <c r="P675" s="76" t="str">
        <f t="shared" ca="1" si="73"/>
        <v/>
      </c>
      <c r="Q675" s="84" t="str">
        <f t="shared" si="81"/>
        <v/>
      </c>
    </row>
    <row r="676" spans="1:17" ht="13">
      <c r="A676" s="3"/>
      <c r="B676" s="93"/>
      <c r="C676" s="4"/>
      <c r="D676" s="7"/>
      <c r="E676" s="7"/>
      <c r="F676" s="7"/>
      <c r="G676" s="7"/>
      <c r="H676" s="7"/>
      <c r="I676" s="2"/>
      <c r="J676" s="8"/>
      <c r="K676" s="7"/>
      <c r="L676" s="8"/>
      <c r="M676" s="74"/>
      <c r="N676" s="78" t="str">
        <f t="shared" si="76"/>
        <v/>
      </c>
      <c r="O676" s="57" t="str">
        <f t="shared" si="72"/>
        <v/>
      </c>
      <c r="P676" s="76" t="str">
        <f t="shared" ca="1" si="73"/>
        <v/>
      </c>
      <c r="Q676" s="84" t="str">
        <f t="shared" si="81"/>
        <v/>
      </c>
    </row>
    <row r="677" spans="1:17" ht="13">
      <c r="A677" s="3"/>
      <c r="B677" s="93"/>
      <c r="C677" s="4"/>
      <c r="D677" s="7"/>
      <c r="E677" s="7"/>
      <c r="F677" s="7"/>
      <c r="G677" s="7"/>
      <c r="H677" s="7"/>
      <c r="I677" s="2"/>
      <c r="J677" s="8"/>
      <c r="K677" s="7"/>
      <c r="L677" s="8"/>
      <c r="M677" s="74"/>
      <c r="N677" s="78" t="str">
        <f t="shared" si="76"/>
        <v/>
      </c>
      <c r="O677" s="57" t="str">
        <f t="shared" si="72"/>
        <v/>
      </c>
      <c r="P677" s="76" t="str">
        <f t="shared" ca="1" si="73"/>
        <v/>
      </c>
      <c r="Q677" s="84" t="str">
        <f t="shared" si="81"/>
        <v/>
      </c>
    </row>
    <row r="678" spans="1:17" ht="13">
      <c r="A678" s="3"/>
      <c r="B678" s="93"/>
      <c r="C678" s="4"/>
      <c r="D678" s="7"/>
      <c r="E678" s="7"/>
      <c r="F678" s="7"/>
      <c r="G678" s="7"/>
      <c r="H678" s="7"/>
      <c r="I678" s="2"/>
      <c r="J678" s="8"/>
      <c r="K678" s="7"/>
      <c r="L678" s="8"/>
      <c r="M678" s="74"/>
      <c r="N678" s="78" t="str">
        <f t="shared" si="76"/>
        <v/>
      </c>
      <c r="O678" s="57" t="str">
        <f t="shared" si="72"/>
        <v/>
      </c>
      <c r="P678" s="76" t="str">
        <f t="shared" ca="1" si="73"/>
        <v/>
      </c>
      <c r="Q678" s="84" t="str">
        <f t="shared" si="81"/>
        <v/>
      </c>
    </row>
    <row r="679" spans="1:17" ht="13">
      <c r="A679" s="3"/>
      <c r="B679" s="93"/>
      <c r="C679" s="4"/>
      <c r="D679" s="7"/>
      <c r="E679" s="7"/>
      <c r="F679" s="7"/>
      <c r="G679" s="7"/>
      <c r="H679" s="7"/>
      <c r="I679" s="2"/>
      <c r="J679" s="8"/>
      <c r="K679" s="7"/>
      <c r="L679" s="8"/>
      <c r="M679" s="74"/>
      <c r="N679" s="78" t="str">
        <f t="shared" ref="N679:N710" si="82">IF(AND(A679="",K916=""),"",IF(Q679="","Em Andamento",IF(M679&lt;=O679,"Dentro do Prazo","Fora do Prazo")))</f>
        <v/>
      </c>
      <c r="O679" s="57" t="str">
        <f t="shared" si="72"/>
        <v/>
      </c>
      <c r="P679" s="76" t="str">
        <f t="shared" ca="1" si="73"/>
        <v/>
      </c>
      <c r="Q679" s="84" t="str">
        <f t="shared" si="81"/>
        <v/>
      </c>
    </row>
    <row r="680" spans="1:17" ht="13">
      <c r="A680" s="3"/>
      <c r="B680" s="93"/>
      <c r="C680" s="4"/>
      <c r="D680" s="7"/>
      <c r="E680" s="7"/>
      <c r="F680" s="7"/>
      <c r="G680" s="7"/>
      <c r="H680" s="7"/>
      <c r="I680" s="2"/>
      <c r="J680" s="8"/>
      <c r="K680" s="7"/>
      <c r="L680" s="8"/>
      <c r="M680" s="74"/>
      <c r="N680" s="78" t="str">
        <f t="shared" si="82"/>
        <v/>
      </c>
      <c r="O680" s="57" t="str">
        <f t="shared" si="72"/>
        <v/>
      </c>
      <c r="P680" s="76" t="str">
        <f t="shared" ca="1" si="73"/>
        <v/>
      </c>
      <c r="Q680" s="84" t="str">
        <f t="shared" si="81"/>
        <v/>
      </c>
    </row>
    <row r="681" spans="1:17" ht="13">
      <c r="A681" s="3"/>
      <c r="B681" s="93"/>
      <c r="C681" s="4"/>
      <c r="D681" s="7"/>
      <c r="E681" s="7"/>
      <c r="F681" s="7"/>
      <c r="G681" s="7"/>
      <c r="H681" s="7"/>
      <c r="I681" s="2"/>
      <c r="J681" s="8"/>
      <c r="K681" s="7"/>
      <c r="L681" s="8"/>
      <c r="M681" s="74"/>
      <c r="N681" s="78" t="str">
        <f t="shared" si="82"/>
        <v/>
      </c>
      <c r="O681" s="57" t="str">
        <f t="shared" si="72"/>
        <v/>
      </c>
      <c r="P681" s="76" t="str">
        <f t="shared" ca="1" si="73"/>
        <v/>
      </c>
      <c r="Q681" s="84" t="str">
        <f t="shared" si="81"/>
        <v/>
      </c>
    </row>
    <row r="682" spans="1:17" ht="13">
      <c r="A682" s="3"/>
      <c r="B682" s="93"/>
      <c r="C682" s="4"/>
      <c r="D682" s="7"/>
      <c r="E682" s="7"/>
      <c r="F682" s="7"/>
      <c r="G682" s="7"/>
      <c r="H682" s="7"/>
      <c r="I682" s="2"/>
      <c r="J682" s="8"/>
      <c r="K682" s="7"/>
      <c r="L682" s="8"/>
      <c r="M682" s="74"/>
      <c r="N682" s="78" t="str">
        <f t="shared" si="82"/>
        <v/>
      </c>
      <c r="O682" s="57" t="str">
        <f t="shared" si="72"/>
        <v/>
      </c>
      <c r="P682" s="76" t="str">
        <f t="shared" ca="1" si="73"/>
        <v/>
      </c>
      <c r="Q682" s="84" t="str">
        <f t="shared" si="81"/>
        <v/>
      </c>
    </row>
    <row r="683" spans="1:17" ht="13">
      <c r="A683" s="3"/>
      <c r="B683" s="93"/>
      <c r="C683" s="4"/>
      <c r="D683" s="7"/>
      <c r="E683" s="7"/>
      <c r="F683" s="7"/>
      <c r="G683" s="7"/>
      <c r="H683" s="7"/>
      <c r="I683" s="2"/>
      <c r="J683" s="8"/>
      <c r="K683" s="7"/>
      <c r="L683" s="8"/>
      <c r="M683" s="74"/>
      <c r="N683" s="78" t="str">
        <f t="shared" si="82"/>
        <v/>
      </c>
      <c r="O683" s="57" t="str">
        <f t="shared" si="72"/>
        <v/>
      </c>
      <c r="P683" s="76" t="str">
        <f t="shared" ca="1" si="73"/>
        <v/>
      </c>
      <c r="Q683" s="84" t="str">
        <f t="shared" si="81"/>
        <v/>
      </c>
    </row>
    <row r="684" spans="1:17" ht="13">
      <c r="A684" s="3"/>
      <c r="B684" s="93"/>
      <c r="C684" s="4"/>
      <c r="D684" s="7"/>
      <c r="E684" s="7"/>
      <c r="F684" s="7"/>
      <c r="G684" s="7"/>
      <c r="H684" s="7"/>
      <c r="I684" s="2"/>
      <c r="J684" s="8"/>
      <c r="K684" s="7"/>
      <c r="L684" s="8"/>
      <c r="M684" s="74"/>
      <c r="N684" s="78" t="str">
        <f t="shared" si="82"/>
        <v/>
      </c>
      <c r="O684" s="57" t="str">
        <f t="shared" si="72"/>
        <v/>
      </c>
      <c r="P684" s="76" t="str">
        <f t="shared" ca="1" si="73"/>
        <v/>
      </c>
      <c r="Q684" s="84" t="str">
        <f t="shared" si="81"/>
        <v/>
      </c>
    </row>
    <row r="685" spans="1:17" ht="13">
      <c r="A685" s="3"/>
      <c r="B685" s="93"/>
      <c r="C685" s="4"/>
      <c r="D685" s="7"/>
      <c r="E685" s="7"/>
      <c r="F685" s="7"/>
      <c r="G685" s="7"/>
      <c r="H685" s="7"/>
      <c r="I685" s="2"/>
      <c r="J685" s="8"/>
      <c r="K685" s="7"/>
      <c r="L685" s="8"/>
      <c r="M685" s="74"/>
      <c r="N685" s="78" t="str">
        <f t="shared" si="82"/>
        <v/>
      </c>
      <c r="O685" s="57" t="str">
        <f t="shared" si="72"/>
        <v/>
      </c>
      <c r="P685" s="76" t="str">
        <f t="shared" ca="1" si="73"/>
        <v/>
      </c>
      <c r="Q685" s="84" t="str">
        <f t="shared" si="81"/>
        <v/>
      </c>
    </row>
    <row r="686" spans="1:17" ht="13">
      <c r="A686" s="3"/>
      <c r="B686" s="93"/>
      <c r="C686" s="4"/>
      <c r="D686" s="7"/>
      <c r="E686" s="7"/>
      <c r="F686" s="7"/>
      <c r="G686" s="7"/>
      <c r="H686" s="7"/>
      <c r="I686" s="2"/>
      <c r="J686" s="8"/>
      <c r="K686" s="7"/>
      <c r="L686" s="8"/>
      <c r="M686" s="74"/>
      <c r="N686" s="78" t="str">
        <f t="shared" si="82"/>
        <v/>
      </c>
      <c r="O686" s="57" t="str">
        <f t="shared" si="72"/>
        <v/>
      </c>
      <c r="P686" s="76" t="str">
        <f t="shared" ca="1" si="73"/>
        <v/>
      </c>
      <c r="Q686" s="84" t="str">
        <f t="shared" si="81"/>
        <v/>
      </c>
    </row>
    <row r="687" spans="1:17" ht="13">
      <c r="A687" s="3"/>
      <c r="B687" s="93"/>
      <c r="C687" s="4"/>
      <c r="D687" s="7"/>
      <c r="E687" s="7"/>
      <c r="F687" s="7"/>
      <c r="G687" s="7"/>
      <c r="H687" s="7"/>
      <c r="I687" s="2"/>
      <c r="J687" s="8"/>
      <c r="K687" s="7"/>
      <c r="L687" s="8"/>
      <c r="M687" s="74"/>
      <c r="N687" s="78" t="str">
        <f t="shared" si="82"/>
        <v/>
      </c>
      <c r="O687" s="57" t="str">
        <f t="shared" si="72"/>
        <v/>
      </c>
      <c r="P687" s="76" t="str">
        <f t="shared" ca="1" si="73"/>
        <v/>
      </c>
      <c r="Q687" s="84" t="str">
        <f t="shared" si="81"/>
        <v/>
      </c>
    </row>
    <row r="688" spans="1:17" ht="13">
      <c r="A688" s="3"/>
      <c r="B688" s="93"/>
      <c r="C688" s="4"/>
      <c r="D688" s="7"/>
      <c r="E688" s="7"/>
      <c r="F688" s="7"/>
      <c r="G688" s="7"/>
      <c r="H688" s="7"/>
      <c r="I688" s="2"/>
      <c r="J688" s="8"/>
      <c r="K688" s="7"/>
      <c r="L688" s="8"/>
      <c r="M688" s="74"/>
      <c r="N688" s="78" t="str">
        <f t="shared" si="82"/>
        <v/>
      </c>
      <c r="O688" s="57" t="str">
        <f t="shared" si="72"/>
        <v/>
      </c>
      <c r="P688" s="76" t="str">
        <f t="shared" ca="1" si="73"/>
        <v/>
      </c>
      <c r="Q688" s="84" t="str">
        <f t="shared" si="81"/>
        <v/>
      </c>
    </row>
    <row r="689" spans="1:17" ht="13">
      <c r="A689" s="3"/>
      <c r="B689" s="93"/>
      <c r="C689" s="4"/>
      <c r="D689" s="7"/>
      <c r="E689" s="7"/>
      <c r="F689" s="7"/>
      <c r="G689" s="7"/>
      <c r="H689" s="7"/>
      <c r="I689" s="2"/>
      <c r="J689" s="8"/>
      <c r="K689" s="7"/>
      <c r="L689" s="8"/>
      <c r="M689" s="74"/>
      <c r="N689" s="78" t="str">
        <f t="shared" si="82"/>
        <v/>
      </c>
      <c r="O689" s="57" t="str">
        <f t="shared" si="72"/>
        <v/>
      </c>
      <c r="P689" s="76" t="str">
        <f t="shared" ca="1" si="73"/>
        <v/>
      </c>
      <c r="Q689" s="84" t="str">
        <f t="shared" si="81"/>
        <v/>
      </c>
    </row>
    <row r="690" spans="1:17" ht="13">
      <c r="A690" s="3"/>
      <c r="B690" s="93"/>
      <c r="C690" s="4"/>
      <c r="D690" s="7"/>
      <c r="E690" s="7"/>
      <c r="F690" s="7"/>
      <c r="G690" s="7"/>
      <c r="H690" s="7"/>
      <c r="I690" s="2"/>
      <c r="J690" s="8"/>
      <c r="K690" s="7"/>
      <c r="L690" s="8"/>
      <c r="M690" s="74"/>
      <c r="N690" s="78" t="str">
        <f t="shared" si="82"/>
        <v/>
      </c>
      <c r="O690" s="57" t="str">
        <f t="shared" si="72"/>
        <v/>
      </c>
      <c r="P690" s="76" t="str">
        <f t="shared" ca="1" si="73"/>
        <v/>
      </c>
      <c r="Q690" s="84" t="str">
        <f t="shared" si="81"/>
        <v/>
      </c>
    </row>
    <row r="691" spans="1:17" ht="13">
      <c r="A691" s="3"/>
      <c r="B691" s="93"/>
      <c r="C691" s="4"/>
      <c r="D691" s="7"/>
      <c r="E691" s="7"/>
      <c r="F691" s="7"/>
      <c r="G691" s="7"/>
      <c r="H691" s="7"/>
      <c r="I691" s="2"/>
      <c r="J691" s="8"/>
      <c r="K691" s="7"/>
      <c r="L691" s="8"/>
      <c r="M691" s="74"/>
      <c r="N691" s="78" t="str">
        <f t="shared" si="82"/>
        <v/>
      </c>
      <c r="O691" s="57" t="str">
        <f t="shared" si="72"/>
        <v/>
      </c>
      <c r="P691" s="76" t="str">
        <f t="shared" ca="1" si="73"/>
        <v/>
      </c>
      <c r="Q691" s="84" t="str">
        <f t="shared" si="81"/>
        <v/>
      </c>
    </row>
    <row r="692" spans="1:17" ht="13">
      <c r="A692" s="3"/>
      <c r="B692" s="93"/>
      <c r="C692" s="4"/>
      <c r="D692" s="7"/>
      <c r="E692" s="7"/>
      <c r="F692" s="7"/>
      <c r="G692" s="7"/>
      <c r="H692" s="7"/>
      <c r="I692" s="2"/>
      <c r="J692" s="8"/>
      <c r="K692" s="7"/>
      <c r="L692" s="8"/>
      <c r="M692" s="74"/>
      <c r="N692" s="78" t="str">
        <f t="shared" si="82"/>
        <v/>
      </c>
      <c r="O692" s="57" t="str">
        <f t="shared" si="72"/>
        <v/>
      </c>
      <c r="P692" s="76" t="str">
        <f t="shared" ca="1" si="73"/>
        <v/>
      </c>
      <c r="Q692" s="84" t="str">
        <f t="shared" si="81"/>
        <v/>
      </c>
    </row>
    <row r="693" spans="1:17" ht="13">
      <c r="A693" s="3"/>
      <c r="B693" s="93"/>
      <c r="C693" s="4"/>
      <c r="D693" s="7"/>
      <c r="E693" s="7"/>
      <c r="F693" s="7"/>
      <c r="G693" s="7"/>
      <c r="H693" s="7"/>
      <c r="I693" s="2"/>
      <c r="J693" s="8"/>
      <c r="K693" s="7"/>
      <c r="L693" s="8"/>
      <c r="M693" s="74"/>
      <c r="N693" s="78" t="str">
        <f t="shared" si="82"/>
        <v/>
      </c>
      <c r="O693" s="57" t="str">
        <f t="shared" si="72"/>
        <v/>
      </c>
      <c r="P693" s="76" t="str">
        <f t="shared" ca="1" si="73"/>
        <v/>
      </c>
      <c r="Q693" s="84" t="str">
        <f t="shared" si="81"/>
        <v/>
      </c>
    </row>
    <row r="694" spans="1:17" ht="13">
      <c r="A694" s="3"/>
      <c r="B694" s="93"/>
      <c r="C694" s="4"/>
      <c r="D694" s="7"/>
      <c r="E694" s="7"/>
      <c r="F694" s="7"/>
      <c r="G694" s="7"/>
      <c r="H694" s="7"/>
      <c r="I694" s="2"/>
      <c r="J694" s="8"/>
      <c r="K694" s="7"/>
      <c r="L694" s="8"/>
      <c r="M694" s="74"/>
      <c r="N694" s="78" t="str">
        <f t="shared" si="82"/>
        <v/>
      </c>
      <c r="O694" s="57" t="str">
        <f t="shared" si="72"/>
        <v/>
      </c>
      <c r="P694" s="76" t="str">
        <f t="shared" ca="1" si="73"/>
        <v/>
      </c>
      <c r="Q694" s="84" t="str">
        <f t="shared" si="81"/>
        <v/>
      </c>
    </row>
    <row r="695" spans="1:17" ht="13">
      <c r="A695" s="3"/>
      <c r="B695" s="93"/>
      <c r="C695" s="4"/>
      <c r="D695" s="7"/>
      <c r="E695" s="7"/>
      <c r="F695" s="7"/>
      <c r="G695" s="7"/>
      <c r="H695" s="7"/>
      <c r="I695" s="2"/>
      <c r="J695" s="8"/>
      <c r="K695" s="7"/>
      <c r="L695" s="8"/>
      <c r="M695" s="74"/>
      <c r="N695" s="78" t="str">
        <f t="shared" si="82"/>
        <v/>
      </c>
      <c r="O695" s="57" t="str">
        <f t="shared" si="72"/>
        <v/>
      </c>
      <c r="P695" s="76" t="str">
        <f t="shared" ca="1" si="73"/>
        <v/>
      </c>
      <c r="Q695" s="84" t="str">
        <f t="shared" si="81"/>
        <v/>
      </c>
    </row>
    <row r="696" spans="1:17" ht="13">
      <c r="A696" s="3"/>
      <c r="B696" s="93"/>
      <c r="C696" s="4"/>
      <c r="D696" s="7"/>
      <c r="E696" s="7"/>
      <c r="F696" s="7"/>
      <c r="G696" s="7"/>
      <c r="H696" s="7"/>
      <c r="I696" s="2"/>
      <c r="J696" s="8"/>
      <c r="K696" s="7"/>
      <c r="L696" s="8"/>
      <c r="M696" s="74"/>
      <c r="N696" s="78" t="str">
        <f t="shared" si="82"/>
        <v/>
      </c>
      <c r="O696" s="57" t="str">
        <f t="shared" si="72"/>
        <v/>
      </c>
      <c r="P696" s="76" t="str">
        <f t="shared" ca="1" si="73"/>
        <v/>
      </c>
      <c r="Q696" s="84" t="str">
        <f t="shared" si="81"/>
        <v/>
      </c>
    </row>
    <row r="697" spans="1:17" ht="13">
      <c r="A697" s="3"/>
      <c r="B697" s="93"/>
      <c r="C697" s="4"/>
      <c r="D697" s="7"/>
      <c r="E697" s="7"/>
      <c r="F697" s="7"/>
      <c r="G697" s="7"/>
      <c r="H697" s="7"/>
      <c r="I697" s="2"/>
      <c r="J697" s="8"/>
      <c r="K697" s="5"/>
      <c r="L697" s="8"/>
      <c r="M697" s="74"/>
      <c r="N697" s="78" t="str">
        <f t="shared" si="82"/>
        <v/>
      </c>
      <c r="O697" s="57" t="str">
        <f t="shared" si="72"/>
        <v/>
      </c>
      <c r="P697" s="76" t="str">
        <f t="shared" ca="1" si="73"/>
        <v/>
      </c>
      <c r="Q697" s="84" t="str">
        <f t="shared" si="81"/>
        <v/>
      </c>
    </row>
    <row r="698" spans="1:17" ht="13">
      <c r="A698" s="3"/>
      <c r="B698" s="93"/>
      <c r="C698" s="4"/>
      <c r="D698" s="7"/>
      <c r="E698" s="7"/>
      <c r="F698" s="7"/>
      <c r="G698" s="7"/>
      <c r="H698" s="7"/>
      <c r="I698" s="2"/>
      <c r="J698" s="8"/>
      <c r="K698" s="5"/>
      <c r="L698" s="8"/>
      <c r="M698" s="74"/>
      <c r="N698" s="78" t="str">
        <f t="shared" si="82"/>
        <v/>
      </c>
      <c r="O698" s="57" t="str">
        <f t="shared" si="72"/>
        <v/>
      </c>
      <c r="P698" s="76" t="str">
        <f t="shared" ca="1" si="73"/>
        <v/>
      </c>
      <c r="Q698" s="84" t="str">
        <f t="shared" si="81"/>
        <v/>
      </c>
    </row>
    <row r="699" spans="1:17" ht="13">
      <c r="A699" s="3"/>
      <c r="B699" s="93"/>
      <c r="C699" s="4"/>
      <c r="D699" s="7"/>
      <c r="E699" s="7"/>
      <c r="F699" s="7"/>
      <c r="G699" s="7"/>
      <c r="H699" s="7"/>
      <c r="I699" s="2"/>
      <c r="J699" s="8"/>
      <c r="K699" s="5"/>
      <c r="L699" s="8"/>
      <c r="M699" s="74"/>
      <c r="N699" s="78" t="str">
        <f t="shared" si="82"/>
        <v/>
      </c>
      <c r="O699" s="57" t="str">
        <f t="shared" si="72"/>
        <v/>
      </c>
      <c r="P699" s="76" t="str">
        <f t="shared" ca="1" si="73"/>
        <v/>
      </c>
      <c r="Q699" s="84" t="str">
        <f t="shared" si="81"/>
        <v/>
      </c>
    </row>
    <row r="700" spans="1:17" ht="13">
      <c r="A700" s="3"/>
      <c r="B700" s="93"/>
      <c r="C700" s="4"/>
      <c r="D700" s="7"/>
      <c r="E700" s="7"/>
      <c r="F700" s="7"/>
      <c r="G700" s="7"/>
      <c r="H700" s="7"/>
      <c r="I700" s="2"/>
      <c r="J700" s="8"/>
      <c r="K700" s="5"/>
      <c r="L700" s="8"/>
      <c r="M700" s="74"/>
      <c r="N700" s="78" t="str">
        <f t="shared" si="82"/>
        <v/>
      </c>
      <c r="O700" s="57" t="str">
        <f t="shared" si="72"/>
        <v/>
      </c>
      <c r="P700" s="76" t="str">
        <f t="shared" ca="1" si="73"/>
        <v/>
      </c>
      <c r="Q700" s="84" t="str">
        <f t="shared" si="81"/>
        <v/>
      </c>
    </row>
    <row r="701" spans="1:17" ht="13">
      <c r="A701" s="3"/>
      <c r="B701" s="93"/>
      <c r="C701" s="4"/>
      <c r="D701" s="7"/>
      <c r="E701" s="7"/>
      <c r="F701" s="7"/>
      <c r="G701" s="7"/>
      <c r="H701" s="7"/>
      <c r="I701" s="2"/>
      <c r="J701" s="8"/>
      <c r="K701" s="5"/>
      <c r="L701" s="8"/>
      <c r="M701" s="74"/>
      <c r="N701" s="78" t="str">
        <f t="shared" si="82"/>
        <v/>
      </c>
      <c r="O701" s="57" t="str">
        <f t="shared" si="72"/>
        <v/>
      </c>
      <c r="P701" s="76" t="str">
        <f t="shared" ca="1" si="73"/>
        <v/>
      </c>
      <c r="Q701" s="84" t="str">
        <f t="shared" si="81"/>
        <v/>
      </c>
    </row>
    <row r="702" spans="1:17" ht="13">
      <c r="A702" s="3"/>
      <c r="B702" s="93"/>
      <c r="C702" s="4"/>
      <c r="D702" s="7"/>
      <c r="E702" s="7"/>
      <c r="F702" s="7"/>
      <c r="G702" s="7"/>
      <c r="H702" s="7"/>
      <c r="I702" s="2"/>
      <c r="J702" s="8"/>
      <c r="K702" s="5"/>
      <c r="L702" s="8"/>
      <c r="M702" s="74"/>
      <c r="N702" s="78" t="str">
        <f t="shared" si="82"/>
        <v/>
      </c>
      <c r="O702" s="57" t="str">
        <f t="shared" si="72"/>
        <v/>
      </c>
      <c r="P702" s="76" t="str">
        <f t="shared" ca="1" si="73"/>
        <v/>
      </c>
      <c r="Q702" s="84" t="str">
        <f t="shared" si="81"/>
        <v/>
      </c>
    </row>
    <row r="703" spans="1:17" ht="13">
      <c r="A703" s="3"/>
      <c r="B703" s="93"/>
      <c r="C703" s="4"/>
      <c r="D703" s="7"/>
      <c r="E703" s="7"/>
      <c r="F703" s="7"/>
      <c r="G703" s="7"/>
      <c r="H703" s="7"/>
      <c r="I703" s="2"/>
      <c r="J703" s="8"/>
      <c r="K703" s="5"/>
      <c r="L703" s="8"/>
      <c r="M703" s="74"/>
      <c r="N703" s="78" t="str">
        <f t="shared" si="82"/>
        <v/>
      </c>
      <c r="O703" s="57" t="str">
        <f t="shared" ref="O703:O726" si="83">IF(OR(A703="",L703=""),"",A703+L703)</f>
        <v/>
      </c>
      <c r="P703" s="76" t="str">
        <f t="shared" ref="P703:P766" ca="1" si="84">IF(O703="","",IF(O703-TODAY()=0,"Vence Hoje!",IF(O703-TODAY()&gt;=0,O703-TODAY()&amp;" Dia(s) para vencer","Prazo Vencido")))</f>
        <v/>
      </c>
      <c r="Q703" s="84" t="str">
        <f t="shared" si="81"/>
        <v/>
      </c>
    </row>
    <row r="704" spans="1:17" ht="13">
      <c r="A704" s="3"/>
      <c r="B704" s="93"/>
      <c r="C704" s="4"/>
      <c r="D704" s="7"/>
      <c r="E704" s="7"/>
      <c r="F704" s="7"/>
      <c r="G704" s="7"/>
      <c r="H704" s="7"/>
      <c r="I704" s="2"/>
      <c r="J704" s="8"/>
      <c r="K704" s="5"/>
      <c r="L704" s="8"/>
      <c r="M704" s="74"/>
      <c r="N704" s="78" t="str">
        <f t="shared" si="82"/>
        <v/>
      </c>
      <c r="O704" s="57" t="str">
        <f t="shared" si="83"/>
        <v/>
      </c>
      <c r="P704" s="76" t="str">
        <f t="shared" ca="1" si="84"/>
        <v/>
      </c>
      <c r="Q704" s="84" t="str">
        <f t="shared" si="81"/>
        <v/>
      </c>
    </row>
    <row r="705" spans="1:17" ht="13">
      <c r="A705" s="3"/>
      <c r="B705" s="93"/>
      <c r="C705" s="4"/>
      <c r="D705" s="7"/>
      <c r="E705" s="7"/>
      <c r="F705" s="7"/>
      <c r="G705" s="7"/>
      <c r="H705" s="7"/>
      <c r="I705" s="2"/>
      <c r="J705" s="8"/>
      <c r="K705" s="5"/>
      <c r="L705" s="8"/>
      <c r="M705" s="74"/>
      <c r="N705" s="78" t="str">
        <f t="shared" si="82"/>
        <v/>
      </c>
      <c r="O705" s="57" t="str">
        <f t="shared" si="83"/>
        <v/>
      </c>
      <c r="P705" s="76" t="str">
        <f t="shared" ca="1" si="84"/>
        <v/>
      </c>
      <c r="Q705" s="84" t="str">
        <f t="shared" si="81"/>
        <v/>
      </c>
    </row>
    <row r="706" spans="1:17" ht="13">
      <c r="A706" s="3"/>
      <c r="B706" s="93"/>
      <c r="C706" s="4"/>
      <c r="D706" s="7"/>
      <c r="E706" s="7"/>
      <c r="F706" s="7"/>
      <c r="G706" s="7"/>
      <c r="H706" s="7"/>
      <c r="I706" s="2"/>
      <c r="J706" s="8"/>
      <c r="K706" s="5"/>
      <c r="L706" s="8"/>
      <c r="M706" s="74"/>
      <c r="N706" s="78" t="str">
        <f t="shared" si="82"/>
        <v/>
      </c>
      <c r="O706" s="57" t="str">
        <f t="shared" si="83"/>
        <v/>
      </c>
      <c r="P706" s="76" t="str">
        <f t="shared" ca="1" si="84"/>
        <v/>
      </c>
      <c r="Q706" s="84" t="str">
        <f t="shared" si="81"/>
        <v/>
      </c>
    </row>
    <row r="707" spans="1:17" ht="13">
      <c r="A707" s="3"/>
      <c r="B707" s="93"/>
      <c r="C707" s="4"/>
      <c r="D707" s="7"/>
      <c r="E707" s="7"/>
      <c r="F707" s="7"/>
      <c r="G707" s="7"/>
      <c r="H707" s="7"/>
      <c r="I707" s="2"/>
      <c r="J707" s="8"/>
      <c r="K707" s="5"/>
      <c r="L707" s="8"/>
      <c r="M707" s="74"/>
      <c r="N707" s="78" t="str">
        <f t="shared" si="82"/>
        <v/>
      </c>
      <c r="O707" s="57" t="str">
        <f t="shared" si="83"/>
        <v/>
      </c>
      <c r="P707" s="76" t="str">
        <f t="shared" ca="1" si="84"/>
        <v/>
      </c>
      <c r="Q707" s="84" t="str">
        <f t="shared" si="81"/>
        <v/>
      </c>
    </row>
    <row r="708" spans="1:17" ht="13">
      <c r="A708" s="3"/>
      <c r="B708" s="93"/>
      <c r="C708" s="4"/>
      <c r="D708" s="7"/>
      <c r="E708" s="7"/>
      <c r="F708" s="7"/>
      <c r="G708" s="7"/>
      <c r="H708" s="7"/>
      <c r="I708" s="2"/>
      <c r="J708" s="8"/>
      <c r="K708" s="5"/>
      <c r="L708" s="8"/>
      <c r="M708" s="74"/>
      <c r="N708" s="78" t="str">
        <f t="shared" si="82"/>
        <v/>
      </c>
      <c r="O708" s="57" t="str">
        <f t="shared" si="83"/>
        <v/>
      </c>
      <c r="P708" s="76" t="str">
        <f t="shared" ca="1" si="84"/>
        <v/>
      </c>
      <c r="Q708" s="84" t="str">
        <f t="shared" si="81"/>
        <v/>
      </c>
    </row>
    <row r="709" spans="1:17" ht="13">
      <c r="A709" s="3"/>
      <c r="B709" s="93"/>
      <c r="C709" s="4"/>
      <c r="D709" s="7"/>
      <c r="E709" s="7"/>
      <c r="F709" s="7"/>
      <c r="G709" s="7"/>
      <c r="H709" s="7"/>
      <c r="I709" s="2"/>
      <c r="J709" s="8"/>
      <c r="K709" s="5"/>
      <c r="L709" s="8"/>
      <c r="M709" s="74"/>
      <c r="N709" s="78" t="str">
        <f t="shared" si="82"/>
        <v/>
      </c>
      <c r="O709" s="57" t="str">
        <f t="shared" si="83"/>
        <v/>
      </c>
      <c r="P709" s="76" t="str">
        <f t="shared" ca="1" si="84"/>
        <v/>
      </c>
      <c r="Q709" s="84" t="str">
        <f t="shared" si="81"/>
        <v/>
      </c>
    </row>
    <row r="710" spans="1:17" ht="13">
      <c r="A710" s="3"/>
      <c r="B710" s="93"/>
      <c r="C710" s="4"/>
      <c r="D710" s="7"/>
      <c r="E710" s="7"/>
      <c r="F710" s="7"/>
      <c r="G710" s="7"/>
      <c r="H710" s="7"/>
      <c r="I710" s="2"/>
      <c r="J710" s="8"/>
      <c r="K710" s="5"/>
      <c r="L710" s="8"/>
      <c r="M710" s="74"/>
      <c r="N710" s="78" t="str">
        <f t="shared" si="82"/>
        <v/>
      </c>
      <c r="O710" s="57" t="str">
        <f t="shared" si="83"/>
        <v/>
      </c>
      <c r="P710" s="76" t="str">
        <f t="shared" ca="1" si="84"/>
        <v/>
      </c>
      <c r="Q710" s="84" t="str">
        <f t="shared" si="81"/>
        <v/>
      </c>
    </row>
    <row r="711" spans="1:17" ht="13">
      <c r="A711" s="3"/>
      <c r="B711" s="93"/>
      <c r="C711" s="4"/>
      <c r="D711" s="7"/>
      <c r="E711" s="7"/>
      <c r="F711" s="7"/>
      <c r="G711" s="7"/>
      <c r="H711" s="7"/>
      <c r="I711" s="2"/>
      <c r="J711" s="8"/>
      <c r="K711" s="5"/>
      <c r="L711" s="8"/>
      <c r="M711" s="74"/>
      <c r="N711" s="78" t="str">
        <f t="shared" ref="N711:N742" si="85">IF(AND(A711="",K948=""),"",IF(Q711="","Em Andamento",IF(M711&lt;=O711,"Dentro do Prazo","Fora do Prazo")))</f>
        <v/>
      </c>
      <c r="O711" s="57" t="str">
        <f t="shared" si="83"/>
        <v/>
      </c>
      <c r="P711" s="76" t="str">
        <f t="shared" ca="1" si="84"/>
        <v/>
      </c>
      <c r="Q711" s="84" t="str">
        <f t="shared" si="81"/>
        <v/>
      </c>
    </row>
    <row r="712" spans="1:17" ht="13">
      <c r="A712" s="3"/>
      <c r="B712" s="93"/>
      <c r="C712" s="4"/>
      <c r="D712" s="7"/>
      <c r="E712" s="7"/>
      <c r="F712" s="7"/>
      <c r="G712" s="7"/>
      <c r="H712" s="7"/>
      <c r="I712" s="2"/>
      <c r="J712" s="8"/>
      <c r="K712" s="5"/>
      <c r="L712" s="8"/>
      <c r="M712" s="74"/>
      <c r="N712" s="78" t="str">
        <f t="shared" si="85"/>
        <v/>
      </c>
      <c r="O712" s="57" t="str">
        <f t="shared" si="83"/>
        <v/>
      </c>
      <c r="P712" s="76" t="str">
        <f t="shared" ca="1" si="84"/>
        <v/>
      </c>
      <c r="Q712" s="84" t="str">
        <f t="shared" si="81"/>
        <v/>
      </c>
    </row>
    <row r="713" spans="1:17" ht="13">
      <c r="A713" s="3"/>
      <c r="B713" s="93"/>
      <c r="C713" s="4"/>
      <c r="D713" s="7"/>
      <c r="E713" s="7"/>
      <c r="F713" s="7"/>
      <c r="G713" s="7"/>
      <c r="H713" s="7"/>
      <c r="I713" s="2"/>
      <c r="J713" s="8"/>
      <c r="K713" s="5"/>
      <c r="L713" s="8"/>
      <c r="M713" s="74"/>
      <c r="N713" s="78" t="str">
        <f t="shared" si="85"/>
        <v/>
      </c>
      <c r="O713" s="57" t="str">
        <f t="shared" si="83"/>
        <v/>
      </c>
      <c r="P713" s="76" t="str">
        <f t="shared" ca="1" si="84"/>
        <v/>
      </c>
      <c r="Q713" s="84" t="str">
        <f t="shared" si="81"/>
        <v/>
      </c>
    </row>
    <row r="714" spans="1:17" ht="13">
      <c r="A714" s="3"/>
      <c r="B714" s="93"/>
      <c r="C714" s="4"/>
      <c r="D714" s="7"/>
      <c r="E714" s="7"/>
      <c r="F714" s="7"/>
      <c r="G714" s="7"/>
      <c r="H714" s="7"/>
      <c r="I714" s="2"/>
      <c r="J714" s="8"/>
      <c r="K714" s="5"/>
      <c r="L714" s="8"/>
      <c r="M714" s="74"/>
      <c r="N714" s="78" t="str">
        <f t="shared" si="85"/>
        <v/>
      </c>
      <c r="O714" s="57" t="str">
        <f t="shared" si="83"/>
        <v/>
      </c>
      <c r="P714" s="76" t="str">
        <f t="shared" ca="1" si="84"/>
        <v/>
      </c>
      <c r="Q714" s="84" t="str">
        <f t="shared" si="81"/>
        <v/>
      </c>
    </row>
    <row r="715" spans="1:17" ht="13">
      <c r="A715" s="3"/>
      <c r="B715" s="93"/>
      <c r="C715" s="4"/>
      <c r="D715" s="7"/>
      <c r="E715" s="7"/>
      <c r="F715" s="7"/>
      <c r="G715" s="7"/>
      <c r="H715" s="7"/>
      <c r="I715" s="2"/>
      <c r="J715" s="8"/>
      <c r="K715" s="5"/>
      <c r="L715" s="8"/>
      <c r="M715" s="74"/>
      <c r="N715" s="78" t="str">
        <f t="shared" si="85"/>
        <v/>
      </c>
      <c r="O715" s="57" t="str">
        <f t="shared" si="83"/>
        <v/>
      </c>
      <c r="P715" s="76" t="str">
        <f t="shared" ca="1" si="84"/>
        <v/>
      </c>
      <c r="Q715" s="84" t="str">
        <f t="shared" si="81"/>
        <v/>
      </c>
    </row>
    <row r="716" spans="1:17" ht="13">
      <c r="A716" s="3"/>
      <c r="B716" s="93"/>
      <c r="C716" s="4"/>
      <c r="D716" s="7"/>
      <c r="E716" s="7"/>
      <c r="F716" s="7"/>
      <c r="G716" s="7"/>
      <c r="H716" s="7"/>
      <c r="I716" s="2"/>
      <c r="J716" s="8"/>
      <c r="K716" s="5"/>
      <c r="L716" s="8"/>
      <c r="M716" s="74"/>
      <c r="N716" s="78" t="str">
        <f t="shared" si="85"/>
        <v/>
      </c>
      <c r="O716" s="57" t="str">
        <f t="shared" si="83"/>
        <v/>
      </c>
      <c r="P716" s="76" t="str">
        <f t="shared" ca="1" si="84"/>
        <v/>
      </c>
      <c r="Q716" s="84" t="str">
        <f t="shared" si="81"/>
        <v/>
      </c>
    </row>
    <row r="717" spans="1:17" ht="13">
      <c r="A717" s="3"/>
      <c r="B717" s="93"/>
      <c r="C717" s="4"/>
      <c r="D717" s="7"/>
      <c r="E717" s="7"/>
      <c r="F717" s="7"/>
      <c r="G717" s="7"/>
      <c r="H717" s="7"/>
      <c r="I717" s="2"/>
      <c r="J717" s="8"/>
      <c r="K717" s="5"/>
      <c r="L717" s="8"/>
      <c r="M717" s="74"/>
      <c r="N717" s="78" t="str">
        <f t="shared" si="85"/>
        <v/>
      </c>
      <c r="O717" s="57" t="str">
        <f t="shared" si="83"/>
        <v/>
      </c>
      <c r="P717" s="76" t="str">
        <f t="shared" ca="1" si="84"/>
        <v/>
      </c>
      <c r="Q717" s="84" t="str">
        <f t="shared" si="81"/>
        <v/>
      </c>
    </row>
    <row r="718" spans="1:17" ht="13">
      <c r="A718" s="3"/>
      <c r="B718" s="93"/>
      <c r="C718" s="4"/>
      <c r="D718" s="7"/>
      <c r="E718" s="7"/>
      <c r="F718" s="7"/>
      <c r="G718" s="7"/>
      <c r="H718" s="7"/>
      <c r="I718" s="2"/>
      <c r="J718" s="8"/>
      <c r="K718" s="5"/>
      <c r="L718" s="8"/>
      <c r="M718" s="74"/>
      <c r="N718" s="8"/>
      <c r="O718" s="57" t="str">
        <f t="shared" si="83"/>
        <v/>
      </c>
      <c r="P718" s="76" t="str">
        <f t="shared" ca="1" si="84"/>
        <v/>
      </c>
      <c r="Q718" s="84" t="str">
        <f t="shared" si="81"/>
        <v/>
      </c>
    </row>
    <row r="719" spans="1:17" ht="13">
      <c r="A719" s="3"/>
      <c r="B719" s="93"/>
      <c r="C719" s="4"/>
      <c r="D719" s="7"/>
      <c r="E719" s="7"/>
      <c r="F719" s="7"/>
      <c r="G719" s="7"/>
      <c r="H719" s="7"/>
      <c r="I719" s="2"/>
      <c r="J719" s="8"/>
      <c r="K719" s="5"/>
      <c r="L719" s="8"/>
      <c r="M719" s="74"/>
      <c r="N719" s="8"/>
      <c r="O719" s="57" t="str">
        <f t="shared" si="83"/>
        <v/>
      </c>
      <c r="P719" s="76" t="str">
        <f t="shared" ca="1" si="84"/>
        <v/>
      </c>
      <c r="Q719" s="84" t="str">
        <f t="shared" si="81"/>
        <v/>
      </c>
    </row>
    <row r="720" spans="1:17" ht="13">
      <c r="A720" s="3"/>
      <c r="B720" s="93"/>
      <c r="C720" s="4"/>
      <c r="D720" s="7"/>
      <c r="E720" s="7"/>
      <c r="F720" s="7"/>
      <c r="G720" s="7"/>
      <c r="H720" s="7"/>
      <c r="I720" s="2"/>
      <c r="J720" s="8"/>
      <c r="K720" s="5"/>
      <c r="L720" s="8"/>
      <c r="M720" s="74"/>
      <c r="N720" s="8"/>
      <c r="O720" s="57" t="str">
        <f t="shared" si="83"/>
        <v/>
      </c>
      <c r="P720" s="76" t="str">
        <f t="shared" ca="1" si="84"/>
        <v/>
      </c>
      <c r="Q720" s="84" t="str">
        <f t="shared" si="81"/>
        <v/>
      </c>
    </row>
    <row r="721" spans="1:17" ht="13">
      <c r="A721" s="3"/>
      <c r="B721" s="93"/>
      <c r="C721" s="4"/>
      <c r="D721" s="7"/>
      <c r="E721" s="7"/>
      <c r="F721" s="7"/>
      <c r="G721" s="7"/>
      <c r="H721" s="7"/>
      <c r="I721" s="2"/>
      <c r="J721" s="8"/>
      <c r="K721" s="5"/>
      <c r="L721" s="8"/>
      <c r="M721" s="74"/>
      <c r="N721" s="8"/>
      <c r="O721" s="57" t="str">
        <f t="shared" si="83"/>
        <v/>
      </c>
      <c r="P721" s="76" t="str">
        <f t="shared" ca="1" si="84"/>
        <v/>
      </c>
      <c r="Q721" s="84" t="str">
        <f t="shared" si="81"/>
        <v/>
      </c>
    </row>
    <row r="722" spans="1:17" ht="13">
      <c r="A722" s="3"/>
      <c r="B722" s="93"/>
      <c r="C722" s="4"/>
      <c r="D722" s="7"/>
      <c r="E722" s="7"/>
      <c r="F722" s="7"/>
      <c r="G722" s="7"/>
      <c r="H722" s="7"/>
      <c r="I722" s="2"/>
      <c r="J722" s="8"/>
      <c r="K722" s="5"/>
      <c r="L722" s="8"/>
      <c r="M722" s="74"/>
      <c r="N722" s="8"/>
      <c r="O722" s="57" t="str">
        <f t="shared" si="83"/>
        <v/>
      </c>
      <c r="P722" s="76" t="str">
        <f t="shared" ca="1" si="84"/>
        <v/>
      </c>
      <c r="Q722" s="84" t="str">
        <f t="shared" si="81"/>
        <v/>
      </c>
    </row>
    <row r="723" spans="1:17" ht="13">
      <c r="A723" s="3"/>
      <c r="B723" s="93"/>
      <c r="C723" s="4"/>
      <c r="D723" s="7"/>
      <c r="E723" s="7"/>
      <c r="F723" s="7"/>
      <c r="G723" s="7"/>
      <c r="H723" s="7"/>
      <c r="I723" s="2"/>
      <c r="J723" s="8"/>
      <c r="K723" s="5"/>
      <c r="L723" s="8"/>
      <c r="M723" s="74"/>
      <c r="N723" s="8"/>
      <c r="O723" s="57" t="str">
        <f t="shared" si="83"/>
        <v/>
      </c>
      <c r="P723" s="76" t="str">
        <f t="shared" ca="1" si="84"/>
        <v/>
      </c>
      <c r="Q723" s="84" t="str">
        <f t="shared" si="81"/>
        <v/>
      </c>
    </row>
    <row r="724" spans="1:17" ht="13">
      <c r="A724" s="3"/>
      <c r="B724" s="93"/>
      <c r="C724" s="4"/>
      <c r="D724" s="7"/>
      <c r="E724" s="7"/>
      <c r="F724" s="7"/>
      <c r="G724" s="7"/>
      <c r="H724" s="7"/>
      <c r="I724" s="2"/>
      <c r="J724" s="8"/>
      <c r="K724" s="5"/>
      <c r="L724" s="8"/>
      <c r="M724" s="74"/>
      <c r="N724" s="8"/>
      <c r="O724" s="57" t="str">
        <f t="shared" si="83"/>
        <v/>
      </c>
      <c r="P724" s="76" t="str">
        <f t="shared" ca="1" si="84"/>
        <v/>
      </c>
      <c r="Q724" s="84" t="str">
        <f t="shared" si="81"/>
        <v/>
      </c>
    </row>
    <row r="725" spans="1:17" ht="13">
      <c r="A725" s="3"/>
      <c r="B725" s="93"/>
      <c r="C725" s="4"/>
      <c r="D725" s="7"/>
      <c r="E725" s="7"/>
      <c r="F725" s="7"/>
      <c r="G725" s="7"/>
      <c r="H725" s="7"/>
      <c r="I725" s="2"/>
      <c r="J725" s="8"/>
      <c r="K725" s="5"/>
      <c r="L725" s="8"/>
      <c r="M725" s="74"/>
      <c r="N725" s="8"/>
      <c r="O725" s="57" t="str">
        <f t="shared" si="83"/>
        <v/>
      </c>
      <c r="P725" s="76" t="str">
        <f t="shared" ca="1" si="84"/>
        <v/>
      </c>
      <c r="Q725" s="84" t="str">
        <f t="shared" si="81"/>
        <v/>
      </c>
    </row>
    <row r="726" spans="1:17" ht="13">
      <c r="A726" s="3"/>
      <c r="B726" s="93"/>
      <c r="C726" s="4"/>
      <c r="D726" s="7"/>
      <c r="E726" s="7"/>
      <c r="F726" s="7"/>
      <c r="G726" s="7"/>
      <c r="H726" s="7"/>
      <c r="I726" s="2"/>
      <c r="J726" s="8"/>
      <c r="K726" s="5"/>
      <c r="L726" s="8"/>
      <c r="M726" s="74"/>
      <c r="N726" s="8"/>
      <c r="O726" s="57" t="str">
        <f t="shared" si="83"/>
        <v/>
      </c>
      <c r="P726" s="76" t="str">
        <f t="shared" ca="1" si="84"/>
        <v/>
      </c>
      <c r="Q726" s="84" t="str">
        <f t="shared" si="81"/>
        <v/>
      </c>
    </row>
    <row r="727" spans="1:17" ht="13">
      <c r="A727" s="3"/>
      <c r="B727" s="93"/>
      <c r="C727" s="4"/>
      <c r="D727" s="7"/>
      <c r="E727" s="7"/>
      <c r="F727" s="7"/>
      <c r="G727" s="7"/>
      <c r="H727" s="7"/>
      <c r="I727" s="2"/>
      <c r="J727" s="8"/>
      <c r="K727" s="5"/>
      <c r="L727" s="8"/>
      <c r="M727" s="74"/>
      <c r="N727" s="8"/>
      <c r="O727" s="10"/>
      <c r="P727" s="76" t="str">
        <f t="shared" ca="1" si="84"/>
        <v/>
      </c>
      <c r="Q727" s="84" t="str">
        <f t="shared" si="81"/>
        <v/>
      </c>
    </row>
    <row r="728" spans="1:17" ht="13">
      <c r="A728" s="3"/>
      <c r="B728" s="93"/>
      <c r="C728" s="4"/>
      <c r="D728" s="7"/>
      <c r="E728" s="7"/>
      <c r="F728" s="7"/>
      <c r="G728" s="7"/>
      <c r="H728" s="7"/>
      <c r="I728" s="2"/>
      <c r="J728" s="8"/>
      <c r="K728" s="5"/>
      <c r="L728" s="8"/>
      <c r="M728" s="74"/>
      <c r="N728" s="8"/>
      <c r="O728" s="10"/>
      <c r="P728" s="76" t="str">
        <f t="shared" ca="1" si="84"/>
        <v/>
      </c>
      <c r="Q728" s="84" t="str">
        <f t="shared" ref="Q728:Q791" si="86">IF(OR(A728="",M728=""),"",M728-A728)</f>
        <v/>
      </c>
    </row>
    <row r="729" spans="1:17" ht="13">
      <c r="A729" s="3"/>
      <c r="B729" s="93"/>
      <c r="C729" s="4"/>
      <c r="D729" s="7"/>
      <c r="E729" s="7"/>
      <c r="F729" s="7"/>
      <c r="G729" s="7"/>
      <c r="H729" s="7"/>
      <c r="I729" s="2"/>
      <c r="J729" s="8"/>
      <c r="K729" s="5"/>
      <c r="L729" s="8"/>
      <c r="M729" s="74"/>
      <c r="N729" s="8"/>
      <c r="O729" s="10"/>
      <c r="P729" s="76" t="str">
        <f t="shared" ca="1" si="84"/>
        <v/>
      </c>
      <c r="Q729" s="84" t="str">
        <f t="shared" si="86"/>
        <v/>
      </c>
    </row>
    <row r="730" spans="1:17" ht="13">
      <c r="A730" s="3"/>
      <c r="B730" s="93"/>
      <c r="C730" s="4"/>
      <c r="D730" s="7"/>
      <c r="E730" s="7"/>
      <c r="F730" s="7"/>
      <c r="G730" s="7"/>
      <c r="H730" s="7"/>
      <c r="I730" s="2"/>
      <c r="J730" s="8"/>
      <c r="K730" s="5"/>
      <c r="L730" s="8"/>
      <c r="M730" s="74"/>
      <c r="N730" s="8"/>
      <c r="O730" s="10"/>
      <c r="P730" s="76" t="str">
        <f t="shared" ca="1" si="84"/>
        <v/>
      </c>
      <c r="Q730" s="84" t="str">
        <f t="shared" si="86"/>
        <v/>
      </c>
    </row>
    <row r="731" spans="1:17" ht="13">
      <c r="A731" s="3"/>
      <c r="B731" s="93"/>
      <c r="C731" s="4"/>
      <c r="D731" s="7"/>
      <c r="E731" s="7"/>
      <c r="F731" s="7"/>
      <c r="G731" s="7"/>
      <c r="H731" s="7"/>
      <c r="I731" s="2"/>
      <c r="J731" s="8"/>
      <c r="K731" s="5"/>
      <c r="L731" s="8"/>
      <c r="M731" s="74"/>
      <c r="N731" s="8"/>
      <c r="O731" s="10"/>
      <c r="P731" s="76" t="str">
        <f t="shared" ca="1" si="84"/>
        <v/>
      </c>
      <c r="Q731" s="84" t="str">
        <f t="shared" si="86"/>
        <v/>
      </c>
    </row>
    <row r="732" spans="1:17" ht="13">
      <c r="A732" s="3"/>
      <c r="B732" s="93"/>
      <c r="C732" s="4"/>
      <c r="D732" s="7"/>
      <c r="E732" s="7"/>
      <c r="F732" s="7"/>
      <c r="G732" s="7"/>
      <c r="H732" s="7"/>
      <c r="I732" s="2"/>
      <c r="J732" s="8"/>
      <c r="K732" s="5"/>
      <c r="L732" s="8"/>
      <c r="M732" s="74"/>
      <c r="N732" s="8"/>
      <c r="O732" s="10"/>
      <c r="P732" s="76" t="str">
        <f t="shared" ca="1" si="84"/>
        <v/>
      </c>
      <c r="Q732" s="84" t="str">
        <f t="shared" si="86"/>
        <v/>
      </c>
    </row>
    <row r="733" spans="1:17" ht="13">
      <c r="A733" s="3"/>
      <c r="B733" s="93"/>
      <c r="C733" s="4"/>
      <c r="D733" s="7"/>
      <c r="E733" s="7"/>
      <c r="F733" s="7"/>
      <c r="G733" s="7"/>
      <c r="H733" s="7"/>
      <c r="I733" s="2"/>
      <c r="J733" s="8"/>
      <c r="K733" s="5"/>
      <c r="L733" s="8"/>
      <c r="M733" s="74"/>
      <c r="N733" s="8"/>
      <c r="O733" s="10"/>
      <c r="P733" s="76" t="str">
        <f t="shared" ca="1" si="84"/>
        <v/>
      </c>
      <c r="Q733" s="84" t="str">
        <f t="shared" si="86"/>
        <v/>
      </c>
    </row>
    <row r="734" spans="1:17" ht="13">
      <c r="A734" s="3"/>
      <c r="B734" s="93"/>
      <c r="C734" s="4"/>
      <c r="D734" s="7"/>
      <c r="E734" s="7"/>
      <c r="F734" s="7"/>
      <c r="G734" s="7"/>
      <c r="H734" s="7"/>
      <c r="I734" s="2"/>
      <c r="J734" s="8"/>
      <c r="K734" s="5"/>
      <c r="L734" s="8"/>
      <c r="M734" s="74"/>
      <c r="N734" s="8"/>
      <c r="O734" s="10"/>
      <c r="P734" s="76" t="str">
        <f t="shared" ca="1" si="84"/>
        <v/>
      </c>
      <c r="Q734" s="84" t="str">
        <f t="shared" si="86"/>
        <v/>
      </c>
    </row>
    <row r="735" spans="1:17" ht="13">
      <c r="A735" s="3"/>
      <c r="B735" s="93"/>
      <c r="C735" s="4"/>
      <c r="D735" s="7"/>
      <c r="E735" s="7"/>
      <c r="F735" s="7"/>
      <c r="G735" s="7"/>
      <c r="H735" s="7"/>
      <c r="I735" s="2"/>
      <c r="J735" s="8"/>
      <c r="K735" s="5"/>
      <c r="L735" s="8"/>
      <c r="M735" s="74"/>
      <c r="N735" s="8"/>
      <c r="O735" s="10"/>
      <c r="P735" s="76" t="str">
        <f t="shared" ca="1" si="84"/>
        <v/>
      </c>
      <c r="Q735" s="84" t="str">
        <f t="shared" si="86"/>
        <v/>
      </c>
    </row>
    <row r="736" spans="1:17" ht="13">
      <c r="A736" s="3"/>
      <c r="B736" s="93"/>
      <c r="C736" s="4"/>
      <c r="D736" s="7"/>
      <c r="E736" s="7"/>
      <c r="F736" s="7"/>
      <c r="G736" s="7"/>
      <c r="H736" s="7"/>
      <c r="I736" s="2"/>
      <c r="J736" s="8"/>
      <c r="K736" s="5"/>
      <c r="L736" s="8"/>
      <c r="M736" s="74"/>
      <c r="N736" s="8"/>
      <c r="O736" s="10"/>
      <c r="P736" s="76" t="str">
        <f t="shared" ca="1" si="84"/>
        <v/>
      </c>
      <c r="Q736" s="84" t="str">
        <f t="shared" si="86"/>
        <v/>
      </c>
    </row>
    <row r="737" spans="1:17" ht="13">
      <c r="A737" s="3"/>
      <c r="B737" s="93"/>
      <c r="C737" s="4"/>
      <c r="D737" s="7"/>
      <c r="E737" s="7"/>
      <c r="F737" s="7"/>
      <c r="G737" s="7"/>
      <c r="H737" s="7"/>
      <c r="I737" s="2"/>
      <c r="J737" s="8"/>
      <c r="K737" s="5"/>
      <c r="L737" s="8"/>
      <c r="M737" s="74"/>
      <c r="N737" s="8"/>
      <c r="O737" s="10"/>
      <c r="P737" s="76" t="str">
        <f t="shared" ca="1" si="84"/>
        <v/>
      </c>
      <c r="Q737" s="84" t="str">
        <f t="shared" si="86"/>
        <v/>
      </c>
    </row>
    <row r="738" spans="1:17" ht="13">
      <c r="A738" s="3"/>
      <c r="B738" s="93"/>
      <c r="C738" s="4"/>
      <c r="D738" s="7"/>
      <c r="E738" s="7"/>
      <c r="F738" s="7"/>
      <c r="G738" s="7"/>
      <c r="H738" s="7"/>
      <c r="I738" s="2"/>
      <c r="J738" s="8"/>
      <c r="K738" s="5"/>
      <c r="L738" s="8"/>
      <c r="M738" s="74"/>
      <c r="N738" s="8"/>
      <c r="O738" s="10"/>
      <c r="P738" s="76" t="str">
        <f t="shared" ca="1" si="84"/>
        <v/>
      </c>
      <c r="Q738" s="84" t="str">
        <f t="shared" si="86"/>
        <v/>
      </c>
    </row>
    <row r="739" spans="1:17" ht="13">
      <c r="A739" s="3"/>
      <c r="B739" s="93"/>
      <c r="C739" s="4"/>
      <c r="D739" s="7"/>
      <c r="E739" s="7"/>
      <c r="F739" s="7"/>
      <c r="G739" s="7"/>
      <c r="H739" s="7"/>
      <c r="I739" s="2"/>
      <c r="J739" s="8"/>
      <c r="K739" s="5"/>
      <c r="L739" s="8"/>
      <c r="M739" s="74"/>
      <c r="N739" s="8"/>
      <c r="O739" s="10"/>
      <c r="P739" s="76" t="str">
        <f t="shared" ca="1" si="84"/>
        <v/>
      </c>
      <c r="Q739" s="84" t="str">
        <f t="shared" si="86"/>
        <v/>
      </c>
    </row>
    <row r="740" spans="1:17" ht="13">
      <c r="A740" s="3"/>
      <c r="B740" s="93"/>
      <c r="C740" s="4"/>
      <c r="D740" s="7"/>
      <c r="E740" s="7"/>
      <c r="F740" s="7"/>
      <c r="G740" s="7"/>
      <c r="H740" s="7"/>
      <c r="I740" s="2"/>
      <c r="J740" s="8"/>
      <c r="K740" s="5"/>
      <c r="L740" s="8"/>
      <c r="M740" s="74"/>
      <c r="N740" s="8"/>
      <c r="O740" s="10"/>
      <c r="P740" s="76" t="str">
        <f t="shared" ca="1" si="84"/>
        <v/>
      </c>
      <c r="Q740" s="84" t="str">
        <f t="shared" si="86"/>
        <v/>
      </c>
    </row>
    <row r="741" spans="1:17" ht="13">
      <c r="A741" s="3"/>
      <c r="B741" s="93"/>
      <c r="C741" s="4"/>
      <c r="D741" s="7"/>
      <c r="E741" s="7"/>
      <c r="F741" s="7"/>
      <c r="G741" s="7"/>
      <c r="H741" s="7"/>
      <c r="I741" s="2"/>
      <c r="J741" s="8"/>
      <c r="K741" s="5"/>
      <c r="L741" s="8"/>
      <c r="M741" s="74"/>
      <c r="N741" s="8"/>
      <c r="O741" s="10"/>
      <c r="P741" s="76" t="str">
        <f t="shared" ca="1" si="84"/>
        <v/>
      </c>
      <c r="Q741" s="84" t="str">
        <f t="shared" si="86"/>
        <v/>
      </c>
    </row>
    <row r="742" spans="1:17" ht="13">
      <c r="A742" s="3"/>
      <c r="B742" s="93"/>
      <c r="C742" s="4"/>
      <c r="D742" s="7"/>
      <c r="E742" s="7"/>
      <c r="F742" s="7"/>
      <c r="G742" s="7"/>
      <c r="H742" s="7"/>
      <c r="I742" s="2"/>
      <c r="J742" s="8"/>
      <c r="K742" s="5"/>
      <c r="L742" s="8"/>
      <c r="M742" s="74"/>
      <c r="N742" s="8"/>
      <c r="O742" s="10"/>
      <c r="P742" s="76" t="str">
        <f t="shared" ca="1" si="84"/>
        <v/>
      </c>
      <c r="Q742" s="84" t="str">
        <f t="shared" si="86"/>
        <v/>
      </c>
    </row>
    <row r="743" spans="1:17" ht="13">
      <c r="A743" s="3"/>
      <c r="B743" s="93"/>
      <c r="C743" s="4"/>
      <c r="D743" s="7"/>
      <c r="E743" s="7"/>
      <c r="F743" s="7"/>
      <c r="G743" s="7"/>
      <c r="H743" s="7"/>
      <c r="I743" s="2"/>
      <c r="J743" s="8"/>
      <c r="K743" s="5"/>
      <c r="L743" s="8"/>
      <c r="M743" s="74"/>
      <c r="N743" s="8"/>
      <c r="O743" s="10"/>
      <c r="P743" s="76" t="str">
        <f t="shared" ca="1" si="84"/>
        <v/>
      </c>
      <c r="Q743" s="84" t="str">
        <f t="shared" si="86"/>
        <v/>
      </c>
    </row>
    <row r="744" spans="1:17" ht="13">
      <c r="A744" s="3"/>
      <c r="B744" s="93"/>
      <c r="C744" s="4"/>
      <c r="D744" s="7"/>
      <c r="E744" s="7"/>
      <c r="F744" s="7"/>
      <c r="G744" s="7"/>
      <c r="H744" s="7"/>
      <c r="I744" s="2"/>
      <c r="J744" s="8"/>
      <c r="K744" s="5"/>
      <c r="L744" s="8"/>
      <c r="M744" s="74"/>
      <c r="N744" s="8"/>
      <c r="O744" s="10"/>
      <c r="P744" s="76" t="str">
        <f t="shared" ca="1" si="84"/>
        <v/>
      </c>
      <c r="Q744" s="84" t="str">
        <f t="shared" si="86"/>
        <v/>
      </c>
    </row>
    <row r="745" spans="1:17" ht="13">
      <c r="A745" s="3"/>
      <c r="B745" s="93"/>
      <c r="C745" s="4"/>
      <c r="D745" s="7"/>
      <c r="E745" s="7"/>
      <c r="F745" s="7"/>
      <c r="G745" s="7"/>
      <c r="H745" s="7"/>
      <c r="I745" s="2"/>
      <c r="J745" s="8"/>
      <c r="K745" s="5"/>
      <c r="L745" s="8"/>
      <c r="M745" s="74"/>
      <c r="N745" s="8"/>
      <c r="O745" s="10"/>
      <c r="P745" s="76" t="str">
        <f t="shared" ca="1" si="84"/>
        <v/>
      </c>
      <c r="Q745" s="84" t="str">
        <f t="shared" si="86"/>
        <v/>
      </c>
    </row>
    <row r="746" spans="1:17" ht="13">
      <c r="A746" s="3"/>
      <c r="B746" s="93"/>
      <c r="C746" s="4"/>
      <c r="D746" s="7"/>
      <c r="E746" s="7"/>
      <c r="F746" s="7"/>
      <c r="G746" s="7"/>
      <c r="H746" s="7"/>
      <c r="I746" s="2"/>
      <c r="J746" s="8"/>
      <c r="K746" s="5"/>
      <c r="L746" s="8"/>
      <c r="M746" s="74"/>
      <c r="N746" s="8"/>
      <c r="O746" s="10"/>
      <c r="P746" s="76" t="str">
        <f t="shared" ca="1" si="84"/>
        <v/>
      </c>
      <c r="Q746" s="84" t="str">
        <f t="shared" si="86"/>
        <v/>
      </c>
    </row>
    <row r="747" spans="1:17" ht="13">
      <c r="A747" s="3"/>
      <c r="B747" s="93"/>
      <c r="C747" s="4"/>
      <c r="D747" s="7"/>
      <c r="E747" s="7"/>
      <c r="F747" s="7"/>
      <c r="G747" s="7"/>
      <c r="H747" s="7"/>
      <c r="I747" s="2"/>
      <c r="J747" s="8"/>
      <c r="K747" s="5"/>
      <c r="L747" s="8"/>
      <c r="M747" s="74"/>
      <c r="N747" s="8"/>
      <c r="O747" s="10"/>
      <c r="P747" s="76" t="str">
        <f t="shared" ca="1" si="84"/>
        <v/>
      </c>
      <c r="Q747" s="84" t="str">
        <f t="shared" si="86"/>
        <v/>
      </c>
    </row>
    <row r="748" spans="1:17" ht="13">
      <c r="A748" s="3"/>
      <c r="B748" s="93"/>
      <c r="C748" s="4"/>
      <c r="D748" s="7"/>
      <c r="E748" s="7"/>
      <c r="F748" s="7"/>
      <c r="G748" s="7"/>
      <c r="H748" s="7"/>
      <c r="I748" s="2"/>
      <c r="J748" s="8"/>
      <c r="K748" s="5"/>
      <c r="L748" s="8"/>
      <c r="M748" s="74"/>
      <c r="N748" s="8"/>
      <c r="O748" s="10"/>
      <c r="P748" s="76" t="str">
        <f t="shared" ca="1" si="84"/>
        <v/>
      </c>
      <c r="Q748" s="84" t="str">
        <f t="shared" si="86"/>
        <v/>
      </c>
    </row>
    <row r="749" spans="1:17" ht="13">
      <c r="A749" s="3"/>
      <c r="B749" s="93"/>
      <c r="C749" s="4"/>
      <c r="D749" s="7"/>
      <c r="E749" s="7"/>
      <c r="F749" s="7"/>
      <c r="G749" s="7"/>
      <c r="H749" s="7"/>
      <c r="I749" s="2"/>
      <c r="J749" s="8"/>
      <c r="K749" s="5"/>
      <c r="L749" s="8"/>
      <c r="M749" s="74"/>
      <c r="N749" s="8"/>
      <c r="O749" s="10"/>
      <c r="P749" s="76" t="str">
        <f t="shared" ca="1" si="84"/>
        <v/>
      </c>
      <c r="Q749" s="84" t="str">
        <f t="shared" si="86"/>
        <v/>
      </c>
    </row>
    <row r="750" spans="1:17" ht="13">
      <c r="A750" s="3"/>
      <c r="B750" s="93"/>
      <c r="C750" s="4"/>
      <c r="D750" s="7"/>
      <c r="E750" s="7"/>
      <c r="F750" s="7"/>
      <c r="G750" s="7"/>
      <c r="H750" s="7"/>
      <c r="I750" s="2"/>
      <c r="J750" s="8"/>
      <c r="K750" s="5"/>
      <c r="L750" s="8"/>
      <c r="M750" s="74"/>
      <c r="N750" s="8"/>
      <c r="O750" s="10"/>
      <c r="P750" s="76" t="str">
        <f t="shared" ca="1" si="84"/>
        <v/>
      </c>
      <c r="Q750" s="84" t="str">
        <f t="shared" si="86"/>
        <v/>
      </c>
    </row>
    <row r="751" spans="1:17" ht="13">
      <c r="A751" s="3"/>
      <c r="B751" s="93"/>
      <c r="C751" s="4"/>
      <c r="D751" s="7"/>
      <c r="E751" s="7"/>
      <c r="F751" s="7"/>
      <c r="G751" s="7"/>
      <c r="H751" s="7"/>
      <c r="I751" s="2"/>
      <c r="J751" s="8"/>
      <c r="K751" s="5"/>
      <c r="L751" s="8"/>
      <c r="M751" s="74"/>
      <c r="N751" s="8"/>
      <c r="O751" s="10"/>
      <c r="P751" s="76" t="str">
        <f t="shared" ca="1" si="84"/>
        <v/>
      </c>
      <c r="Q751" s="84" t="str">
        <f t="shared" si="86"/>
        <v/>
      </c>
    </row>
    <row r="752" spans="1:17" ht="13">
      <c r="A752" s="3"/>
      <c r="B752" s="93"/>
      <c r="C752" s="4"/>
      <c r="D752" s="7"/>
      <c r="E752" s="7"/>
      <c r="F752" s="7"/>
      <c r="G752" s="7"/>
      <c r="H752" s="7"/>
      <c r="I752" s="2"/>
      <c r="J752" s="8"/>
      <c r="K752" s="5"/>
      <c r="L752" s="8"/>
      <c r="M752" s="74"/>
      <c r="N752" s="8"/>
      <c r="O752" s="10"/>
      <c r="P752" s="76" t="str">
        <f t="shared" ca="1" si="84"/>
        <v/>
      </c>
      <c r="Q752" s="84" t="str">
        <f t="shared" si="86"/>
        <v/>
      </c>
    </row>
    <row r="753" spans="1:17" ht="13">
      <c r="A753" s="3"/>
      <c r="B753" s="93"/>
      <c r="C753" s="4"/>
      <c r="D753" s="7"/>
      <c r="E753" s="7"/>
      <c r="F753" s="7"/>
      <c r="G753" s="7"/>
      <c r="H753" s="7"/>
      <c r="I753" s="2"/>
      <c r="J753" s="8"/>
      <c r="K753" s="5"/>
      <c r="L753" s="8"/>
      <c r="M753" s="74"/>
      <c r="N753" s="8"/>
      <c r="O753" s="10"/>
      <c r="P753" s="76" t="str">
        <f t="shared" ca="1" si="84"/>
        <v/>
      </c>
      <c r="Q753" s="84" t="str">
        <f t="shared" si="86"/>
        <v/>
      </c>
    </row>
    <row r="754" spans="1:17" ht="13">
      <c r="A754" s="3"/>
      <c r="B754" s="93"/>
      <c r="C754" s="4"/>
      <c r="D754" s="7"/>
      <c r="E754" s="7"/>
      <c r="F754" s="7"/>
      <c r="G754" s="7"/>
      <c r="H754" s="7"/>
      <c r="I754" s="2"/>
      <c r="J754" s="8"/>
      <c r="K754" s="5"/>
      <c r="L754" s="8"/>
      <c r="M754" s="74"/>
      <c r="N754" s="8"/>
      <c r="O754" s="10"/>
      <c r="P754" s="76" t="str">
        <f t="shared" ca="1" si="84"/>
        <v/>
      </c>
      <c r="Q754" s="84" t="str">
        <f t="shared" si="86"/>
        <v/>
      </c>
    </row>
    <row r="755" spans="1:17" ht="15.75" customHeight="1">
      <c r="B755" s="93"/>
      <c r="E755" s="7"/>
      <c r="F755" s="7"/>
      <c r="G755" s="7"/>
      <c r="P755" s="76" t="str">
        <f t="shared" ca="1" si="84"/>
        <v/>
      </c>
      <c r="Q755" s="84" t="str">
        <f t="shared" si="86"/>
        <v/>
      </c>
    </row>
    <row r="756" spans="1:17" ht="15.75" customHeight="1">
      <c r="B756" s="93"/>
      <c r="E756" s="7"/>
      <c r="F756" s="7"/>
      <c r="G756" s="7"/>
      <c r="P756" s="76" t="str">
        <f t="shared" ca="1" si="84"/>
        <v/>
      </c>
      <c r="Q756" s="84" t="str">
        <f t="shared" si="86"/>
        <v/>
      </c>
    </row>
    <row r="757" spans="1:17" ht="15.75" customHeight="1">
      <c r="B757" s="93"/>
      <c r="E757" s="7"/>
      <c r="F757" s="7"/>
      <c r="G757" s="7"/>
      <c r="P757" s="76" t="str">
        <f t="shared" ca="1" si="84"/>
        <v/>
      </c>
      <c r="Q757" s="84" t="str">
        <f t="shared" si="86"/>
        <v/>
      </c>
    </row>
    <row r="758" spans="1:17" ht="15.75" customHeight="1">
      <c r="B758" s="93"/>
      <c r="E758" s="7"/>
      <c r="F758" s="7"/>
      <c r="G758" s="7"/>
      <c r="P758" s="76" t="str">
        <f t="shared" ca="1" si="84"/>
        <v/>
      </c>
      <c r="Q758" s="84" t="str">
        <f t="shared" si="86"/>
        <v/>
      </c>
    </row>
    <row r="759" spans="1:17" ht="15.75" customHeight="1">
      <c r="B759" s="93"/>
      <c r="E759" s="7"/>
      <c r="F759" s="7"/>
      <c r="G759" s="7"/>
      <c r="P759" s="76" t="str">
        <f t="shared" ca="1" si="84"/>
        <v/>
      </c>
      <c r="Q759" s="84" t="str">
        <f t="shared" si="86"/>
        <v/>
      </c>
    </row>
    <row r="760" spans="1:17" ht="15.75" customHeight="1">
      <c r="B760" s="93"/>
      <c r="E760" s="7"/>
      <c r="F760" s="7"/>
      <c r="G760" s="7"/>
      <c r="P760" s="76" t="str">
        <f t="shared" ca="1" si="84"/>
        <v/>
      </c>
      <c r="Q760" s="84" t="str">
        <f t="shared" si="86"/>
        <v/>
      </c>
    </row>
    <row r="761" spans="1:17" ht="15.75" customHeight="1">
      <c r="B761" s="93"/>
      <c r="E761" s="7"/>
      <c r="F761" s="7"/>
      <c r="G761" s="7"/>
      <c r="P761" s="76" t="str">
        <f t="shared" ca="1" si="84"/>
        <v/>
      </c>
      <c r="Q761" s="84" t="str">
        <f t="shared" si="86"/>
        <v/>
      </c>
    </row>
    <row r="762" spans="1:17" ht="15.75" customHeight="1">
      <c r="B762" s="93"/>
      <c r="E762" s="7"/>
      <c r="F762" s="7"/>
      <c r="G762" s="7"/>
      <c r="P762" s="76" t="str">
        <f t="shared" ca="1" si="84"/>
        <v/>
      </c>
      <c r="Q762" s="84" t="str">
        <f t="shared" si="86"/>
        <v/>
      </c>
    </row>
    <row r="763" spans="1:17" ht="15.75" customHeight="1">
      <c r="B763" s="93"/>
      <c r="E763" s="7"/>
      <c r="F763" s="7"/>
      <c r="G763" s="7"/>
      <c r="P763" s="76" t="str">
        <f t="shared" ca="1" si="84"/>
        <v/>
      </c>
      <c r="Q763" s="84" t="str">
        <f t="shared" si="86"/>
        <v/>
      </c>
    </row>
    <row r="764" spans="1:17" ht="15.75" customHeight="1">
      <c r="B764" s="93"/>
      <c r="E764" s="7"/>
      <c r="F764" s="7"/>
      <c r="G764" s="7"/>
      <c r="P764" s="76" t="str">
        <f t="shared" ca="1" si="84"/>
        <v/>
      </c>
      <c r="Q764" s="84" t="str">
        <f t="shared" si="86"/>
        <v/>
      </c>
    </row>
    <row r="765" spans="1:17" ht="15.75" customHeight="1">
      <c r="B765" s="93"/>
      <c r="E765" s="7"/>
      <c r="F765" s="7"/>
      <c r="G765" s="7"/>
      <c r="P765" s="76" t="str">
        <f t="shared" ca="1" si="84"/>
        <v/>
      </c>
      <c r="Q765" s="84" t="str">
        <f t="shared" si="86"/>
        <v/>
      </c>
    </row>
    <row r="766" spans="1:17" ht="15.75" customHeight="1">
      <c r="B766" s="93"/>
      <c r="E766" s="7"/>
      <c r="F766" s="7"/>
      <c r="G766" s="7"/>
      <c r="P766" s="76" t="str">
        <f t="shared" ca="1" si="84"/>
        <v/>
      </c>
      <c r="Q766" s="84" t="str">
        <f t="shared" si="86"/>
        <v/>
      </c>
    </row>
    <row r="767" spans="1:17" ht="15.75" customHeight="1">
      <c r="B767" s="93"/>
      <c r="E767" s="7"/>
      <c r="F767" s="7"/>
      <c r="G767" s="7"/>
      <c r="P767" s="76" t="str">
        <f t="shared" ref="P767:P778" ca="1" si="87">IF(O767="","",IF(O767-TODAY()=0,"Vence Hoje!",IF(O767-TODAY()&gt;=0,O767-TODAY()&amp;" Dia(s) para vencer","Prazo Vencido")))</f>
        <v/>
      </c>
      <c r="Q767" s="84" t="str">
        <f t="shared" si="86"/>
        <v/>
      </c>
    </row>
    <row r="768" spans="1:17" ht="15.75" customHeight="1">
      <c r="B768" s="93"/>
      <c r="E768" s="7"/>
      <c r="F768" s="7"/>
      <c r="G768" s="7"/>
      <c r="P768" s="76" t="str">
        <f t="shared" ca="1" si="87"/>
        <v/>
      </c>
      <c r="Q768" s="84" t="str">
        <f t="shared" si="86"/>
        <v/>
      </c>
    </row>
    <row r="769" spans="2:17" ht="15.75" customHeight="1">
      <c r="B769" s="93"/>
      <c r="E769" s="7"/>
      <c r="F769" s="7"/>
      <c r="G769" s="7"/>
      <c r="P769" s="76" t="str">
        <f t="shared" ca="1" si="87"/>
        <v/>
      </c>
      <c r="Q769" s="84" t="str">
        <f t="shared" si="86"/>
        <v/>
      </c>
    </row>
    <row r="770" spans="2:17" ht="15.75" customHeight="1">
      <c r="B770" s="93"/>
      <c r="E770" s="7"/>
      <c r="F770" s="7"/>
      <c r="G770" s="7"/>
      <c r="P770" s="76" t="str">
        <f t="shared" ca="1" si="87"/>
        <v/>
      </c>
      <c r="Q770" s="84" t="str">
        <f t="shared" si="86"/>
        <v/>
      </c>
    </row>
    <row r="771" spans="2:17" ht="15.75" customHeight="1">
      <c r="B771" s="93"/>
      <c r="E771" s="7"/>
      <c r="F771" s="7"/>
      <c r="G771" s="7"/>
      <c r="P771" s="76" t="str">
        <f t="shared" ca="1" si="87"/>
        <v/>
      </c>
      <c r="Q771" s="84" t="str">
        <f t="shared" si="86"/>
        <v/>
      </c>
    </row>
    <row r="772" spans="2:17" ht="15.75" customHeight="1">
      <c r="B772" s="93"/>
      <c r="E772" s="7"/>
      <c r="F772" s="7"/>
      <c r="G772" s="7"/>
      <c r="P772" s="76" t="str">
        <f t="shared" ca="1" si="87"/>
        <v/>
      </c>
      <c r="Q772" s="84" t="str">
        <f t="shared" si="86"/>
        <v/>
      </c>
    </row>
    <row r="773" spans="2:17" ht="15.75" customHeight="1">
      <c r="B773" s="93"/>
      <c r="E773" s="7"/>
      <c r="F773" s="7"/>
      <c r="G773" s="7"/>
      <c r="P773" s="76" t="str">
        <f t="shared" ca="1" si="87"/>
        <v/>
      </c>
      <c r="Q773" s="84" t="str">
        <f t="shared" si="86"/>
        <v/>
      </c>
    </row>
    <row r="774" spans="2:17" ht="15.75" customHeight="1">
      <c r="B774" s="93"/>
      <c r="E774" s="7"/>
      <c r="F774" s="7"/>
      <c r="G774" s="7"/>
      <c r="P774" s="76" t="str">
        <f t="shared" ca="1" si="87"/>
        <v/>
      </c>
      <c r="Q774" s="84" t="str">
        <f t="shared" si="86"/>
        <v/>
      </c>
    </row>
    <row r="775" spans="2:17" ht="15.75" customHeight="1">
      <c r="B775" s="93"/>
      <c r="E775" s="7"/>
      <c r="F775" s="7"/>
      <c r="G775" s="7"/>
      <c r="P775" s="76" t="str">
        <f t="shared" ca="1" si="87"/>
        <v/>
      </c>
      <c r="Q775" s="84" t="str">
        <f t="shared" si="86"/>
        <v/>
      </c>
    </row>
    <row r="776" spans="2:17" ht="15.75" customHeight="1">
      <c r="B776" s="93"/>
      <c r="E776" s="7"/>
      <c r="F776" s="7"/>
      <c r="G776" s="7"/>
      <c r="P776" s="76" t="str">
        <f t="shared" ca="1" si="87"/>
        <v/>
      </c>
      <c r="Q776" s="84" t="str">
        <f t="shared" si="86"/>
        <v/>
      </c>
    </row>
    <row r="777" spans="2:17" ht="15.75" customHeight="1">
      <c r="B777" s="93"/>
      <c r="E777" s="7"/>
      <c r="F777" s="7"/>
      <c r="G777" s="7"/>
      <c r="P777" s="76" t="str">
        <f t="shared" ca="1" si="87"/>
        <v/>
      </c>
      <c r="Q777" s="84" t="str">
        <f t="shared" si="86"/>
        <v/>
      </c>
    </row>
    <row r="778" spans="2:17" ht="15.75" customHeight="1">
      <c r="B778" s="93"/>
      <c r="E778" s="7"/>
      <c r="F778" s="7"/>
      <c r="G778" s="7"/>
      <c r="P778" s="76" t="str">
        <f t="shared" ca="1" si="87"/>
        <v/>
      </c>
      <c r="Q778" s="84" t="str">
        <f t="shared" si="86"/>
        <v/>
      </c>
    </row>
    <row r="779" spans="2:17" ht="15.75" customHeight="1">
      <c r="B779" s="93"/>
      <c r="E779" s="7"/>
      <c r="F779" s="7"/>
      <c r="G779" s="7"/>
      <c r="Q779" s="84" t="str">
        <f t="shared" si="86"/>
        <v/>
      </c>
    </row>
    <row r="780" spans="2:17" ht="15.75" customHeight="1">
      <c r="B780" s="93"/>
      <c r="E780" s="7"/>
      <c r="F780" s="7"/>
      <c r="G780" s="7"/>
      <c r="Q780" s="84" t="str">
        <f t="shared" si="86"/>
        <v/>
      </c>
    </row>
    <row r="781" spans="2:17" ht="15.75" customHeight="1">
      <c r="B781" s="93"/>
      <c r="E781" s="7"/>
      <c r="F781" s="7"/>
      <c r="G781" s="7"/>
      <c r="Q781" s="84" t="str">
        <f t="shared" si="86"/>
        <v/>
      </c>
    </row>
    <row r="782" spans="2:17" ht="15.75" customHeight="1">
      <c r="B782" s="93"/>
      <c r="E782" s="7"/>
      <c r="F782" s="7"/>
      <c r="G782" s="7"/>
      <c r="Q782" s="84" t="str">
        <f t="shared" si="86"/>
        <v/>
      </c>
    </row>
    <row r="783" spans="2:17" ht="15.75" customHeight="1">
      <c r="B783" s="93"/>
      <c r="E783" s="7"/>
      <c r="F783" s="7"/>
      <c r="G783" s="7"/>
      <c r="Q783" s="84" t="str">
        <f t="shared" si="86"/>
        <v/>
      </c>
    </row>
    <row r="784" spans="2:17" ht="15.75" customHeight="1">
      <c r="B784" s="93"/>
      <c r="E784" s="7"/>
      <c r="F784" s="7"/>
      <c r="G784" s="7"/>
      <c r="Q784" s="84" t="str">
        <f t="shared" si="86"/>
        <v/>
      </c>
    </row>
    <row r="785" spans="1:17" ht="15.75" customHeight="1">
      <c r="B785" s="93"/>
      <c r="E785" s="7"/>
      <c r="F785" s="7"/>
      <c r="G785" s="7"/>
      <c r="Q785" s="84" t="str">
        <f t="shared" si="86"/>
        <v/>
      </c>
    </row>
    <row r="786" spans="1:17" ht="15.75" customHeight="1">
      <c r="B786" s="93"/>
      <c r="E786" s="7"/>
      <c r="F786" s="7"/>
      <c r="G786" s="7"/>
      <c r="Q786" s="84" t="str">
        <f t="shared" si="86"/>
        <v/>
      </c>
    </row>
    <row r="787" spans="1:17" ht="15.75" customHeight="1">
      <c r="B787" s="93"/>
      <c r="E787" s="7"/>
      <c r="F787" s="7"/>
      <c r="G787" s="7"/>
      <c r="Q787" s="84" t="str">
        <f t="shared" si="86"/>
        <v/>
      </c>
    </row>
    <row r="788" spans="1:17" ht="15.75" customHeight="1">
      <c r="B788" s="93"/>
      <c r="E788" s="7"/>
      <c r="F788" s="7"/>
      <c r="G788" s="7"/>
      <c r="Q788" s="84" t="str">
        <f t="shared" si="86"/>
        <v/>
      </c>
    </row>
    <row r="789" spans="1:17" ht="15.75" customHeight="1">
      <c r="B789" s="93"/>
      <c r="E789" s="7"/>
      <c r="F789" s="7"/>
      <c r="G789" s="7"/>
      <c r="Q789" s="84" t="str">
        <f t="shared" si="86"/>
        <v/>
      </c>
    </row>
    <row r="790" spans="1:17" ht="15.75" customHeight="1">
      <c r="B790" s="93"/>
      <c r="E790" s="7"/>
      <c r="F790" s="7"/>
      <c r="G790" s="7"/>
      <c r="Q790" s="84" t="str">
        <f t="shared" si="86"/>
        <v/>
      </c>
    </row>
    <row r="791" spans="1:17" ht="15.75" customHeight="1">
      <c r="B791" s="93"/>
      <c r="E791" s="7"/>
      <c r="F791" s="7"/>
      <c r="G791" s="7"/>
      <c r="Q791" s="84" t="str">
        <f t="shared" si="86"/>
        <v/>
      </c>
    </row>
    <row r="792" spans="1:17" ht="15.75" customHeight="1">
      <c r="B792" s="93"/>
      <c r="E792" s="7"/>
      <c r="F792" s="7"/>
      <c r="G792" s="7"/>
      <c r="Q792" s="84" t="str">
        <f t="shared" ref="Q792:Q801" si="88">IF(OR(A792="",M792=""),"",M792-A792)</f>
        <v/>
      </c>
    </row>
    <row r="793" spans="1:17" ht="15.75" customHeight="1">
      <c r="B793" s="93"/>
      <c r="E793" s="7"/>
      <c r="F793" s="7"/>
      <c r="G793" s="7"/>
      <c r="Q793" s="84" t="str">
        <f t="shared" si="88"/>
        <v/>
      </c>
    </row>
    <row r="794" spans="1:17" ht="15.75" customHeight="1">
      <c r="B794" s="93"/>
      <c r="E794" s="7"/>
      <c r="F794" s="7"/>
      <c r="G794" s="7"/>
      <c r="Q794" s="84" t="str">
        <f t="shared" si="88"/>
        <v/>
      </c>
    </row>
    <row r="795" spans="1:17" ht="15.75" customHeight="1">
      <c r="B795" s="93"/>
      <c r="E795" s="7"/>
      <c r="F795" s="7"/>
      <c r="G795" s="7"/>
      <c r="Q795" s="84" t="str">
        <f t="shared" si="88"/>
        <v/>
      </c>
    </row>
    <row r="796" spans="1:17" ht="15.75" customHeight="1">
      <c r="B796" s="93"/>
      <c r="E796" s="7"/>
      <c r="F796" s="7"/>
      <c r="G796" s="7"/>
      <c r="Q796" s="84" t="str">
        <f t="shared" si="88"/>
        <v/>
      </c>
    </row>
    <row r="797" spans="1:17" ht="15.75" customHeight="1">
      <c r="B797" s="93"/>
      <c r="E797" s="7"/>
      <c r="F797" s="7"/>
      <c r="G797" s="7"/>
      <c r="Q797" s="84" t="str">
        <f t="shared" si="88"/>
        <v/>
      </c>
    </row>
    <row r="798" spans="1:17" ht="15.75" customHeight="1">
      <c r="A798" s="3">
        <v>46279</v>
      </c>
      <c r="B798" s="93" t="s">
        <v>407</v>
      </c>
      <c r="C798" s="4" t="s">
        <v>32</v>
      </c>
      <c r="D798" s="7" t="s">
        <v>19</v>
      </c>
      <c r="E798" s="7" t="s">
        <v>450</v>
      </c>
      <c r="F798" s="7" t="s">
        <v>451</v>
      </c>
      <c r="G798" s="7" t="s">
        <v>48</v>
      </c>
      <c r="H798" s="75">
        <v>46304</v>
      </c>
      <c r="I798" s="2" t="s">
        <v>452</v>
      </c>
      <c r="J798" s="8" t="s">
        <v>24</v>
      </c>
      <c r="K798" s="7" t="s">
        <v>25</v>
      </c>
      <c r="L798" s="8">
        <v>15</v>
      </c>
      <c r="M798" s="95">
        <v>46288</v>
      </c>
      <c r="N798" s="78" t="str">
        <f>IF(AND(A798="",K1035=""),"",IF(Q798="","Em Andamento",IF(M798&lt;=O798,"Dentro do Prazo","Fora do Prazo")))</f>
        <v>Dentro do Prazo</v>
      </c>
      <c r="O798" s="57">
        <f t="shared" ref="O798:O801" si="89">IF(OR(A798="",L798=""),"",A798+L798)</f>
        <v>46294</v>
      </c>
      <c r="P798" s="76" t="str">
        <f t="shared" ref="P798:P801" ca="1" si="90">IF(O798="","",IF(O798-TODAY()=0,"Vence Hoje!",IF(O798-TODAY()&gt;=0,O798-TODAY()&amp;" Dia(s) para vencer","Prazo Vencido")))</f>
        <v>Prazo Vencido</v>
      </c>
      <c r="Q798" s="84">
        <f t="shared" si="88"/>
        <v>9</v>
      </c>
    </row>
    <row r="799" spans="1:17" ht="15.75" customHeight="1">
      <c r="A799" s="3">
        <v>46279</v>
      </c>
      <c r="B799" s="93" t="s">
        <v>17</v>
      </c>
      <c r="C799" s="4" t="s">
        <v>27</v>
      </c>
      <c r="D799" s="7" t="s">
        <v>358</v>
      </c>
      <c r="E799" s="7" t="s">
        <v>358</v>
      </c>
      <c r="F799" s="7" t="s">
        <v>453</v>
      </c>
      <c r="G799" s="7" t="s">
        <v>454</v>
      </c>
      <c r="H799" s="94">
        <v>46304</v>
      </c>
      <c r="I799" s="2" t="s">
        <v>166</v>
      </c>
      <c r="J799" s="8" t="s">
        <v>24</v>
      </c>
      <c r="K799" s="7" t="s">
        <v>25</v>
      </c>
      <c r="L799" s="8">
        <v>15</v>
      </c>
      <c r="N799" s="78" t="str">
        <f>IF(AND(A799="",K1036=""),"",IF(Q799="","Em Andamento",IF(M799&lt;=O799,"Dentro do Prazo","Fora do Prazo")))</f>
        <v>Em Andamento</v>
      </c>
      <c r="O799" s="57">
        <f t="shared" si="89"/>
        <v>46294</v>
      </c>
      <c r="P799" s="76" t="str">
        <f t="shared" ca="1" si="90"/>
        <v>Prazo Vencido</v>
      </c>
      <c r="Q799" s="84" t="str">
        <f t="shared" si="88"/>
        <v/>
      </c>
    </row>
    <row r="800" spans="1:17" ht="15.75" customHeight="1">
      <c r="A800" s="3">
        <v>46279</v>
      </c>
      <c r="B800" s="93" t="s">
        <v>17</v>
      </c>
      <c r="C800" s="4" t="s">
        <v>27</v>
      </c>
      <c r="D800" s="7" t="s">
        <v>19</v>
      </c>
      <c r="E800" s="7" t="s">
        <v>455</v>
      </c>
      <c r="F800" s="7" t="s">
        <v>456</v>
      </c>
      <c r="G800" s="7" t="s">
        <v>22</v>
      </c>
      <c r="I800" s="2" t="s">
        <v>166</v>
      </c>
      <c r="J800" s="8" t="s">
        <v>24</v>
      </c>
      <c r="K800" s="7" t="s">
        <v>25</v>
      </c>
      <c r="L800" s="8">
        <v>15</v>
      </c>
      <c r="N800" s="78" t="str">
        <f>IF(AND(A800="",K1037=""),"",IF(Q800="","Em Andamento",IF(M800&lt;=O800,"Dentro do Prazo","Fora do Prazo")))</f>
        <v>Em Andamento</v>
      </c>
      <c r="O800" s="57">
        <f t="shared" si="89"/>
        <v>46294</v>
      </c>
      <c r="P800" s="76" t="str">
        <f t="shared" ca="1" si="90"/>
        <v>Prazo Vencido</v>
      </c>
      <c r="Q800" s="84" t="str">
        <f t="shared" si="88"/>
        <v/>
      </c>
    </row>
    <row r="801" spans="1:17" ht="15.75" customHeight="1">
      <c r="A801" s="3">
        <v>46279</v>
      </c>
      <c r="B801" s="93" t="s">
        <v>17</v>
      </c>
      <c r="C801" s="4" t="s">
        <v>27</v>
      </c>
      <c r="D801" s="7" t="s">
        <v>19</v>
      </c>
      <c r="E801" s="7" t="s">
        <v>457</v>
      </c>
      <c r="F801" s="7" t="s">
        <v>458</v>
      </c>
      <c r="G801" s="7" t="s">
        <v>22</v>
      </c>
      <c r="I801" s="2" t="s">
        <v>166</v>
      </c>
      <c r="J801" s="8" t="s">
        <v>24</v>
      </c>
      <c r="K801" s="7" t="s">
        <v>25</v>
      </c>
      <c r="L801" s="8">
        <v>15</v>
      </c>
      <c r="N801" s="78" t="str">
        <f>IF(AND(A801="",K1038=""),"",IF(Q801="","Em Andamento",IF(M801&lt;=O801,"Dentro do Prazo","Fora do Prazo")))</f>
        <v>Em Andamento</v>
      </c>
      <c r="O801" s="57">
        <f t="shared" si="89"/>
        <v>46294</v>
      </c>
      <c r="P801" s="76" t="str">
        <f t="shared" ca="1" si="90"/>
        <v>Prazo Vencido</v>
      </c>
      <c r="Q801" s="84" t="str">
        <f t="shared" si="88"/>
        <v/>
      </c>
    </row>
    <row r="802" spans="1:17" ht="15.75" customHeight="1">
      <c r="A802" s="94">
        <v>46279</v>
      </c>
      <c r="B802" s="93"/>
      <c r="D802" s="7" t="s">
        <v>19</v>
      </c>
      <c r="E802" s="7" t="s">
        <v>459</v>
      </c>
      <c r="G802" s="7" t="s">
        <v>48</v>
      </c>
      <c r="I802" t="s">
        <v>166</v>
      </c>
    </row>
    <row r="803" spans="1:17" ht="15.75" customHeight="1">
      <c r="A803" s="3">
        <v>46281</v>
      </c>
      <c r="B803" s="93" t="s">
        <v>17</v>
      </c>
      <c r="C803" s="4" t="s">
        <v>27</v>
      </c>
      <c r="D803" s="7" t="s">
        <v>19</v>
      </c>
      <c r="E803" s="7" t="s">
        <v>460</v>
      </c>
      <c r="F803" s="7" t="s">
        <v>461</v>
      </c>
      <c r="G803" s="7" t="s">
        <v>48</v>
      </c>
      <c r="H803" s="75">
        <v>46303</v>
      </c>
      <c r="I803" s="2" t="s">
        <v>166</v>
      </c>
      <c r="J803" s="8" t="s">
        <v>24</v>
      </c>
      <c r="K803" s="7" t="s">
        <v>25</v>
      </c>
      <c r="L803" s="8">
        <v>15</v>
      </c>
      <c r="M803" s="74">
        <v>46288</v>
      </c>
      <c r="N803" s="78" t="str">
        <f>IF(AND(A803="",K1041=""),"",IF(Q803="","Em Andamento",IF(M803&lt;=O803,"Dentro do Prazo","Fora do Prazo")))</f>
        <v>Dentro do Prazo</v>
      </c>
      <c r="O803" s="57">
        <f t="shared" ref="O803:O813" si="91">IF(OR(A803="",L803=""),"",A803+L803)</f>
        <v>46296</v>
      </c>
      <c r="P803" s="76" t="str">
        <f t="shared" ref="P803:P811" ca="1" si="92">IF(O803="","",IF(O803-TODAY()=0,"Vence Hoje!",IF(O803-TODAY()&gt;=0,O803-TODAY()&amp;" Dia(s) para vencer","Prazo Vencido")))</f>
        <v>Prazo Vencido</v>
      </c>
      <c r="Q803" s="84">
        <f t="shared" ref="Q803:Q812" si="93">IF(OR(A803="",M803=""),"",M803-A803)</f>
        <v>7</v>
      </c>
    </row>
    <row r="804" spans="1:17" ht="15.75" customHeight="1">
      <c r="A804" s="3">
        <v>46281</v>
      </c>
      <c r="B804" s="93" t="s">
        <v>17</v>
      </c>
      <c r="C804" s="4" t="s">
        <v>27</v>
      </c>
      <c r="D804" s="7" t="s">
        <v>19</v>
      </c>
      <c r="E804" s="7" t="s">
        <v>462</v>
      </c>
      <c r="F804" s="7" t="s">
        <v>463</v>
      </c>
      <c r="G804" s="7" t="s">
        <v>48</v>
      </c>
      <c r="H804" s="75">
        <v>46303</v>
      </c>
      <c r="I804" s="2" t="s">
        <v>166</v>
      </c>
      <c r="J804" s="8" t="s">
        <v>24</v>
      </c>
      <c r="K804" s="7" t="s">
        <v>25</v>
      </c>
      <c r="L804" s="8">
        <v>15</v>
      </c>
      <c r="M804" s="74">
        <v>46288</v>
      </c>
      <c r="N804" s="78" t="str">
        <f>IF(AND(A804="",K1042=""),"",IF(Q804="","Em Andamento",IF(M804&lt;=O804,"Dentro do Prazo","Fora do Prazo")))</f>
        <v>Dentro do Prazo</v>
      </c>
      <c r="O804" s="57">
        <f t="shared" si="91"/>
        <v>46296</v>
      </c>
      <c r="P804" s="76" t="str">
        <f t="shared" ca="1" si="92"/>
        <v>Prazo Vencido</v>
      </c>
      <c r="Q804" s="84">
        <f t="shared" si="93"/>
        <v>7</v>
      </c>
    </row>
    <row r="805" spans="1:17" ht="15.75" customHeight="1">
      <c r="A805" s="3">
        <v>46281</v>
      </c>
      <c r="B805" s="93" t="s">
        <v>17</v>
      </c>
      <c r="C805" s="4" t="s">
        <v>27</v>
      </c>
      <c r="D805" s="7" t="s">
        <v>19</v>
      </c>
      <c r="E805" s="7" t="s">
        <v>464</v>
      </c>
      <c r="F805" s="7" t="s">
        <v>465</v>
      </c>
      <c r="G805" s="7" t="s">
        <v>48</v>
      </c>
      <c r="H805" s="75">
        <v>46303</v>
      </c>
      <c r="I805" s="2" t="s">
        <v>166</v>
      </c>
      <c r="J805" s="8" t="s">
        <v>24</v>
      </c>
      <c r="K805" s="7" t="s">
        <v>25</v>
      </c>
      <c r="L805" s="8">
        <v>15</v>
      </c>
      <c r="M805" s="74">
        <v>46288</v>
      </c>
      <c r="N805" s="78" t="str">
        <f>IF(AND(A805="",K1043=""),"",IF(Q805="","Em Andamento",IF(M805&lt;=O805,"Dentro do Prazo","Fora do Prazo")))</f>
        <v>Dentro do Prazo</v>
      </c>
      <c r="O805" s="57">
        <f t="shared" si="91"/>
        <v>46296</v>
      </c>
      <c r="P805" s="76" t="str">
        <f t="shared" ca="1" si="92"/>
        <v>Prazo Vencido</v>
      </c>
      <c r="Q805" s="84">
        <f t="shared" si="93"/>
        <v>7</v>
      </c>
    </row>
    <row r="806" spans="1:17" ht="15.75" customHeight="1">
      <c r="A806" s="3">
        <v>46281</v>
      </c>
      <c r="B806" s="93" t="s">
        <v>26</v>
      </c>
      <c r="C806" s="4" t="s">
        <v>27</v>
      </c>
      <c r="D806" s="7" t="s">
        <v>19</v>
      </c>
      <c r="E806" s="7" t="s">
        <v>466</v>
      </c>
      <c r="F806" s="7" t="s">
        <v>467</v>
      </c>
      <c r="G806" s="7" t="s">
        <v>22</v>
      </c>
      <c r="H806" s="75">
        <v>46303</v>
      </c>
      <c r="I806" s="2" t="s">
        <v>166</v>
      </c>
      <c r="J806" s="8" t="s">
        <v>24</v>
      </c>
      <c r="K806" s="7" t="s">
        <v>25</v>
      </c>
      <c r="L806" s="8">
        <v>15</v>
      </c>
      <c r="M806" s="74">
        <v>46289</v>
      </c>
      <c r="N806" s="78" t="str">
        <f>IF(AND(A806="",K1044=""),"",IF(Q806="","Em Andamento",IF(M806&lt;=O806,"Dentro do Prazo","Fora do Prazo")))</f>
        <v>Dentro do Prazo</v>
      </c>
      <c r="O806" s="57">
        <f t="shared" si="91"/>
        <v>46296</v>
      </c>
      <c r="P806" s="76" t="str">
        <f t="shared" ca="1" si="92"/>
        <v>Prazo Vencido</v>
      </c>
      <c r="Q806" s="84">
        <f t="shared" si="93"/>
        <v>8</v>
      </c>
    </row>
    <row r="807" spans="1:17" ht="15.75" customHeight="1">
      <c r="A807" s="3">
        <v>46281</v>
      </c>
      <c r="B807" s="93" t="s">
        <v>26</v>
      </c>
      <c r="C807" s="4" t="s">
        <v>27</v>
      </c>
      <c r="D807" s="7" t="s">
        <v>19</v>
      </c>
      <c r="E807" s="7" t="s">
        <v>468</v>
      </c>
      <c r="F807" s="7" t="s">
        <v>469</v>
      </c>
      <c r="G807" s="7" t="s">
        <v>22</v>
      </c>
      <c r="H807" s="75">
        <v>46303</v>
      </c>
      <c r="I807" s="2" t="s">
        <v>166</v>
      </c>
      <c r="J807" s="8" t="s">
        <v>24</v>
      </c>
      <c r="K807" s="7" t="s">
        <v>25</v>
      </c>
      <c r="L807" s="8">
        <v>15</v>
      </c>
      <c r="M807" s="74">
        <v>46289</v>
      </c>
      <c r="N807" s="78" t="str">
        <f>IF(AND(A807="",K1045=""),"",IF(Q807="","Em Andamento",IF(M807&lt;=O807,"Dentro do Prazo","Fora do Prazo")))</f>
        <v>Dentro do Prazo</v>
      </c>
      <c r="O807" s="57">
        <f t="shared" si="91"/>
        <v>46296</v>
      </c>
      <c r="P807" s="76" t="str">
        <f t="shared" ca="1" si="92"/>
        <v>Prazo Vencido</v>
      </c>
      <c r="Q807" s="84">
        <f t="shared" si="93"/>
        <v>8</v>
      </c>
    </row>
    <row r="808" spans="1:17" ht="15.75" customHeight="1">
      <c r="A808" s="3">
        <v>46281</v>
      </c>
      <c r="B808" s="93" t="s">
        <v>26</v>
      </c>
      <c r="C808" s="4" t="s">
        <v>27</v>
      </c>
      <c r="D808" s="7" t="s">
        <v>19</v>
      </c>
      <c r="E808" s="7" t="s">
        <v>470</v>
      </c>
      <c r="F808" s="7"/>
      <c r="G808" s="7" t="s">
        <v>22</v>
      </c>
      <c r="I808" s="2" t="s">
        <v>166</v>
      </c>
      <c r="J808" s="8" t="s">
        <v>265</v>
      </c>
      <c r="K808" s="7" t="s">
        <v>25</v>
      </c>
      <c r="L808" s="8">
        <v>15</v>
      </c>
      <c r="N808" s="78" t="str">
        <f t="shared" ref="N808:N811" si="94">IF(AND(A808="",K1046=""),"",IF(Q808="","Em Andamento",IF(M808&lt;=O808,"Dentro do Prazo","Fora do Prazo")))</f>
        <v>Em Andamento</v>
      </c>
      <c r="O808" s="57">
        <f t="shared" si="91"/>
        <v>46296</v>
      </c>
      <c r="P808" s="76" t="str">
        <f ca="1">IF(O808="","",IF(O808-TODAY()=0,"Vence Hoje!",IF(O808-TODAY()&gt;=0,O808-TODAY()&amp;" Dia(s) para vencer","Prazo Vencido")))</f>
        <v>Prazo Vencido</v>
      </c>
      <c r="Q808" s="84" t="str">
        <f t="shared" si="93"/>
        <v/>
      </c>
    </row>
    <row r="809" spans="1:17" ht="15.75" customHeight="1">
      <c r="A809" s="3">
        <v>46281</v>
      </c>
      <c r="B809" s="93" t="s">
        <v>26</v>
      </c>
      <c r="C809" s="4" t="s">
        <v>27</v>
      </c>
      <c r="D809" s="7" t="s">
        <v>19</v>
      </c>
      <c r="E809" s="7" t="s">
        <v>471</v>
      </c>
      <c r="F809" s="7" t="s">
        <v>472</v>
      </c>
      <c r="G809" s="7" t="s">
        <v>22</v>
      </c>
      <c r="H809" s="75">
        <v>46304</v>
      </c>
      <c r="I809" s="2" t="s">
        <v>166</v>
      </c>
      <c r="J809" s="8" t="s">
        <v>24</v>
      </c>
      <c r="K809" s="7" t="s">
        <v>25</v>
      </c>
      <c r="L809" s="8">
        <v>15</v>
      </c>
      <c r="M809" s="74">
        <v>46300</v>
      </c>
      <c r="N809" s="78" t="str">
        <f t="shared" si="94"/>
        <v>Fora do Prazo</v>
      </c>
      <c r="O809" s="57">
        <f>IF(OR(A809="",L809=""),"",A809+L809)</f>
        <v>46296</v>
      </c>
      <c r="P809" s="76" t="str">
        <f t="shared" ca="1" si="92"/>
        <v>Prazo Vencido</v>
      </c>
      <c r="Q809" s="84">
        <f t="shared" si="93"/>
        <v>19</v>
      </c>
    </row>
    <row r="810" spans="1:17" ht="15.75" customHeight="1">
      <c r="A810" s="3">
        <v>46281</v>
      </c>
      <c r="B810" s="93" t="s">
        <v>26</v>
      </c>
      <c r="C810" s="4" t="s">
        <v>27</v>
      </c>
      <c r="D810" s="7" t="s">
        <v>19</v>
      </c>
      <c r="E810" s="7" t="s">
        <v>473</v>
      </c>
      <c r="F810" s="7" t="s">
        <v>474</v>
      </c>
      <c r="G810" s="7" t="s">
        <v>22</v>
      </c>
      <c r="H810" s="75">
        <v>46303</v>
      </c>
      <c r="I810" s="2" t="s">
        <v>166</v>
      </c>
      <c r="J810" s="8" t="s">
        <v>24</v>
      </c>
      <c r="K810" s="7" t="s">
        <v>25</v>
      </c>
      <c r="L810" s="8">
        <v>15</v>
      </c>
      <c r="M810" s="74">
        <v>46289</v>
      </c>
      <c r="N810" s="78" t="str">
        <f t="shared" si="94"/>
        <v>Dentro do Prazo</v>
      </c>
      <c r="O810" s="57">
        <f t="shared" si="91"/>
        <v>46296</v>
      </c>
      <c r="P810" s="76" t="str">
        <f t="shared" ca="1" si="92"/>
        <v>Prazo Vencido</v>
      </c>
      <c r="Q810" s="84">
        <f t="shared" si="93"/>
        <v>8</v>
      </c>
    </row>
    <row r="811" spans="1:17" ht="15.75" customHeight="1">
      <c r="A811" s="3">
        <v>46281</v>
      </c>
      <c r="B811" s="93" t="s">
        <v>26</v>
      </c>
      <c r="C811" s="4" t="s">
        <v>27</v>
      </c>
      <c r="D811" s="7" t="s">
        <v>19</v>
      </c>
      <c r="E811" s="7" t="s">
        <v>475</v>
      </c>
      <c r="F811" s="7" t="s">
        <v>476</v>
      </c>
      <c r="G811" s="7" t="s">
        <v>22</v>
      </c>
      <c r="H811" s="75">
        <v>46303</v>
      </c>
      <c r="I811" s="2" t="s">
        <v>166</v>
      </c>
      <c r="J811" s="8" t="s">
        <v>24</v>
      </c>
      <c r="K811" s="7" t="s">
        <v>25</v>
      </c>
      <c r="L811" s="8">
        <v>15</v>
      </c>
      <c r="M811" s="74">
        <v>46289</v>
      </c>
      <c r="N811" s="78" t="str">
        <f t="shared" si="94"/>
        <v>Dentro do Prazo</v>
      </c>
      <c r="O811" s="57">
        <f t="shared" si="91"/>
        <v>46296</v>
      </c>
      <c r="P811" s="76" t="str">
        <f t="shared" ca="1" si="92"/>
        <v>Prazo Vencido</v>
      </c>
      <c r="Q811" s="84">
        <f t="shared" si="93"/>
        <v>8</v>
      </c>
    </row>
    <row r="812" spans="1:17" ht="15.75" customHeight="1">
      <c r="A812" s="3"/>
      <c r="B812" s="93"/>
      <c r="H812" s="75"/>
      <c r="M812" s="74"/>
      <c r="N812" s="78" t="str">
        <f t="shared" ref="N812:N824" si="95">IF(AND(A812="",K1050=""),"",IF(Q812="","Em Andamento",IF(M812&lt;=O812,"Dentro do Prazo","Fora do Prazo")))</f>
        <v/>
      </c>
      <c r="O812" s="57" t="str">
        <f t="shared" si="91"/>
        <v/>
      </c>
      <c r="Q812" s="84" t="str">
        <f t="shared" si="93"/>
        <v/>
      </c>
    </row>
    <row r="813" spans="1:17" ht="15.75" customHeight="1">
      <c r="A813" s="3"/>
      <c r="B813" s="93"/>
      <c r="H813" s="75"/>
      <c r="M813" s="74"/>
      <c r="N813" s="78" t="str">
        <f t="shared" si="95"/>
        <v/>
      </c>
      <c r="O813" s="57" t="str">
        <f t="shared" si="91"/>
        <v/>
      </c>
    </row>
    <row r="814" spans="1:17" ht="15.75" customHeight="1">
      <c r="A814" s="3"/>
      <c r="B814" s="93"/>
      <c r="H814" s="75"/>
      <c r="M814" s="74"/>
      <c r="N814" s="78" t="str">
        <f t="shared" si="95"/>
        <v/>
      </c>
    </row>
    <row r="815" spans="1:17" ht="15.75" customHeight="1">
      <c r="A815" s="3"/>
      <c r="B815" s="93"/>
      <c r="H815" s="75"/>
      <c r="M815" s="74"/>
      <c r="N815" s="78" t="str">
        <f t="shared" si="95"/>
        <v/>
      </c>
    </row>
    <row r="816" spans="1:17" ht="15.75" customHeight="1">
      <c r="A816" s="3"/>
      <c r="B816" s="93"/>
      <c r="H816" s="75"/>
      <c r="M816" s="74"/>
      <c r="N816" s="78" t="str">
        <f t="shared" si="95"/>
        <v/>
      </c>
    </row>
    <row r="817" spans="1:17" ht="15.75" customHeight="1">
      <c r="A817" s="3"/>
      <c r="B817" s="93"/>
      <c r="H817" s="75"/>
      <c r="M817" s="74"/>
      <c r="N817" s="78" t="str">
        <f t="shared" si="95"/>
        <v/>
      </c>
    </row>
    <row r="818" spans="1:17" ht="15.75" customHeight="1">
      <c r="A818" s="3"/>
      <c r="B818" s="93"/>
      <c r="H818" s="75"/>
      <c r="M818" s="74"/>
      <c r="N818" s="78" t="str">
        <f t="shared" si="95"/>
        <v/>
      </c>
    </row>
    <row r="819" spans="1:17" ht="15.75" customHeight="1">
      <c r="A819" s="3"/>
      <c r="B819" s="93"/>
      <c r="H819" s="75"/>
      <c r="M819" s="74"/>
      <c r="N819" s="78" t="str">
        <f t="shared" si="95"/>
        <v/>
      </c>
    </row>
    <row r="820" spans="1:17" ht="15.75" customHeight="1">
      <c r="A820" s="3"/>
      <c r="B820" s="93"/>
      <c r="H820" s="75"/>
      <c r="M820" s="74"/>
      <c r="N820" s="78" t="str">
        <f t="shared" si="95"/>
        <v/>
      </c>
    </row>
    <row r="821" spans="1:17" ht="15.75" customHeight="1">
      <c r="A821" s="3"/>
      <c r="H821" s="75"/>
      <c r="M821" s="74"/>
      <c r="N821" s="78" t="str">
        <f t="shared" si="95"/>
        <v/>
      </c>
    </row>
    <row r="822" spans="1:17" ht="15.75" customHeight="1">
      <c r="A822" s="3"/>
      <c r="H822" s="75"/>
      <c r="M822" s="74"/>
      <c r="N822" s="78" t="str">
        <f t="shared" si="95"/>
        <v/>
      </c>
    </row>
    <row r="823" spans="1:17" ht="15.75" customHeight="1">
      <c r="A823" s="3"/>
      <c r="H823" s="75"/>
      <c r="M823" s="74"/>
      <c r="N823" s="78" t="str">
        <f t="shared" si="95"/>
        <v/>
      </c>
    </row>
    <row r="824" spans="1:17" ht="15.75" customHeight="1">
      <c r="A824" s="3"/>
      <c r="H824" s="75"/>
      <c r="M824" s="74"/>
      <c r="N824" s="78" t="str">
        <f t="shared" si="95"/>
        <v/>
      </c>
    </row>
    <row r="825" spans="1:17" ht="15.75" customHeight="1">
      <c r="A825" s="3">
        <v>46289</v>
      </c>
      <c r="B825" s="93" t="s">
        <v>407</v>
      </c>
      <c r="C825" s="4" t="s">
        <v>124</v>
      </c>
      <c r="E825" s="7" t="s">
        <v>477</v>
      </c>
      <c r="F825" s="7" t="s">
        <v>478</v>
      </c>
      <c r="G825" s="7" t="s">
        <v>48</v>
      </c>
      <c r="H825" s="75">
        <v>46304</v>
      </c>
      <c r="I825" s="2" t="s">
        <v>166</v>
      </c>
      <c r="J825" s="8" t="s">
        <v>24</v>
      </c>
      <c r="K825" s="7" t="s">
        <v>25</v>
      </c>
      <c r="L825" s="8">
        <v>15</v>
      </c>
      <c r="M825" s="74">
        <v>46288</v>
      </c>
      <c r="N825" s="78" t="str">
        <f t="shared" ref="N825:N841" si="96">IF(AND(A825="",K1063=""),"",IF(Q825="","Em Andamento",IF(M825&lt;=O825,"Dentro do Prazo","Fora do Prazo")))</f>
        <v>Dentro do Prazo</v>
      </c>
      <c r="O825" s="57">
        <f t="shared" ref="O825" si="97">IF(OR(A825="",L825=""),"",A825+L825)</f>
        <v>46304</v>
      </c>
      <c r="P825" s="76" t="str">
        <f t="shared" ref="P825:P841" ca="1" si="98">IF(O825="","",IF(O825-TODAY()=0,"Vence Hoje!",IF(O825-TODAY()&gt;=0,O825-TODAY()&amp;" Dia(s) para vencer","Prazo Vencido")))</f>
        <v>Prazo Vencido</v>
      </c>
      <c r="Q825" s="84">
        <f t="shared" ref="Q825:Q846" si="99">IF(OR(A825="",M825=""),"",M825-A825)</f>
        <v>-1</v>
      </c>
    </row>
    <row r="826" spans="1:17" ht="15.75" customHeight="1">
      <c r="A826" s="3">
        <v>46295</v>
      </c>
      <c r="B826" s="93" t="s">
        <v>17</v>
      </c>
      <c r="C826" s="4" t="s">
        <v>27</v>
      </c>
      <c r="D826" s="7" t="s">
        <v>19</v>
      </c>
      <c r="E826" s="96" t="s">
        <v>479</v>
      </c>
      <c r="F826" s="7" t="s">
        <v>480</v>
      </c>
      <c r="G826" s="7" t="s">
        <v>48</v>
      </c>
      <c r="H826" s="75">
        <v>46343</v>
      </c>
      <c r="I826" s="2" t="s">
        <v>452</v>
      </c>
      <c r="J826" s="8" t="s">
        <v>24</v>
      </c>
      <c r="K826" s="7" t="s">
        <v>25</v>
      </c>
      <c r="L826" s="8">
        <v>15</v>
      </c>
      <c r="M826" s="74">
        <v>46317</v>
      </c>
      <c r="N826" s="78" t="str">
        <f t="shared" si="96"/>
        <v>Fora do Prazo</v>
      </c>
      <c r="O826" s="57">
        <f>IF(OR(A826="",L826=""),"",A826+L826)</f>
        <v>46310</v>
      </c>
      <c r="P826" s="76" t="str">
        <f t="shared" ca="1" si="98"/>
        <v>Prazo Vencido</v>
      </c>
      <c r="Q826" s="84">
        <f t="shared" si="99"/>
        <v>22</v>
      </c>
    </row>
    <row r="827" spans="1:17" ht="15.75" customHeight="1">
      <c r="A827" s="3">
        <v>46295</v>
      </c>
      <c r="B827" s="93" t="s">
        <v>17</v>
      </c>
      <c r="C827" s="4" t="s">
        <v>27</v>
      </c>
      <c r="D827" s="7" t="s">
        <v>19</v>
      </c>
      <c r="E827" s="96" t="s">
        <v>481</v>
      </c>
      <c r="F827" s="96" t="s">
        <v>482</v>
      </c>
      <c r="G827" s="7" t="s">
        <v>48</v>
      </c>
      <c r="H827" s="75">
        <v>46343</v>
      </c>
      <c r="I827" s="2" t="s">
        <v>452</v>
      </c>
      <c r="J827" s="8" t="s">
        <v>24</v>
      </c>
      <c r="K827" s="7" t="s">
        <v>25</v>
      </c>
      <c r="L827" s="8">
        <v>15</v>
      </c>
      <c r="M827" s="74">
        <v>46317</v>
      </c>
      <c r="N827" s="78" t="str">
        <f t="shared" si="96"/>
        <v>Fora do Prazo</v>
      </c>
      <c r="O827" s="57">
        <f t="shared" ref="O827:O836" si="100">IF(OR(A827="",L827=""),"",A827+L827)</f>
        <v>46310</v>
      </c>
      <c r="P827" s="76" t="str">
        <f t="shared" ca="1" si="98"/>
        <v>Prazo Vencido</v>
      </c>
      <c r="Q827" s="84">
        <f t="shared" si="99"/>
        <v>22</v>
      </c>
    </row>
    <row r="828" spans="1:17" ht="15.75" customHeight="1">
      <c r="A828" s="3">
        <v>46295</v>
      </c>
      <c r="B828" s="93" t="s">
        <v>17</v>
      </c>
      <c r="C828" s="4" t="s">
        <v>27</v>
      </c>
      <c r="D828" s="7" t="s">
        <v>19</v>
      </c>
      <c r="E828" s="96" t="s">
        <v>483</v>
      </c>
      <c r="F828" s="96" t="s">
        <v>484</v>
      </c>
      <c r="G828" s="7" t="s">
        <v>48</v>
      </c>
      <c r="H828" s="75">
        <v>46331</v>
      </c>
      <c r="I828" s="2" t="s">
        <v>452</v>
      </c>
      <c r="J828" s="8" t="s">
        <v>24</v>
      </c>
      <c r="K828" s="7" t="s">
        <v>25</v>
      </c>
      <c r="L828" s="8">
        <v>15</v>
      </c>
      <c r="M828" s="74">
        <v>46303</v>
      </c>
      <c r="N828" s="78" t="str">
        <f t="shared" si="96"/>
        <v>Dentro do Prazo</v>
      </c>
      <c r="O828" s="57">
        <f t="shared" si="100"/>
        <v>46310</v>
      </c>
      <c r="P828" s="76" t="str">
        <f t="shared" ca="1" si="98"/>
        <v>Prazo Vencido</v>
      </c>
      <c r="Q828" s="84">
        <f t="shared" si="99"/>
        <v>8</v>
      </c>
    </row>
    <row r="829" spans="1:17" ht="15.75" customHeight="1">
      <c r="A829" s="3">
        <v>46295</v>
      </c>
      <c r="B829" s="93" t="s">
        <v>17</v>
      </c>
      <c r="C829" s="4" t="s">
        <v>27</v>
      </c>
      <c r="D829" s="7" t="s">
        <v>19</v>
      </c>
      <c r="E829" s="96" t="s">
        <v>485</v>
      </c>
      <c r="F829" s="96" t="s">
        <v>486</v>
      </c>
      <c r="G829" s="7" t="s">
        <v>48</v>
      </c>
      <c r="H829" s="75">
        <v>46304</v>
      </c>
      <c r="J829" s="8" t="s">
        <v>24</v>
      </c>
      <c r="K829" s="7" t="s">
        <v>25</v>
      </c>
      <c r="L829" s="8">
        <v>15</v>
      </c>
      <c r="M829" s="74">
        <v>46300</v>
      </c>
      <c r="N829" s="78" t="str">
        <f t="shared" si="96"/>
        <v>Dentro do Prazo</v>
      </c>
      <c r="O829" s="57">
        <f t="shared" si="100"/>
        <v>46310</v>
      </c>
      <c r="P829" s="76" t="str">
        <f t="shared" ca="1" si="98"/>
        <v>Prazo Vencido</v>
      </c>
      <c r="Q829" s="84">
        <f t="shared" si="99"/>
        <v>5</v>
      </c>
    </row>
    <row r="830" spans="1:17" ht="15.75" customHeight="1">
      <c r="A830" s="3">
        <v>46295</v>
      </c>
      <c r="B830" s="93" t="s">
        <v>17</v>
      </c>
      <c r="C830" s="4" t="s">
        <v>27</v>
      </c>
      <c r="D830" s="7" t="s">
        <v>19</v>
      </c>
      <c r="E830" s="96" t="s">
        <v>399</v>
      </c>
      <c r="F830" s="96" t="s">
        <v>487</v>
      </c>
      <c r="G830" s="7" t="s">
        <v>48</v>
      </c>
      <c r="H830" s="75">
        <v>46304</v>
      </c>
      <c r="J830" s="8" t="s">
        <v>24</v>
      </c>
      <c r="K830" s="7" t="s">
        <v>25</v>
      </c>
      <c r="L830" s="8">
        <v>15</v>
      </c>
      <c r="M830" s="74">
        <v>46300</v>
      </c>
      <c r="N830" s="78" t="str">
        <f t="shared" si="96"/>
        <v>Dentro do Prazo</v>
      </c>
      <c r="O830" s="57">
        <f t="shared" si="100"/>
        <v>46310</v>
      </c>
      <c r="P830" s="76" t="str">
        <f t="shared" ca="1" si="98"/>
        <v>Prazo Vencido</v>
      </c>
      <c r="Q830" s="84">
        <f t="shared" si="99"/>
        <v>5</v>
      </c>
    </row>
    <row r="831" spans="1:17" ht="15.75" customHeight="1">
      <c r="A831" s="3">
        <v>46295</v>
      </c>
      <c r="B831" s="93" t="s">
        <v>17</v>
      </c>
      <c r="C831" s="4" t="s">
        <v>27</v>
      </c>
      <c r="D831" s="7" t="s">
        <v>19</v>
      </c>
      <c r="E831" s="96" t="s">
        <v>488</v>
      </c>
      <c r="F831" s="96" t="s">
        <v>489</v>
      </c>
      <c r="G831" s="7" t="s">
        <v>48</v>
      </c>
      <c r="H831" s="75">
        <v>46304</v>
      </c>
      <c r="J831" s="8" t="s">
        <v>24</v>
      </c>
      <c r="K831" s="7" t="s">
        <v>25</v>
      </c>
      <c r="L831" s="8">
        <v>15</v>
      </c>
      <c r="M831" s="74">
        <v>46300</v>
      </c>
      <c r="N831" s="78" t="str">
        <f t="shared" si="96"/>
        <v>Dentro do Prazo</v>
      </c>
      <c r="O831" s="57">
        <f t="shared" si="100"/>
        <v>46310</v>
      </c>
      <c r="P831" s="76" t="str">
        <f t="shared" ca="1" si="98"/>
        <v>Prazo Vencido</v>
      </c>
      <c r="Q831" s="84">
        <f t="shared" si="99"/>
        <v>5</v>
      </c>
    </row>
    <row r="832" spans="1:17" ht="15.75" customHeight="1">
      <c r="A832" s="3">
        <v>46295</v>
      </c>
      <c r="B832" s="93" t="s">
        <v>17</v>
      </c>
      <c r="C832" s="4" t="s">
        <v>27</v>
      </c>
      <c r="D832" s="7" t="s">
        <v>19</v>
      </c>
      <c r="E832" s="96" t="s">
        <v>490</v>
      </c>
      <c r="F832" s="96"/>
      <c r="G832" s="7" t="s">
        <v>22</v>
      </c>
      <c r="H832" s="75"/>
      <c r="I832" s="2"/>
      <c r="J832" s="8" t="s">
        <v>265</v>
      </c>
      <c r="K832" s="7" t="s">
        <v>25</v>
      </c>
      <c r="L832" s="8">
        <v>15</v>
      </c>
      <c r="N832" s="78" t="str">
        <f t="shared" si="96"/>
        <v>Em Andamento</v>
      </c>
      <c r="O832" s="57">
        <f t="shared" si="100"/>
        <v>46310</v>
      </c>
      <c r="P832" s="76" t="str">
        <f t="shared" ca="1" si="98"/>
        <v>Prazo Vencido</v>
      </c>
      <c r="Q832" s="84" t="str">
        <f t="shared" si="99"/>
        <v/>
      </c>
    </row>
    <row r="833" spans="1:17" ht="15.75" customHeight="1">
      <c r="A833" s="3">
        <v>46295</v>
      </c>
      <c r="B833" s="93" t="s">
        <v>17</v>
      </c>
      <c r="C833" s="4" t="s">
        <v>27</v>
      </c>
      <c r="D833" s="7" t="s">
        <v>19</v>
      </c>
      <c r="E833" s="96" t="s">
        <v>491</v>
      </c>
      <c r="F833" s="96" t="s">
        <v>492</v>
      </c>
      <c r="G833" s="7" t="s">
        <v>22</v>
      </c>
      <c r="H833" s="75">
        <v>46331</v>
      </c>
      <c r="I833" s="2" t="s">
        <v>452</v>
      </c>
      <c r="J833" s="8" t="s">
        <v>24</v>
      </c>
      <c r="K833" s="7" t="s">
        <v>25</v>
      </c>
      <c r="L833" s="8">
        <v>15</v>
      </c>
      <c r="M833" s="95">
        <v>46308</v>
      </c>
      <c r="N833" s="78" t="str">
        <f t="shared" si="96"/>
        <v>Dentro do Prazo</v>
      </c>
      <c r="O833" s="57">
        <f t="shared" si="100"/>
        <v>46310</v>
      </c>
      <c r="P833" s="76" t="str">
        <f t="shared" ca="1" si="98"/>
        <v>Prazo Vencido</v>
      </c>
      <c r="Q833" s="84">
        <f t="shared" si="99"/>
        <v>13</v>
      </c>
    </row>
    <row r="834" spans="1:17" ht="15.75" customHeight="1">
      <c r="A834" s="3">
        <v>46295</v>
      </c>
      <c r="B834" s="93" t="s">
        <v>17</v>
      </c>
      <c r="C834" s="4" t="s">
        <v>27</v>
      </c>
      <c r="D834" s="7" t="s">
        <v>19</v>
      </c>
      <c r="E834" s="96" t="s">
        <v>493</v>
      </c>
      <c r="F834" s="96" t="s">
        <v>494</v>
      </c>
      <c r="G834" s="7" t="s">
        <v>22</v>
      </c>
      <c r="H834" s="75">
        <v>46343</v>
      </c>
      <c r="I834" s="2" t="s">
        <v>452</v>
      </c>
      <c r="J834" s="8" t="s">
        <v>24</v>
      </c>
      <c r="K834" s="7" t="s">
        <v>25</v>
      </c>
      <c r="L834" s="8">
        <v>15</v>
      </c>
      <c r="M834" s="74">
        <v>46317</v>
      </c>
      <c r="N834" s="78" t="str">
        <f t="shared" si="96"/>
        <v>Fora do Prazo</v>
      </c>
      <c r="O834" s="57">
        <f t="shared" si="100"/>
        <v>46310</v>
      </c>
      <c r="P834" s="76" t="str">
        <f t="shared" ca="1" si="98"/>
        <v>Prazo Vencido</v>
      </c>
      <c r="Q834" s="84">
        <f t="shared" si="99"/>
        <v>22</v>
      </c>
    </row>
    <row r="835" spans="1:17" ht="15.75" customHeight="1">
      <c r="A835" s="3">
        <v>46295</v>
      </c>
      <c r="B835" s="93" t="s">
        <v>17</v>
      </c>
      <c r="C835" s="4" t="s">
        <v>27</v>
      </c>
      <c r="D835" s="7" t="s">
        <v>19</v>
      </c>
      <c r="E835" s="96" t="s">
        <v>495</v>
      </c>
      <c r="F835" s="96" t="s">
        <v>496</v>
      </c>
      <c r="G835" s="7" t="s">
        <v>22</v>
      </c>
      <c r="H835" s="75">
        <v>46343</v>
      </c>
      <c r="I835" s="2" t="s">
        <v>452</v>
      </c>
      <c r="J835" s="8" t="s">
        <v>24</v>
      </c>
      <c r="K835" s="7" t="s">
        <v>25</v>
      </c>
      <c r="L835" s="8">
        <v>15</v>
      </c>
      <c r="M835" s="74">
        <v>46317</v>
      </c>
      <c r="N835" s="78" t="str">
        <f t="shared" si="96"/>
        <v>Fora do Prazo</v>
      </c>
      <c r="O835" s="57">
        <f t="shared" si="100"/>
        <v>46310</v>
      </c>
      <c r="P835" s="76" t="str">
        <f t="shared" ca="1" si="98"/>
        <v>Prazo Vencido</v>
      </c>
      <c r="Q835" s="84">
        <f t="shared" si="99"/>
        <v>22</v>
      </c>
    </row>
    <row r="836" spans="1:17" ht="15.75" customHeight="1">
      <c r="A836" s="3">
        <v>46295</v>
      </c>
      <c r="B836" s="93" t="s">
        <v>17</v>
      </c>
      <c r="C836" s="4" t="s">
        <v>27</v>
      </c>
      <c r="D836" s="7" t="s">
        <v>19</v>
      </c>
      <c r="E836" s="96" t="s">
        <v>354</v>
      </c>
      <c r="F836" s="96" t="s">
        <v>497</v>
      </c>
      <c r="G836" s="7" t="s">
        <v>22</v>
      </c>
      <c r="H836" s="75">
        <v>46343</v>
      </c>
      <c r="I836" s="2" t="s">
        <v>452</v>
      </c>
      <c r="J836" s="8" t="s">
        <v>24</v>
      </c>
      <c r="K836" s="7" t="s">
        <v>25</v>
      </c>
      <c r="L836" s="8">
        <v>15</v>
      </c>
      <c r="M836" s="74">
        <v>46317</v>
      </c>
      <c r="N836" s="78" t="str">
        <f t="shared" si="96"/>
        <v>Fora do Prazo</v>
      </c>
      <c r="O836" s="57">
        <f t="shared" si="100"/>
        <v>46310</v>
      </c>
      <c r="P836" s="76" t="str">
        <f t="shared" ca="1" si="98"/>
        <v>Prazo Vencido</v>
      </c>
      <c r="Q836" s="84">
        <f t="shared" si="99"/>
        <v>22</v>
      </c>
    </row>
    <row r="837" spans="1:17" ht="15.75" customHeight="1">
      <c r="A837" s="3">
        <v>46297</v>
      </c>
      <c r="B837" s="93" t="s">
        <v>498</v>
      </c>
      <c r="C837" s="4" t="s">
        <v>121</v>
      </c>
      <c r="D837" s="7" t="s">
        <v>19</v>
      </c>
      <c r="E837" s="96" t="s">
        <v>499</v>
      </c>
      <c r="F837" s="7" t="s">
        <v>500</v>
      </c>
      <c r="G837" s="7" t="s">
        <v>48</v>
      </c>
      <c r="H837" s="75">
        <v>46304</v>
      </c>
      <c r="J837" s="8" t="s">
        <v>24</v>
      </c>
      <c r="K837" s="7" t="s">
        <v>167</v>
      </c>
      <c r="L837" s="8">
        <v>15</v>
      </c>
      <c r="N837" s="78" t="str">
        <f t="shared" si="96"/>
        <v>Em Andamento</v>
      </c>
      <c r="O837" s="57">
        <f>IF(OR(A837="",L837=""),"",A837+L837)</f>
        <v>46312</v>
      </c>
      <c r="P837" s="76" t="str">
        <f t="shared" ca="1" si="98"/>
        <v>Prazo Vencido</v>
      </c>
      <c r="Q837" s="84" t="str">
        <f t="shared" si="99"/>
        <v/>
      </c>
    </row>
    <row r="838" spans="1:17" ht="15.75" customHeight="1">
      <c r="A838" s="3">
        <v>46302</v>
      </c>
      <c r="B838" s="93" t="s">
        <v>404</v>
      </c>
      <c r="C838" s="4" t="s">
        <v>32</v>
      </c>
      <c r="D838" s="7" t="s">
        <v>176</v>
      </c>
      <c r="G838" s="7" t="s">
        <v>48</v>
      </c>
      <c r="I838" s="2"/>
      <c r="J838" s="8" t="s">
        <v>265</v>
      </c>
      <c r="K838" s="7" t="s">
        <v>25</v>
      </c>
      <c r="L838" s="8">
        <v>15</v>
      </c>
      <c r="M838" s="74"/>
      <c r="N838" s="78" t="str">
        <f t="shared" si="96"/>
        <v>Em Andamento</v>
      </c>
      <c r="O838" s="57">
        <f>IF(OR(A838="",L838=""),"",A838+L838)</f>
        <v>46317</v>
      </c>
      <c r="P838" s="76" t="str">
        <f t="shared" ca="1" si="98"/>
        <v>Prazo Vencido</v>
      </c>
      <c r="Q838" s="84" t="str">
        <f t="shared" si="99"/>
        <v/>
      </c>
    </row>
    <row r="839" spans="1:17" ht="15.75" customHeight="1">
      <c r="A839" s="3">
        <v>46302</v>
      </c>
      <c r="B839" s="93" t="s">
        <v>501</v>
      </c>
      <c r="C839" s="4" t="s">
        <v>32</v>
      </c>
      <c r="D839" s="7" t="s">
        <v>176</v>
      </c>
      <c r="F839" s="96" t="s">
        <v>502</v>
      </c>
      <c r="G839" s="7" t="s">
        <v>48</v>
      </c>
      <c r="H839" s="75">
        <v>46343</v>
      </c>
      <c r="I839" s="2" t="s">
        <v>452</v>
      </c>
      <c r="J839" s="8" t="s">
        <v>24</v>
      </c>
      <c r="K839" s="7" t="s">
        <v>25</v>
      </c>
      <c r="L839" s="8">
        <v>15</v>
      </c>
      <c r="M839" s="74">
        <v>46317</v>
      </c>
      <c r="N839" s="78" t="str">
        <f t="shared" si="96"/>
        <v>Dentro do Prazo</v>
      </c>
      <c r="O839" s="57">
        <f t="shared" ref="O839:O841" si="101">IF(OR(A839="",L839=""),"",A839+L839)</f>
        <v>46317</v>
      </c>
      <c r="P839" s="76" t="str">
        <f ca="1">IF(O839="","",IF(O839-TODAY()=0,"Vence Hoje!",IF(O839-TODAY()&gt;=0,O839-TODAY()&amp;" Dia(s) para vencer","Prazo Vencido")))</f>
        <v>Prazo Vencido</v>
      </c>
      <c r="Q839" s="84">
        <f t="shared" si="99"/>
        <v>15</v>
      </c>
    </row>
    <row r="840" spans="1:17" ht="15.75" customHeight="1">
      <c r="A840" s="3">
        <v>46302</v>
      </c>
      <c r="B840" s="93" t="s">
        <v>501</v>
      </c>
      <c r="C840" s="4" t="s">
        <v>32</v>
      </c>
      <c r="D840" s="7" t="s">
        <v>176</v>
      </c>
      <c r="G840" s="7" t="s">
        <v>48</v>
      </c>
      <c r="J840" s="8" t="s">
        <v>265</v>
      </c>
      <c r="K840" s="7" t="s">
        <v>25</v>
      </c>
      <c r="L840" s="8">
        <v>15</v>
      </c>
      <c r="N840" s="78" t="str">
        <f t="shared" si="96"/>
        <v>Em Andamento</v>
      </c>
      <c r="O840" s="57">
        <f t="shared" si="101"/>
        <v>46317</v>
      </c>
      <c r="P840" s="76" t="str">
        <f t="shared" ca="1" si="98"/>
        <v>Prazo Vencido</v>
      </c>
      <c r="Q840" s="84" t="str">
        <f t="shared" si="99"/>
        <v/>
      </c>
    </row>
    <row r="841" spans="1:17" ht="15.75" customHeight="1">
      <c r="A841" s="3">
        <v>46302</v>
      </c>
      <c r="B841" s="93" t="s">
        <v>503</v>
      </c>
      <c r="C841" s="4" t="s">
        <v>32</v>
      </c>
      <c r="D841" s="7" t="s">
        <v>176</v>
      </c>
      <c r="G841" s="7" t="s">
        <v>48</v>
      </c>
      <c r="J841" s="8" t="s">
        <v>265</v>
      </c>
      <c r="K841" s="7" t="s">
        <v>25</v>
      </c>
      <c r="L841" s="8">
        <v>15</v>
      </c>
      <c r="N841" s="78" t="str">
        <f t="shared" si="96"/>
        <v>Em Andamento</v>
      </c>
      <c r="O841" s="57">
        <f t="shared" si="101"/>
        <v>46317</v>
      </c>
      <c r="P841" s="76" t="str">
        <f t="shared" ca="1" si="98"/>
        <v>Prazo Vencido</v>
      </c>
      <c r="Q841" s="84" t="str">
        <f t="shared" si="99"/>
        <v/>
      </c>
    </row>
    <row r="842" spans="1:17" ht="15.75" customHeight="1">
      <c r="A842" s="3">
        <v>46294</v>
      </c>
      <c r="B842" s="93" t="s">
        <v>36</v>
      </c>
      <c r="C842" s="4" t="s">
        <v>37</v>
      </c>
      <c r="D842" s="6" t="s">
        <v>19</v>
      </c>
      <c r="E842" s="7" t="s">
        <v>39</v>
      </c>
      <c r="F842" s="7" t="s">
        <v>504</v>
      </c>
      <c r="G842" s="7" t="s">
        <v>505</v>
      </c>
      <c r="H842" s="75">
        <v>46331</v>
      </c>
      <c r="I842" s="7" t="s">
        <v>452</v>
      </c>
      <c r="J842" s="8" t="s">
        <v>24</v>
      </c>
      <c r="K842" s="7" t="s">
        <v>25</v>
      </c>
      <c r="L842" s="8">
        <v>15</v>
      </c>
      <c r="M842" s="74">
        <v>46309</v>
      </c>
      <c r="N842" s="78" t="str">
        <f>IF(AND(A842="",K1081=""),"",IF(Q842="","Em Andamento",IF(M842&lt;=O842,"Dentro do Prazo","Fora do Prazo")))</f>
        <v>Dentro do Prazo</v>
      </c>
      <c r="O842" s="57">
        <f>IF(OR(A842="",L842=""),"",A842+L842)</f>
        <v>46309</v>
      </c>
      <c r="P842" s="76" t="str">
        <f ca="1">IF(O842="","",IF(O842-TODAY()=0,"Vence Hoje!",IF(O842-TODAY()&gt;=0,O842-TODAY()&amp;" Dia(s) para vencer","Prazo Vencido")))</f>
        <v>Prazo Vencido</v>
      </c>
      <c r="Q842" s="84">
        <f t="shared" ref="Q842" si="102">IF(OR(A842="",M842=""),"",M842-A842)</f>
        <v>15</v>
      </c>
    </row>
    <row r="843" spans="1:17" ht="15.75" customHeight="1">
      <c r="A843" s="3">
        <v>46308</v>
      </c>
      <c r="B843" s="93" t="s">
        <v>17</v>
      </c>
      <c r="C843" s="4" t="s">
        <v>27</v>
      </c>
      <c r="D843" s="7" t="s">
        <v>19</v>
      </c>
      <c r="E843" s="7" t="s">
        <v>506</v>
      </c>
      <c r="G843" s="7" t="s">
        <v>22</v>
      </c>
      <c r="J843" s="8" t="s">
        <v>265</v>
      </c>
      <c r="K843" s="7" t="s">
        <v>25</v>
      </c>
      <c r="L843" s="8">
        <v>15</v>
      </c>
      <c r="M843" s="74">
        <v>46308</v>
      </c>
      <c r="N843" s="78" t="str">
        <f>IF(AND(A843="",K1082=""),"",IF(Q843="","Em Andamento",IF(M843&lt;=O843,"Dentro do Prazo","Fora do Prazo")))</f>
        <v>Dentro do Prazo</v>
      </c>
      <c r="O843" s="57">
        <f>IF(OR(A843="",L843=""),"",A843+L843)</f>
        <v>46323</v>
      </c>
      <c r="P843" s="76" t="str">
        <f t="shared" ref="P843:P885" ca="1" si="103">IF(O843="","",IF(O843-TODAY()=0,"Vence Hoje!",IF(O843-TODAY()&gt;=0,O843-TODAY()&amp;" Dia(s) para vencer","Prazo Vencido")))</f>
        <v>2 Dia(s) para vencer</v>
      </c>
      <c r="Q843" s="84">
        <f t="shared" si="99"/>
        <v>0</v>
      </c>
    </row>
    <row r="844" spans="1:17" ht="15.75" customHeight="1">
      <c r="A844" s="3">
        <v>46308</v>
      </c>
      <c r="B844" s="93" t="s">
        <v>17</v>
      </c>
      <c r="C844" s="4" t="s">
        <v>27</v>
      </c>
      <c r="D844" s="7" t="s">
        <v>19</v>
      </c>
      <c r="E844" s="7" t="s">
        <v>507</v>
      </c>
      <c r="G844" s="7" t="s">
        <v>454</v>
      </c>
      <c r="J844" s="8" t="s">
        <v>265</v>
      </c>
      <c r="K844" s="7" t="s">
        <v>25</v>
      </c>
      <c r="L844" s="8">
        <v>15</v>
      </c>
      <c r="M844" s="74">
        <v>46308</v>
      </c>
      <c r="N844" s="78" t="str">
        <f>IF(AND(A844="",K1083=""),"",IF(Q844="","Em Andamento",IF(M844&lt;=O844,"Dentro do Prazo","Fora do Prazo")))</f>
        <v>Dentro do Prazo</v>
      </c>
      <c r="O844" s="57">
        <f>IF(OR(A844="",L844=""),"",A844+L844)</f>
        <v>46323</v>
      </c>
      <c r="P844" s="76" t="str">
        <f t="shared" ca="1" si="103"/>
        <v>2 Dia(s) para vencer</v>
      </c>
      <c r="Q844" s="84">
        <f t="shared" si="99"/>
        <v>0</v>
      </c>
    </row>
    <row r="845" spans="1:17" ht="15.75" customHeight="1">
      <c r="A845" s="3">
        <v>46308</v>
      </c>
      <c r="B845" s="93" t="s">
        <v>17</v>
      </c>
      <c r="C845" s="4" t="s">
        <v>27</v>
      </c>
      <c r="D845" s="7" t="s">
        <v>19</v>
      </c>
      <c r="E845" s="7" t="s">
        <v>508</v>
      </c>
      <c r="G845" s="7" t="s">
        <v>454</v>
      </c>
      <c r="J845" s="8" t="s">
        <v>265</v>
      </c>
      <c r="K845" s="7" t="s">
        <v>25</v>
      </c>
      <c r="L845" s="8">
        <v>15</v>
      </c>
      <c r="M845" s="74">
        <v>46308</v>
      </c>
      <c r="N845" s="78" t="str">
        <f>IF(AND(A845="",K1084=""),"",IF(Q845="","Em Andamento",IF(M845&lt;=O845,"Dentro do Prazo","Fora do Prazo")))</f>
        <v>Dentro do Prazo</v>
      </c>
      <c r="O845" s="57">
        <f>IF(OR(A845="",L845=""),"",A845+L845)</f>
        <v>46323</v>
      </c>
      <c r="P845" s="76" t="str">
        <f t="shared" ca="1" si="103"/>
        <v>2 Dia(s) para vencer</v>
      </c>
      <c r="Q845" s="84">
        <f t="shared" si="99"/>
        <v>0</v>
      </c>
    </row>
    <row r="846" spans="1:17" ht="15.75" customHeight="1">
      <c r="A846" s="3">
        <v>46308</v>
      </c>
      <c r="B846" s="93" t="s">
        <v>17</v>
      </c>
      <c r="C846" s="4" t="s">
        <v>27</v>
      </c>
      <c r="D846" s="7" t="s">
        <v>19</v>
      </c>
      <c r="E846" s="7" t="s">
        <v>509</v>
      </c>
      <c r="G846" s="7" t="s">
        <v>454</v>
      </c>
      <c r="J846" s="8" t="s">
        <v>265</v>
      </c>
      <c r="K846" s="7" t="s">
        <v>25</v>
      </c>
      <c r="L846" s="8">
        <v>15</v>
      </c>
      <c r="M846" s="74">
        <v>46308</v>
      </c>
      <c r="N846" s="78" t="str">
        <f>IF(AND(A846="",K1085=""),"",IF(Q846="","Em Andamento",IF(M846&lt;=O846,"Dentro do Prazo","Fora do Prazo")))</f>
        <v>Dentro do Prazo</v>
      </c>
      <c r="O846" s="57">
        <f>IF(OR(A846="",L846=""),"",A846+L846)</f>
        <v>46323</v>
      </c>
      <c r="P846" s="76" t="str">
        <f t="shared" ca="1" si="103"/>
        <v>2 Dia(s) para vencer</v>
      </c>
      <c r="Q846" s="84">
        <f t="shared" si="99"/>
        <v>0</v>
      </c>
    </row>
    <row r="847" spans="1:17" ht="15.75" customHeight="1">
      <c r="A847" s="3">
        <v>46311</v>
      </c>
      <c r="B847" s="93" t="s">
        <v>17</v>
      </c>
      <c r="C847" s="4" t="s">
        <v>27</v>
      </c>
      <c r="D847" s="7" t="s">
        <v>358</v>
      </c>
      <c r="G847" s="7" t="s">
        <v>48</v>
      </c>
      <c r="J847" s="8" t="s">
        <v>265</v>
      </c>
      <c r="K847" s="7" t="s">
        <v>25</v>
      </c>
      <c r="L847" s="8">
        <v>15</v>
      </c>
      <c r="N847" s="78" t="str">
        <f t="shared" ref="N847:N861" si="104">IF(AND(A847="",K1086=""),"",IF(Q847="","Em Andamento",IF(M847&lt;=O847,"Dentro do Prazo","Fora do Prazo")))</f>
        <v>Em Andamento</v>
      </c>
      <c r="O847" s="57">
        <f t="shared" ref="O847:O861" si="105">IF(OR(A847="",L847=""),"",A847+L847)</f>
        <v>46326</v>
      </c>
      <c r="P847" s="76" t="str">
        <f t="shared" ca="1" si="103"/>
        <v>5 Dia(s) para vencer</v>
      </c>
      <c r="Q847" s="84" t="str">
        <f t="shared" ref="Q847:Q861" si="106">IF(OR(A847="",M847=""),"",M847-A847)</f>
        <v/>
      </c>
    </row>
    <row r="848" spans="1:17" ht="15.75" customHeight="1">
      <c r="A848" s="3">
        <v>46311</v>
      </c>
      <c r="B848" s="93" t="s">
        <v>17</v>
      </c>
      <c r="C848" s="4" t="s">
        <v>27</v>
      </c>
      <c r="D848" s="7" t="s">
        <v>358</v>
      </c>
      <c r="G848" s="7" t="s">
        <v>48</v>
      </c>
      <c r="J848" s="8" t="s">
        <v>265</v>
      </c>
      <c r="K848" s="7" t="s">
        <v>25</v>
      </c>
      <c r="L848" s="8">
        <v>15</v>
      </c>
      <c r="N848" s="78" t="str">
        <f t="shared" si="104"/>
        <v>Em Andamento</v>
      </c>
      <c r="O848" s="57">
        <f t="shared" si="105"/>
        <v>46326</v>
      </c>
      <c r="P848" s="76" t="str">
        <f t="shared" ca="1" si="103"/>
        <v>5 Dia(s) para vencer</v>
      </c>
      <c r="Q848" s="84" t="str">
        <f>IF(OR(A848="",M848=""),"",M848-A848)</f>
        <v/>
      </c>
    </row>
    <row r="849" spans="1:17" ht="15.75" customHeight="1">
      <c r="A849" s="3">
        <v>46311</v>
      </c>
      <c r="B849" s="93" t="s">
        <v>17</v>
      </c>
      <c r="C849" s="4" t="s">
        <v>27</v>
      </c>
      <c r="D849" s="7" t="s">
        <v>358</v>
      </c>
      <c r="G849" s="7" t="s">
        <v>48</v>
      </c>
      <c r="J849" s="8" t="s">
        <v>265</v>
      </c>
      <c r="K849" s="7" t="s">
        <v>25</v>
      </c>
      <c r="L849" s="8">
        <v>15</v>
      </c>
      <c r="N849" s="78" t="str">
        <f t="shared" si="104"/>
        <v>Em Andamento</v>
      </c>
      <c r="O849" s="57">
        <f t="shared" si="105"/>
        <v>46326</v>
      </c>
      <c r="P849" s="76" t="str">
        <f t="shared" ca="1" si="103"/>
        <v>5 Dia(s) para vencer</v>
      </c>
      <c r="Q849" s="84" t="str">
        <f t="shared" si="106"/>
        <v/>
      </c>
    </row>
    <row r="850" spans="1:17" ht="15.75" customHeight="1">
      <c r="A850" s="3">
        <v>46311</v>
      </c>
      <c r="B850" s="93" t="s">
        <v>17</v>
      </c>
      <c r="C850" s="4" t="s">
        <v>27</v>
      </c>
      <c r="D850" s="7" t="s">
        <v>358</v>
      </c>
      <c r="G850" s="7" t="s">
        <v>48</v>
      </c>
      <c r="J850" s="8" t="s">
        <v>265</v>
      </c>
      <c r="K850" s="7" t="s">
        <v>25</v>
      </c>
      <c r="L850" s="8">
        <v>15</v>
      </c>
      <c r="N850" s="78" t="str">
        <f t="shared" si="104"/>
        <v>Em Andamento</v>
      </c>
      <c r="O850" s="57">
        <f t="shared" si="105"/>
        <v>46326</v>
      </c>
      <c r="P850" s="76" t="str">
        <f t="shared" ca="1" si="103"/>
        <v>5 Dia(s) para vencer</v>
      </c>
      <c r="Q850" s="84" t="str">
        <f t="shared" si="106"/>
        <v/>
      </c>
    </row>
    <row r="851" spans="1:17" ht="15.75" customHeight="1">
      <c r="A851" s="3">
        <v>46311</v>
      </c>
      <c r="B851" s="93" t="s">
        <v>17</v>
      </c>
      <c r="C851" s="4" t="s">
        <v>27</v>
      </c>
      <c r="D851" s="7" t="s">
        <v>358</v>
      </c>
      <c r="G851" s="7" t="s">
        <v>48</v>
      </c>
      <c r="J851" s="8" t="s">
        <v>265</v>
      </c>
      <c r="K851" s="7" t="s">
        <v>25</v>
      </c>
      <c r="L851" s="8">
        <v>15</v>
      </c>
      <c r="N851" s="78" t="str">
        <f t="shared" si="104"/>
        <v>Em Andamento</v>
      </c>
      <c r="O851" s="57">
        <f t="shared" si="105"/>
        <v>46326</v>
      </c>
      <c r="P851" s="76" t="str">
        <f t="shared" ca="1" si="103"/>
        <v>5 Dia(s) para vencer</v>
      </c>
      <c r="Q851" s="84" t="str">
        <f t="shared" si="106"/>
        <v/>
      </c>
    </row>
    <row r="852" spans="1:17" ht="15.75" customHeight="1">
      <c r="A852" s="3">
        <v>46311</v>
      </c>
      <c r="B852" s="93" t="s">
        <v>17</v>
      </c>
      <c r="C852" s="4" t="s">
        <v>27</v>
      </c>
      <c r="D852" s="7" t="s">
        <v>358</v>
      </c>
      <c r="G852" s="7" t="s">
        <v>48</v>
      </c>
      <c r="J852" s="8" t="s">
        <v>265</v>
      </c>
      <c r="K852" s="7" t="s">
        <v>25</v>
      </c>
      <c r="L852" s="8">
        <v>15</v>
      </c>
      <c r="N852" s="78" t="str">
        <f t="shared" si="104"/>
        <v>Em Andamento</v>
      </c>
      <c r="O852" s="57">
        <f t="shared" si="105"/>
        <v>46326</v>
      </c>
      <c r="P852" s="76" t="str">
        <f t="shared" ca="1" si="103"/>
        <v>5 Dia(s) para vencer</v>
      </c>
      <c r="Q852" s="84" t="str">
        <f t="shared" si="106"/>
        <v/>
      </c>
    </row>
    <row r="853" spans="1:17" ht="15.75" customHeight="1">
      <c r="A853" s="3">
        <v>46311</v>
      </c>
      <c r="B853" s="93" t="s">
        <v>17</v>
      </c>
      <c r="C853" s="4" t="s">
        <v>27</v>
      </c>
      <c r="D853" s="7" t="s">
        <v>358</v>
      </c>
      <c r="G853" s="7" t="s">
        <v>48</v>
      </c>
      <c r="J853" s="8" t="s">
        <v>265</v>
      </c>
      <c r="K853" s="7" t="s">
        <v>25</v>
      </c>
      <c r="L853" s="8">
        <v>15</v>
      </c>
      <c r="N853" s="78" t="str">
        <f t="shared" si="104"/>
        <v>Em Andamento</v>
      </c>
      <c r="O853" s="57">
        <f t="shared" si="105"/>
        <v>46326</v>
      </c>
      <c r="P853" s="76" t="str">
        <f t="shared" ca="1" si="103"/>
        <v>5 Dia(s) para vencer</v>
      </c>
      <c r="Q853" s="84" t="str">
        <f t="shared" si="106"/>
        <v/>
      </c>
    </row>
    <row r="854" spans="1:17" ht="15.75" customHeight="1">
      <c r="A854" s="3">
        <v>46311</v>
      </c>
      <c r="B854" s="93" t="s">
        <v>17</v>
      </c>
      <c r="C854" s="4" t="s">
        <v>27</v>
      </c>
      <c r="D854" s="7" t="s">
        <v>358</v>
      </c>
      <c r="G854" s="7" t="s">
        <v>48</v>
      </c>
      <c r="J854" s="8" t="s">
        <v>265</v>
      </c>
      <c r="K854" s="7" t="s">
        <v>25</v>
      </c>
      <c r="L854" s="8">
        <v>15</v>
      </c>
      <c r="N854" s="78" t="str">
        <f t="shared" si="104"/>
        <v>Em Andamento</v>
      </c>
      <c r="O854" s="57">
        <f t="shared" si="105"/>
        <v>46326</v>
      </c>
      <c r="P854" s="76" t="str">
        <f t="shared" ca="1" si="103"/>
        <v>5 Dia(s) para vencer</v>
      </c>
      <c r="Q854" s="84" t="str">
        <f t="shared" si="106"/>
        <v/>
      </c>
    </row>
    <row r="855" spans="1:17" ht="15.75" customHeight="1">
      <c r="A855" s="3">
        <v>46311</v>
      </c>
      <c r="B855" s="93" t="s">
        <v>17</v>
      </c>
      <c r="C855" s="4" t="s">
        <v>27</v>
      </c>
      <c r="D855" s="7" t="s">
        <v>358</v>
      </c>
      <c r="G855" s="7" t="s">
        <v>48</v>
      </c>
      <c r="J855" s="8" t="s">
        <v>265</v>
      </c>
      <c r="K855" s="7" t="s">
        <v>25</v>
      </c>
      <c r="L855" s="8">
        <v>15</v>
      </c>
      <c r="N855" s="78" t="str">
        <f t="shared" si="104"/>
        <v>Em Andamento</v>
      </c>
      <c r="O855" s="57">
        <f t="shared" si="105"/>
        <v>46326</v>
      </c>
      <c r="P855" s="76" t="str">
        <f t="shared" ca="1" si="103"/>
        <v>5 Dia(s) para vencer</v>
      </c>
      <c r="Q855" s="84" t="str">
        <f t="shared" si="106"/>
        <v/>
      </c>
    </row>
    <row r="856" spans="1:17" ht="15.75" customHeight="1">
      <c r="A856" s="3">
        <v>46311</v>
      </c>
      <c r="B856" s="93" t="s">
        <v>17</v>
      </c>
      <c r="C856" s="4" t="s">
        <v>27</v>
      </c>
      <c r="D856" s="7" t="s">
        <v>358</v>
      </c>
      <c r="G856" s="7" t="s">
        <v>48</v>
      </c>
      <c r="J856" s="8" t="s">
        <v>265</v>
      </c>
      <c r="K856" s="7" t="s">
        <v>25</v>
      </c>
      <c r="L856" s="8">
        <v>15</v>
      </c>
      <c r="N856" s="78" t="str">
        <f t="shared" si="104"/>
        <v>Em Andamento</v>
      </c>
      <c r="O856" s="57">
        <f t="shared" si="105"/>
        <v>46326</v>
      </c>
      <c r="P856" s="76" t="str">
        <f t="shared" ca="1" si="103"/>
        <v>5 Dia(s) para vencer</v>
      </c>
      <c r="Q856" s="84" t="str">
        <f t="shared" si="106"/>
        <v/>
      </c>
    </row>
    <row r="857" spans="1:17" ht="15.75" customHeight="1">
      <c r="A857" s="3">
        <v>46311</v>
      </c>
      <c r="B857" s="93" t="s">
        <v>17</v>
      </c>
      <c r="C857" s="4" t="s">
        <v>27</v>
      </c>
      <c r="D857" s="7" t="s">
        <v>358</v>
      </c>
      <c r="G857" s="7" t="s">
        <v>48</v>
      </c>
      <c r="J857" s="8" t="s">
        <v>265</v>
      </c>
      <c r="K857" s="7" t="s">
        <v>25</v>
      </c>
      <c r="L857" s="8">
        <v>15</v>
      </c>
      <c r="N857" s="78" t="str">
        <f t="shared" si="104"/>
        <v>Em Andamento</v>
      </c>
      <c r="O857" s="57">
        <f t="shared" si="105"/>
        <v>46326</v>
      </c>
      <c r="P857" s="76" t="str">
        <f t="shared" ca="1" si="103"/>
        <v>5 Dia(s) para vencer</v>
      </c>
      <c r="Q857" s="84" t="str">
        <f t="shared" si="106"/>
        <v/>
      </c>
    </row>
    <row r="858" spans="1:17" ht="15.75" customHeight="1">
      <c r="A858" s="3">
        <v>46311</v>
      </c>
      <c r="B858" s="93" t="s">
        <v>17</v>
      </c>
      <c r="C858" s="4" t="s">
        <v>27</v>
      </c>
      <c r="D858" s="7" t="s">
        <v>358</v>
      </c>
      <c r="G858" s="7" t="s">
        <v>48</v>
      </c>
      <c r="J858" s="8" t="s">
        <v>265</v>
      </c>
      <c r="K858" s="7" t="s">
        <v>25</v>
      </c>
      <c r="L858" s="8">
        <v>15</v>
      </c>
      <c r="N858" s="78" t="str">
        <f t="shared" si="104"/>
        <v>Em Andamento</v>
      </c>
      <c r="O858" s="57">
        <f t="shared" si="105"/>
        <v>46326</v>
      </c>
      <c r="P858" s="76" t="str">
        <f t="shared" ca="1" si="103"/>
        <v>5 Dia(s) para vencer</v>
      </c>
      <c r="Q858" s="84" t="str">
        <f t="shared" si="106"/>
        <v/>
      </c>
    </row>
    <row r="859" spans="1:17" ht="15.75" customHeight="1">
      <c r="A859" s="3">
        <v>46311</v>
      </c>
      <c r="B859" s="93" t="s">
        <v>17</v>
      </c>
      <c r="C859" s="4" t="s">
        <v>27</v>
      </c>
      <c r="D859" s="7" t="s">
        <v>358</v>
      </c>
      <c r="G859" s="7" t="s">
        <v>48</v>
      </c>
      <c r="J859" s="8" t="s">
        <v>265</v>
      </c>
      <c r="K859" s="7" t="s">
        <v>25</v>
      </c>
      <c r="L859" s="8">
        <v>15</v>
      </c>
      <c r="N859" s="78" t="str">
        <f t="shared" si="104"/>
        <v>Em Andamento</v>
      </c>
      <c r="O859" s="57">
        <f t="shared" si="105"/>
        <v>46326</v>
      </c>
      <c r="P859" s="76" t="str">
        <f t="shared" ca="1" si="103"/>
        <v>5 Dia(s) para vencer</v>
      </c>
      <c r="Q859" s="84" t="str">
        <f t="shared" si="106"/>
        <v/>
      </c>
    </row>
    <row r="860" spans="1:17" ht="15.75" customHeight="1">
      <c r="A860" s="3">
        <v>46311</v>
      </c>
      <c r="B860" s="93" t="s">
        <v>17</v>
      </c>
      <c r="C860" s="4" t="s">
        <v>27</v>
      </c>
      <c r="D860" s="7" t="s">
        <v>358</v>
      </c>
      <c r="G860" s="7" t="s">
        <v>48</v>
      </c>
      <c r="J860" s="8" t="s">
        <v>265</v>
      </c>
      <c r="K860" s="7" t="s">
        <v>25</v>
      </c>
      <c r="L860" s="8">
        <v>15</v>
      </c>
      <c r="N860" s="78" t="str">
        <f t="shared" si="104"/>
        <v>Em Andamento</v>
      </c>
      <c r="O860" s="57">
        <f t="shared" si="105"/>
        <v>46326</v>
      </c>
      <c r="P860" s="76" t="str">
        <f t="shared" ca="1" si="103"/>
        <v>5 Dia(s) para vencer</v>
      </c>
      <c r="Q860" s="84" t="str">
        <f t="shared" si="106"/>
        <v/>
      </c>
    </row>
    <row r="861" spans="1:17" ht="15.75" customHeight="1">
      <c r="A861" s="3">
        <v>46311</v>
      </c>
      <c r="B861" s="93" t="s">
        <v>17</v>
      </c>
      <c r="C861" s="4" t="s">
        <v>27</v>
      </c>
      <c r="D861" s="7" t="s">
        <v>358</v>
      </c>
      <c r="G861" s="7" t="s">
        <v>48</v>
      </c>
      <c r="J861" s="8" t="s">
        <v>265</v>
      </c>
      <c r="K861" s="7" t="s">
        <v>25</v>
      </c>
      <c r="L861" s="8">
        <v>15</v>
      </c>
      <c r="N861" s="78" t="str">
        <f t="shared" si="104"/>
        <v>Em Andamento</v>
      </c>
      <c r="O861" s="57">
        <f t="shared" si="105"/>
        <v>46326</v>
      </c>
      <c r="P861" s="76" t="str">
        <f t="shared" ca="1" si="103"/>
        <v>5 Dia(s) para vencer</v>
      </c>
      <c r="Q861" s="84" t="str">
        <f t="shared" si="106"/>
        <v/>
      </c>
    </row>
    <row r="862" spans="1:17" ht="15.75" customHeight="1">
      <c r="A862" s="3">
        <v>46316</v>
      </c>
      <c r="B862" s="93" t="s">
        <v>510</v>
      </c>
      <c r="C862" s="4" t="s">
        <v>511</v>
      </c>
      <c r="D862" s="7" t="s">
        <v>19</v>
      </c>
      <c r="E862" s="7" t="s">
        <v>512</v>
      </c>
      <c r="J862" s="8" t="s">
        <v>265</v>
      </c>
      <c r="K862" s="7" t="s">
        <v>25</v>
      </c>
      <c r="L862" s="8">
        <v>15</v>
      </c>
      <c r="N862" s="78" t="str">
        <f t="shared" ref="N862:N883" si="107">IF(AND(A862="",K1101=""),"",IF(Q862="","Em Andamento",IF(M862&lt;=O862,"Dentro do Prazo","Fora do Prazo")))</f>
        <v>Em Andamento</v>
      </c>
      <c r="O862" s="57">
        <f t="shared" ref="O862:O885" si="108">IF(OR(A862="",L862=""),"",A862+L862)</f>
        <v>46331</v>
      </c>
      <c r="P862" s="76" t="str">
        <f t="shared" ca="1" si="103"/>
        <v>10 Dia(s) para vencer</v>
      </c>
    </row>
    <row r="863" spans="1:17" ht="15.75" customHeight="1">
      <c r="A863" s="3">
        <v>46318</v>
      </c>
      <c r="B863" s="93" t="s">
        <v>17</v>
      </c>
      <c r="C863" s="4" t="s">
        <v>27</v>
      </c>
      <c r="D863" s="7" t="s">
        <v>19</v>
      </c>
      <c r="E863" s="7" t="s">
        <v>513</v>
      </c>
      <c r="G863" s="7" t="s">
        <v>22</v>
      </c>
      <c r="J863" s="8" t="s">
        <v>265</v>
      </c>
      <c r="K863" s="7" t="s">
        <v>25</v>
      </c>
      <c r="L863" s="8">
        <v>15</v>
      </c>
      <c r="N863" s="78" t="str">
        <f t="shared" si="107"/>
        <v>Em Andamento</v>
      </c>
      <c r="O863" s="57">
        <f t="shared" si="108"/>
        <v>46333</v>
      </c>
      <c r="P863" s="76" t="str">
        <f t="shared" ca="1" si="103"/>
        <v>12 Dia(s) para vencer</v>
      </c>
    </row>
    <row r="864" spans="1:17" ht="15.75" customHeight="1">
      <c r="A864" s="3">
        <v>46318</v>
      </c>
      <c r="B864" s="93" t="s">
        <v>17</v>
      </c>
      <c r="C864" s="4" t="s">
        <v>27</v>
      </c>
      <c r="D864" s="7" t="s">
        <v>19</v>
      </c>
      <c r="E864" s="7" t="s">
        <v>514</v>
      </c>
      <c r="G864" s="7" t="s">
        <v>22</v>
      </c>
      <c r="J864" s="8" t="s">
        <v>265</v>
      </c>
      <c r="K864" s="7" t="s">
        <v>25</v>
      </c>
      <c r="L864" s="8">
        <v>15</v>
      </c>
      <c r="N864" s="78" t="str">
        <f t="shared" si="107"/>
        <v>Em Andamento</v>
      </c>
      <c r="O864" s="57">
        <f>IF(OR(A864="",L864=""),"",A864+L864)</f>
        <v>46333</v>
      </c>
      <c r="P864" s="76" t="str">
        <f t="shared" ca="1" si="103"/>
        <v>12 Dia(s) para vencer</v>
      </c>
    </row>
    <row r="865" spans="1:16" ht="15.75" customHeight="1">
      <c r="A865" s="3">
        <v>46318</v>
      </c>
      <c r="B865" s="93" t="s">
        <v>17</v>
      </c>
      <c r="C865" s="4" t="s">
        <v>27</v>
      </c>
      <c r="D865" s="7" t="s">
        <v>19</v>
      </c>
      <c r="E865" s="7" t="s">
        <v>515</v>
      </c>
      <c r="G865" s="7" t="s">
        <v>22</v>
      </c>
      <c r="J865" s="8" t="s">
        <v>265</v>
      </c>
      <c r="K865" s="7" t="s">
        <v>25</v>
      </c>
      <c r="L865" s="8">
        <v>15</v>
      </c>
      <c r="N865" s="78" t="str">
        <f t="shared" si="107"/>
        <v>Em Andamento</v>
      </c>
      <c r="O865" s="57">
        <f t="shared" si="108"/>
        <v>46333</v>
      </c>
      <c r="P865" s="76" t="str">
        <f t="shared" ca="1" si="103"/>
        <v>12 Dia(s) para vencer</v>
      </c>
    </row>
    <row r="866" spans="1:16" ht="15.75" customHeight="1">
      <c r="A866" s="3">
        <v>46318</v>
      </c>
      <c r="B866" s="93" t="s">
        <v>17</v>
      </c>
      <c r="C866" s="4" t="s">
        <v>27</v>
      </c>
      <c r="D866" s="7" t="s">
        <v>19</v>
      </c>
      <c r="E866" s="7" t="s">
        <v>516</v>
      </c>
      <c r="G866" s="7" t="s">
        <v>22</v>
      </c>
      <c r="J866" s="8" t="s">
        <v>265</v>
      </c>
      <c r="K866" s="7" t="s">
        <v>25</v>
      </c>
      <c r="L866" s="8">
        <v>15</v>
      </c>
      <c r="N866" s="78" t="str">
        <f t="shared" si="107"/>
        <v>Em Andamento</v>
      </c>
      <c r="O866" s="57">
        <f t="shared" si="108"/>
        <v>46333</v>
      </c>
      <c r="P866" s="76" t="str">
        <f t="shared" ca="1" si="103"/>
        <v>12 Dia(s) para vencer</v>
      </c>
    </row>
    <row r="867" spans="1:16" ht="15.75" customHeight="1">
      <c r="A867" s="3">
        <v>46318</v>
      </c>
      <c r="B867" s="93" t="s">
        <v>17</v>
      </c>
      <c r="C867" s="4" t="s">
        <v>27</v>
      </c>
      <c r="D867" s="7" t="s">
        <v>19</v>
      </c>
      <c r="E867" s="7" t="s">
        <v>517</v>
      </c>
      <c r="G867" s="7" t="s">
        <v>22</v>
      </c>
      <c r="J867" s="8" t="s">
        <v>265</v>
      </c>
      <c r="K867" s="7" t="s">
        <v>25</v>
      </c>
      <c r="L867" s="8">
        <v>15</v>
      </c>
      <c r="N867" s="78" t="str">
        <f t="shared" si="107"/>
        <v>Em Andamento</v>
      </c>
      <c r="O867" s="57">
        <f t="shared" si="108"/>
        <v>46333</v>
      </c>
      <c r="P867" s="76" t="str">
        <f t="shared" ca="1" si="103"/>
        <v>12 Dia(s) para vencer</v>
      </c>
    </row>
    <row r="868" spans="1:16" ht="15.75" customHeight="1">
      <c r="A868" s="3">
        <v>46318</v>
      </c>
      <c r="B868" s="93" t="s">
        <v>17</v>
      </c>
      <c r="C868" s="4" t="s">
        <v>27</v>
      </c>
      <c r="D868" s="7" t="s">
        <v>176</v>
      </c>
      <c r="G868" s="7" t="s">
        <v>22</v>
      </c>
      <c r="J868" s="8" t="s">
        <v>265</v>
      </c>
      <c r="K868" s="7" t="s">
        <v>25</v>
      </c>
      <c r="L868" s="8">
        <v>15</v>
      </c>
      <c r="N868" s="78" t="str">
        <f t="shared" si="107"/>
        <v>Em Andamento</v>
      </c>
      <c r="O868" s="57">
        <f t="shared" si="108"/>
        <v>46333</v>
      </c>
      <c r="P868" s="76" t="str">
        <f t="shared" ca="1" si="103"/>
        <v>12 Dia(s) para vencer</v>
      </c>
    </row>
    <row r="869" spans="1:16" ht="15.75" customHeight="1">
      <c r="A869" s="3">
        <v>46318</v>
      </c>
      <c r="B869" s="93" t="s">
        <v>17</v>
      </c>
      <c r="C869" s="4" t="s">
        <v>27</v>
      </c>
      <c r="D869" s="7" t="s">
        <v>176</v>
      </c>
      <c r="G869" s="7" t="s">
        <v>22</v>
      </c>
      <c r="J869" s="8" t="s">
        <v>265</v>
      </c>
      <c r="K869" s="7" t="s">
        <v>25</v>
      </c>
      <c r="L869" s="8">
        <v>15</v>
      </c>
      <c r="N869" s="78" t="str">
        <f t="shared" si="107"/>
        <v>Em Andamento</v>
      </c>
      <c r="O869" s="57">
        <f t="shared" si="108"/>
        <v>46333</v>
      </c>
      <c r="P869" s="76" t="str">
        <f t="shared" ca="1" si="103"/>
        <v>12 Dia(s) para vencer</v>
      </c>
    </row>
    <row r="870" spans="1:16" ht="15.75" customHeight="1">
      <c r="A870" s="3">
        <v>46318</v>
      </c>
      <c r="B870" s="93" t="s">
        <v>17</v>
      </c>
      <c r="C870" s="4" t="s">
        <v>27</v>
      </c>
      <c r="D870" s="7" t="s">
        <v>176</v>
      </c>
      <c r="G870" s="7" t="s">
        <v>22</v>
      </c>
      <c r="J870" s="8" t="s">
        <v>265</v>
      </c>
      <c r="K870" s="7" t="s">
        <v>25</v>
      </c>
      <c r="L870" s="8">
        <v>15</v>
      </c>
      <c r="N870" s="78" t="str">
        <f t="shared" si="107"/>
        <v>Em Andamento</v>
      </c>
      <c r="O870" s="57">
        <f t="shared" si="108"/>
        <v>46333</v>
      </c>
      <c r="P870" s="76" t="str">
        <f t="shared" ca="1" si="103"/>
        <v>12 Dia(s) para vencer</v>
      </c>
    </row>
    <row r="871" spans="1:16" ht="15.75" customHeight="1">
      <c r="A871" s="3">
        <v>46318</v>
      </c>
      <c r="B871" s="93" t="s">
        <v>17</v>
      </c>
      <c r="C871" s="4" t="s">
        <v>27</v>
      </c>
      <c r="D871" s="7" t="s">
        <v>176</v>
      </c>
      <c r="G871" s="7" t="s">
        <v>22</v>
      </c>
      <c r="J871" s="8" t="s">
        <v>265</v>
      </c>
      <c r="K871" s="7" t="s">
        <v>25</v>
      </c>
      <c r="L871" s="8">
        <v>15</v>
      </c>
      <c r="N871" s="78" t="str">
        <f t="shared" si="107"/>
        <v>Em Andamento</v>
      </c>
      <c r="O871" s="57">
        <f t="shared" si="108"/>
        <v>46333</v>
      </c>
      <c r="P871" s="76" t="str">
        <f t="shared" ca="1" si="103"/>
        <v>12 Dia(s) para vencer</v>
      </c>
    </row>
    <row r="872" spans="1:16" ht="15.75" customHeight="1">
      <c r="A872" s="3">
        <v>46318</v>
      </c>
      <c r="B872" s="93" t="s">
        <v>17</v>
      </c>
      <c r="C872" s="4" t="s">
        <v>27</v>
      </c>
      <c r="D872" s="7" t="s">
        <v>176</v>
      </c>
      <c r="G872" s="7" t="s">
        <v>22</v>
      </c>
      <c r="J872" s="8" t="s">
        <v>265</v>
      </c>
      <c r="K872" s="7" t="s">
        <v>25</v>
      </c>
      <c r="L872" s="8">
        <v>15</v>
      </c>
      <c r="M872"/>
      <c r="N872" s="78" t="str">
        <f t="shared" si="107"/>
        <v>Em Andamento</v>
      </c>
      <c r="O872" s="57">
        <f t="shared" si="108"/>
        <v>46333</v>
      </c>
      <c r="P872" s="76" t="str">
        <f t="shared" ca="1" si="103"/>
        <v>12 Dia(s) para vencer</v>
      </c>
    </row>
    <row r="873" spans="1:16" ht="15.75" customHeight="1">
      <c r="A873" s="3">
        <v>46318</v>
      </c>
      <c r="B873" s="93" t="s">
        <v>17</v>
      </c>
      <c r="C873" s="4" t="s">
        <v>27</v>
      </c>
      <c r="D873" s="7" t="s">
        <v>176</v>
      </c>
      <c r="G873" s="7" t="s">
        <v>22</v>
      </c>
      <c r="J873" s="8" t="s">
        <v>265</v>
      </c>
      <c r="K873" s="7" t="s">
        <v>25</v>
      </c>
      <c r="L873" s="8">
        <v>15</v>
      </c>
      <c r="N873" s="78" t="str">
        <f t="shared" si="107"/>
        <v>Em Andamento</v>
      </c>
      <c r="O873" s="57">
        <f t="shared" si="108"/>
        <v>46333</v>
      </c>
      <c r="P873" s="76" t="str">
        <f t="shared" ca="1" si="103"/>
        <v>12 Dia(s) para vencer</v>
      </c>
    </row>
    <row r="874" spans="1:16" ht="15.75" customHeight="1">
      <c r="A874" s="3">
        <v>46318</v>
      </c>
      <c r="B874" s="93" t="s">
        <v>17</v>
      </c>
      <c r="C874" s="4" t="s">
        <v>27</v>
      </c>
      <c r="D874" s="7" t="s">
        <v>176</v>
      </c>
      <c r="G874" s="7" t="s">
        <v>22</v>
      </c>
      <c r="J874" s="8" t="s">
        <v>265</v>
      </c>
      <c r="K874" s="7" t="s">
        <v>25</v>
      </c>
      <c r="L874" s="8">
        <v>15</v>
      </c>
      <c r="N874" s="78" t="str">
        <f t="shared" si="107"/>
        <v>Em Andamento</v>
      </c>
      <c r="O874" s="57">
        <f t="shared" si="108"/>
        <v>46333</v>
      </c>
      <c r="P874" s="76" t="str">
        <f t="shared" ca="1" si="103"/>
        <v>12 Dia(s) para vencer</v>
      </c>
    </row>
    <row r="875" spans="1:16" ht="15.75" customHeight="1">
      <c r="A875" s="3">
        <v>46318</v>
      </c>
      <c r="B875" s="93" t="s">
        <v>17</v>
      </c>
      <c r="C875" s="4" t="s">
        <v>27</v>
      </c>
      <c r="D875" s="7" t="s">
        <v>358</v>
      </c>
      <c r="G875" s="7" t="s">
        <v>22</v>
      </c>
      <c r="J875" s="8" t="s">
        <v>265</v>
      </c>
      <c r="K875" s="7" t="s">
        <v>25</v>
      </c>
      <c r="L875" s="8">
        <v>15</v>
      </c>
      <c r="N875" s="78" t="str">
        <f t="shared" si="107"/>
        <v>Em Andamento</v>
      </c>
      <c r="O875" s="57">
        <f t="shared" si="108"/>
        <v>46333</v>
      </c>
      <c r="P875" s="76" t="str">
        <f t="shared" ca="1" si="103"/>
        <v>12 Dia(s) para vencer</v>
      </c>
    </row>
    <row r="876" spans="1:16" ht="15.75" customHeight="1">
      <c r="A876" s="3">
        <v>46318</v>
      </c>
      <c r="B876" s="93" t="s">
        <v>17</v>
      </c>
      <c r="C876" s="4" t="s">
        <v>27</v>
      </c>
      <c r="D876" s="7" t="s">
        <v>358</v>
      </c>
      <c r="G876" s="7" t="s">
        <v>22</v>
      </c>
      <c r="J876" s="8" t="s">
        <v>265</v>
      </c>
      <c r="K876" s="7" t="s">
        <v>25</v>
      </c>
      <c r="L876" s="8">
        <v>15</v>
      </c>
      <c r="N876" s="78" t="str">
        <f t="shared" si="107"/>
        <v>Em Andamento</v>
      </c>
      <c r="O876" s="57">
        <f t="shared" si="108"/>
        <v>46333</v>
      </c>
      <c r="P876" s="76" t="str">
        <f t="shared" ca="1" si="103"/>
        <v>12 Dia(s) para vencer</v>
      </c>
    </row>
    <row r="877" spans="1:16" ht="15.75" customHeight="1">
      <c r="A877" s="3">
        <v>46318</v>
      </c>
      <c r="B877" s="93" t="s">
        <v>17</v>
      </c>
      <c r="C877" s="4" t="s">
        <v>27</v>
      </c>
      <c r="D877" s="7" t="s">
        <v>358</v>
      </c>
      <c r="G877" s="7" t="s">
        <v>22</v>
      </c>
      <c r="J877" s="8" t="s">
        <v>265</v>
      </c>
      <c r="K877" s="7" t="s">
        <v>25</v>
      </c>
      <c r="L877" s="8">
        <v>15</v>
      </c>
      <c r="N877" s="78" t="str">
        <f t="shared" si="107"/>
        <v>Em Andamento</v>
      </c>
      <c r="O877" s="57">
        <f t="shared" si="108"/>
        <v>46333</v>
      </c>
      <c r="P877" s="76" t="str">
        <f t="shared" ca="1" si="103"/>
        <v>12 Dia(s) para vencer</v>
      </c>
    </row>
    <row r="878" spans="1:16" ht="15.75" customHeight="1">
      <c r="A878" s="3">
        <v>46318</v>
      </c>
      <c r="B878" s="93" t="s">
        <v>17</v>
      </c>
      <c r="C878" s="4" t="s">
        <v>27</v>
      </c>
      <c r="D878" s="7" t="s">
        <v>358</v>
      </c>
      <c r="G878" s="7" t="s">
        <v>22</v>
      </c>
      <c r="J878" s="8" t="s">
        <v>265</v>
      </c>
      <c r="K878" s="7" t="s">
        <v>25</v>
      </c>
      <c r="L878" s="8">
        <v>15</v>
      </c>
      <c r="N878" s="78" t="str">
        <f t="shared" si="107"/>
        <v>Em Andamento</v>
      </c>
      <c r="O878" s="57">
        <f t="shared" si="108"/>
        <v>46333</v>
      </c>
      <c r="P878" s="76" t="str">
        <f t="shared" ca="1" si="103"/>
        <v>12 Dia(s) para vencer</v>
      </c>
    </row>
    <row r="879" spans="1:16" ht="15.75" customHeight="1">
      <c r="A879" s="3">
        <v>46318</v>
      </c>
      <c r="B879" s="93" t="s">
        <v>17</v>
      </c>
      <c r="C879" s="4" t="s">
        <v>27</v>
      </c>
      <c r="D879" s="7" t="s">
        <v>358</v>
      </c>
      <c r="G879" s="7" t="s">
        <v>22</v>
      </c>
      <c r="J879" s="8" t="s">
        <v>265</v>
      </c>
      <c r="K879" s="7" t="s">
        <v>25</v>
      </c>
      <c r="L879" s="8">
        <v>15</v>
      </c>
      <c r="N879" s="78" t="str">
        <f t="shared" si="107"/>
        <v>Em Andamento</v>
      </c>
      <c r="O879" s="57">
        <f t="shared" si="108"/>
        <v>46333</v>
      </c>
      <c r="P879" s="76" t="str">
        <f t="shared" ca="1" si="103"/>
        <v>12 Dia(s) para vencer</v>
      </c>
    </row>
    <row r="880" spans="1:16" ht="15.75" customHeight="1">
      <c r="A880" s="3">
        <v>46318</v>
      </c>
      <c r="B880" s="93" t="s">
        <v>17</v>
      </c>
      <c r="C880" s="4" t="s">
        <v>27</v>
      </c>
      <c r="D880" s="7" t="s">
        <v>358</v>
      </c>
      <c r="G880" s="7" t="s">
        <v>22</v>
      </c>
      <c r="J880" s="8" t="s">
        <v>265</v>
      </c>
      <c r="K880" s="7" t="s">
        <v>25</v>
      </c>
      <c r="L880" s="8">
        <v>15</v>
      </c>
      <c r="N880" s="78" t="str">
        <f t="shared" si="107"/>
        <v>Em Andamento</v>
      </c>
      <c r="O880" s="57">
        <f t="shared" si="108"/>
        <v>46333</v>
      </c>
      <c r="P880" s="76" t="str">
        <f t="shared" ca="1" si="103"/>
        <v>12 Dia(s) para vencer</v>
      </c>
    </row>
    <row r="881" spans="1:16" ht="15.75" customHeight="1">
      <c r="A881" s="3">
        <v>46318</v>
      </c>
      <c r="B881" s="93" t="s">
        <v>17</v>
      </c>
      <c r="C881" s="4" t="s">
        <v>27</v>
      </c>
      <c r="D881" s="7" t="s">
        <v>358</v>
      </c>
      <c r="G881" s="7" t="s">
        <v>22</v>
      </c>
      <c r="J881" s="8" t="s">
        <v>265</v>
      </c>
      <c r="K881" s="7" t="s">
        <v>25</v>
      </c>
      <c r="L881" s="8">
        <v>15</v>
      </c>
      <c r="N881" s="78" t="str">
        <f>IF(AND(A881="",K1120=""),"",IF(Q881="","Em Andamento",IF(M881&lt;=O881,"Dentro do Prazo","Fora do Prazo")))</f>
        <v>Em Andamento</v>
      </c>
      <c r="O881" s="57">
        <f t="shared" si="108"/>
        <v>46333</v>
      </c>
      <c r="P881" s="76" t="str">
        <f t="shared" ca="1" si="103"/>
        <v>12 Dia(s) para vencer</v>
      </c>
    </row>
    <row r="882" spans="1:16" ht="15.75" customHeight="1">
      <c r="A882" s="3">
        <v>46318</v>
      </c>
      <c r="B882" s="93" t="s">
        <v>17</v>
      </c>
      <c r="C882" s="4" t="s">
        <v>27</v>
      </c>
      <c r="D882" s="7" t="s">
        <v>358</v>
      </c>
      <c r="G882" s="7" t="s">
        <v>22</v>
      </c>
      <c r="J882" s="8" t="s">
        <v>265</v>
      </c>
      <c r="K882" s="7" t="s">
        <v>25</v>
      </c>
      <c r="L882" s="8">
        <v>15</v>
      </c>
      <c r="N882" s="78" t="str">
        <f t="shared" si="107"/>
        <v>Em Andamento</v>
      </c>
      <c r="O882" s="57">
        <f t="shared" si="108"/>
        <v>46333</v>
      </c>
      <c r="P882" s="76" t="str">
        <f t="shared" ca="1" si="103"/>
        <v>12 Dia(s) para vencer</v>
      </c>
    </row>
    <row r="883" spans="1:16" ht="15.75" customHeight="1">
      <c r="A883" s="3">
        <v>46318</v>
      </c>
      <c r="B883" s="93" t="s">
        <v>17</v>
      </c>
      <c r="C883" s="4" t="s">
        <v>27</v>
      </c>
      <c r="D883" s="7" t="s">
        <v>358</v>
      </c>
      <c r="G883" s="7" t="s">
        <v>22</v>
      </c>
      <c r="J883" s="8" t="s">
        <v>265</v>
      </c>
      <c r="K883" s="7" t="s">
        <v>25</v>
      </c>
      <c r="L883" s="8">
        <v>15</v>
      </c>
      <c r="N883" s="78" t="str">
        <f t="shared" si="107"/>
        <v>Em Andamento</v>
      </c>
      <c r="O883" s="57">
        <f t="shared" si="108"/>
        <v>46333</v>
      </c>
      <c r="P883" s="76" t="str">
        <f t="shared" ca="1" si="103"/>
        <v>12 Dia(s) para vencer</v>
      </c>
    </row>
    <row r="884" spans="1:16" ht="15.75" customHeight="1">
      <c r="A884" s="3">
        <v>46318</v>
      </c>
      <c r="B884" s="93" t="s">
        <v>17</v>
      </c>
      <c r="C884" s="4" t="s">
        <v>27</v>
      </c>
      <c r="D884" s="7" t="s">
        <v>358</v>
      </c>
      <c r="G884" s="7" t="s">
        <v>22</v>
      </c>
      <c r="J884" s="8" t="s">
        <v>265</v>
      </c>
      <c r="K884" s="7" t="s">
        <v>25</v>
      </c>
      <c r="L884" s="8">
        <v>15</v>
      </c>
      <c r="N884" s="78" t="str">
        <f>IF(AND(A884="",K1123=""),"",IF(Q884="","Em Andamento",IF(M884&lt;=O884,"Dentro do Prazo","Fora do Prazo")))</f>
        <v>Em Andamento</v>
      </c>
      <c r="O884" s="57">
        <f t="shared" si="108"/>
        <v>46333</v>
      </c>
      <c r="P884" s="76" t="str">
        <f t="shared" ca="1" si="103"/>
        <v>12 Dia(s) para vencer</v>
      </c>
    </row>
    <row r="885" spans="1:16" ht="15.75" customHeight="1">
      <c r="A885" s="3">
        <v>46318</v>
      </c>
      <c r="B885" s="93" t="s">
        <v>518</v>
      </c>
      <c r="C885" s="4" t="s">
        <v>519</v>
      </c>
      <c r="D885" s="7" t="s">
        <v>19</v>
      </c>
      <c r="E885" s="7" t="s">
        <v>520</v>
      </c>
      <c r="G885" s="7" t="s">
        <v>521</v>
      </c>
      <c r="J885" s="8" t="s">
        <v>265</v>
      </c>
      <c r="K885" s="7" t="s">
        <v>167</v>
      </c>
      <c r="L885" s="8">
        <v>30</v>
      </c>
      <c r="N885" s="78" t="str">
        <f>IF(AND(A885="",K1124=""),"",IF(Q885="","Em Andamento",IF(M885&lt;=O885,"Dentro do Prazo","Fora do Prazo")))</f>
        <v>Em Andamento</v>
      </c>
      <c r="O885" s="57">
        <f t="shared" si="108"/>
        <v>46348</v>
      </c>
      <c r="P885" s="76" t="str">
        <f t="shared" ca="1" si="103"/>
        <v>27 Dia(s) para vencer</v>
      </c>
    </row>
  </sheetData>
  <autoFilter ref="A1:Q885">
    <sortState ref="A2:Q661">
      <sortCondition ref="E1:E661"/>
    </sortState>
  </autoFilter>
  <customSheetViews>
    <customSheetView guid="{3F7B9B59-97C6-4DCE-A3CE-9FB528C2365E}" filter="1" showAutoFilter="1">
      <pageMargins left="0" right="0" top="0" bottom="0" header="0" footer="0"/>
      <autoFilter ref="A1:Q1"/>
    </customSheetView>
  </customSheetViews>
  <conditionalFormatting sqref="N2:N754 N798:N801 N803:N885">
    <cfRule type="containsText" dxfId="13" priority="4" operator="containsText" text="Dentro do Prazo">
      <formula>NOT(ISERROR(SEARCH(("Dentro do Prazo"),(N2))))</formula>
    </cfRule>
    <cfRule type="containsText" dxfId="12" priority="5" operator="containsText" text="Fora do Prazo">
      <formula>NOT(ISERROR(SEARCH(("Fora do Prazo"),(N2))))</formula>
    </cfRule>
    <cfRule type="containsText" dxfId="11" priority="6" operator="containsText" text="Em Andamento">
      <formula>NOT(ISERROR(SEARCH(("Em Andamento"),(N2))))</formula>
    </cfRule>
  </conditionalFormatting>
  <conditionalFormatting sqref="P1:P778 P798:P801 P803:P811 P826:P885">
    <cfRule type="containsText" dxfId="10" priority="9" operator="containsText" text="Vence Hoje!">
      <formula>NOT(ISERROR(SEARCH(("Vence Hoje!"),(P1))))</formula>
    </cfRule>
  </conditionalFormatting>
  <conditionalFormatting sqref="P2:P778 P798:P801 P803:P811 P826:P885">
    <cfRule type="containsText" dxfId="9" priority="7" operator="containsText" text="Dia(s)">
      <formula>NOT(ISERROR(SEARCH(("Dia(s)"),(P2))))</formula>
    </cfRule>
  </conditionalFormatting>
  <conditionalFormatting sqref="A1:N1">
    <cfRule type="containsText" dxfId="8" priority="3" operator="containsText" text="Vence Hoje!">
      <formula>NOT(ISERROR(SEARCH(("Vence Hoje!"),(A1))))</formula>
    </cfRule>
  </conditionalFormatting>
  <conditionalFormatting sqref="P825">
    <cfRule type="containsText" dxfId="7" priority="2" operator="containsText" text="Vence Hoje!">
      <formula>NOT(ISERROR(SEARCH(("Vence Hoje!"),(P825))))</formula>
    </cfRule>
  </conditionalFormatting>
  <conditionalFormatting sqref="P825">
    <cfRule type="containsText" dxfId="6" priority="1" operator="containsText" text="Dia(s)">
      <formula>NOT(ISERROR(SEARCH(("Dia(s)"),(P825))))</formula>
    </cfRule>
  </conditionalFormatting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40">
        <x14:dataValidation type="list" allowBlank="1" showErrorMessage="1">
          <x14:formula1>
            <xm:f>'PLAN SUPORTE'!$H$2:$H$4</xm:f>
          </x14:formula1>
          <xm:sqref>K2:K754 K798:K801 K803:K811 K825:K885</xm:sqref>
        </x14:dataValidation>
        <x14:dataValidation type="list" allowBlank="1" showErrorMessage="1">
          <x14:formula1>
            <xm:f>'PLAN SUPORTE'!$H$8:$H$12</xm:f>
          </x14:formula1>
          <xm:sqref>J2:J754 J798:J801 J803:J811 J825:J885</xm:sqref>
        </x14:dataValidation>
        <x14:dataValidation type="list" allowBlank="1" showErrorMessage="1">
          <x14:formula1>
            <xm:f>'PLAN SUPORTE'!$H$19:$H$30</xm:f>
          </x14:formula1>
          <xm:sqref>I803:I811 I798:I801 I2:I754 I825:I828 I832:I836 I838:I839</xm:sqref>
        </x14:dataValidation>
        <x14:dataValidation type="list" allowBlank="1" showErrorMessage="1">
          <x14:formula1>
            <xm:f>'PLAN SUPORTE'!$D$2:$D2228</xm:f>
          </x14:formula1>
          <xm:sqref>B658:B754 B802 B798 B647:B655 B812:B820 B825</xm:sqref>
        </x14:dataValidation>
        <x14:dataValidation type="list" allowBlank="1" showErrorMessage="1">
          <x14:formula1>
            <xm:f>'PLAN SUPORTE'!$D$2:$D1808</xm:f>
          </x14:formula1>
          <xm:sqref>B235:B321 B229:B231</xm:sqref>
        </x14:dataValidation>
        <x14:dataValidation type="list" allowBlank="1" showErrorMessage="1">
          <x14:formula1>
            <xm:f>'PLAN SUPORTE'!$D$2:$D1902</xm:f>
          </x14:formula1>
          <xm:sqref>B322:B429 B431:B646 B842</xm:sqref>
        </x14:dataValidation>
        <x14:dataValidation type="list" allowBlank="1" showErrorMessage="1">
          <x14:formula1>
            <xm:f>'PLAN SUPORTE'!$D$2:$D1987</xm:f>
          </x14:formula1>
          <xm:sqref>B232:B234</xm:sqref>
        </x14:dataValidation>
        <x14:dataValidation type="list" allowBlank="1" showErrorMessage="1">
          <x14:formula1>
            <xm:f>'PLAN SUPORTE'!$E$2:$E1902</xm:f>
          </x14:formula1>
          <xm:sqref>C322:C646 C842</xm:sqref>
        </x14:dataValidation>
        <x14:dataValidation type="list" allowBlank="1" showErrorMessage="1">
          <x14:formula1>
            <xm:f>'PLAN SUPORTE'!$E$2:$E2228</xm:f>
          </x14:formula1>
          <xm:sqref>C647:C754 C798:C801</xm:sqref>
        </x14:dataValidation>
        <x14:dataValidation type="list" allowBlank="1" showErrorMessage="1">
          <x14:formula1>
            <xm:f>'PLAN SUPORTE'!$E$2:$E2385</xm:f>
          </x14:formula1>
          <xm:sqref>C803:C811 C825</xm:sqref>
        </x14:dataValidation>
        <x14:dataValidation type="list" allowBlank="1" showErrorMessage="1">
          <x14:formula1>
            <xm:f>'PLAN SUPORTE'!$E$2:$E1808</xm:f>
          </x14:formula1>
          <xm:sqref>C229:C321</xm:sqref>
        </x14:dataValidation>
        <x14:dataValidation type="list" allowBlank="1" showErrorMessage="1">
          <x14:formula1>
            <xm:f>'PLAN SUPORTE'!$D$2:$D1687</xm:f>
          </x14:formula1>
          <xm:sqref>B217 B109:B215</xm:sqref>
        </x14:dataValidation>
        <x14:dataValidation type="list" allowBlank="1" showErrorMessage="1">
          <x14:formula1>
            <xm:f>'PLAN SUPORTE'!$D$2:$D1970</xm:f>
          </x14:formula1>
          <xm:sqref>B218:B228 B216</xm:sqref>
        </x14:dataValidation>
        <x14:dataValidation type="list" allowBlank="1" showErrorMessage="1">
          <x14:formula1>
            <xm:f>'PLAN SUPORTE'!$E$2:$E1687</xm:f>
          </x14:formula1>
          <xm:sqref>C216:C228 C109:C214</xm:sqref>
        </x14:dataValidation>
        <x14:dataValidation type="list" allowBlank="1" showErrorMessage="1">
          <x14:formula1>
            <xm:f>'PLAN SUPORTE'!$E$2:$E2006</xm:f>
          </x14:formula1>
          <xm:sqref>C215</xm:sqref>
        </x14:dataValidation>
        <x14:dataValidation type="list" allowBlank="1" showErrorMessage="1">
          <x14:formula1>
            <xm:f>'PLAN SUPORTE'!$D$2:$D1682</xm:f>
          </x14:formula1>
          <xm:sqref>B106:B107</xm:sqref>
        </x14:dataValidation>
        <x14:dataValidation type="list" allowBlank="1" showErrorMessage="1">
          <x14:formula1>
            <xm:f>'PLAN SUPORTE'!$D$2:$D1854</xm:f>
          </x14:formula1>
          <xm:sqref>B108 B102:B105</xm:sqref>
        </x14:dataValidation>
        <x14:dataValidation type="list" allowBlank="1" showErrorMessage="1">
          <x14:formula1>
            <xm:f>'PLAN SUPORTE'!$E$2:$E1678</xm:f>
          </x14:formula1>
          <xm:sqref>C102:C108</xm:sqref>
        </x14:dataValidation>
        <x14:dataValidation type="list" allowBlank="1" showErrorMessage="1">
          <x14:formula1>
            <xm:f>'PLAN SUPORTE'!$D$2:$D1672</xm:f>
          </x14:formula1>
          <xm:sqref>B99</xm:sqref>
        </x14:dataValidation>
        <x14:dataValidation type="list" allowBlank="1" showErrorMessage="1">
          <x14:formula1>
            <xm:f>'PLAN SUPORTE'!$D$2:$D1851</xm:f>
          </x14:formula1>
          <xm:sqref>B100:B101</xm:sqref>
        </x14:dataValidation>
        <x14:dataValidation type="list" allowBlank="1" showErrorMessage="1">
          <x14:formula1>
            <xm:f>'PLAN SUPORTE'!$E$2:$E1672</xm:f>
          </x14:formula1>
          <xm:sqref>C99</xm:sqref>
        </x14:dataValidation>
        <x14:dataValidation type="list" allowBlank="1" showErrorMessage="1">
          <x14:formula1>
            <xm:f>'PLAN SUPORTE'!$E$2:$E1675</xm:f>
          </x14:formula1>
          <xm:sqref>C100:C101</xm:sqref>
        </x14:dataValidation>
        <x14:dataValidation type="list" allowBlank="1" showErrorMessage="1">
          <x14:formula1>
            <xm:f>'PLAN SUPORTE'!$D$2:$D1670</xm:f>
          </x14:formula1>
          <xm:sqref>B98</xm:sqref>
        </x14:dataValidation>
        <x14:dataValidation type="list" allowBlank="1" showErrorMessage="1">
          <x14:formula1>
            <xm:f>'PLAN SUPORTE'!$D$2:$D1845</xm:f>
          </x14:formula1>
          <xm:sqref>B97</xm:sqref>
        </x14:dataValidation>
        <x14:dataValidation type="list" allowBlank="1" showErrorMessage="1">
          <x14:formula1>
            <xm:f>'PLAN SUPORTE'!$E$2:$E1859</xm:f>
          </x14:formula1>
          <xm:sqref>C95</xm:sqref>
        </x14:dataValidation>
        <x14:dataValidation type="list" allowBlank="1" showErrorMessage="1">
          <x14:formula1>
            <xm:f>'PLAN SUPORTE'!$D$2:$D1817</xm:f>
          </x14:formula1>
          <xm:sqref>B95:B96</xm:sqref>
        </x14:dataValidation>
        <x14:dataValidation type="list" allowBlank="1" showErrorMessage="1">
          <x14:formula1>
            <xm:f>'PLAN SUPORTE'!$E$2:$E1642</xm:f>
          </x14:formula1>
          <xm:sqref>C96</xm:sqref>
        </x14:dataValidation>
        <x14:dataValidation type="list" allowBlank="1" showErrorMessage="1">
          <x14:formula1>
            <xm:f>'PLAN SUPORTE'!$E$2:$E1669</xm:f>
          </x14:formula1>
          <xm:sqref>C97:C98</xm:sqref>
        </x14:dataValidation>
        <x14:dataValidation type="list" allowBlank="1" showErrorMessage="1">
          <x14:formula1>
            <xm:f>'PLAN SUPORTE'!$D$2:$D1783</xm:f>
          </x14:formula1>
          <xm:sqref>B430 B66 B79:B94</xm:sqref>
        </x14:dataValidation>
        <x14:dataValidation type="list" allowBlank="1" showErrorMessage="1">
          <x14:formula1>
            <xm:f>'PLAN SUPORTE'!$E$2:$E1768</xm:f>
          </x14:formula1>
          <xm:sqref>C5:C29</xm:sqref>
        </x14:dataValidation>
        <x14:dataValidation type="list" allowBlank="1" showErrorMessage="1">
          <x14:formula1>
            <xm:f>'PLAN SUPORTE'!$E$2:$E1765</xm:f>
          </x14:formula1>
          <xm:sqref>C3:C4 C30:C60</xm:sqref>
        </x14:dataValidation>
        <x14:dataValidation type="list" allowBlank="1" showErrorMessage="1">
          <x14:formula1>
            <xm:f>'PLAN SUPORTE'!$E$2:$E1762</xm:f>
          </x14:formula1>
          <xm:sqref>C2</xm:sqref>
        </x14:dataValidation>
        <x14:dataValidation type="list" allowBlank="1" showErrorMessage="1">
          <x14:formula1>
            <xm:f>'PLAN SUPORTE'!$D$2:$D1726</xm:f>
          </x14:formula1>
          <xm:sqref>B5:B29</xm:sqref>
        </x14:dataValidation>
        <x14:dataValidation type="list" allowBlank="1" showErrorMessage="1">
          <x14:formula1>
            <xm:f>'PLAN SUPORTE'!$D$2:$D1723</xm:f>
          </x14:formula1>
          <xm:sqref>B30:B60 B3:B4</xm:sqref>
        </x14:dataValidation>
        <x14:dataValidation type="list" allowBlank="1" showErrorMessage="1">
          <x14:formula1>
            <xm:f>'PLAN SUPORTE'!$D$2:$D1782</xm:f>
          </x14:formula1>
          <xm:sqref>B67:B72</xm:sqref>
        </x14:dataValidation>
        <x14:dataValidation type="list" allowBlank="1" showErrorMessage="1">
          <x14:formula1>
            <xm:f>'PLAN SUPORTE'!$D$2:$D1777</xm:f>
          </x14:formula1>
          <xm:sqref>B73:B78 B61:B65</xm:sqref>
        </x14:dataValidation>
        <x14:dataValidation type="list" allowBlank="1" showErrorMessage="1">
          <x14:formula1>
            <xm:f>'PLAN SUPORTE'!$E$2:$E1824</xm:f>
          </x14:formula1>
          <xm:sqref>C67:C72</xm:sqref>
        </x14:dataValidation>
        <x14:dataValidation type="list" allowBlank="1" showErrorMessage="1">
          <x14:formula1>
            <xm:f>'PLAN SUPORTE'!$E$2:$E1819</xm:f>
          </x14:formula1>
          <xm:sqref>C73:C78 C61:C65</xm:sqref>
        </x14:dataValidation>
        <x14:dataValidation type="list" allowBlank="1" showErrorMessage="1">
          <x14:formula1>
            <xm:f>'PLAN SUPORTE'!$E$2:$E1825</xm:f>
          </x14:formula1>
          <xm:sqref>C79:C94 C66</xm:sqref>
        </x14:dataValidation>
        <x14:dataValidation type="list" allowBlank="1" showErrorMessage="1">
          <x14:formula1>
            <xm:f>'PLAN SUPORTE'!$D$2:$D1720</xm:f>
          </x14:formula1>
          <xm:sqref>B2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R3707"/>
  <sheetViews>
    <sheetView workbookViewId="0">
      <selection activeCell="F27" sqref="F27"/>
    </sheetView>
  </sheetViews>
  <sheetFormatPr defaultColWidth="12.54296875" defaultRowHeight="15.75" customHeight="1"/>
  <cols>
    <col min="1" max="1" width="28.453125" customWidth="1"/>
    <col min="2" max="2" width="18" customWidth="1"/>
    <col min="3" max="3" width="7.453125" customWidth="1"/>
    <col min="4" max="4" width="23.1796875" customWidth="1"/>
    <col min="5" max="5" width="38.26953125" customWidth="1"/>
    <col min="6" max="6" width="19.26953125" customWidth="1"/>
    <col min="8" max="8" width="20.54296875" customWidth="1"/>
    <col min="11" max="11" width="28.54296875" customWidth="1"/>
    <col min="15" max="15" width="32.7265625" customWidth="1"/>
  </cols>
  <sheetData>
    <row r="1" spans="1:18" ht="13">
      <c r="A1" s="11" t="s">
        <v>522</v>
      </c>
      <c r="B1" s="12" t="s">
        <v>523</v>
      </c>
      <c r="C1" s="13"/>
      <c r="D1" s="14" t="s">
        <v>524</v>
      </c>
      <c r="E1" s="14" t="s">
        <v>525</v>
      </c>
      <c r="F1" s="11" t="s">
        <v>522</v>
      </c>
      <c r="G1" s="15"/>
      <c r="H1" s="97" t="s">
        <v>526</v>
      </c>
      <c r="I1" s="98"/>
      <c r="J1" s="15"/>
      <c r="K1" s="16" t="s">
        <v>527</v>
      </c>
      <c r="L1" s="10">
        <v>45292</v>
      </c>
      <c r="M1" s="17"/>
      <c r="N1" s="18" t="s">
        <v>528</v>
      </c>
      <c r="O1" s="11" t="s">
        <v>529</v>
      </c>
      <c r="P1" s="19" t="s">
        <v>530</v>
      </c>
      <c r="Q1" s="15"/>
      <c r="R1" s="15"/>
    </row>
    <row r="2" spans="1:18" ht="13">
      <c r="A2" s="20" t="s">
        <v>531</v>
      </c>
      <c r="B2" s="21" t="s">
        <v>532</v>
      </c>
      <c r="C2" s="22"/>
      <c r="D2" s="20" t="s">
        <v>17</v>
      </c>
      <c r="E2" s="67" t="s">
        <v>27</v>
      </c>
      <c r="F2" s="20" t="s">
        <v>533</v>
      </c>
      <c r="G2" s="15"/>
      <c r="H2" s="15" t="s">
        <v>25</v>
      </c>
      <c r="I2" s="8">
        <v>15</v>
      </c>
      <c r="J2" s="15"/>
      <c r="K2" s="23" t="s">
        <v>534</v>
      </c>
      <c r="L2" s="10">
        <v>45657</v>
      </c>
      <c r="M2" s="17"/>
      <c r="N2" s="24">
        <v>45292</v>
      </c>
      <c r="O2" s="25" t="s">
        <v>535</v>
      </c>
      <c r="P2" s="25" t="s">
        <v>536</v>
      </c>
      <c r="Q2" s="15"/>
      <c r="R2" s="15"/>
    </row>
    <row r="3" spans="1:18" ht="13">
      <c r="A3" s="20"/>
      <c r="B3" s="21"/>
      <c r="C3" s="22"/>
      <c r="D3" s="20" t="s">
        <v>17</v>
      </c>
      <c r="E3" s="69" t="s">
        <v>27</v>
      </c>
      <c r="F3" s="20" t="s">
        <v>533</v>
      </c>
      <c r="G3" s="15"/>
      <c r="H3" s="15" t="s">
        <v>167</v>
      </c>
      <c r="I3" s="8">
        <v>30</v>
      </c>
      <c r="J3" s="15"/>
      <c r="K3" s="25" t="s">
        <v>537</v>
      </c>
      <c r="L3" s="27">
        <f>DAYS360(L1,L2)</f>
        <v>360</v>
      </c>
      <c r="M3" s="17"/>
      <c r="N3" s="24">
        <v>45375</v>
      </c>
      <c r="O3" s="25" t="s">
        <v>538</v>
      </c>
      <c r="P3" s="25" t="s">
        <v>539</v>
      </c>
      <c r="Q3" s="15"/>
      <c r="R3" s="15"/>
    </row>
    <row r="4" spans="1:18" ht="13">
      <c r="A4" s="20"/>
      <c r="B4" s="21"/>
      <c r="C4" s="22"/>
      <c r="D4" s="20" t="s">
        <v>17</v>
      </c>
      <c r="E4" s="67" t="s">
        <v>27</v>
      </c>
      <c r="F4" s="20" t="s">
        <v>533</v>
      </c>
      <c r="G4" s="15"/>
      <c r="H4" s="15"/>
      <c r="I4" s="8"/>
      <c r="J4" s="15"/>
      <c r="K4" s="25" t="s">
        <v>540</v>
      </c>
      <c r="L4" s="27">
        <f>NETWORKDAYS(L1,L2)</f>
        <v>262</v>
      </c>
      <c r="M4" s="17"/>
      <c r="N4" s="24">
        <v>45403</v>
      </c>
      <c r="O4" s="25" t="s">
        <v>541</v>
      </c>
      <c r="P4" s="25" t="s">
        <v>536</v>
      </c>
      <c r="Q4" s="15"/>
      <c r="R4" s="15"/>
    </row>
    <row r="5" spans="1:18" ht="13">
      <c r="A5" s="20"/>
      <c r="B5" s="21"/>
      <c r="C5" s="22"/>
      <c r="D5" s="20" t="s">
        <v>17</v>
      </c>
      <c r="E5" s="69" t="s">
        <v>27</v>
      </c>
      <c r="F5" s="20" t="s">
        <v>533</v>
      </c>
      <c r="G5" s="15"/>
      <c r="H5" s="15"/>
      <c r="I5" s="15"/>
      <c r="J5" s="15"/>
      <c r="K5" s="25" t="s">
        <v>542</v>
      </c>
      <c r="L5" s="27">
        <f>NETWORKDAYS.INTL(L1,L2,11)</f>
        <v>314</v>
      </c>
      <c r="M5" s="17"/>
      <c r="N5" s="24">
        <v>45413</v>
      </c>
      <c r="O5" s="25" t="s">
        <v>543</v>
      </c>
      <c r="P5" s="25" t="s">
        <v>536</v>
      </c>
      <c r="Q5" s="15"/>
      <c r="R5" s="15"/>
    </row>
    <row r="6" spans="1:18" ht="13">
      <c r="A6" s="20"/>
      <c r="B6" s="21"/>
      <c r="C6" s="22"/>
      <c r="D6" s="20" t="s">
        <v>544</v>
      </c>
      <c r="E6" s="69" t="s">
        <v>121</v>
      </c>
      <c r="F6" s="20" t="s">
        <v>533</v>
      </c>
      <c r="G6" s="15"/>
      <c r="H6" s="15"/>
      <c r="I6" s="15"/>
      <c r="J6" s="15"/>
      <c r="K6" s="28" t="s">
        <v>545</v>
      </c>
      <c r="L6" s="29">
        <f>NETWORKDAYS.INTL(L1,L2,11,N2:N16)</f>
        <v>306</v>
      </c>
      <c r="M6" s="17"/>
      <c r="N6" s="24">
        <v>45542</v>
      </c>
      <c r="O6" s="25" t="s">
        <v>546</v>
      </c>
      <c r="P6" s="25" t="s">
        <v>536</v>
      </c>
      <c r="Q6" s="15"/>
      <c r="R6" s="15"/>
    </row>
    <row r="7" spans="1:18" ht="13">
      <c r="A7" s="15"/>
      <c r="B7" s="21"/>
      <c r="C7" s="22"/>
      <c r="D7" s="20" t="s">
        <v>547</v>
      </c>
      <c r="E7" s="69" t="s">
        <v>124</v>
      </c>
      <c r="F7" s="20" t="s">
        <v>533</v>
      </c>
      <c r="G7" s="15"/>
      <c r="H7" s="30" t="s">
        <v>548</v>
      </c>
      <c r="I7" s="15"/>
      <c r="J7" s="15"/>
      <c r="K7" s="17"/>
      <c r="L7" s="31"/>
      <c r="M7" s="17"/>
      <c r="N7" s="24">
        <v>45577</v>
      </c>
      <c r="O7" s="25" t="s">
        <v>549</v>
      </c>
      <c r="P7" s="25" t="s">
        <v>536</v>
      </c>
      <c r="Q7" s="15"/>
      <c r="R7" s="15"/>
    </row>
    <row r="8" spans="1:18" ht="13">
      <c r="A8" s="20"/>
      <c r="B8" s="21"/>
      <c r="C8" s="22"/>
      <c r="D8" s="20" t="s">
        <v>17</v>
      </c>
      <c r="E8" s="69" t="s">
        <v>27</v>
      </c>
      <c r="F8" s="20" t="s">
        <v>533</v>
      </c>
      <c r="G8" s="15"/>
      <c r="H8" s="15" t="s">
        <v>265</v>
      </c>
      <c r="I8" s="15"/>
      <c r="J8" s="15"/>
      <c r="K8" s="17"/>
      <c r="L8" s="31"/>
      <c r="M8" s="17"/>
      <c r="N8" s="24">
        <v>45598</v>
      </c>
      <c r="O8" s="25" t="s">
        <v>550</v>
      </c>
      <c r="P8" s="25" t="s">
        <v>536</v>
      </c>
      <c r="Q8" s="15"/>
      <c r="R8" s="15"/>
    </row>
    <row r="9" spans="1:18" ht="13">
      <c r="A9" s="20"/>
      <c r="B9" s="21"/>
      <c r="C9" s="22"/>
      <c r="D9" s="20" t="s">
        <v>17</v>
      </c>
      <c r="E9" s="69" t="s">
        <v>27</v>
      </c>
      <c r="F9" s="20" t="s">
        <v>533</v>
      </c>
      <c r="G9" s="15"/>
      <c r="H9" s="15" t="s">
        <v>296</v>
      </c>
      <c r="I9" s="15"/>
      <c r="J9" s="15"/>
      <c r="K9" s="17"/>
      <c r="L9" s="31"/>
      <c r="M9" s="17"/>
      <c r="N9" s="24">
        <v>45611</v>
      </c>
      <c r="O9" s="25" t="s">
        <v>551</v>
      </c>
      <c r="P9" s="25" t="s">
        <v>536</v>
      </c>
      <c r="Q9" s="15"/>
      <c r="R9" s="15"/>
    </row>
    <row r="10" spans="1:18" ht="13">
      <c r="A10" s="20"/>
      <c r="B10" s="21"/>
      <c r="C10" s="22"/>
      <c r="D10" s="20" t="s">
        <v>17</v>
      </c>
      <c r="E10" s="69" t="s">
        <v>27</v>
      </c>
      <c r="F10" s="20" t="s">
        <v>533</v>
      </c>
      <c r="G10" s="15"/>
      <c r="H10" s="15" t="s">
        <v>160</v>
      </c>
      <c r="I10" s="15"/>
      <c r="J10" s="15"/>
      <c r="K10" s="17"/>
      <c r="L10" s="31"/>
      <c r="M10" s="17"/>
      <c r="N10" s="24">
        <v>45616</v>
      </c>
      <c r="O10" s="25" t="s">
        <v>552</v>
      </c>
      <c r="P10" s="25" t="s">
        <v>536</v>
      </c>
      <c r="Q10" s="15"/>
      <c r="R10" s="15"/>
    </row>
    <row r="11" spans="1:18" ht="13">
      <c r="A11" s="20"/>
      <c r="B11" s="21"/>
      <c r="C11" s="22"/>
      <c r="D11" s="20" t="s">
        <v>26</v>
      </c>
      <c r="E11" s="69" t="s">
        <v>27</v>
      </c>
      <c r="F11" s="20" t="s">
        <v>533</v>
      </c>
      <c r="G11" s="15"/>
      <c r="H11" s="15" t="s">
        <v>24</v>
      </c>
      <c r="I11" s="15"/>
      <c r="J11" s="15"/>
      <c r="K11" s="15"/>
      <c r="L11" s="31"/>
      <c r="M11" s="17"/>
      <c r="N11" s="24">
        <v>45651</v>
      </c>
      <c r="O11" s="25" t="s">
        <v>553</v>
      </c>
      <c r="P11" s="25" t="s">
        <v>536</v>
      </c>
      <c r="Q11" s="15"/>
      <c r="R11" s="15"/>
    </row>
    <row r="12" spans="1:18" ht="13">
      <c r="A12" s="20"/>
      <c r="B12" s="21"/>
      <c r="C12" s="22"/>
      <c r="D12" s="20" t="s">
        <v>17</v>
      </c>
      <c r="E12" s="69" t="s">
        <v>27</v>
      </c>
      <c r="F12" s="20" t="s">
        <v>533</v>
      </c>
      <c r="G12" s="15"/>
      <c r="H12" s="15" t="s">
        <v>554</v>
      </c>
      <c r="I12" s="15"/>
      <c r="J12" s="15"/>
      <c r="K12" s="30" t="s">
        <v>555</v>
      </c>
      <c r="L12" s="31"/>
      <c r="M12" s="17"/>
      <c r="N12" s="24"/>
      <c r="O12" s="25"/>
      <c r="P12" s="26"/>
      <c r="Q12" s="15"/>
      <c r="R12" s="15"/>
    </row>
    <row r="13" spans="1:18" ht="13">
      <c r="A13" s="20"/>
      <c r="B13" s="21"/>
      <c r="C13" s="22"/>
      <c r="D13" s="20" t="s">
        <v>556</v>
      </c>
      <c r="E13" s="69" t="s">
        <v>121</v>
      </c>
      <c r="F13" s="20" t="s">
        <v>533</v>
      </c>
      <c r="G13" s="15"/>
      <c r="I13" s="15"/>
      <c r="J13" s="15"/>
      <c r="K13" s="15" t="s">
        <v>532</v>
      </c>
      <c r="L13" s="17"/>
      <c r="M13" s="17"/>
      <c r="N13" s="24"/>
      <c r="O13" s="25"/>
      <c r="P13" s="26"/>
      <c r="Q13" s="15"/>
      <c r="R13" s="15"/>
    </row>
    <row r="14" spans="1:18" ht="13">
      <c r="A14" s="20"/>
      <c r="B14" s="21"/>
      <c r="C14" s="22"/>
      <c r="D14" s="20" t="s">
        <v>557</v>
      </c>
      <c r="E14" s="69" t="s">
        <v>121</v>
      </c>
      <c r="F14" s="20" t="s">
        <v>533</v>
      </c>
      <c r="G14" s="15"/>
      <c r="H14" s="15"/>
      <c r="I14" s="15"/>
      <c r="J14" s="15"/>
      <c r="K14" s="70"/>
      <c r="L14" s="17"/>
      <c r="M14" s="17"/>
      <c r="N14" s="24"/>
      <c r="O14" s="25"/>
      <c r="P14" s="26"/>
      <c r="Q14" s="15"/>
      <c r="R14" s="15"/>
    </row>
    <row r="15" spans="1:18" ht="13">
      <c r="A15" s="20"/>
      <c r="B15" s="21"/>
      <c r="C15" s="22"/>
      <c r="D15" s="20" t="s">
        <v>86</v>
      </c>
      <c r="E15" s="69" t="s">
        <v>124</v>
      </c>
      <c r="F15" s="20" t="s">
        <v>533</v>
      </c>
      <c r="G15" s="15"/>
      <c r="H15" s="15"/>
      <c r="I15" s="15"/>
      <c r="J15" s="15"/>
      <c r="K15" s="70"/>
      <c r="L15" s="17"/>
      <c r="M15" s="17"/>
      <c r="N15" s="24"/>
      <c r="O15" s="25"/>
      <c r="P15" s="26"/>
      <c r="Q15" s="15"/>
      <c r="R15" s="15"/>
    </row>
    <row r="16" spans="1:18" ht="13">
      <c r="A16" s="20"/>
      <c r="B16" s="21"/>
      <c r="C16" s="22"/>
      <c r="D16" s="20" t="s">
        <v>26</v>
      </c>
      <c r="E16" s="69" t="s">
        <v>27</v>
      </c>
      <c r="F16" s="20" t="s">
        <v>533</v>
      </c>
      <c r="G16" s="15"/>
      <c r="H16" s="15"/>
      <c r="I16" s="15"/>
      <c r="J16" s="15"/>
      <c r="K16" s="70"/>
      <c r="L16" s="17"/>
      <c r="M16" s="17"/>
      <c r="N16" s="24"/>
      <c r="O16" s="25"/>
      <c r="P16" s="26"/>
      <c r="Q16" s="15"/>
      <c r="R16" s="15"/>
    </row>
    <row r="17" spans="1:18" ht="13">
      <c r="A17" s="20"/>
      <c r="B17" s="21"/>
      <c r="C17" s="22"/>
      <c r="D17" s="20" t="s">
        <v>26</v>
      </c>
      <c r="E17" s="69" t="s">
        <v>27</v>
      </c>
      <c r="F17" s="20" t="s">
        <v>533</v>
      </c>
      <c r="G17" s="15"/>
      <c r="H17" s="15"/>
      <c r="I17" s="15"/>
      <c r="J17" s="15"/>
      <c r="K17" s="70"/>
      <c r="L17" s="15"/>
      <c r="M17" s="15"/>
      <c r="N17" s="15"/>
      <c r="O17" s="15"/>
      <c r="P17" s="15"/>
      <c r="Q17" s="15"/>
      <c r="R17" s="15"/>
    </row>
    <row r="18" spans="1:18" ht="13">
      <c r="A18" s="15"/>
      <c r="B18" s="21"/>
      <c r="C18" s="22"/>
      <c r="D18" s="20" t="s">
        <v>17</v>
      </c>
      <c r="E18" s="69" t="s">
        <v>27</v>
      </c>
      <c r="F18" s="20" t="s">
        <v>533</v>
      </c>
      <c r="G18" s="15"/>
      <c r="H18" s="30" t="s">
        <v>558</v>
      </c>
      <c r="I18" s="15"/>
      <c r="J18" s="15"/>
      <c r="K18" s="70"/>
      <c r="L18" s="15"/>
      <c r="M18" s="15"/>
      <c r="N18" s="15"/>
      <c r="O18" s="15"/>
      <c r="P18" s="15"/>
      <c r="Q18" s="15"/>
      <c r="R18" s="15"/>
    </row>
    <row r="19" spans="1:18" ht="13">
      <c r="A19" s="15"/>
      <c r="B19" s="21"/>
      <c r="C19" s="22"/>
      <c r="D19" s="20" t="s">
        <v>17</v>
      </c>
      <c r="E19" s="69" t="s">
        <v>27</v>
      </c>
      <c r="F19" s="20" t="s">
        <v>533</v>
      </c>
      <c r="G19" s="15"/>
      <c r="H19" s="15" t="s">
        <v>166</v>
      </c>
      <c r="I19" s="15"/>
      <c r="J19" s="15"/>
      <c r="K19" s="70"/>
      <c r="L19" s="15"/>
      <c r="M19" s="15"/>
      <c r="N19" s="15"/>
      <c r="O19" s="15"/>
      <c r="P19" s="15"/>
      <c r="Q19" s="15"/>
      <c r="R19" s="15"/>
    </row>
    <row r="20" spans="1:18" ht="13">
      <c r="A20" s="20"/>
      <c r="B20" s="21"/>
      <c r="C20" s="22"/>
      <c r="D20" s="20" t="s">
        <v>559</v>
      </c>
      <c r="E20" s="69" t="s">
        <v>32</v>
      </c>
      <c r="F20" s="20" t="s">
        <v>533</v>
      </c>
      <c r="G20" s="15"/>
      <c r="H20" s="15" t="s">
        <v>452</v>
      </c>
      <c r="I20" s="15"/>
      <c r="J20" s="15"/>
      <c r="K20" s="70"/>
      <c r="L20" s="15"/>
      <c r="M20" s="15"/>
      <c r="N20" s="15"/>
      <c r="O20" s="15"/>
      <c r="P20" s="15"/>
      <c r="Q20" s="15"/>
      <c r="R20" s="15"/>
    </row>
    <row r="21" spans="1:18" ht="13">
      <c r="A21" s="20"/>
      <c r="B21" s="21"/>
      <c r="C21" s="22"/>
      <c r="D21" s="20" t="s">
        <v>17</v>
      </c>
      <c r="E21" s="69" t="s">
        <v>27</v>
      </c>
      <c r="F21" s="20" t="s">
        <v>533</v>
      </c>
      <c r="G21" s="15"/>
      <c r="H21" s="15"/>
      <c r="I21" s="15"/>
      <c r="J21" s="15"/>
      <c r="K21" s="70"/>
      <c r="M21" s="15"/>
      <c r="N21" s="15"/>
      <c r="O21" s="15"/>
      <c r="P21" s="15"/>
      <c r="Q21" s="15"/>
      <c r="R21" s="15"/>
    </row>
    <row r="22" spans="1:18" ht="13">
      <c r="A22" s="15"/>
      <c r="B22" s="21"/>
      <c r="C22" s="22"/>
      <c r="D22" s="20" t="s">
        <v>17</v>
      </c>
      <c r="E22" s="69" t="s">
        <v>27</v>
      </c>
      <c r="F22" s="20" t="s">
        <v>533</v>
      </c>
      <c r="G22" s="15"/>
      <c r="H22" s="15"/>
      <c r="I22" s="15"/>
      <c r="J22" s="15"/>
      <c r="K22" s="70"/>
      <c r="M22" s="15"/>
      <c r="N22" s="15"/>
      <c r="O22" s="15"/>
      <c r="P22" s="15"/>
      <c r="Q22" s="15"/>
      <c r="R22" s="15"/>
    </row>
    <row r="23" spans="1:18" ht="13">
      <c r="A23" s="15"/>
      <c r="B23" s="21"/>
      <c r="C23" s="22"/>
      <c r="D23" s="20" t="s">
        <v>26</v>
      </c>
      <c r="E23" s="69" t="s">
        <v>27</v>
      </c>
      <c r="F23" s="20" t="s">
        <v>533</v>
      </c>
      <c r="G23" s="15"/>
      <c r="H23" s="15"/>
      <c r="I23" s="15"/>
      <c r="J23" s="15"/>
      <c r="K23" s="70"/>
      <c r="M23" s="15"/>
      <c r="N23" s="15"/>
      <c r="O23" s="15"/>
      <c r="P23" s="15"/>
      <c r="Q23" s="15"/>
      <c r="R23" s="15"/>
    </row>
    <row r="24" spans="1:18" ht="13">
      <c r="A24" s="15"/>
      <c r="B24" s="21"/>
      <c r="C24" s="22"/>
      <c r="D24" s="20" t="s">
        <v>26</v>
      </c>
      <c r="E24" s="69" t="s">
        <v>27</v>
      </c>
      <c r="F24" s="20" t="s">
        <v>533</v>
      </c>
      <c r="G24" s="15"/>
      <c r="H24" s="32"/>
      <c r="I24" s="15"/>
      <c r="J24" s="15"/>
      <c r="K24" s="70"/>
      <c r="L24" s="15"/>
      <c r="M24" s="15"/>
      <c r="N24" s="15"/>
      <c r="O24" s="15"/>
      <c r="P24" s="15"/>
      <c r="Q24" s="15"/>
      <c r="R24" s="15"/>
    </row>
    <row r="25" spans="1:18" ht="13">
      <c r="A25" s="15"/>
      <c r="B25" s="21"/>
      <c r="C25" s="22"/>
      <c r="D25" s="20" t="s">
        <v>17</v>
      </c>
      <c r="E25" s="69" t="s">
        <v>27</v>
      </c>
      <c r="F25" s="20" t="s">
        <v>533</v>
      </c>
      <c r="G25" s="15"/>
      <c r="H25" s="32"/>
      <c r="I25" s="15"/>
      <c r="J25" s="15"/>
      <c r="K25" s="70"/>
      <c r="L25" s="15"/>
      <c r="M25" s="15"/>
      <c r="N25" s="15"/>
      <c r="O25" s="15"/>
      <c r="P25" s="15"/>
      <c r="Q25" s="15"/>
      <c r="R25" s="15"/>
    </row>
    <row r="26" spans="1:18" ht="13">
      <c r="A26" s="15"/>
      <c r="B26" s="21"/>
      <c r="C26" s="22"/>
      <c r="D26" s="20" t="s">
        <v>17</v>
      </c>
      <c r="E26" s="69" t="s">
        <v>27</v>
      </c>
      <c r="F26" s="20" t="s">
        <v>533</v>
      </c>
      <c r="G26" s="15"/>
      <c r="I26" s="15"/>
      <c r="J26" s="15"/>
      <c r="K26" s="70"/>
      <c r="L26" s="15"/>
      <c r="M26" s="15"/>
      <c r="N26" s="15"/>
      <c r="O26" s="15"/>
      <c r="P26" s="15"/>
      <c r="Q26" s="15"/>
      <c r="R26" s="15"/>
    </row>
    <row r="27" spans="1:18" ht="13">
      <c r="A27" s="15"/>
      <c r="B27" s="21"/>
      <c r="C27" s="22"/>
      <c r="D27" s="20" t="s">
        <v>17</v>
      </c>
      <c r="E27" s="69" t="s">
        <v>27</v>
      </c>
      <c r="F27" s="20" t="s">
        <v>533</v>
      </c>
      <c r="G27" s="15"/>
      <c r="I27" s="15"/>
      <c r="J27" s="15"/>
      <c r="K27" s="70"/>
      <c r="L27" s="15"/>
      <c r="M27" s="15"/>
      <c r="N27" s="15"/>
      <c r="O27" s="15"/>
      <c r="P27" s="15"/>
      <c r="Q27" s="15"/>
      <c r="R27" s="15"/>
    </row>
    <row r="28" spans="1:18" ht="13">
      <c r="A28" s="15"/>
      <c r="B28" s="21"/>
      <c r="C28" s="22"/>
      <c r="D28" s="20" t="s">
        <v>17</v>
      </c>
      <c r="E28" s="69" t="s">
        <v>27</v>
      </c>
      <c r="F28" s="20" t="s">
        <v>533</v>
      </c>
      <c r="G28" s="15"/>
      <c r="I28" s="15"/>
      <c r="J28" s="15"/>
      <c r="K28" s="70"/>
      <c r="L28" s="15"/>
      <c r="M28" s="15"/>
      <c r="N28" s="15"/>
      <c r="O28" s="15"/>
      <c r="P28" s="15"/>
      <c r="Q28" s="15"/>
      <c r="R28" s="15"/>
    </row>
    <row r="29" spans="1:18" ht="13">
      <c r="A29" s="20"/>
      <c r="B29" s="21"/>
      <c r="C29" s="22"/>
      <c r="D29" s="20" t="s">
        <v>17</v>
      </c>
      <c r="E29" s="69" t="s">
        <v>27</v>
      </c>
      <c r="F29" s="20" t="s">
        <v>533</v>
      </c>
      <c r="G29" s="15"/>
      <c r="I29" s="15"/>
      <c r="J29" s="15"/>
      <c r="K29" s="70"/>
      <c r="L29" s="15"/>
      <c r="M29" s="15"/>
      <c r="N29" s="15"/>
      <c r="O29" s="15"/>
      <c r="P29" s="15"/>
      <c r="Q29" s="15"/>
      <c r="R29" s="15"/>
    </row>
    <row r="30" spans="1:18" ht="13">
      <c r="A30" s="15"/>
      <c r="B30" s="21"/>
      <c r="C30" s="22"/>
      <c r="D30" s="20" t="s">
        <v>17</v>
      </c>
      <c r="E30" s="69" t="s">
        <v>27</v>
      </c>
      <c r="F30" s="20" t="s">
        <v>533</v>
      </c>
      <c r="G30" s="15"/>
      <c r="I30" s="15"/>
      <c r="J30" s="15"/>
      <c r="K30" s="70"/>
      <c r="L30" s="15"/>
      <c r="M30" s="15"/>
      <c r="N30" s="15"/>
      <c r="O30" s="15"/>
      <c r="P30" s="15"/>
      <c r="Q30" s="15"/>
      <c r="R30" s="15"/>
    </row>
    <row r="31" spans="1:18" ht="13">
      <c r="A31" s="20"/>
      <c r="B31" s="21"/>
      <c r="C31" s="22"/>
      <c r="D31" s="20" t="s">
        <v>17</v>
      </c>
      <c r="E31" s="69" t="s">
        <v>27</v>
      </c>
      <c r="F31" s="20" t="s">
        <v>533</v>
      </c>
      <c r="G31" s="15"/>
      <c r="I31" s="15"/>
      <c r="J31" s="15"/>
      <c r="K31" s="70"/>
      <c r="L31" s="15"/>
      <c r="M31" s="15"/>
      <c r="N31" s="15"/>
      <c r="O31" s="15"/>
      <c r="P31" s="15"/>
      <c r="Q31" s="15"/>
      <c r="R31" s="15"/>
    </row>
    <row r="32" spans="1:18" ht="13">
      <c r="A32" s="15"/>
      <c r="B32" s="21"/>
      <c r="C32" s="22"/>
      <c r="D32" s="20" t="s">
        <v>17</v>
      </c>
      <c r="E32" s="69" t="s">
        <v>27</v>
      </c>
      <c r="F32" s="20" t="s">
        <v>533</v>
      </c>
      <c r="G32" s="15"/>
      <c r="I32" s="15"/>
      <c r="J32" s="15"/>
      <c r="K32" s="70"/>
      <c r="L32" s="15"/>
      <c r="M32" s="15"/>
      <c r="N32" s="15"/>
      <c r="O32" s="15"/>
      <c r="P32" s="15"/>
      <c r="Q32" s="15"/>
      <c r="R32" s="15"/>
    </row>
    <row r="33" spans="1:18" ht="13">
      <c r="A33" s="20"/>
      <c r="B33" s="21"/>
      <c r="C33" s="22"/>
      <c r="D33" s="20" t="s">
        <v>26</v>
      </c>
      <c r="E33" s="69" t="s">
        <v>27</v>
      </c>
      <c r="F33" s="20" t="s">
        <v>533</v>
      </c>
      <c r="G33" s="15"/>
      <c r="I33" s="15"/>
      <c r="J33" s="15"/>
      <c r="K33" s="70"/>
      <c r="L33" s="15"/>
      <c r="M33" s="15"/>
      <c r="N33" s="15"/>
      <c r="O33" s="15"/>
      <c r="P33" s="15"/>
      <c r="Q33" s="15"/>
      <c r="R33" s="15"/>
    </row>
    <row r="34" spans="1:18" ht="13">
      <c r="A34" s="15"/>
      <c r="B34" s="21"/>
      <c r="C34" s="22"/>
      <c r="D34" s="20" t="s">
        <v>17</v>
      </c>
      <c r="E34" s="69" t="s">
        <v>27</v>
      </c>
      <c r="F34" s="20" t="s">
        <v>533</v>
      </c>
      <c r="G34" s="15"/>
      <c r="I34" s="15"/>
      <c r="J34" s="15"/>
      <c r="K34" s="70"/>
      <c r="L34" s="15"/>
      <c r="M34" s="15"/>
      <c r="N34" s="15"/>
      <c r="O34" s="15"/>
      <c r="P34" s="15"/>
      <c r="Q34" s="15"/>
      <c r="R34" s="15"/>
    </row>
    <row r="35" spans="1:18" ht="13">
      <c r="A35" s="20"/>
      <c r="B35" s="21"/>
      <c r="C35" s="22"/>
      <c r="D35" s="20" t="s">
        <v>17</v>
      </c>
      <c r="E35" s="69" t="s">
        <v>27</v>
      </c>
      <c r="F35" s="20" t="s">
        <v>533</v>
      </c>
      <c r="G35" s="15"/>
      <c r="I35" s="15"/>
      <c r="J35" s="15"/>
      <c r="K35" s="71"/>
      <c r="L35" s="15"/>
      <c r="M35" s="15"/>
      <c r="N35" s="15"/>
      <c r="O35" s="15"/>
      <c r="P35" s="15"/>
      <c r="Q35" s="15"/>
      <c r="R35" s="15"/>
    </row>
    <row r="36" spans="1:18" ht="13">
      <c r="C36" s="22"/>
      <c r="D36" s="20" t="s">
        <v>17</v>
      </c>
      <c r="E36" s="69" t="s">
        <v>27</v>
      </c>
      <c r="F36" s="20" t="s">
        <v>533</v>
      </c>
      <c r="G36" s="15"/>
      <c r="I36" s="15"/>
      <c r="J36" s="15"/>
      <c r="K36" s="71"/>
      <c r="L36" s="15"/>
      <c r="M36" s="15"/>
      <c r="N36" s="15"/>
      <c r="O36" s="15"/>
      <c r="P36" s="15"/>
      <c r="Q36" s="15"/>
      <c r="R36" s="15"/>
    </row>
    <row r="37" spans="1:18" ht="13">
      <c r="A37" s="15"/>
      <c r="B37" s="21"/>
      <c r="C37" s="22"/>
      <c r="D37" s="20" t="s">
        <v>560</v>
      </c>
      <c r="E37" s="69" t="s">
        <v>121</v>
      </c>
      <c r="F37" s="20" t="s">
        <v>533</v>
      </c>
      <c r="G37" s="15"/>
      <c r="I37" s="15"/>
      <c r="J37" s="15"/>
      <c r="K37" s="72"/>
      <c r="L37" s="15"/>
      <c r="M37" s="15"/>
      <c r="N37" s="15"/>
      <c r="O37" s="15"/>
      <c r="P37" s="15"/>
      <c r="Q37" s="15"/>
      <c r="R37" s="15"/>
    </row>
    <row r="38" spans="1:18" ht="13">
      <c r="A38" s="15"/>
      <c r="B38" s="21"/>
      <c r="C38" s="22"/>
      <c r="D38" s="20" t="s">
        <v>17</v>
      </c>
      <c r="E38" s="69" t="s">
        <v>27</v>
      </c>
      <c r="F38" s="20" t="s">
        <v>533</v>
      </c>
      <c r="G38" s="15"/>
      <c r="I38" s="15"/>
      <c r="J38" s="15"/>
      <c r="K38" s="70"/>
      <c r="L38" s="15"/>
      <c r="M38" s="15"/>
      <c r="N38" s="15"/>
      <c r="O38" s="15"/>
      <c r="P38" s="15"/>
      <c r="Q38" s="15"/>
      <c r="R38" s="15"/>
    </row>
    <row r="39" spans="1:18" ht="13">
      <c r="A39" s="15"/>
      <c r="B39" s="21"/>
      <c r="C39" s="22"/>
      <c r="D39" s="20" t="s">
        <v>26</v>
      </c>
      <c r="E39" s="69" t="s">
        <v>27</v>
      </c>
      <c r="F39" s="20" t="s">
        <v>533</v>
      </c>
      <c r="G39" s="15"/>
      <c r="I39" s="15"/>
      <c r="J39" s="15"/>
      <c r="K39" s="70"/>
      <c r="L39" s="15"/>
      <c r="M39" s="15"/>
      <c r="N39" s="15"/>
      <c r="O39" s="15"/>
      <c r="P39" s="15"/>
      <c r="Q39" s="15"/>
      <c r="R39" s="15"/>
    </row>
    <row r="40" spans="1:18" ht="13">
      <c r="A40" s="15"/>
      <c r="B40" s="21"/>
      <c r="C40" s="22"/>
      <c r="D40" s="20" t="s">
        <v>17</v>
      </c>
      <c r="E40" s="69" t="s">
        <v>27</v>
      </c>
      <c r="F40" s="20" t="s">
        <v>533</v>
      </c>
      <c r="G40" s="15"/>
      <c r="I40" s="15"/>
      <c r="J40" s="15"/>
      <c r="K40" s="70"/>
      <c r="L40" s="15"/>
      <c r="M40" s="15"/>
      <c r="N40" s="15"/>
      <c r="O40" s="15"/>
      <c r="P40" s="15"/>
      <c r="Q40" s="15"/>
      <c r="R40" s="15"/>
    </row>
    <row r="41" spans="1:18" ht="13">
      <c r="A41" s="15"/>
      <c r="B41" s="21"/>
      <c r="C41" s="22"/>
      <c r="D41" s="20" t="s">
        <v>17</v>
      </c>
      <c r="E41" s="69" t="s">
        <v>27</v>
      </c>
      <c r="F41" s="20" t="s">
        <v>533</v>
      </c>
      <c r="G41" s="15"/>
      <c r="I41" s="15"/>
      <c r="J41" s="15"/>
      <c r="K41" s="70"/>
      <c r="L41" s="15"/>
      <c r="M41" s="15"/>
      <c r="N41" s="15"/>
      <c r="O41" s="15"/>
      <c r="P41" s="15"/>
      <c r="Q41" s="15"/>
      <c r="R41" s="15"/>
    </row>
    <row r="42" spans="1:18" ht="13">
      <c r="A42" s="20"/>
      <c r="B42" s="21"/>
      <c r="C42" s="22"/>
      <c r="D42" s="20" t="s">
        <v>17</v>
      </c>
      <c r="E42" s="69" t="s">
        <v>27</v>
      </c>
      <c r="F42" s="20" t="s">
        <v>533</v>
      </c>
      <c r="G42" s="15"/>
      <c r="I42" s="15"/>
      <c r="J42" s="15"/>
      <c r="K42" s="71"/>
      <c r="L42" s="15"/>
      <c r="M42" s="15"/>
      <c r="N42" s="15"/>
      <c r="O42" s="15"/>
      <c r="P42" s="15"/>
      <c r="Q42" s="15"/>
      <c r="R42" s="15"/>
    </row>
    <row r="43" spans="1:18" ht="13">
      <c r="A43" s="15"/>
      <c r="B43" s="21"/>
      <c r="C43" s="22"/>
      <c r="D43" s="20" t="s">
        <v>17</v>
      </c>
      <c r="E43" s="69" t="s">
        <v>27</v>
      </c>
      <c r="F43" s="20" t="s">
        <v>533</v>
      </c>
      <c r="G43" s="15"/>
      <c r="I43" s="15"/>
      <c r="J43" s="15"/>
      <c r="K43" s="71"/>
      <c r="L43" s="15"/>
      <c r="M43" s="15"/>
      <c r="N43" s="15"/>
      <c r="O43" s="15"/>
      <c r="P43" s="15"/>
      <c r="Q43" s="15"/>
      <c r="R43" s="15"/>
    </row>
    <row r="44" spans="1:18" ht="13">
      <c r="A44" s="20"/>
      <c r="B44" s="21"/>
      <c r="C44" s="22"/>
      <c r="D44" s="20" t="s">
        <v>17</v>
      </c>
      <c r="E44" s="69" t="s">
        <v>27</v>
      </c>
      <c r="F44" s="20" t="s">
        <v>533</v>
      </c>
      <c r="G44" s="15"/>
      <c r="I44" s="15"/>
      <c r="J44" s="15"/>
      <c r="K44" s="72"/>
      <c r="L44" s="15"/>
      <c r="M44" s="15"/>
      <c r="N44" s="15"/>
      <c r="O44" s="15"/>
      <c r="P44" s="15"/>
      <c r="Q44" s="15"/>
      <c r="R44" s="15"/>
    </row>
    <row r="45" spans="1:18" ht="13">
      <c r="A45" s="20"/>
      <c r="B45" s="21"/>
      <c r="C45" s="22"/>
      <c r="D45" s="20" t="s">
        <v>17</v>
      </c>
      <c r="E45" s="69" t="s">
        <v>27</v>
      </c>
      <c r="F45" s="20" t="s">
        <v>533</v>
      </c>
      <c r="G45" s="15"/>
      <c r="I45" s="15"/>
      <c r="J45" s="15"/>
      <c r="K45" s="70"/>
      <c r="L45" s="15"/>
      <c r="M45" s="15"/>
      <c r="N45" s="15"/>
      <c r="O45" s="15"/>
      <c r="P45" s="15"/>
      <c r="Q45" s="15"/>
      <c r="R45" s="15"/>
    </row>
    <row r="46" spans="1:18" ht="13">
      <c r="A46" s="15"/>
      <c r="B46" s="21"/>
      <c r="C46" s="22"/>
      <c r="D46" s="20" t="s">
        <v>561</v>
      </c>
      <c r="E46" s="69" t="s">
        <v>32</v>
      </c>
      <c r="F46" s="20" t="s">
        <v>533</v>
      </c>
      <c r="G46" s="15"/>
      <c r="I46" s="15"/>
      <c r="J46" s="15"/>
      <c r="K46" s="70"/>
      <c r="L46" s="15"/>
      <c r="M46" s="15"/>
      <c r="N46" s="15"/>
      <c r="O46" s="15"/>
      <c r="P46" s="15"/>
      <c r="Q46" s="15"/>
      <c r="R46" s="15"/>
    </row>
    <row r="47" spans="1:18" ht="13">
      <c r="A47" s="20"/>
      <c r="B47" s="21"/>
      <c r="C47" s="22"/>
      <c r="D47" s="20" t="s">
        <v>26</v>
      </c>
      <c r="E47" s="69" t="s">
        <v>27</v>
      </c>
      <c r="F47" s="20" t="s">
        <v>533</v>
      </c>
      <c r="G47" s="15"/>
      <c r="I47" s="15"/>
      <c r="J47" s="15"/>
      <c r="K47" s="15"/>
      <c r="L47" s="15"/>
      <c r="M47" s="15"/>
      <c r="N47" s="15"/>
      <c r="O47" s="15"/>
      <c r="P47" s="15"/>
      <c r="Q47" s="15"/>
      <c r="R47" s="15"/>
    </row>
    <row r="48" spans="1:18" ht="13">
      <c r="A48" s="20"/>
      <c r="B48" s="21"/>
      <c r="C48" s="22"/>
      <c r="D48" s="20" t="s">
        <v>17</v>
      </c>
      <c r="E48" s="69" t="s">
        <v>27</v>
      </c>
      <c r="F48" s="20" t="s">
        <v>533</v>
      </c>
      <c r="G48" s="15"/>
      <c r="I48" s="15"/>
      <c r="J48" s="15"/>
      <c r="K48" s="15"/>
      <c r="L48" s="15"/>
      <c r="M48" s="15"/>
      <c r="N48" s="15"/>
      <c r="O48" s="15"/>
      <c r="P48" s="15"/>
      <c r="Q48" s="15"/>
      <c r="R48" s="15"/>
    </row>
    <row r="49" spans="1:18" ht="13">
      <c r="A49" s="15"/>
      <c r="B49" s="21"/>
      <c r="C49" s="22"/>
      <c r="D49" s="20" t="s">
        <v>17</v>
      </c>
      <c r="E49" s="69" t="s">
        <v>27</v>
      </c>
      <c r="F49" s="20" t="s">
        <v>533</v>
      </c>
      <c r="G49" s="15"/>
      <c r="I49" s="15"/>
      <c r="J49" s="15"/>
      <c r="K49" s="15"/>
      <c r="L49" s="15"/>
      <c r="M49" s="15"/>
      <c r="N49" s="15"/>
      <c r="O49" s="15"/>
      <c r="P49" s="15"/>
      <c r="Q49" s="15"/>
      <c r="R49" s="15"/>
    </row>
    <row r="50" spans="1:18" ht="13">
      <c r="A50" s="20"/>
      <c r="B50" s="21"/>
      <c r="C50" s="22"/>
      <c r="D50" s="20" t="s">
        <v>17</v>
      </c>
      <c r="E50" s="69" t="s">
        <v>27</v>
      </c>
      <c r="F50" s="20" t="s">
        <v>533</v>
      </c>
      <c r="G50" s="15"/>
      <c r="I50" s="15"/>
      <c r="J50" s="15"/>
      <c r="K50" s="15"/>
      <c r="L50" s="15"/>
      <c r="M50" s="15"/>
      <c r="N50" s="15"/>
      <c r="O50" s="15"/>
      <c r="P50" s="15"/>
      <c r="Q50" s="15"/>
      <c r="R50" s="15"/>
    </row>
    <row r="51" spans="1:18" ht="13">
      <c r="A51" s="20"/>
      <c r="B51" s="21"/>
      <c r="C51" s="22"/>
      <c r="D51" s="20" t="s">
        <v>562</v>
      </c>
      <c r="E51" s="69" t="s">
        <v>37</v>
      </c>
      <c r="F51" s="20" t="s">
        <v>533</v>
      </c>
      <c r="G51" s="15"/>
      <c r="I51" s="15"/>
      <c r="J51" s="15"/>
      <c r="K51" s="15"/>
      <c r="L51" s="15"/>
      <c r="M51" s="15"/>
      <c r="N51" s="15"/>
      <c r="O51" s="15"/>
      <c r="P51" s="15"/>
      <c r="Q51" s="15"/>
      <c r="R51" s="15"/>
    </row>
    <row r="52" spans="1:18" ht="13">
      <c r="A52" s="15"/>
      <c r="B52" s="21"/>
      <c r="C52" s="22"/>
      <c r="D52" s="20" t="s">
        <v>17</v>
      </c>
      <c r="E52" s="69" t="s">
        <v>27</v>
      </c>
      <c r="F52" s="20" t="s">
        <v>533</v>
      </c>
      <c r="G52" s="15"/>
      <c r="I52" s="15"/>
      <c r="J52" s="15"/>
      <c r="L52" s="15"/>
      <c r="M52" s="15"/>
      <c r="N52" s="15"/>
      <c r="O52" s="15"/>
      <c r="P52" s="15"/>
      <c r="Q52" s="15"/>
      <c r="R52" s="15"/>
    </row>
    <row r="53" spans="1:18" ht="13">
      <c r="A53" s="20"/>
      <c r="B53" s="21"/>
      <c r="C53" s="22"/>
      <c r="D53" s="20" t="s">
        <v>17</v>
      </c>
      <c r="E53" s="69" t="s">
        <v>27</v>
      </c>
      <c r="F53" s="20" t="s">
        <v>533</v>
      </c>
      <c r="G53" s="15"/>
      <c r="I53" s="15"/>
      <c r="J53" s="15"/>
      <c r="L53" s="15"/>
      <c r="M53" s="15"/>
      <c r="N53" s="15"/>
      <c r="O53" s="15"/>
      <c r="P53" s="15"/>
      <c r="Q53" s="15"/>
      <c r="R53" s="15"/>
    </row>
    <row r="54" spans="1:18" ht="13">
      <c r="A54" s="20"/>
      <c r="B54" s="21"/>
      <c r="C54" s="22"/>
      <c r="D54" s="20" t="s">
        <v>26</v>
      </c>
      <c r="E54" s="69" t="s">
        <v>27</v>
      </c>
      <c r="F54" s="20" t="s">
        <v>533</v>
      </c>
      <c r="G54" s="15"/>
      <c r="I54" s="15"/>
      <c r="J54" s="15"/>
      <c r="L54" s="15"/>
      <c r="M54" s="15"/>
      <c r="N54" s="15"/>
      <c r="O54" s="15"/>
      <c r="P54" s="15"/>
      <c r="Q54" s="15"/>
      <c r="R54" s="15"/>
    </row>
    <row r="55" spans="1:18" ht="13">
      <c r="A55" s="20"/>
      <c r="B55" s="21"/>
      <c r="C55" s="22"/>
      <c r="D55" s="20" t="s">
        <v>557</v>
      </c>
      <c r="E55" s="69" t="s">
        <v>163</v>
      </c>
      <c r="F55" s="20" t="s">
        <v>533</v>
      </c>
      <c r="G55" s="15"/>
      <c r="I55" s="15"/>
      <c r="J55" s="15"/>
      <c r="L55" s="15"/>
      <c r="M55" s="15"/>
      <c r="N55" s="15"/>
      <c r="O55" s="15"/>
      <c r="P55" s="15"/>
      <c r="Q55" s="15"/>
      <c r="R55" s="15"/>
    </row>
    <row r="56" spans="1:18" ht="13">
      <c r="A56" s="20"/>
      <c r="B56" s="21"/>
      <c r="C56" s="22"/>
      <c r="D56" s="20" t="s">
        <v>17</v>
      </c>
      <c r="E56" s="69" t="s">
        <v>27</v>
      </c>
      <c r="F56" s="20" t="s">
        <v>533</v>
      </c>
      <c r="G56" s="15"/>
      <c r="I56" s="15"/>
      <c r="J56" s="15"/>
      <c r="L56" s="15"/>
      <c r="M56" s="15"/>
      <c r="N56" s="15"/>
      <c r="O56" s="15"/>
      <c r="P56" s="15"/>
      <c r="Q56" s="15"/>
      <c r="R56" s="15"/>
    </row>
    <row r="57" spans="1:18" ht="13">
      <c r="A57" s="20"/>
      <c r="B57" s="21"/>
      <c r="C57" s="22"/>
      <c r="D57" s="20" t="s">
        <v>563</v>
      </c>
      <c r="E57" s="69" t="s">
        <v>121</v>
      </c>
      <c r="F57" s="20" t="s">
        <v>533</v>
      </c>
      <c r="G57" s="15"/>
      <c r="I57" s="15"/>
      <c r="J57" s="15"/>
      <c r="L57" s="15"/>
      <c r="M57" s="15"/>
      <c r="N57" s="15"/>
      <c r="O57" s="15"/>
      <c r="P57" s="15"/>
      <c r="Q57" s="15"/>
      <c r="R57" s="15"/>
    </row>
    <row r="58" spans="1:18" ht="13">
      <c r="A58" s="20"/>
      <c r="B58" s="21"/>
      <c r="C58" s="22"/>
      <c r="D58" s="20" t="s">
        <v>407</v>
      </c>
      <c r="E58" s="69" t="s">
        <v>124</v>
      </c>
      <c r="F58" s="20" t="s">
        <v>533</v>
      </c>
      <c r="G58" s="15"/>
      <c r="I58" s="15"/>
      <c r="J58" s="15"/>
      <c r="L58" s="15"/>
      <c r="M58" s="15"/>
      <c r="N58" s="15"/>
      <c r="O58" s="15"/>
      <c r="P58" s="15"/>
      <c r="Q58" s="15"/>
      <c r="R58" s="15"/>
    </row>
    <row r="59" spans="1:18" ht="13">
      <c r="A59" s="20"/>
      <c r="B59" s="21"/>
      <c r="C59" s="22"/>
      <c r="D59" s="20" t="s">
        <v>17</v>
      </c>
      <c r="E59" s="69" t="s">
        <v>27</v>
      </c>
      <c r="F59" s="20" t="s">
        <v>533</v>
      </c>
      <c r="G59" s="15"/>
      <c r="I59" s="15"/>
      <c r="J59" s="15"/>
      <c r="L59" s="15"/>
      <c r="M59" s="15"/>
      <c r="N59" s="15"/>
      <c r="O59" s="15"/>
      <c r="P59" s="15"/>
      <c r="Q59" s="15"/>
      <c r="R59" s="15"/>
    </row>
    <row r="60" spans="1:18" ht="13">
      <c r="A60" s="20"/>
      <c r="B60" s="21"/>
      <c r="C60" s="22"/>
      <c r="D60" s="20" t="s">
        <v>17</v>
      </c>
      <c r="E60" s="69" t="s">
        <v>27</v>
      </c>
      <c r="F60" s="20" t="s">
        <v>533</v>
      </c>
      <c r="G60" s="15"/>
      <c r="I60" s="15"/>
      <c r="J60" s="15"/>
      <c r="L60" s="15"/>
      <c r="M60" s="15"/>
      <c r="N60" s="15"/>
      <c r="O60" s="15"/>
      <c r="P60" s="15"/>
      <c r="Q60" s="15"/>
      <c r="R60" s="15"/>
    </row>
    <row r="61" spans="1:18" ht="13">
      <c r="A61" s="20"/>
      <c r="B61" s="21"/>
      <c r="C61" s="22"/>
      <c r="D61" s="20" t="s">
        <v>26</v>
      </c>
      <c r="E61" s="69" t="s">
        <v>27</v>
      </c>
      <c r="F61" s="20" t="s">
        <v>533</v>
      </c>
      <c r="G61" s="15"/>
      <c r="I61" s="15"/>
      <c r="J61" s="15"/>
      <c r="L61" s="15"/>
      <c r="M61" s="15"/>
      <c r="N61" s="15"/>
      <c r="O61" s="15"/>
      <c r="P61" s="15"/>
      <c r="Q61" s="15"/>
      <c r="R61" s="15"/>
    </row>
    <row r="62" spans="1:18" ht="13">
      <c r="A62" s="15"/>
      <c r="B62" s="21"/>
      <c r="C62" s="22"/>
      <c r="D62" s="20" t="s">
        <v>17</v>
      </c>
      <c r="E62" s="69" t="s">
        <v>27</v>
      </c>
      <c r="F62" s="20" t="s">
        <v>533</v>
      </c>
      <c r="G62" s="15"/>
      <c r="I62" s="15"/>
      <c r="J62" s="15"/>
      <c r="L62" s="15"/>
      <c r="M62" s="15"/>
      <c r="N62" s="15"/>
      <c r="O62" s="15"/>
      <c r="P62" s="15"/>
      <c r="Q62" s="15"/>
      <c r="R62" s="15"/>
    </row>
    <row r="63" spans="1:18" ht="13">
      <c r="B63" s="21"/>
      <c r="C63" s="22"/>
      <c r="D63" s="20" t="s">
        <v>17</v>
      </c>
      <c r="E63" s="69" t="s">
        <v>27</v>
      </c>
      <c r="F63" s="20" t="s">
        <v>533</v>
      </c>
      <c r="G63" s="15"/>
      <c r="I63" s="15"/>
      <c r="J63" s="15"/>
      <c r="L63" s="15"/>
      <c r="M63" s="15"/>
      <c r="N63" s="15"/>
      <c r="O63" s="15"/>
      <c r="P63" s="15"/>
      <c r="Q63" s="15"/>
      <c r="R63" s="15"/>
    </row>
    <row r="64" spans="1:18" ht="13">
      <c r="B64" s="21"/>
      <c r="C64" s="22"/>
      <c r="D64" s="20" t="s">
        <v>17</v>
      </c>
      <c r="E64" s="69" t="s">
        <v>27</v>
      </c>
      <c r="F64" s="20" t="s">
        <v>533</v>
      </c>
      <c r="G64" s="15"/>
      <c r="I64" s="15"/>
      <c r="J64" s="15"/>
      <c r="L64" s="15"/>
      <c r="M64" s="15"/>
      <c r="N64" s="15"/>
      <c r="O64" s="15"/>
      <c r="P64" s="15"/>
      <c r="Q64" s="15"/>
      <c r="R64" s="15"/>
    </row>
    <row r="65" spans="2:18" ht="13">
      <c r="B65" s="21"/>
      <c r="C65" s="22"/>
      <c r="D65" s="20" t="s">
        <v>17</v>
      </c>
      <c r="E65" s="69" t="s">
        <v>27</v>
      </c>
      <c r="F65" s="20" t="s">
        <v>533</v>
      </c>
      <c r="G65" s="15"/>
      <c r="I65" s="15"/>
      <c r="J65" s="15"/>
      <c r="L65" s="15"/>
      <c r="M65" s="15"/>
      <c r="N65" s="15"/>
      <c r="O65" s="15"/>
      <c r="P65" s="15"/>
      <c r="Q65" s="15"/>
      <c r="R65" s="15"/>
    </row>
    <row r="66" spans="2:18" ht="13">
      <c r="B66" s="21"/>
      <c r="C66" s="22"/>
      <c r="D66" s="20" t="s">
        <v>17</v>
      </c>
      <c r="E66" s="69" t="s">
        <v>27</v>
      </c>
      <c r="F66" s="20" t="s">
        <v>533</v>
      </c>
      <c r="G66" s="15"/>
      <c r="I66" s="15"/>
      <c r="J66" s="15"/>
      <c r="L66" s="15"/>
      <c r="M66" s="15"/>
      <c r="N66" s="15"/>
      <c r="O66" s="15"/>
      <c r="P66" s="15"/>
      <c r="Q66" s="15"/>
      <c r="R66" s="15"/>
    </row>
    <row r="67" spans="2:18" ht="13">
      <c r="B67" s="21"/>
      <c r="C67" s="22"/>
      <c r="D67" s="20" t="s">
        <v>17</v>
      </c>
      <c r="E67" s="69" t="s">
        <v>27</v>
      </c>
      <c r="F67" s="20" t="s">
        <v>533</v>
      </c>
      <c r="G67" s="15"/>
      <c r="I67" s="15"/>
      <c r="J67" s="15"/>
      <c r="L67" s="15"/>
      <c r="M67" s="15"/>
      <c r="N67" s="15"/>
      <c r="O67" s="15"/>
      <c r="P67" s="15"/>
      <c r="Q67" s="15"/>
      <c r="R67" s="15"/>
    </row>
    <row r="68" spans="2:18" ht="13">
      <c r="B68" s="21"/>
      <c r="C68" s="22"/>
      <c r="D68" s="20" t="s">
        <v>17</v>
      </c>
      <c r="E68" s="69" t="s">
        <v>27</v>
      </c>
      <c r="F68" s="20" t="s">
        <v>533</v>
      </c>
      <c r="G68" s="15"/>
      <c r="I68" s="15"/>
      <c r="J68" s="15"/>
      <c r="L68" s="15"/>
      <c r="M68" s="15"/>
      <c r="N68" s="15"/>
      <c r="O68" s="15"/>
      <c r="P68" s="15"/>
      <c r="Q68" s="15"/>
      <c r="R68" s="15"/>
    </row>
    <row r="69" spans="2:18" ht="13">
      <c r="B69" s="21"/>
      <c r="C69" s="22"/>
      <c r="D69" s="20" t="s">
        <v>17</v>
      </c>
      <c r="E69" s="69" t="s">
        <v>27</v>
      </c>
      <c r="F69" s="20" t="s">
        <v>533</v>
      </c>
      <c r="G69" s="15"/>
      <c r="I69" s="15"/>
      <c r="J69" s="15"/>
      <c r="L69" s="15"/>
      <c r="M69" s="15"/>
      <c r="N69" s="15"/>
      <c r="O69" s="15"/>
      <c r="P69" s="15"/>
      <c r="Q69" s="15"/>
      <c r="R69" s="15"/>
    </row>
    <row r="70" spans="2:18" ht="13">
      <c r="B70" s="21"/>
      <c r="C70" s="22"/>
      <c r="D70" s="20" t="s">
        <v>26</v>
      </c>
      <c r="E70" s="69" t="s">
        <v>27</v>
      </c>
      <c r="F70" s="20" t="s">
        <v>533</v>
      </c>
      <c r="G70" s="15"/>
      <c r="I70" s="15"/>
      <c r="J70" s="15"/>
      <c r="L70" s="15"/>
      <c r="M70" s="15"/>
      <c r="N70" s="15"/>
      <c r="O70" s="15"/>
      <c r="P70" s="15"/>
      <c r="Q70" s="15"/>
      <c r="R70" s="15"/>
    </row>
    <row r="71" spans="2:18" ht="13">
      <c r="B71" s="21"/>
      <c r="C71" s="22"/>
      <c r="D71" s="20" t="s">
        <v>17</v>
      </c>
      <c r="E71" s="69" t="s">
        <v>27</v>
      </c>
      <c r="F71" s="20" t="s">
        <v>533</v>
      </c>
      <c r="G71" s="15"/>
      <c r="I71" s="15"/>
      <c r="J71" s="15"/>
      <c r="L71" s="15"/>
      <c r="M71" s="15"/>
      <c r="N71" s="15"/>
      <c r="O71" s="15"/>
      <c r="P71" s="15"/>
      <c r="Q71" s="15"/>
      <c r="R71" s="15"/>
    </row>
    <row r="72" spans="2:18" ht="13">
      <c r="B72" s="21"/>
      <c r="C72" s="22"/>
      <c r="D72" s="20" t="s">
        <v>17</v>
      </c>
      <c r="E72" s="69" t="s">
        <v>27</v>
      </c>
      <c r="F72" s="20" t="s">
        <v>533</v>
      </c>
      <c r="G72" s="15"/>
      <c r="I72" s="15"/>
      <c r="J72" s="15"/>
      <c r="L72" s="15"/>
      <c r="M72" s="15"/>
      <c r="N72" s="15"/>
      <c r="O72" s="15"/>
      <c r="P72" s="15"/>
      <c r="Q72" s="15"/>
      <c r="R72" s="15"/>
    </row>
    <row r="73" spans="2:18" ht="13">
      <c r="B73" s="21"/>
      <c r="C73" s="22"/>
      <c r="D73" s="20" t="s">
        <v>17</v>
      </c>
      <c r="E73" s="69" t="s">
        <v>27</v>
      </c>
      <c r="F73" s="20" t="s">
        <v>533</v>
      </c>
      <c r="G73" s="15"/>
      <c r="I73" s="15"/>
      <c r="J73" s="15"/>
      <c r="L73" s="15"/>
      <c r="M73" s="15"/>
      <c r="N73" s="15"/>
      <c r="O73" s="15"/>
      <c r="P73" s="15"/>
      <c r="Q73" s="15"/>
      <c r="R73" s="15"/>
    </row>
    <row r="74" spans="2:18" ht="13">
      <c r="B74" s="21"/>
      <c r="C74" s="22"/>
      <c r="D74" s="20" t="s">
        <v>17</v>
      </c>
      <c r="E74" s="69" t="s">
        <v>27</v>
      </c>
      <c r="F74" s="20" t="s">
        <v>533</v>
      </c>
      <c r="G74" s="15"/>
      <c r="I74" s="15"/>
      <c r="J74" s="15"/>
      <c r="L74" s="15"/>
      <c r="M74" s="15"/>
      <c r="N74" s="15"/>
      <c r="O74" s="15"/>
      <c r="P74" s="15"/>
      <c r="Q74" s="15"/>
      <c r="R74" s="15"/>
    </row>
    <row r="75" spans="2:18" ht="13">
      <c r="B75" s="21"/>
      <c r="C75" s="22"/>
      <c r="D75" s="20" t="s">
        <v>17</v>
      </c>
      <c r="E75" s="69" t="s">
        <v>27</v>
      </c>
      <c r="F75" s="20" t="s">
        <v>533</v>
      </c>
      <c r="G75" s="15"/>
      <c r="I75" s="15"/>
      <c r="J75" s="15"/>
      <c r="L75" s="15"/>
      <c r="M75" s="15"/>
      <c r="N75" s="15"/>
      <c r="O75" s="15"/>
      <c r="P75" s="15"/>
      <c r="Q75" s="15"/>
      <c r="R75" s="15"/>
    </row>
    <row r="76" spans="2:18" ht="13">
      <c r="B76" s="21"/>
      <c r="C76" s="22"/>
      <c r="D76" s="20" t="s">
        <v>53</v>
      </c>
      <c r="E76" s="69" t="s">
        <v>32</v>
      </c>
      <c r="F76" s="20" t="s">
        <v>533</v>
      </c>
      <c r="G76" s="15"/>
      <c r="I76" s="15"/>
      <c r="J76" s="15"/>
      <c r="L76" s="15"/>
      <c r="M76" s="15"/>
      <c r="N76" s="15"/>
      <c r="O76" s="15"/>
      <c r="P76" s="15"/>
      <c r="Q76" s="15"/>
      <c r="R76" s="15"/>
    </row>
    <row r="77" spans="2:18" ht="13">
      <c r="B77" s="21"/>
      <c r="C77" s="22"/>
      <c r="D77" s="20" t="s">
        <v>26</v>
      </c>
      <c r="E77" s="69" t="s">
        <v>27</v>
      </c>
      <c r="F77" s="20" t="s">
        <v>533</v>
      </c>
      <c r="G77" s="15"/>
      <c r="I77" s="15"/>
      <c r="J77" s="15"/>
      <c r="L77" s="15"/>
      <c r="M77" s="15"/>
      <c r="N77" s="15"/>
      <c r="O77" s="15"/>
      <c r="P77" s="15"/>
      <c r="Q77" s="15"/>
      <c r="R77" s="15"/>
    </row>
    <row r="78" spans="2:18" ht="13">
      <c r="B78" s="21"/>
      <c r="C78" s="22"/>
      <c r="D78" s="20" t="s">
        <v>17</v>
      </c>
      <c r="E78" s="69" t="s">
        <v>27</v>
      </c>
      <c r="F78" s="20" t="s">
        <v>533</v>
      </c>
      <c r="G78" s="15"/>
      <c r="I78" s="15"/>
      <c r="J78" s="15"/>
      <c r="L78" s="15"/>
      <c r="M78" s="15"/>
      <c r="N78" s="15"/>
      <c r="O78" s="15"/>
      <c r="P78" s="15"/>
      <c r="Q78" s="15"/>
      <c r="R78" s="15"/>
    </row>
    <row r="79" spans="2:18" ht="13">
      <c r="B79" s="21"/>
      <c r="C79" s="22"/>
      <c r="D79" s="20" t="s">
        <v>17</v>
      </c>
      <c r="E79" s="69" t="s">
        <v>27</v>
      </c>
      <c r="F79" s="20" t="s">
        <v>533</v>
      </c>
      <c r="G79" s="15"/>
      <c r="I79" s="15"/>
      <c r="J79" s="15"/>
      <c r="L79" s="15"/>
      <c r="M79" s="15"/>
      <c r="N79" s="15"/>
      <c r="O79" s="15"/>
      <c r="P79" s="15"/>
      <c r="Q79" s="15"/>
      <c r="R79" s="15"/>
    </row>
    <row r="80" spans="2:18" ht="13">
      <c r="B80" s="21"/>
      <c r="C80" s="22"/>
      <c r="D80" s="20" t="s">
        <v>17</v>
      </c>
      <c r="E80" s="69" t="s">
        <v>27</v>
      </c>
      <c r="F80" s="20" t="s">
        <v>533</v>
      </c>
      <c r="G80" s="15"/>
      <c r="I80" s="15"/>
      <c r="J80" s="15"/>
      <c r="L80" s="15"/>
      <c r="M80" s="15"/>
      <c r="N80" s="15"/>
      <c r="O80" s="15"/>
      <c r="P80" s="15"/>
      <c r="Q80" s="15"/>
      <c r="R80" s="15"/>
    </row>
    <row r="81" spans="2:18" ht="13">
      <c r="B81" s="21"/>
      <c r="C81" s="22"/>
      <c r="D81" s="20" t="s">
        <v>17</v>
      </c>
      <c r="E81" s="69" t="s">
        <v>27</v>
      </c>
      <c r="F81" s="20" t="s">
        <v>533</v>
      </c>
      <c r="G81" s="15"/>
      <c r="I81" s="15"/>
      <c r="J81" s="15"/>
      <c r="L81" s="15"/>
      <c r="M81" s="15"/>
      <c r="N81" s="15"/>
      <c r="O81" s="15"/>
      <c r="P81" s="15"/>
      <c r="Q81" s="15"/>
      <c r="R81" s="15"/>
    </row>
    <row r="82" spans="2:18" ht="13">
      <c r="B82" s="21"/>
      <c r="C82" s="22"/>
      <c r="D82" s="20" t="s">
        <v>26</v>
      </c>
      <c r="E82" s="69" t="s">
        <v>27</v>
      </c>
      <c r="F82" s="20" t="s">
        <v>533</v>
      </c>
      <c r="G82" s="15"/>
      <c r="I82" s="15"/>
      <c r="J82" s="15"/>
      <c r="L82" s="15"/>
      <c r="M82" s="15"/>
      <c r="N82" s="15"/>
      <c r="O82" s="15"/>
      <c r="P82" s="15"/>
      <c r="Q82" s="15"/>
      <c r="R82" s="15"/>
    </row>
    <row r="83" spans="2:18" ht="13">
      <c r="B83" s="21"/>
      <c r="C83" s="22"/>
      <c r="D83" s="20" t="s">
        <v>17</v>
      </c>
      <c r="E83" s="69" t="s">
        <v>27</v>
      </c>
      <c r="F83" s="20" t="s">
        <v>533</v>
      </c>
      <c r="G83" s="15"/>
      <c r="I83" s="15"/>
      <c r="J83" s="15"/>
      <c r="L83" s="15"/>
      <c r="M83" s="15"/>
      <c r="N83" s="15"/>
      <c r="O83" s="15"/>
      <c r="P83" s="15"/>
      <c r="Q83" s="15"/>
      <c r="R83" s="15"/>
    </row>
    <row r="84" spans="2:18" ht="13">
      <c r="B84" s="21"/>
      <c r="C84" s="22"/>
      <c r="D84" s="20" t="s">
        <v>26</v>
      </c>
      <c r="E84" s="69" t="s">
        <v>27</v>
      </c>
      <c r="F84" s="20" t="s">
        <v>533</v>
      </c>
      <c r="G84" s="15"/>
      <c r="I84" s="15"/>
      <c r="J84" s="15"/>
      <c r="L84" s="15"/>
      <c r="M84" s="15"/>
      <c r="N84" s="15"/>
      <c r="O84" s="15"/>
      <c r="P84" s="15"/>
      <c r="Q84" s="15"/>
      <c r="R84" s="15"/>
    </row>
    <row r="85" spans="2:18" ht="13">
      <c r="B85" s="21"/>
      <c r="C85" s="22"/>
      <c r="D85" s="20" t="s">
        <v>26</v>
      </c>
      <c r="E85" s="69" t="s">
        <v>27</v>
      </c>
      <c r="F85" s="20" t="s">
        <v>533</v>
      </c>
      <c r="G85" s="15"/>
      <c r="I85" s="15"/>
      <c r="J85" s="15"/>
      <c r="L85" s="15"/>
      <c r="M85" s="15"/>
      <c r="N85" s="15"/>
      <c r="O85" s="15"/>
      <c r="P85" s="15"/>
      <c r="Q85" s="15"/>
      <c r="R85" s="15"/>
    </row>
    <row r="86" spans="2:18" ht="13">
      <c r="B86" s="21"/>
      <c r="C86" s="22"/>
      <c r="D86" s="20" t="s">
        <v>86</v>
      </c>
      <c r="E86" s="69" t="s">
        <v>124</v>
      </c>
      <c r="F86" s="20" t="s">
        <v>533</v>
      </c>
      <c r="G86" s="15"/>
      <c r="I86" s="15"/>
      <c r="J86" s="15"/>
      <c r="L86" s="15"/>
      <c r="M86" s="15"/>
      <c r="N86" s="15"/>
      <c r="O86" s="15"/>
      <c r="P86" s="15"/>
      <c r="Q86" s="15"/>
      <c r="R86" s="15"/>
    </row>
    <row r="87" spans="2:18" ht="13">
      <c r="B87" s="21"/>
      <c r="C87" s="22"/>
      <c r="D87" s="20" t="s">
        <v>26</v>
      </c>
      <c r="E87" s="69" t="s">
        <v>27</v>
      </c>
      <c r="F87" s="20" t="s">
        <v>533</v>
      </c>
      <c r="G87" s="15"/>
      <c r="I87" s="15"/>
      <c r="J87" s="15"/>
      <c r="L87" s="15"/>
      <c r="M87" s="15"/>
      <c r="N87" s="15"/>
      <c r="O87" s="15"/>
      <c r="P87" s="15"/>
      <c r="Q87" s="15"/>
      <c r="R87" s="15"/>
    </row>
    <row r="88" spans="2:18" ht="13">
      <c r="B88" s="21"/>
      <c r="C88" s="22"/>
      <c r="D88" s="20" t="s">
        <v>17</v>
      </c>
      <c r="E88" s="69" t="s">
        <v>27</v>
      </c>
      <c r="F88" s="20" t="s">
        <v>533</v>
      </c>
      <c r="G88" s="15"/>
      <c r="I88" s="15"/>
      <c r="J88" s="15"/>
      <c r="L88" s="15"/>
      <c r="M88" s="15"/>
      <c r="N88" s="15"/>
      <c r="O88" s="15"/>
      <c r="P88" s="15"/>
      <c r="Q88" s="15"/>
      <c r="R88" s="15"/>
    </row>
    <row r="89" spans="2:18" ht="13">
      <c r="B89" s="21"/>
      <c r="C89" s="22"/>
      <c r="D89" s="20" t="s">
        <v>17</v>
      </c>
      <c r="E89" s="69" t="s">
        <v>27</v>
      </c>
      <c r="F89" s="20" t="s">
        <v>533</v>
      </c>
      <c r="G89" s="15"/>
      <c r="I89" s="15"/>
      <c r="J89" s="15"/>
      <c r="L89" s="15"/>
      <c r="M89" s="15"/>
      <c r="N89" s="15"/>
      <c r="O89" s="15"/>
      <c r="P89" s="15"/>
      <c r="Q89" s="15"/>
      <c r="R89" s="15"/>
    </row>
    <row r="90" spans="2:18" ht="13">
      <c r="B90" s="21"/>
      <c r="C90" s="22"/>
      <c r="D90" s="20" t="s">
        <v>17</v>
      </c>
      <c r="E90" s="69" t="s">
        <v>27</v>
      </c>
      <c r="F90" s="20" t="s">
        <v>533</v>
      </c>
      <c r="G90" s="15"/>
      <c r="I90" s="15"/>
      <c r="J90" s="15"/>
      <c r="L90" s="15"/>
      <c r="M90" s="15"/>
      <c r="N90" s="15"/>
      <c r="O90" s="15"/>
      <c r="P90" s="15"/>
      <c r="Q90" s="15"/>
      <c r="R90" s="15"/>
    </row>
    <row r="91" spans="2:18" ht="13">
      <c r="B91" s="21"/>
      <c r="C91" s="22"/>
      <c r="D91" s="20" t="s">
        <v>17</v>
      </c>
      <c r="E91" s="69" t="s">
        <v>27</v>
      </c>
      <c r="F91" s="20" t="s">
        <v>533</v>
      </c>
      <c r="G91" s="15"/>
      <c r="I91" s="15"/>
      <c r="J91" s="15"/>
      <c r="L91" s="15"/>
      <c r="M91" s="15"/>
      <c r="N91" s="15"/>
      <c r="O91" s="15"/>
      <c r="P91" s="15"/>
      <c r="Q91" s="15"/>
      <c r="R91" s="15"/>
    </row>
    <row r="92" spans="2:18" ht="13">
      <c r="B92" s="21"/>
      <c r="C92" s="22"/>
      <c r="D92" s="20" t="s">
        <v>26</v>
      </c>
      <c r="E92" s="69" t="s">
        <v>27</v>
      </c>
      <c r="F92" s="20" t="s">
        <v>533</v>
      </c>
      <c r="G92" s="15"/>
      <c r="I92" s="15"/>
      <c r="J92" s="15"/>
      <c r="L92" s="15"/>
      <c r="M92" s="15"/>
      <c r="N92" s="15"/>
      <c r="O92" s="15"/>
      <c r="P92" s="15"/>
      <c r="Q92" s="15"/>
      <c r="R92" s="15"/>
    </row>
    <row r="93" spans="2:18" ht="13">
      <c r="B93" s="21"/>
      <c r="C93" s="22"/>
      <c r="D93" s="20" t="s">
        <v>26</v>
      </c>
      <c r="E93" s="69" t="s">
        <v>27</v>
      </c>
      <c r="F93" s="20" t="s">
        <v>533</v>
      </c>
      <c r="G93" s="15"/>
      <c r="I93" s="15"/>
      <c r="J93" s="15"/>
      <c r="L93" s="15"/>
      <c r="M93" s="15"/>
      <c r="N93" s="15"/>
      <c r="O93" s="15"/>
      <c r="P93" s="15"/>
      <c r="Q93" s="15"/>
      <c r="R93" s="15"/>
    </row>
    <row r="94" spans="2:18" ht="13">
      <c r="B94" s="21"/>
      <c r="C94" s="22"/>
      <c r="D94" s="20" t="s">
        <v>17</v>
      </c>
      <c r="E94" s="69" t="s">
        <v>27</v>
      </c>
      <c r="F94" s="20" t="s">
        <v>533</v>
      </c>
      <c r="G94" s="15"/>
      <c r="I94" s="15"/>
      <c r="J94" s="15"/>
      <c r="L94" s="15"/>
      <c r="M94" s="15"/>
      <c r="N94" s="15"/>
      <c r="O94" s="15"/>
      <c r="P94" s="15"/>
      <c r="Q94" s="15"/>
      <c r="R94" s="15"/>
    </row>
    <row r="95" spans="2:18" ht="13">
      <c r="B95" s="21"/>
      <c r="C95" s="22"/>
      <c r="D95" s="20" t="s">
        <v>17</v>
      </c>
      <c r="E95" s="69" t="s">
        <v>27</v>
      </c>
      <c r="F95" s="20" t="s">
        <v>533</v>
      </c>
      <c r="G95" s="15"/>
      <c r="I95" s="15"/>
      <c r="J95" s="15"/>
      <c r="L95" s="15"/>
      <c r="M95" s="15"/>
      <c r="N95" s="15"/>
      <c r="O95" s="15"/>
      <c r="P95" s="15"/>
      <c r="Q95" s="15"/>
      <c r="R95" s="15"/>
    </row>
    <row r="96" spans="2:18" ht="13">
      <c r="B96" s="21"/>
      <c r="C96" s="22"/>
      <c r="D96" s="20" t="s">
        <v>17</v>
      </c>
      <c r="E96" s="69" t="s">
        <v>27</v>
      </c>
      <c r="F96" s="20" t="s">
        <v>533</v>
      </c>
      <c r="G96" s="15"/>
      <c r="I96" s="15"/>
      <c r="J96" s="15"/>
      <c r="L96" s="15"/>
      <c r="M96" s="15"/>
      <c r="N96" s="15"/>
      <c r="O96" s="15"/>
      <c r="P96" s="15"/>
      <c r="Q96" s="15"/>
      <c r="R96" s="15"/>
    </row>
    <row r="97" spans="2:18" ht="13">
      <c r="B97" s="21"/>
      <c r="C97" s="22"/>
      <c r="D97" s="20" t="s">
        <v>17</v>
      </c>
      <c r="E97" s="69" t="s">
        <v>18</v>
      </c>
      <c r="F97" s="20" t="s">
        <v>533</v>
      </c>
      <c r="G97" s="15"/>
      <c r="I97" s="15"/>
      <c r="J97" s="15"/>
      <c r="L97" s="15"/>
      <c r="M97" s="15"/>
      <c r="N97" s="15"/>
      <c r="O97" s="15"/>
      <c r="P97" s="15"/>
      <c r="Q97" s="15"/>
      <c r="R97" s="15"/>
    </row>
    <row r="98" spans="2:18" ht="13">
      <c r="B98" s="21"/>
      <c r="C98" s="22"/>
      <c r="D98" s="20" t="s">
        <v>26</v>
      </c>
      <c r="E98" s="69" t="s">
        <v>564</v>
      </c>
      <c r="F98" s="20" t="s">
        <v>533</v>
      </c>
      <c r="G98" s="15"/>
      <c r="I98" s="15"/>
      <c r="J98" s="15"/>
      <c r="L98" s="15"/>
      <c r="M98" s="15"/>
      <c r="N98" s="15"/>
      <c r="O98" s="15"/>
      <c r="P98" s="15"/>
      <c r="Q98" s="15"/>
      <c r="R98" s="15"/>
    </row>
    <row r="99" spans="2:18" ht="13">
      <c r="B99" s="21"/>
      <c r="C99" s="22"/>
      <c r="D99" s="20" t="s">
        <v>17</v>
      </c>
      <c r="E99" s="69" t="s">
        <v>27</v>
      </c>
      <c r="F99" s="20" t="s">
        <v>533</v>
      </c>
      <c r="G99" s="15"/>
      <c r="I99" s="15"/>
      <c r="J99" s="15"/>
      <c r="L99" s="15"/>
      <c r="M99" s="15"/>
      <c r="N99" s="15"/>
      <c r="O99" s="15"/>
      <c r="P99" s="15"/>
      <c r="Q99" s="15"/>
      <c r="R99" s="15"/>
    </row>
    <row r="100" spans="2:18" ht="13">
      <c r="B100" s="21"/>
      <c r="C100" s="22"/>
      <c r="D100" s="20" t="s">
        <v>565</v>
      </c>
      <c r="E100" s="69" t="s">
        <v>121</v>
      </c>
      <c r="F100" s="20" t="s">
        <v>533</v>
      </c>
      <c r="G100" s="15"/>
      <c r="I100" s="15"/>
      <c r="J100" s="15"/>
      <c r="L100" s="15"/>
      <c r="M100" s="15"/>
      <c r="N100" s="15"/>
      <c r="O100" s="15"/>
      <c r="P100" s="15"/>
      <c r="Q100" s="15"/>
      <c r="R100" s="15"/>
    </row>
    <row r="101" spans="2:18" ht="13">
      <c r="B101" s="21"/>
      <c r="C101" s="22"/>
      <c r="D101" s="20" t="s">
        <v>17</v>
      </c>
      <c r="E101" s="69" t="s">
        <v>27</v>
      </c>
      <c r="F101" s="20" t="s">
        <v>533</v>
      </c>
      <c r="G101" s="15"/>
      <c r="I101" s="15"/>
      <c r="J101" s="15"/>
      <c r="L101" s="15"/>
      <c r="M101" s="15"/>
      <c r="N101" s="15"/>
      <c r="O101" s="15"/>
      <c r="P101" s="15"/>
      <c r="Q101" s="15"/>
      <c r="R101" s="15"/>
    </row>
    <row r="102" spans="2:18" ht="13">
      <c r="B102" s="21"/>
      <c r="C102" s="22"/>
      <c r="D102" s="20" t="s">
        <v>17</v>
      </c>
      <c r="E102" s="69" t="s">
        <v>27</v>
      </c>
      <c r="F102" s="20" t="s">
        <v>533</v>
      </c>
      <c r="G102" s="15"/>
      <c r="I102" s="15"/>
      <c r="J102" s="15"/>
      <c r="L102" s="15"/>
      <c r="M102" s="15"/>
      <c r="N102" s="15"/>
      <c r="O102" s="15"/>
      <c r="P102" s="15"/>
      <c r="Q102" s="15"/>
      <c r="R102" s="15"/>
    </row>
    <row r="103" spans="2:18" ht="13">
      <c r="B103" s="21"/>
      <c r="C103" s="22"/>
      <c r="D103" s="20" t="s">
        <v>17</v>
      </c>
      <c r="E103" s="69" t="s">
        <v>27</v>
      </c>
      <c r="F103" s="20" t="s">
        <v>533</v>
      </c>
      <c r="G103" s="15"/>
      <c r="I103" s="15"/>
      <c r="J103" s="15"/>
      <c r="L103" s="15"/>
      <c r="M103" s="15"/>
      <c r="N103" s="15"/>
      <c r="O103" s="15"/>
      <c r="P103" s="15"/>
      <c r="Q103" s="15"/>
      <c r="R103" s="15"/>
    </row>
    <row r="104" spans="2:18" ht="13">
      <c r="B104" s="21"/>
      <c r="C104" s="22"/>
      <c r="D104" s="20" t="s">
        <v>566</v>
      </c>
      <c r="E104" s="69" t="s">
        <v>32</v>
      </c>
      <c r="F104" s="20" t="s">
        <v>533</v>
      </c>
      <c r="G104" s="15"/>
      <c r="I104" s="15"/>
      <c r="J104" s="15"/>
      <c r="L104" s="15"/>
      <c r="M104" s="15"/>
      <c r="N104" s="15"/>
      <c r="O104" s="15"/>
      <c r="P104" s="15"/>
      <c r="Q104" s="15"/>
      <c r="R104" s="15"/>
    </row>
    <row r="105" spans="2:18" ht="13">
      <c r="B105" s="21"/>
      <c r="C105" s="22"/>
      <c r="D105" s="20" t="s">
        <v>557</v>
      </c>
      <c r="E105" s="69" t="s">
        <v>121</v>
      </c>
      <c r="F105" s="20" t="s">
        <v>533</v>
      </c>
      <c r="G105" s="15"/>
      <c r="I105" s="15"/>
      <c r="J105" s="15"/>
      <c r="L105" s="15"/>
      <c r="M105" s="15"/>
      <c r="N105" s="15"/>
      <c r="O105" s="15"/>
      <c r="P105" s="15"/>
      <c r="Q105" s="15"/>
      <c r="R105" s="15"/>
    </row>
    <row r="106" spans="2:18" ht="13">
      <c r="B106" s="21"/>
      <c r="C106" s="22"/>
      <c r="D106" s="20" t="s">
        <v>567</v>
      </c>
      <c r="E106" s="69" t="s">
        <v>32</v>
      </c>
      <c r="F106" s="20" t="s">
        <v>533</v>
      </c>
      <c r="G106" s="15"/>
      <c r="I106" s="15"/>
      <c r="J106" s="15"/>
      <c r="L106" s="15"/>
      <c r="M106" s="15"/>
      <c r="N106" s="15"/>
      <c r="O106" s="15"/>
      <c r="P106" s="15"/>
      <c r="Q106" s="15"/>
      <c r="R106" s="15"/>
    </row>
    <row r="107" spans="2:18" ht="13">
      <c r="B107" s="21"/>
      <c r="C107" s="22"/>
      <c r="D107" s="20" t="s">
        <v>26</v>
      </c>
      <c r="E107" s="69" t="s">
        <v>27</v>
      </c>
      <c r="F107" s="20" t="s">
        <v>533</v>
      </c>
      <c r="G107" s="15"/>
      <c r="I107" s="15"/>
      <c r="J107" s="15"/>
      <c r="L107" s="15"/>
      <c r="M107" s="15"/>
      <c r="N107" s="15"/>
      <c r="O107" s="15"/>
      <c r="P107" s="15"/>
      <c r="Q107" s="15"/>
      <c r="R107" s="15"/>
    </row>
    <row r="108" spans="2:18" ht="13">
      <c r="B108" s="21"/>
      <c r="C108" s="22"/>
      <c r="D108" s="20" t="s">
        <v>17</v>
      </c>
      <c r="E108" s="69" t="s">
        <v>27</v>
      </c>
      <c r="F108" s="20" t="s">
        <v>533</v>
      </c>
      <c r="G108" s="15"/>
      <c r="I108" s="15"/>
      <c r="J108" s="15"/>
      <c r="L108" s="15"/>
      <c r="M108" s="15"/>
      <c r="N108" s="15"/>
      <c r="O108" s="15"/>
      <c r="P108" s="15"/>
      <c r="Q108" s="15"/>
      <c r="R108" s="15"/>
    </row>
    <row r="109" spans="2:18" ht="13">
      <c r="B109" s="21"/>
      <c r="C109" s="22"/>
      <c r="D109" s="20" t="s">
        <v>26</v>
      </c>
      <c r="E109" s="69" t="s">
        <v>27</v>
      </c>
      <c r="F109" s="20" t="s">
        <v>533</v>
      </c>
      <c r="G109" s="15"/>
      <c r="I109" s="15"/>
      <c r="J109" s="15"/>
      <c r="L109" s="15"/>
      <c r="M109" s="15"/>
      <c r="N109" s="15"/>
      <c r="O109" s="15"/>
      <c r="P109" s="15"/>
      <c r="Q109" s="15"/>
      <c r="R109" s="15"/>
    </row>
    <row r="110" spans="2:18" ht="13">
      <c r="B110" s="21"/>
      <c r="C110" s="22"/>
      <c r="D110" s="20" t="s">
        <v>17</v>
      </c>
      <c r="E110" s="69" t="s">
        <v>27</v>
      </c>
      <c r="F110" s="20" t="s">
        <v>533</v>
      </c>
      <c r="G110" s="15"/>
      <c r="I110" s="15"/>
      <c r="J110" s="15"/>
      <c r="L110" s="15"/>
      <c r="M110" s="15"/>
      <c r="N110" s="15"/>
      <c r="O110" s="15"/>
      <c r="P110" s="15"/>
      <c r="Q110" s="15"/>
      <c r="R110" s="15"/>
    </row>
    <row r="111" spans="2:18" ht="13">
      <c r="B111" s="21"/>
      <c r="C111" s="22"/>
      <c r="D111" s="20" t="s">
        <v>17</v>
      </c>
      <c r="E111" s="69" t="s">
        <v>27</v>
      </c>
      <c r="F111" s="20" t="s">
        <v>533</v>
      </c>
      <c r="G111" s="15"/>
      <c r="I111" s="15"/>
      <c r="J111" s="15"/>
      <c r="L111" s="15"/>
      <c r="M111" s="15"/>
      <c r="N111" s="15"/>
      <c r="O111" s="15"/>
      <c r="P111" s="15"/>
      <c r="Q111" s="15"/>
      <c r="R111" s="15"/>
    </row>
    <row r="112" spans="2:18" ht="13">
      <c r="B112" s="21"/>
      <c r="C112" s="22"/>
      <c r="D112" s="20" t="s">
        <v>36</v>
      </c>
      <c r="E112" s="69" t="s">
        <v>37</v>
      </c>
      <c r="F112" s="20" t="s">
        <v>533</v>
      </c>
      <c r="G112" s="15"/>
      <c r="I112" s="15"/>
      <c r="J112" s="15"/>
      <c r="L112" s="15"/>
      <c r="M112" s="15"/>
      <c r="N112" s="15"/>
      <c r="O112" s="15"/>
      <c r="P112" s="15"/>
      <c r="Q112" s="15"/>
      <c r="R112" s="15"/>
    </row>
    <row r="113" spans="2:18" ht="13">
      <c r="B113" s="21"/>
      <c r="C113" s="22"/>
      <c r="D113" s="20" t="s">
        <v>17</v>
      </c>
      <c r="E113" s="69" t="s">
        <v>27</v>
      </c>
      <c r="F113" s="20" t="s">
        <v>533</v>
      </c>
      <c r="G113" s="15"/>
      <c r="I113" s="15"/>
      <c r="J113" s="15"/>
      <c r="L113" s="15"/>
      <c r="M113" s="15"/>
      <c r="N113" s="15"/>
      <c r="O113" s="15"/>
      <c r="P113" s="15"/>
      <c r="Q113" s="15"/>
      <c r="R113" s="15"/>
    </row>
    <row r="114" spans="2:18" ht="13">
      <c r="B114" s="21"/>
      <c r="C114" s="22"/>
      <c r="D114" s="20" t="s">
        <v>26</v>
      </c>
      <c r="E114" s="69" t="s">
        <v>27</v>
      </c>
      <c r="F114" s="20" t="s">
        <v>533</v>
      </c>
      <c r="G114" s="15"/>
      <c r="I114" s="15"/>
      <c r="J114" s="15"/>
      <c r="L114" s="15"/>
      <c r="M114" s="15"/>
      <c r="N114" s="15"/>
      <c r="O114" s="15"/>
      <c r="P114" s="15"/>
      <c r="Q114" s="15"/>
      <c r="R114" s="15"/>
    </row>
    <row r="115" spans="2:18" ht="13">
      <c r="B115" s="21"/>
      <c r="C115" s="22"/>
      <c r="D115" s="20" t="s">
        <v>17</v>
      </c>
      <c r="E115" s="69" t="s">
        <v>27</v>
      </c>
      <c r="F115" s="20" t="s">
        <v>533</v>
      </c>
      <c r="G115" s="15"/>
      <c r="I115" s="15"/>
      <c r="J115" s="15"/>
      <c r="L115" s="15"/>
      <c r="M115" s="15"/>
      <c r="N115" s="15"/>
      <c r="O115" s="15"/>
      <c r="P115" s="15"/>
      <c r="Q115" s="15"/>
      <c r="R115" s="15"/>
    </row>
    <row r="116" spans="2:18" ht="13">
      <c r="B116" s="21"/>
      <c r="C116" s="22"/>
      <c r="D116" s="20" t="s">
        <v>568</v>
      </c>
      <c r="E116" s="69" t="s">
        <v>37</v>
      </c>
      <c r="F116" s="20" t="s">
        <v>533</v>
      </c>
      <c r="G116" s="15"/>
      <c r="I116" s="15"/>
      <c r="J116" s="15"/>
      <c r="L116" s="15"/>
      <c r="M116" s="15"/>
      <c r="N116" s="15"/>
      <c r="O116" s="15"/>
      <c r="P116" s="15"/>
      <c r="Q116" s="15"/>
      <c r="R116" s="15"/>
    </row>
    <row r="117" spans="2:18" ht="13">
      <c r="B117" s="21"/>
      <c r="C117" s="22"/>
      <c r="D117" s="20" t="s">
        <v>26</v>
      </c>
      <c r="E117" s="69" t="s">
        <v>27</v>
      </c>
      <c r="F117" s="20" t="s">
        <v>533</v>
      </c>
      <c r="G117" s="15"/>
      <c r="I117" s="15"/>
      <c r="J117" s="15"/>
      <c r="L117" s="15"/>
      <c r="M117" s="15"/>
      <c r="N117" s="15"/>
      <c r="O117" s="15"/>
      <c r="P117" s="15"/>
      <c r="Q117" s="15"/>
      <c r="R117" s="15"/>
    </row>
    <row r="118" spans="2:18" ht="13">
      <c r="B118" s="21"/>
      <c r="C118" s="22"/>
      <c r="D118" s="20" t="s">
        <v>17</v>
      </c>
      <c r="E118" s="69" t="s">
        <v>27</v>
      </c>
      <c r="F118" s="20" t="s">
        <v>533</v>
      </c>
      <c r="G118" s="15"/>
      <c r="I118" s="15"/>
      <c r="J118" s="15"/>
      <c r="L118" s="15"/>
      <c r="M118" s="15"/>
      <c r="N118" s="15"/>
      <c r="O118" s="15"/>
      <c r="P118" s="15"/>
      <c r="Q118" s="15"/>
      <c r="R118" s="15"/>
    </row>
    <row r="119" spans="2:18" ht="13">
      <c r="B119" s="21"/>
      <c r="C119" s="22"/>
      <c r="D119" s="20" t="s">
        <v>17</v>
      </c>
      <c r="E119" s="69" t="s">
        <v>27</v>
      </c>
      <c r="F119" s="20" t="s">
        <v>533</v>
      </c>
      <c r="G119" s="15"/>
      <c r="I119" s="15"/>
      <c r="J119" s="15"/>
      <c r="L119" s="15"/>
      <c r="M119" s="15"/>
      <c r="N119" s="15"/>
      <c r="O119" s="15"/>
      <c r="P119" s="15"/>
      <c r="Q119" s="15"/>
      <c r="R119" s="15"/>
    </row>
    <row r="120" spans="2:18" ht="13">
      <c r="B120" s="21"/>
      <c r="C120" s="22"/>
      <c r="D120" s="20" t="s">
        <v>26</v>
      </c>
      <c r="E120" s="69" t="s">
        <v>27</v>
      </c>
      <c r="F120" s="20" t="s">
        <v>533</v>
      </c>
      <c r="G120" s="15"/>
      <c r="I120" s="15"/>
      <c r="J120" s="15"/>
      <c r="L120" s="15"/>
      <c r="M120" s="15"/>
      <c r="N120" s="15"/>
      <c r="O120" s="15"/>
      <c r="P120" s="15"/>
      <c r="Q120" s="15"/>
      <c r="R120" s="15"/>
    </row>
    <row r="121" spans="2:18" ht="13">
      <c r="B121" s="21"/>
      <c r="C121" s="22"/>
      <c r="D121" s="20" t="s">
        <v>26</v>
      </c>
      <c r="E121" s="69" t="s">
        <v>27</v>
      </c>
      <c r="F121" s="20" t="s">
        <v>533</v>
      </c>
      <c r="G121" s="15"/>
      <c r="I121" s="15"/>
      <c r="J121" s="15"/>
      <c r="L121" s="15"/>
      <c r="M121" s="15"/>
      <c r="N121" s="15"/>
      <c r="O121" s="15"/>
      <c r="P121" s="15"/>
      <c r="Q121" s="15"/>
      <c r="R121" s="15"/>
    </row>
    <row r="122" spans="2:18" ht="13">
      <c r="B122" s="21"/>
      <c r="C122" s="22"/>
      <c r="D122" s="20" t="s">
        <v>569</v>
      </c>
      <c r="E122" s="69" t="s">
        <v>32</v>
      </c>
      <c r="F122" s="20" t="s">
        <v>533</v>
      </c>
      <c r="G122" s="15"/>
      <c r="I122" s="15"/>
      <c r="J122" s="15"/>
      <c r="L122" s="15"/>
      <c r="M122" s="15"/>
      <c r="N122" s="15"/>
      <c r="O122" s="15"/>
      <c r="P122" s="15"/>
      <c r="Q122" s="15"/>
      <c r="R122" s="15"/>
    </row>
    <row r="123" spans="2:18" ht="13">
      <c r="B123" s="21"/>
      <c r="C123" s="22"/>
      <c r="D123" s="20" t="s">
        <v>17</v>
      </c>
      <c r="E123" s="69" t="s">
        <v>27</v>
      </c>
      <c r="F123" s="20" t="s">
        <v>533</v>
      </c>
      <c r="G123" s="15"/>
      <c r="I123" s="15"/>
      <c r="J123" s="15"/>
      <c r="L123" s="15"/>
      <c r="M123" s="15"/>
      <c r="N123" s="15"/>
      <c r="O123" s="15"/>
      <c r="P123" s="15"/>
      <c r="Q123" s="15"/>
      <c r="R123" s="15"/>
    </row>
    <row r="124" spans="2:18" ht="13">
      <c r="B124" s="21"/>
      <c r="C124" s="22"/>
      <c r="D124" s="20" t="s">
        <v>570</v>
      </c>
      <c r="E124" s="69" t="s">
        <v>124</v>
      </c>
      <c r="F124" s="20" t="s">
        <v>533</v>
      </c>
      <c r="G124" s="15"/>
      <c r="I124" s="15"/>
      <c r="J124" s="15"/>
      <c r="L124" s="15"/>
      <c r="M124" s="15"/>
      <c r="N124" s="15"/>
      <c r="O124" s="15"/>
      <c r="P124" s="15"/>
      <c r="Q124" s="15"/>
      <c r="R124" s="15"/>
    </row>
    <row r="125" spans="2:18" ht="13">
      <c r="B125" s="21"/>
      <c r="C125" s="22"/>
      <c r="D125" s="20" t="s">
        <v>17</v>
      </c>
      <c r="E125" s="69" t="s">
        <v>27</v>
      </c>
      <c r="F125" s="20" t="s">
        <v>533</v>
      </c>
      <c r="G125" s="15"/>
      <c r="I125" s="15"/>
      <c r="J125" s="15"/>
      <c r="L125" s="15"/>
      <c r="M125" s="15"/>
      <c r="N125" s="15"/>
      <c r="O125" s="15"/>
      <c r="P125" s="15"/>
      <c r="Q125" s="15"/>
      <c r="R125" s="15"/>
    </row>
    <row r="126" spans="2:18" ht="13">
      <c r="B126" s="21"/>
      <c r="C126" s="22"/>
      <c r="D126" s="20" t="s">
        <v>17</v>
      </c>
      <c r="E126" s="69" t="s">
        <v>27</v>
      </c>
      <c r="F126" s="20" t="s">
        <v>533</v>
      </c>
      <c r="G126" s="15"/>
      <c r="I126" s="15"/>
      <c r="J126" s="15"/>
      <c r="L126" s="15"/>
      <c r="M126" s="15"/>
      <c r="N126" s="15"/>
      <c r="O126" s="15"/>
      <c r="P126" s="15"/>
      <c r="Q126" s="15"/>
      <c r="R126" s="15"/>
    </row>
    <row r="127" spans="2:18" ht="13">
      <c r="B127" s="21"/>
      <c r="C127" s="22"/>
      <c r="D127" s="20" t="s">
        <v>544</v>
      </c>
      <c r="E127" s="69" t="s">
        <v>121</v>
      </c>
      <c r="F127" s="20" t="s">
        <v>533</v>
      </c>
      <c r="G127" s="15"/>
      <c r="I127" s="15"/>
      <c r="J127" s="15"/>
      <c r="L127" s="15"/>
      <c r="M127" s="15"/>
      <c r="N127" s="15"/>
      <c r="O127" s="15"/>
      <c r="P127" s="15"/>
      <c r="Q127" s="15"/>
      <c r="R127" s="15"/>
    </row>
    <row r="128" spans="2:18" ht="13">
      <c r="B128" s="21"/>
      <c r="C128" s="22"/>
      <c r="D128" s="20" t="s">
        <v>36</v>
      </c>
      <c r="E128" s="69" t="s">
        <v>37</v>
      </c>
      <c r="F128" s="20" t="s">
        <v>533</v>
      </c>
      <c r="G128" s="15"/>
      <c r="I128" s="15"/>
      <c r="J128" s="15"/>
      <c r="L128" s="15"/>
      <c r="M128" s="15"/>
      <c r="N128" s="15"/>
      <c r="O128" s="15"/>
      <c r="P128" s="15"/>
      <c r="Q128" s="15"/>
      <c r="R128" s="15"/>
    </row>
    <row r="129" spans="2:18" ht="13">
      <c r="B129" s="21"/>
      <c r="C129" s="22"/>
      <c r="D129" s="20" t="s">
        <v>17</v>
      </c>
      <c r="E129" s="69" t="s">
        <v>27</v>
      </c>
      <c r="F129" s="20" t="s">
        <v>533</v>
      </c>
      <c r="G129" s="15"/>
      <c r="I129" s="15"/>
      <c r="J129" s="15"/>
      <c r="L129" s="15"/>
      <c r="M129" s="15"/>
      <c r="N129" s="15"/>
      <c r="O129" s="15"/>
      <c r="P129" s="15"/>
      <c r="Q129" s="15"/>
      <c r="R129" s="15"/>
    </row>
    <row r="130" spans="2:18" ht="13">
      <c r="B130" s="21"/>
      <c r="C130" s="22"/>
      <c r="D130" s="20" t="s">
        <v>17</v>
      </c>
      <c r="E130" s="69" t="s">
        <v>18</v>
      </c>
      <c r="F130" s="20" t="s">
        <v>533</v>
      </c>
      <c r="G130" s="15"/>
      <c r="I130" s="15"/>
      <c r="J130" s="15"/>
      <c r="L130" s="15"/>
      <c r="M130" s="15"/>
      <c r="N130" s="15"/>
      <c r="O130" s="15"/>
      <c r="P130" s="15"/>
      <c r="Q130" s="15"/>
      <c r="R130" s="15"/>
    </row>
    <row r="131" spans="2:18" ht="13">
      <c r="B131" s="21"/>
      <c r="C131" s="22"/>
      <c r="D131" s="20" t="s">
        <v>168</v>
      </c>
      <c r="E131" s="69" t="s">
        <v>27</v>
      </c>
      <c r="F131" s="20" t="s">
        <v>533</v>
      </c>
      <c r="G131" s="15"/>
      <c r="I131" s="15"/>
      <c r="J131" s="15"/>
      <c r="L131" s="15"/>
      <c r="M131" s="15"/>
      <c r="N131" s="15"/>
      <c r="O131" s="15"/>
      <c r="P131" s="15"/>
      <c r="Q131" s="15"/>
      <c r="R131" s="15"/>
    </row>
    <row r="132" spans="2:18" ht="13">
      <c r="B132" s="21"/>
      <c r="C132" s="22"/>
      <c r="D132" s="20" t="s">
        <v>17</v>
      </c>
      <c r="E132" s="69" t="s">
        <v>27</v>
      </c>
      <c r="F132" s="20" t="s">
        <v>533</v>
      </c>
      <c r="G132" s="15"/>
      <c r="I132" s="15"/>
      <c r="J132" s="15"/>
      <c r="L132" s="15"/>
      <c r="M132" s="15"/>
      <c r="N132" s="15"/>
      <c r="O132" s="15"/>
      <c r="P132" s="15"/>
      <c r="Q132" s="15"/>
      <c r="R132" s="15"/>
    </row>
    <row r="133" spans="2:18" ht="13">
      <c r="B133" s="21"/>
      <c r="C133" s="22"/>
      <c r="D133" s="20" t="s">
        <v>571</v>
      </c>
      <c r="E133" s="69" t="s">
        <v>163</v>
      </c>
      <c r="F133" s="20" t="s">
        <v>533</v>
      </c>
      <c r="G133" s="15"/>
      <c r="I133" s="15"/>
      <c r="J133" s="15"/>
      <c r="L133" s="15"/>
      <c r="M133" s="15"/>
      <c r="N133" s="15"/>
      <c r="O133" s="15"/>
      <c r="P133" s="15"/>
      <c r="Q133" s="15"/>
      <c r="R133" s="15"/>
    </row>
    <row r="134" spans="2:18" ht="13">
      <c r="B134" s="21"/>
      <c r="C134" s="22"/>
      <c r="D134" s="20" t="s">
        <v>174</v>
      </c>
      <c r="E134" s="69" t="s">
        <v>175</v>
      </c>
      <c r="F134" s="20" t="s">
        <v>533</v>
      </c>
      <c r="G134" s="15"/>
      <c r="I134" s="15"/>
      <c r="J134" s="15"/>
      <c r="L134" s="15"/>
      <c r="M134" s="15"/>
      <c r="N134" s="15"/>
      <c r="O134" s="15"/>
      <c r="P134" s="15"/>
      <c r="Q134" s="15"/>
      <c r="R134" s="15"/>
    </row>
    <row r="135" spans="2:18" ht="13">
      <c r="B135" s="21"/>
      <c r="C135" s="22"/>
      <c r="D135" s="20" t="s">
        <v>17</v>
      </c>
      <c r="E135" s="69" t="s">
        <v>27</v>
      </c>
      <c r="F135" s="20" t="s">
        <v>533</v>
      </c>
      <c r="G135" s="15"/>
      <c r="I135" s="15"/>
      <c r="J135" s="15"/>
      <c r="L135" s="15"/>
      <c r="M135" s="15"/>
      <c r="N135" s="15"/>
      <c r="O135" s="15"/>
      <c r="P135" s="15"/>
      <c r="Q135" s="15"/>
      <c r="R135" s="15"/>
    </row>
    <row r="136" spans="2:18" ht="13">
      <c r="B136" s="21"/>
      <c r="C136" s="22"/>
      <c r="D136" s="20" t="s">
        <v>572</v>
      </c>
      <c r="E136" s="69" t="s">
        <v>32</v>
      </c>
      <c r="F136" s="20" t="s">
        <v>533</v>
      </c>
      <c r="G136" s="15"/>
      <c r="I136" s="15"/>
      <c r="J136" s="15"/>
      <c r="L136" s="15"/>
      <c r="M136" s="15"/>
      <c r="N136" s="15"/>
      <c r="O136" s="15"/>
      <c r="P136" s="15"/>
      <c r="Q136" s="15"/>
      <c r="R136" s="15"/>
    </row>
    <row r="137" spans="2:18" ht="13">
      <c r="B137" s="21"/>
      <c r="C137" s="22"/>
      <c r="D137" s="20" t="s">
        <v>17</v>
      </c>
      <c r="E137" s="69" t="s">
        <v>27</v>
      </c>
      <c r="F137" s="20" t="s">
        <v>533</v>
      </c>
      <c r="G137" s="15"/>
      <c r="I137" s="15"/>
      <c r="J137" s="15"/>
      <c r="L137" s="15"/>
      <c r="M137" s="15"/>
      <c r="N137" s="15"/>
      <c r="O137" s="15"/>
      <c r="P137" s="15"/>
      <c r="Q137" s="15"/>
      <c r="R137" s="15"/>
    </row>
    <row r="138" spans="2:18" ht="13">
      <c r="B138" s="21"/>
      <c r="C138" s="22"/>
      <c r="D138" s="20" t="s">
        <v>17</v>
      </c>
      <c r="E138" s="69" t="s">
        <v>27</v>
      </c>
      <c r="F138" s="20" t="s">
        <v>533</v>
      </c>
      <c r="G138" s="15"/>
      <c r="I138" s="15"/>
      <c r="J138" s="15"/>
      <c r="L138" s="15"/>
      <c r="M138" s="15"/>
      <c r="N138" s="15"/>
      <c r="O138" s="15"/>
      <c r="P138" s="15"/>
      <c r="Q138" s="15"/>
      <c r="R138" s="15"/>
    </row>
    <row r="139" spans="2:18" ht="13">
      <c r="B139" s="21"/>
      <c r="C139" s="22"/>
      <c r="D139" s="20" t="s">
        <v>17</v>
      </c>
      <c r="E139" s="69" t="s">
        <v>27</v>
      </c>
      <c r="F139" s="20" t="s">
        <v>533</v>
      </c>
      <c r="G139" s="15"/>
      <c r="I139" s="15"/>
      <c r="J139" s="15"/>
      <c r="L139" s="15"/>
      <c r="M139" s="15"/>
      <c r="N139" s="15"/>
      <c r="O139" s="15"/>
      <c r="P139" s="15"/>
      <c r="Q139" s="15"/>
      <c r="R139" s="15"/>
    </row>
    <row r="140" spans="2:18" ht="13">
      <c r="B140" s="21"/>
      <c r="C140" s="22"/>
      <c r="D140" s="20" t="s">
        <v>17</v>
      </c>
      <c r="E140" s="69" t="s">
        <v>27</v>
      </c>
      <c r="F140" s="20" t="s">
        <v>533</v>
      </c>
      <c r="G140" s="15"/>
      <c r="I140" s="15"/>
      <c r="J140" s="15"/>
      <c r="L140" s="15"/>
      <c r="M140" s="15"/>
      <c r="N140" s="15"/>
      <c r="O140" s="15"/>
      <c r="P140" s="15"/>
      <c r="Q140" s="15"/>
      <c r="R140" s="15"/>
    </row>
    <row r="141" spans="2:18" ht="13">
      <c r="B141" s="21"/>
      <c r="C141" s="22"/>
      <c r="D141" s="20" t="s">
        <v>569</v>
      </c>
      <c r="E141" s="69" t="s">
        <v>32</v>
      </c>
      <c r="F141" s="20" t="s">
        <v>533</v>
      </c>
      <c r="G141" s="15"/>
      <c r="I141" s="15"/>
      <c r="J141" s="15"/>
      <c r="L141" s="15"/>
      <c r="M141" s="15"/>
      <c r="N141" s="15"/>
      <c r="O141" s="15"/>
      <c r="P141" s="15"/>
      <c r="Q141" s="15"/>
      <c r="R141" s="15"/>
    </row>
    <row r="142" spans="2:18" ht="13">
      <c r="B142" s="21"/>
      <c r="C142" s="22"/>
      <c r="D142" s="20" t="s">
        <v>17</v>
      </c>
      <c r="E142" s="69" t="s">
        <v>27</v>
      </c>
      <c r="F142" s="20" t="s">
        <v>533</v>
      </c>
      <c r="G142" s="15"/>
      <c r="I142" s="15"/>
      <c r="J142" s="15"/>
      <c r="L142" s="15"/>
      <c r="M142" s="15"/>
      <c r="N142" s="15"/>
      <c r="O142" s="15"/>
      <c r="P142" s="15"/>
      <c r="Q142" s="15"/>
      <c r="R142" s="15"/>
    </row>
    <row r="143" spans="2:18" ht="13">
      <c r="B143" s="21"/>
      <c r="C143" s="22"/>
      <c r="D143" s="20" t="s">
        <v>17</v>
      </c>
      <c r="E143" s="69" t="s">
        <v>27</v>
      </c>
      <c r="F143" s="20" t="s">
        <v>533</v>
      </c>
      <c r="G143" s="15"/>
      <c r="I143" s="15"/>
      <c r="J143" s="15"/>
      <c r="L143" s="15"/>
      <c r="M143" s="15"/>
      <c r="N143" s="15"/>
      <c r="O143" s="15"/>
      <c r="P143" s="15"/>
      <c r="Q143" s="15"/>
      <c r="R143" s="15"/>
    </row>
    <row r="144" spans="2:18" ht="13">
      <c r="B144" s="21"/>
      <c r="C144" s="22"/>
      <c r="D144" s="20" t="s">
        <v>17</v>
      </c>
      <c r="E144" s="69" t="s">
        <v>27</v>
      </c>
      <c r="F144" s="20" t="s">
        <v>533</v>
      </c>
      <c r="G144" s="15"/>
      <c r="I144" s="15"/>
      <c r="J144" s="15"/>
      <c r="L144" s="15"/>
      <c r="M144" s="15"/>
      <c r="N144" s="15"/>
      <c r="O144" s="15"/>
      <c r="P144" s="15"/>
      <c r="Q144" s="15"/>
      <c r="R144" s="15"/>
    </row>
    <row r="145" spans="2:18" ht="13">
      <c r="B145" s="21"/>
      <c r="C145" s="22"/>
      <c r="D145" s="20" t="s">
        <v>17</v>
      </c>
      <c r="E145" s="69" t="s">
        <v>27</v>
      </c>
      <c r="F145" s="20" t="s">
        <v>533</v>
      </c>
      <c r="G145" s="15"/>
      <c r="I145" s="15"/>
      <c r="J145" s="15"/>
      <c r="L145" s="15"/>
      <c r="M145" s="15"/>
      <c r="N145" s="15"/>
      <c r="O145" s="15"/>
      <c r="P145" s="15"/>
      <c r="Q145" s="15"/>
      <c r="R145" s="15"/>
    </row>
    <row r="146" spans="2:18" ht="13">
      <c r="B146" s="21"/>
      <c r="C146" s="22"/>
      <c r="D146" s="20" t="s">
        <v>17</v>
      </c>
      <c r="E146" s="69" t="s">
        <v>27</v>
      </c>
      <c r="F146" s="20" t="s">
        <v>533</v>
      </c>
      <c r="G146" s="15"/>
      <c r="I146" s="15"/>
      <c r="J146" s="15"/>
      <c r="L146" s="15"/>
      <c r="M146" s="15"/>
      <c r="N146" s="15"/>
      <c r="O146" s="15"/>
      <c r="P146" s="15"/>
      <c r="Q146" s="15"/>
      <c r="R146" s="15"/>
    </row>
    <row r="147" spans="2:18" ht="13">
      <c r="B147" s="21"/>
      <c r="C147" s="22"/>
      <c r="D147" s="20" t="s">
        <v>26</v>
      </c>
      <c r="E147" s="69" t="s">
        <v>27</v>
      </c>
      <c r="F147" s="20" t="s">
        <v>533</v>
      </c>
      <c r="G147" s="15"/>
      <c r="I147" s="15"/>
      <c r="J147" s="15"/>
      <c r="L147" s="15"/>
      <c r="M147" s="15"/>
      <c r="N147" s="15"/>
      <c r="O147" s="15"/>
      <c r="P147" s="15"/>
      <c r="Q147" s="15"/>
      <c r="R147" s="15"/>
    </row>
    <row r="148" spans="2:18" ht="13">
      <c r="B148" s="21"/>
      <c r="C148" s="22"/>
      <c r="D148" s="20" t="s">
        <v>573</v>
      </c>
      <c r="E148" s="69" t="s">
        <v>121</v>
      </c>
      <c r="F148" s="20" t="s">
        <v>533</v>
      </c>
      <c r="G148" s="15"/>
      <c r="I148" s="15"/>
      <c r="J148" s="15"/>
      <c r="L148" s="15"/>
      <c r="M148" s="15"/>
      <c r="N148" s="15"/>
      <c r="O148" s="15"/>
      <c r="P148" s="15"/>
      <c r="Q148" s="15"/>
      <c r="R148" s="15"/>
    </row>
    <row r="149" spans="2:18" ht="13">
      <c r="B149" s="21"/>
      <c r="C149" s="22"/>
      <c r="D149" s="20" t="s">
        <v>17</v>
      </c>
      <c r="E149" s="69" t="s">
        <v>27</v>
      </c>
      <c r="F149" s="20" t="s">
        <v>533</v>
      </c>
      <c r="G149" s="15"/>
      <c r="I149" s="15"/>
      <c r="J149" s="15"/>
      <c r="L149" s="15"/>
      <c r="M149" s="15"/>
      <c r="N149" s="15"/>
      <c r="O149" s="15"/>
      <c r="P149" s="15"/>
      <c r="Q149" s="15"/>
      <c r="R149" s="15"/>
    </row>
    <row r="150" spans="2:18" ht="13">
      <c r="B150" s="21"/>
      <c r="C150" s="22"/>
      <c r="D150" s="20" t="s">
        <v>17</v>
      </c>
      <c r="E150" s="69" t="s">
        <v>27</v>
      </c>
      <c r="F150" s="20" t="s">
        <v>533</v>
      </c>
      <c r="G150" s="15"/>
      <c r="I150" s="15"/>
      <c r="J150" s="15"/>
      <c r="L150" s="15"/>
      <c r="M150" s="15"/>
      <c r="N150" s="15"/>
      <c r="O150" s="15"/>
      <c r="P150" s="15"/>
      <c r="Q150" s="15"/>
      <c r="R150" s="15"/>
    </row>
    <row r="151" spans="2:18" ht="13">
      <c r="B151" s="21"/>
      <c r="C151" s="22"/>
      <c r="D151" s="20" t="s">
        <v>17</v>
      </c>
      <c r="E151" s="69" t="s">
        <v>27</v>
      </c>
      <c r="F151" s="20" t="s">
        <v>533</v>
      </c>
      <c r="G151" s="15"/>
      <c r="I151" s="15"/>
      <c r="J151" s="15"/>
      <c r="L151" s="15"/>
      <c r="M151" s="15"/>
      <c r="N151" s="15"/>
      <c r="O151" s="15"/>
      <c r="P151" s="15"/>
      <c r="Q151" s="15"/>
      <c r="R151" s="15"/>
    </row>
    <row r="152" spans="2:18" ht="13">
      <c r="B152" s="21"/>
      <c r="C152" s="22"/>
      <c r="D152" s="20" t="s">
        <v>17</v>
      </c>
      <c r="E152" s="69" t="s">
        <v>27</v>
      </c>
      <c r="F152" s="20" t="s">
        <v>533</v>
      </c>
      <c r="G152" s="15"/>
      <c r="I152" s="15"/>
      <c r="J152" s="15"/>
      <c r="L152" s="15"/>
      <c r="M152" s="15"/>
      <c r="N152" s="15"/>
      <c r="O152" s="15"/>
      <c r="P152" s="15"/>
      <c r="Q152" s="15"/>
      <c r="R152" s="15"/>
    </row>
    <row r="153" spans="2:18" ht="13">
      <c r="B153" s="21"/>
      <c r="C153" s="22"/>
      <c r="D153" s="20" t="s">
        <v>574</v>
      </c>
      <c r="E153" s="69" t="s">
        <v>575</v>
      </c>
      <c r="F153" s="20" t="s">
        <v>533</v>
      </c>
      <c r="G153" s="15"/>
      <c r="I153" s="15"/>
      <c r="J153" s="15"/>
      <c r="L153" s="15"/>
      <c r="M153" s="15"/>
      <c r="N153" s="15"/>
      <c r="O153" s="15"/>
      <c r="P153" s="15"/>
      <c r="Q153" s="15"/>
      <c r="R153" s="15"/>
    </row>
    <row r="154" spans="2:18" ht="13">
      <c r="B154" s="21"/>
      <c r="C154" s="22"/>
      <c r="D154" s="20" t="s">
        <v>17</v>
      </c>
      <c r="E154" s="69" t="s">
        <v>27</v>
      </c>
      <c r="F154" s="20" t="s">
        <v>533</v>
      </c>
      <c r="G154" s="15"/>
      <c r="I154" s="15"/>
      <c r="J154" s="15"/>
      <c r="L154" s="15"/>
      <c r="M154" s="15"/>
      <c r="N154" s="15"/>
      <c r="O154" s="15"/>
      <c r="P154" s="15"/>
      <c r="Q154" s="15"/>
      <c r="R154" s="15"/>
    </row>
    <row r="155" spans="2:18" ht="13">
      <c r="B155" s="21"/>
      <c r="C155" s="22"/>
      <c r="D155" s="20" t="s">
        <v>17</v>
      </c>
      <c r="E155" s="69" t="s">
        <v>379</v>
      </c>
      <c r="F155" s="20" t="s">
        <v>533</v>
      </c>
      <c r="G155" s="15"/>
      <c r="I155" s="15"/>
      <c r="J155" s="15"/>
      <c r="L155" s="15"/>
      <c r="M155" s="15"/>
      <c r="N155" s="15"/>
      <c r="O155" s="15"/>
      <c r="P155" s="15"/>
      <c r="Q155" s="15"/>
      <c r="R155" s="15"/>
    </row>
    <row r="156" spans="2:18" ht="13">
      <c r="B156" s="21"/>
      <c r="C156" s="22"/>
      <c r="D156" s="20" t="s">
        <v>26</v>
      </c>
      <c r="E156" s="69" t="s">
        <v>27</v>
      </c>
      <c r="F156" s="20" t="s">
        <v>533</v>
      </c>
      <c r="G156" s="15"/>
      <c r="I156" s="15"/>
      <c r="J156" s="15"/>
      <c r="L156" s="15"/>
      <c r="M156" s="15"/>
      <c r="N156" s="15"/>
      <c r="O156" s="15"/>
      <c r="P156" s="15"/>
      <c r="Q156" s="15"/>
      <c r="R156" s="15"/>
    </row>
    <row r="157" spans="2:18" ht="13">
      <c r="B157" s="21"/>
      <c r="C157" s="22"/>
      <c r="D157" s="20" t="s">
        <v>576</v>
      </c>
      <c r="E157" s="69" t="s">
        <v>124</v>
      </c>
      <c r="F157" s="20" t="s">
        <v>533</v>
      </c>
      <c r="G157" s="15"/>
      <c r="I157" s="15"/>
      <c r="J157" s="15"/>
      <c r="L157" s="15"/>
      <c r="M157" s="15"/>
      <c r="N157" s="15"/>
      <c r="O157" s="15"/>
      <c r="P157" s="15"/>
      <c r="Q157" s="15"/>
      <c r="R157" s="15"/>
    </row>
    <row r="158" spans="2:18" ht="13">
      <c r="B158" s="21"/>
      <c r="C158" s="22"/>
      <c r="D158" s="20" t="s">
        <v>577</v>
      </c>
      <c r="E158" s="69" t="s">
        <v>124</v>
      </c>
      <c r="F158" s="20" t="s">
        <v>533</v>
      </c>
      <c r="G158" s="15"/>
      <c r="I158" s="15"/>
      <c r="J158" s="15"/>
      <c r="L158" s="15"/>
      <c r="M158" s="15"/>
      <c r="N158" s="15"/>
      <c r="O158" s="15"/>
      <c r="P158" s="15"/>
      <c r="Q158" s="15"/>
      <c r="R158" s="15"/>
    </row>
    <row r="159" spans="2:18" ht="13">
      <c r="B159" s="21"/>
      <c r="C159" s="22"/>
      <c r="D159" s="20" t="s">
        <v>578</v>
      </c>
      <c r="E159" s="69" t="s">
        <v>121</v>
      </c>
      <c r="F159" s="20" t="s">
        <v>533</v>
      </c>
      <c r="G159" s="15"/>
      <c r="I159" s="15"/>
      <c r="J159" s="15"/>
      <c r="L159" s="15"/>
      <c r="M159" s="15"/>
      <c r="N159" s="15"/>
      <c r="O159" s="15"/>
      <c r="P159" s="15"/>
      <c r="Q159" s="15"/>
      <c r="R159" s="15"/>
    </row>
    <row r="160" spans="2:18" ht="13">
      <c r="B160" s="21"/>
      <c r="C160" s="22"/>
      <c r="D160" s="20" t="s">
        <v>26</v>
      </c>
      <c r="E160" s="69" t="s">
        <v>27</v>
      </c>
      <c r="F160" s="20" t="s">
        <v>533</v>
      </c>
      <c r="G160" s="15"/>
      <c r="I160" s="15"/>
      <c r="J160" s="15"/>
      <c r="L160" s="15"/>
      <c r="M160" s="15"/>
      <c r="N160" s="15"/>
      <c r="O160" s="15"/>
      <c r="P160" s="15"/>
      <c r="Q160" s="15"/>
      <c r="R160" s="15"/>
    </row>
    <row r="161" spans="2:18" ht="13">
      <c r="B161" s="21"/>
      <c r="C161" s="22"/>
      <c r="D161" s="20" t="s">
        <v>17</v>
      </c>
      <c r="E161" s="69" t="s">
        <v>27</v>
      </c>
      <c r="F161" s="20" t="s">
        <v>533</v>
      </c>
      <c r="G161" s="15"/>
      <c r="I161" s="15"/>
      <c r="J161" s="15"/>
      <c r="L161" s="15"/>
      <c r="M161" s="15"/>
      <c r="N161" s="15"/>
      <c r="O161" s="15"/>
      <c r="P161" s="15"/>
      <c r="Q161" s="15"/>
      <c r="R161" s="15"/>
    </row>
    <row r="162" spans="2:18" ht="13">
      <c r="B162" s="21"/>
      <c r="C162" s="22"/>
      <c r="D162" s="20" t="s">
        <v>17</v>
      </c>
      <c r="E162" s="69" t="s">
        <v>27</v>
      </c>
      <c r="F162" s="20" t="s">
        <v>533</v>
      </c>
      <c r="G162" s="15"/>
      <c r="I162" s="15"/>
      <c r="J162" s="15"/>
      <c r="L162" s="15"/>
      <c r="M162" s="15"/>
      <c r="N162" s="15"/>
      <c r="O162" s="15"/>
      <c r="P162" s="15"/>
      <c r="Q162" s="15"/>
      <c r="R162" s="15"/>
    </row>
    <row r="163" spans="2:18" ht="13">
      <c r="B163" s="21"/>
      <c r="C163" s="22"/>
      <c r="D163" s="20" t="s">
        <v>17</v>
      </c>
      <c r="E163" s="69" t="s">
        <v>27</v>
      </c>
      <c r="F163" s="20" t="s">
        <v>533</v>
      </c>
      <c r="G163" s="15"/>
      <c r="I163" s="15"/>
      <c r="J163" s="15"/>
      <c r="L163" s="15"/>
      <c r="M163" s="15"/>
      <c r="N163" s="15"/>
      <c r="O163" s="15"/>
      <c r="P163" s="15"/>
      <c r="Q163" s="15"/>
      <c r="R163" s="15"/>
    </row>
    <row r="164" spans="2:18" ht="13">
      <c r="B164" s="21"/>
      <c r="C164" s="22"/>
      <c r="D164" s="20" t="s">
        <v>579</v>
      </c>
      <c r="E164" s="69" t="s">
        <v>37</v>
      </c>
      <c r="F164" s="20" t="s">
        <v>533</v>
      </c>
      <c r="G164" s="15"/>
      <c r="I164" s="15"/>
      <c r="J164" s="15"/>
      <c r="L164" s="15"/>
      <c r="M164" s="15"/>
      <c r="N164" s="15"/>
      <c r="O164" s="15"/>
      <c r="P164" s="15"/>
      <c r="Q164" s="15"/>
      <c r="R164" s="15"/>
    </row>
    <row r="165" spans="2:18" ht="13">
      <c r="B165" s="21"/>
      <c r="C165" s="22"/>
      <c r="D165" s="20" t="s">
        <v>26</v>
      </c>
      <c r="E165" s="69" t="s">
        <v>27</v>
      </c>
      <c r="F165" s="20" t="s">
        <v>533</v>
      </c>
      <c r="G165" s="15"/>
      <c r="I165" s="15"/>
      <c r="J165" s="15"/>
      <c r="L165" s="15"/>
      <c r="M165" s="15"/>
      <c r="N165" s="15"/>
      <c r="O165" s="15"/>
      <c r="P165" s="15"/>
      <c r="Q165" s="15"/>
      <c r="R165" s="15"/>
    </row>
    <row r="166" spans="2:18" ht="13">
      <c r="B166" s="21"/>
      <c r="C166" s="22"/>
      <c r="D166" s="20" t="s">
        <v>17</v>
      </c>
      <c r="E166" s="69" t="s">
        <v>27</v>
      </c>
      <c r="F166" s="20" t="s">
        <v>533</v>
      </c>
      <c r="G166" s="15"/>
      <c r="I166" s="15"/>
      <c r="J166" s="15"/>
      <c r="L166" s="15"/>
      <c r="M166" s="15"/>
      <c r="N166" s="15"/>
      <c r="O166" s="15"/>
      <c r="P166" s="15"/>
      <c r="Q166" s="15"/>
      <c r="R166" s="15"/>
    </row>
    <row r="167" spans="2:18" ht="13">
      <c r="B167" s="21"/>
      <c r="C167" s="22"/>
      <c r="D167" s="20" t="s">
        <v>26</v>
      </c>
      <c r="E167" s="69" t="s">
        <v>27</v>
      </c>
      <c r="F167" s="20" t="s">
        <v>533</v>
      </c>
      <c r="G167" s="15"/>
      <c r="H167" s="15"/>
      <c r="I167" s="15"/>
      <c r="J167" s="15"/>
      <c r="L167" s="15"/>
      <c r="M167" s="15"/>
      <c r="N167" s="15"/>
      <c r="O167" s="15"/>
      <c r="P167" s="15"/>
      <c r="Q167" s="15"/>
      <c r="R167" s="15"/>
    </row>
    <row r="168" spans="2:18" ht="13">
      <c r="B168" s="21"/>
      <c r="C168" s="22"/>
      <c r="D168" s="20" t="s">
        <v>17</v>
      </c>
      <c r="E168" s="69" t="s">
        <v>27</v>
      </c>
      <c r="F168" s="20" t="s">
        <v>533</v>
      </c>
      <c r="G168" s="15"/>
      <c r="H168" s="15"/>
      <c r="I168" s="15"/>
      <c r="J168" s="15"/>
      <c r="L168" s="15"/>
      <c r="M168" s="15"/>
      <c r="N168" s="15"/>
      <c r="O168" s="15"/>
      <c r="P168" s="15"/>
      <c r="Q168" s="15"/>
      <c r="R168" s="15"/>
    </row>
    <row r="169" spans="2:18" ht="13">
      <c r="B169" s="21"/>
      <c r="C169" s="22"/>
      <c r="D169" s="20" t="s">
        <v>17</v>
      </c>
      <c r="E169" s="69" t="s">
        <v>27</v>
      </c>
      <c r="F169" s="20" t="s">
        <v>533</v>
      </c>
      <c r="G169" s="15"/>
      <c r="H169" s="15"/>
      <c r="I169" s="15"/>
      <c r="J169" s="15"/>
      <c r="L169" s="15"/>
      <c r="M169" s="15"/>
      <c r="N169" s="15"/>
      <c r="O169" s="15"/>
      <c r="P169" s="15"/>
      <c r="Q169" s="15"/>
      <c r="R169" s="15"/>
    </row>
    <row r="170" spans="2:18" ht="13">
      <c r="B170" s="21"/>
      <c r="C170" s="22"/>
      <c r="D170" s="20" t="s">
        <v>26</v>
      </c>
      <c r="E170" s="69" t="s">
        <v>27</v>
      </c>
      <c r="F170" s="20" t="s">
        <v>533</v>
      </c>
      <c r="G170" s="15"/>
      <c r="H170" s="15"/>
      <c r="I170" s="15"/>
      <c r="J170" s="15"/>
      <c r="L170" s="15"/>
      <c r="M170" s="15"/>
      <c r="N170" s="15"/>
      <c r="O170" s="15"/>
      <c r="P170" s="15"/>
      <c r="Q170" s="15"/>
      <c r="R170" s="15"/>
    </row>
    <row r="171" spans="2:18" ht="13">
      <c r="B171" s="21"/>
      <c r="C171" s="22"/>
      <c r="D171" s="20" t="s">
        <v>26</v>
      </c>
      <c r="E171" s="69" t="s">
        <v>27</v>
      </c>
      <c r="F171" s="20" t="s">
        <v>533</v>
      </c>
      <c r="G171" s="15"/>
      <c r="H171" s="15"/>
      <c r="I171" s="15"/>
      <c r="J171" s="15"/>
      <c r="L171" s="15"/>
      <c r="M171" s="15"/>
      <c r="N171" s="15"/>
      <c r="O171" s="15"/>
      <c r="P171" s="15"/>
      <c r="Q171" s="15"/>
      <c r="R171" s="15"/>
    </row>
    <row r="172" spans="2:18" ht="13">
      <c r="B172" s="21"/>
      <c r="C172" s="22"/>
      <c r="D172" s="20" t="s">
        <v>17</v>
      </c>
      <c r="E172" s="69" t="s">
        <v>27</v>
      </c>
      <c r="F172" s="20" t="s">
        <v>533</v>
      </c>
      <c r="G172" s="15"/>
      <c r="H172" s="15"/>
      <c r="I172" s="15"/>
      <c r="J172" s="15"/>
      <c r="L172" s="15"/>
      <c r="M172" s="15"/>
      <c r="N172" s="15"/>
      <c r="O172" s="15"/>
      <c r="P172" s="15"/>
      <c r="Q172" s="15"/>
      <c r="R172" s="15"/>
    </row>
    <row r="173" spans="2:18" ht="13">
      <c r="B173" s="21"/>
      <c r="C173" s="22"/>
      <c r="D173" s="20" t="s">
        <v>26</v>
      </c>
      <c r="E173" s="69" t="s">
        <v>27</v>
      </c>
      <c r="F173" s="20" t="s">
        <v>533</v>
      </c>
      <c r="G173" s="15"/>
      <c r="H173" s="15"/>
      <c r="I173" s="15"/>
      <c r="J173" s="15"/>
      <c r="L173" s="15"/>
      <c r="M173" s="15"/>
      <c r="N173" s="15"/>
      <c r="O173" s="15"/>
      <c r="P173" s="15"/>
      <c r="Q173" s="15"/>
      <c r="R173" s="15"/>
    </row>
    <row r="174" spans="2:18" ht="13">
      <c r="B174" s="21"/>
      <c r="C174" s="22"/>
      <c r="D174" s="20" t="s">
        <v>17</v>
      </c>
      <c r="E174" s="69" t="s">
        <v>27</v>
      </c>
      <c r="F174" s="20" t="s">
        <v>533</v>
      </c>
      <c r="G174" s="15"/>
      <c r="H174" s="15"/>
      <c r="I174" s="15"/>
      <c r="J174" s="15"/>
      <c r="L174" s="15"/>
      <c r="M174" s="15"/>
      <c r="N174" s="15"/>
      <c r="O174" s="15"/>
      <c r="P174" s="15"/>
      <c r="Q174" s="15"/>
      <c r="R174" s="15"/>
    </row>
    <row r="175" spans="2:18" ht="13">
      <c r="B175" s="21"/>
      <c r="C175" s="22"/>
      <c r="D175" s="20" t="s">
        <v>17</v>
      </c>
      <c r="E175" s="69" t="s">
        <v>27</v>
      </c>
      <c r="F175" s="20" t="s">
        <v>533</v>
      </c>
      <c r="G175" s="15"/>
      <c r="H175" s="15"/>
      <c r="I175" s="15"/>
      <c r="J175" s="15"/>
      <c r="L175" s="15"/>
      <c r="M175" s="15"/>
      <c r="N175" s="15"/>
      <c r="O175" s="15"/>
      <c r="P175" s="15"/>
      <c r="Q175" s="15"/>
      <c r="R175" s="15"/>
    </row>
    <row r="176" spans="2:18" ht="13">
      <c r="B176" s="21"/>
      <c r="C176" s="22"/>
      <c r="D176" s="20" t="s">
        <v>17</v>
      </c>
      <c r="E176" s="69" t="s">
        <v>27</v>
      </c>
      <c r="F176" s="20" t="s">
        <v>533</v>
      </c>
      <c r="G176" s="15"/>
      <c r="H176" s="15"/>
      <c r="I176" s="15"/>
      <c r="J176" s="15"/>
      <c r="L176" s="15"/>
      <c r="M176" s="15"/>
      <c r="N176" s="15"/>
      <c r="O176" s="15"/>
      <c r="P176" s="15"/>
      <c r="Q176" s="15"/>
      <c r="R176" s="15"/>
    </row>
    <row r="177" spans="2:18" ht="13">
      <c r="B177" s="21"/>
      <c r="C177" s="22"/>
      <c r="D177" s="20" t="s">
        <v>17</v>
      </c>
      <c r="E177" s="69" t="s">
        <v>27</v>
      </c>
      <c r="F177" s="20" t="s">
        <v>533</v>
      </c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</row>
    <row r="178" spans="2:18" ht="13">
      <c r="B178" s="21"/>
      <c r="C178" s="22"/>
      <c r="D178" s="20" t="s">
        <v>17</v>
      </c>
      <c r="E178" s="69" t="s">
        <v>27</v>
      </c>
      <c r="F178" s="20" t="s">
        <v>533</v>
      </c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</row>
    <row r="179" spans="2:18" ht="13">
      <c r="B179" s="21"/>
      <c r="C179" s="22"/>
      <c r="D179" s="20" t="s">
        <v>17</v>
      </c>
      <c r="E179" s="69" t="s">
        <v>27</v>
      </c>
      <c r="F179" s="20" t="s">
        <v>533</v>
      </c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</row>
    <row r="180" spans="2:18" ht="13">
      <c r="B180" s="21"/>
      <c r="C180" s="22"/>
      <c r="D180" s="20" t="s">
        <v>17</v>
      </c>
      <c r="E180" s="69" t="s">
        <v>27</v>
      </c>
      <c r="F180" s="20" t="s">
        <v>533</v>
      </c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</row>
    <row r="181" spans="2:18" ht="13">
      <c r="B181" s="21"/>
      <c r="C181" s="22"/>
      <c r="D181" s="20" t="s">
        <v>26</v>
      </c>
      <c r="E181" s="69" t="s">
        <v>27</v>
      </c>
      <c r="F181" s="20" t="s">
        <v>533</v>
      </c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</row>
    <row r="182" spans="2:18" ht="13">
      <c r="B182" s="21"/>
      <c r="C182" s="22"/>
      <c r="D182" s="20" t="s">
        <v>17</v>
      </c>
      <c r="E182" s="69" t="s">
        <v>27</v>
      </c>
      <c r="F182" s="20" t="s">
        <v>533</v>
      </c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</row>
    <row r="183" spans="2:18" ht="13">
      <c r="B183" s="21"/>
      <c r="C183" s="22"/>
      <c r="D183" s="20" t="s">
        <v>36</v>
      </c>
      <c r="E183" s="69" t="s">
        <v>37</v>
      </c>
      <c r="F183" s="20" t="s">
        <v>533</v>
      </c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</row>
    <row r="184" spans="2:18" ht="13">
      <c r="B184" s="21"/>
      <c r="C184" s="22"/>
      <c r="D184" s="20" t="s">
        <v>36</v>
      </c>
      <c r="E184" s="69" t="s">
        <v>37</v>
      </c>
      <c r="F184" s="20" t="s">
        <v>533</v>
      </c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</row>
    <row r="185" spans="2:18" ht="13">
      <c r="B185" s="21"/>
      <c r="C185" s="22"/>
      <c r="D185" s="20" t="s">
        <v>17</v>
      </c>
      <c r="E185" s="69" t="s">
        <v>27</v>
      </c>
      <c r="F185" s="20" t="s">
        <v>533</v>
      </c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</row>
    <row r="186" spans="2:18" ht="13">
      <c r="B186" s="21"/>
      <c r="C186" s="22"/>
      <c r="D186" s="20" t="s">
        <v>17</v>
      </c>
      <c r="E186" s="69" t="s">
        <v>27</v>
      </c>
      <c r="F186" s="20" t="s">
        <v>533</v>
      </c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</row>
    <row r="187" spans="2:18" ht="13">
      <c r="B187" s="21"/>
      <c r="C187" s="22"/>
      <c r="D187" s="20" t="s">
        <v>17</v>
      </c>
      <c r="E187" s="69" t="s">
        <v>27</v>
      </c>
      <c r="F187" s="20" t="s">
        <v>533</v>
      </c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</row>
    <row r="188" spans="2:18" ht="13">
      <c r="B188" s="21"/>
      <c r="C188" s="22"/>
      <c r="D188" s="20" t="s">
        <v>580</v>
      </c>
      <c r="E188" s="69" t="s">
        <v>32</v>
      </c>
      <c r="F188" s="20" t="s">
        <v>533</v>
      </c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</row>
    <row r="189" spans="2:18" ht="13">
      <c r="B189" s="21"/>
      <c r="C189" s="22"/>
      <c r="D189" s="20" t="s">
        <v>17</v>
      </c>
      <c r="E189" s="69" t="s">
        <v>27</v>
      </c>
      <c r="F189" s="20" t="s">
        <v>533</v>
      </c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</row>
    <row r="190" spans="2:18" ht="13">
      <c r="B190" s="21"/>
      <c r="C190" s="22"/>
      <c r="D190" s="20" t="s">
        <v>290</v>
      </c>
      <c r="E190" s="69" t="s">
        <v>32</v>
      </c>
      <c r="F190" s="20" t="s">
        <v>533</v>
      </c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</row>
    <row r="191" spans="2:18" ht="13">
      <c r="B191" s="21"/>
      <c r="C191" s="22"/>
      <c r="D191" s="20" t="s">
        <v>17</v>
      </c>
      <c r="E191" s="69" t="s">
        <v>27</v>
      </c>
      <c r="F191" s="20" t="s">
        <v>533</v>
      </c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</row>
    <row r="192" spans="2:18" ht="13">
      <c r="B192" s="21"/>
      <c r="C192" s="22"/>
      <c r="D192" s="20" t="s">
        <v>581</v>
      </c>
      <c r="E192" s="69" t="s">
        <v>32</v>
      </c>
      <c r="F192" s="20" t="s">
        <v>533</v>
      </c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</row>
    <row r="193" spans="2:18" ht="13">
      <c r="B193" s="21"/>
      <c r="C193" s="22"/>
      <c r="D193" s="20" t="s">
        <v>557</v>
      </c>
      <c r="E193" s="69" t="s">
        <v>27</v>
      </c>
      <c r="F193" s="20" t="s">
        <v>533</v>
      </c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</row>
    <row r="194" spans="2:18" ht="13">
      <c r="B194" s="21"/>
      <c r="C194" s="22"/>
      <c r="D194" s="20" t="s">
        <v>582</v>
      </c>
      <c r="E194" s="69" t="s">
        <v>163</v>
      </c>
      <c r="F194" s="20" t="s">
        <v>533</v>
      </c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</row>
    <row r="195" spans="2:18" ht="13">
      <c r="B195" s="21"/>
      <c r="C195" s="22"/>
      <c r="D195" s="20" t="s">
        <v>17</v>
      </c>
      <c r="E195" s="69" t="s">
        <v>27</v>
      </c>
      <c r="F195" s="20" t="s">
        <v>533</v>
      </c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</row>
    <row r="196" spans="2:18" ht="13">
      <c r="B196" s="21"/>
      <c r="C196" s="22"/>
      <c r="D196" s="20" t="s">
        <v>26</v>
      </c>
      <c r="E196" s="69" t="s">
        <v>27</v>
      </c>
      <c r="F196" s="20" t="s">
        <v>533</v>
      </c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</row>
    <row r="197" spans="2:18" ht="13">
      <c r="B197" s="21"/>
      <c r="C197" s="22"/>
      <c r="D197" s="20" t="s">
        <v>26</v>
      </c>
      <c r="E197" s="69" t="s">
        <v>27</v>
      </c>
      <c r="F197" s="20" t="s">
        <v>533</v>
      </c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</row>
    <row r="198" spans="2:18" ht="13">
      <c r="B198" s="21"/>
      <c r="C198" s="22"/>
      <c r="D198" s="20" t="s">
        <v>26</v>
      </c>
      <c r="E198" s="69" t="s">
        <v>27</v>
      </c>
      <c r="F198" s="20" t="s">
        <v>533</v>
      </c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</row>
    <row r="199" spans="2:18" ht="13">
      <c r="B199" s="21"/>
      <c r="C199" s="22"/>
      <c r="D199" s="20" t="s">
        <v>574</v>
      </c>
      <c r="E199" s="69" t="s">
        <v>575</v>
      </c>
      <c r="F199" s="20" t="s">
        <v>533</v>
      </c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</row>
    <row r="200" spans="2:18" ht="13">
      <c r="B200" s="21"/>
      <c r="C200" s="22"/>
      <c r="D200" s="20" t="s">
        <v>17</v>
      </c>
      <c r="E200" s="69" t="s">
        <v>27</v>
      </c>
      <c r="F200" s="20" t="s">
        <v>533</v>
      </c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</row>
    <row r="201" spans="2:18" ht="13">
      <c r="B201" s="21"/>
      <c r="C201" s="22"/>
      <c r="D201" s="20" t="s">
        <v>17</v>
      </c>
      <c r="E201" s="69" t="s">
        <v>27</v>
      </c>
      <c r="F201" s="20" t="s">
        <v>533</v>
      </c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</row>
    <row r="202" spans="2:18" ht="13">
      <c r="B202" s="21"/>
      <c r="C202" s="22"/>
      <c r="D202" s="20" t="s">
        <v>17</v>
      </c>
      <c r="E202" s="69" t="s">
        <v>27</v>
      </c>
      <c r="F202" s="20" t="s">
        <v>533</v>
      </c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</row>
    <row r="203" spans="2:18" ht="13">
      <c r="B203" s="21"/>
      <c r="C203" s="22"/>
      <c r="D203" s="20" t="s">
        <v>17</v>
      </c>
      <c r="E203" s="69" t="s">
        <v>27</v>
      </c>
      <c r="F203" s="20" t="s">
        <v>533</v>
      </c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</row>
    <row r="204" spans="2:18" ht="13">
      <c r="B204" s="21"/>
      <c r="C204" s="22"/>
      <c r="D204" s="20" t="s">
        <v>17</v>
      </c>
      <c r="E204" s="69" t="s">
        <v>27</v>
      </c>
      <c r="F204" s="20" t="s">
        <v>533</v>
      </c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</row>
    <row r="205" spans="2:18" ht="13">
      <c r="B205" s="21"/>
      <c r="C205" s="22"/>
      <c r="D205" s="20" t="s">
        <v>583</v>
      </c>
      <c r="E205" s="69" t="s">
        <v>124</v>
      </c>
      <c r="F205" s="20" t="s">
        <v>533</v>
      </c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</row>
    <row r="206" spans="2:18" ht="13">
      <c r="B206" s="21"/>
      <c r="C206" s="22"/>
      <c r="D206" s="20" t="s">
        <v>26</v>
      </c>
      <c r="E206" s="69" t="s">
        <v>27</v>
      </c>
      <c r="F206" s="20" t="s">
        <v>533</v>
      </c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</row>
    <row r="207" spans="2:18" ht="13">
      <c r="B207" s="21"/>
      <c r="C207" s="22"/>
      <c r="D207" s="20" t="s">
        <v>17</v>
      </c>
      <c r="E207" s="69" t="s">
        <v>27</v>
      </c>
      <c r="F207" s="20" t="s">
        <v>533</v>
      </c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</row>
    <row r="208" spans="2:18" ht="13">
      <c r="B208" s="21"/>
      <c r="C208" s="22"/>
      <c r="D208" s="20" t="s">
        <v>17</v>
      </c>
      <c r="E208" s="69" t="s">
        <v>27</v>
      </c>
      <c r="F208" s="20" t="s">
        <v>533</v>
      </c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</row>
    <row r="209" spans="2:18" ht="13">
      <c r="B209" s="21"/>
      <c r="C209" s="22"/>
      <c r="D209" s="20" t="s">
        <v>562</v>
      </c>
      <c r="E209" s="69" t="s">
        <v>37</v>
      </c>
      <c r="F209" s="20" t="s">
        <v>533</v>
      </c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</row>
    <row r="210" spans="2:18" ht="13">
      <c r="B210" s="21"/>
      <c r="C210" s="22"/>
      <c r="D210" s="20" t="s">
        <v>17</v>
      </c>
      <c r="E210" s="69" t="s">
        <v>27</v>
      </c>
      <c r="F210" s="20" t="s">
        <v>533</v>
      </c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</row>
    <row r="211" spans="2:18" ht="13">
      <c r="B211" s="21"/>
      <c r="C211" s="22"/>
      <c r="D211" s="20" t="s">
        <v>17</v>
      </c>
      <c r="E211" s="69" t="s">
        <v>27</v>
      </c>
      <c r="F211" s="20" t="s">
        <v>533</v>
      </c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</row>
    <row r="212" spans="2:18" ht="13">
      <c r="B212" s="21"/>
      <c r="C212" s="22"/>
      <c r="D212" s="20" t="s">
        <v>168</v>
      </c>
      <c r="E212" s="69" t="s">
        <v>27</v>
      </c>
      <c r="F212" s="20" t="s">
        <v>533</v>
      </c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</row>
    <row r="213" spans="2:18" ht="13">
      <c r="B213" s="21"/>
      <c r="C213" s="22"/>
      <c r="D213" s="20" t="s">
        <v>404</v>
      </c>
      <c r="E213" s="69" t="s">
        <v>32</v>
      </c>
      <c r="F213" s="20" t="s">
        <v>533</v>
      </c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</row>
    <row r="214" spans="2:18" ht="13">
      <c r="B214" s="21"/>
      <c r="C214" s="22"/>
      <c r="D214" s="20" t="s">
        <v>17</v>
      </c>
      <c r="E214" s="69" t="s">
        <v>27</v>
      </c>
      <c r="F214" s="20" t="s">
        <v>533</v>
      </c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</row>
    <row r="215" spans="2:18" ht="13">
      <c r="B215" s="21"/>
      <c r="C215" s="22"/>
      <c r="D215" s="20" t="s">
        <v>17</v>
      </c>
      <c r="E215" s="69" t="s">
        <v>27</v>
      </c>
      <c r="F215" s="20" t="s">
        <v>533</v>
      </c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</row>
    <row r="216" spans="2:18" ht="13">
      <c r="B216" s="21"/>
      <c r="C216" s="22"/>
      <c r="D216" s="20" t="s">
        <v>17</v>
      </c>
      <c r="E216" s="69" t="s">
        <v>27</v>
      </c>
      <c r="F216" s="20" t="s">
        <v>533</v>
      </c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</row>
    <row r="217" spans="2:18" ht="13">
      <c r="B217" s="21"/>
      <c r="C217" s="22"/>
      <c r="D217" s="20" t="s">
        <v>577</v>
      </c>
      <c r="E217" s="69" t="s">
        <v>124</v>
      </c>
      <c r="F217" s="20" t="s">
        <v>533</v>
      </c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</row>
    <row r="218" spans="2:18" ht="13">
      <c r="B218" s="21"/>
      <c r="C218" s="22"/>
      <c r="D218" s="20" t="s">
        <v>26</v>
      </c>
      <c r="E218" s="69" t="s">
        <v>27</v>
      </c>
      <c r="F218" s="20" t="s">
        <v>533</v>
      </c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</row>
    <row r="219" spans="2:18" ht="13">
      <c r="B219" s="21"/>
      <c r="C219" s="22"/>
      <c r="D219" s="20" t="s">
        <v>17</v>
      </c>
      <c r="E219" s="69" t="s">
        <v>27</v>
      </c>
      <c r="F219" s="20" t="s">
        <v>533</v>
      </c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</row>
    <row r="220" spans="2:18" ht="13">
      <c r="B220" s="21"/>
      <c r="C220" s="22"/>
      <c r="D220" s="20" t="s">
        <v>26</v>
      </c>
      <c r="E220" s="69" t="s">
        <v>27</v>
      </c>
      <c r="F220" s="20" t="s">
        <v>533</v>
      </c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</row>
    <row r="221" spans="2:18" ht="13">
      <c r="B221" s="21"/>
      <c r="C221" s="22"/>
      <c r="D221" s="20" t="s">
        <v>17</v>
      </c>
      <c r="E221" s="69" t="s">
        <v>27</v>
      </c>
      <c r="F221" s="20" t="s">
        <v>533</v>
      </c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</row>
    <row r="222" spans="2:18" ht="13">
      <c r="B222" s="21"/>
      <c r="C222" s="22"/>
      <c r="D222" s="20" t="s">
        <v>17</v>
      </c>
      <c r="E222" s="69" t="s">
        <v>27</v>
      </c>
      <c r="F222" s="20" t="s">
        <v>533</v>
      </c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</row>
    <row r="223" spans="2:18" ht="13">
      <c r="B223" s="21"/>
      <c r="C223" s="22"/>
      <c r="D223" s="20" t="s">
        <v>17</v>
      </c>
      <c r="E223" s="69" t="s">
        <v>27</v>
      </c>
      <c r="F223" s="20" t="s">
        <v>533</v>
      </c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</row>
    <row r="224" spans="2:18" ht="13">
      <c r="B224" s="21"/>
      <c r="C224" s="22"/>
      <c r="D224" s="20" t="s">
        <v>229</v>
      </c>
      <c r="E224" s="69"/>
      <c r="F224" s="20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</row>
    <row r="225" spans="2:18" ht="13">
      <c r="B225" s="21"/>
      <c r="C225" s="22"/>
      <c r="D225" s="20" t="s">
        <v>584</v>
      </c>
      <c r="E225" s="69" t="s">
        <v>32</v>
      </c>
      <c r="F225" s="20" t="s">
        <v>533</v>
      </c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</row>
    <row r="226" spans="2:18" ht="13">
      <c r="B226" s="21"/>
      <c r="C226" s="22"/>
      <c r="D226" s="20" t="s">
        <v>17</v>
      </c>
      <c r="E226" s="69" t="s">
        <v>27</v>
      </c>
      <c r="F226" s="20" t="s">
        <v>533</v>
      </c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</row>
    <row r="227" spans="2:18" ht="13">
      <c r="B227" s="21"/>
      <c r="C227" s="22"/>
      <c r="D227" s="20" t="s">
        <v>17</v>
      </c>
      <c r="E227" s="69" t="s">
        <v>27</v>
      </c>
      <c r="F227" s="20" t="s">
        <v>533</v>
      </c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</row>
    <row r="228" spans="2:18" ht="13">
      <c r="B228" s="21"/>
      <c r="C228" s="22"/>
      <c r="D228" s="20" t="s">
        <v>26</v>
      </c>
      <c r="E228" s="69" t="s">
        <v>124</v>
      </c>
      <c r="F228" s="20" t="s">
        <v>533</v>
      </c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</row>
    <row r="229" spans="2:18" ht="13">
      <c r="B229" s="21"/>
      <c r="C229" s="22"/>
      <c r="D229" s="20" t="s">
        <v>583</v>
      </c>
      <c r="E229" s="69" t="s">
        <v>124</v>
      </c>
      <c r="F229" s="20" t="s">
        <v>533</v>
      </c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</row>
    <row r="230" spans="2:18" ht="26">
      <c r="B230" s="21"/>
      <c r="C230" s="22"/>
      <c r="D230" s="80" t="s">
        <v>585</v>
      </c>
      <c r="E230" s="69" t="s">
        <v>121</v>
      </c>
      <c r="F230" s="20" t="s">
        <v>533</v>
      </c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</row>
    <row r="231" spans="2:18" ht="13">
      <c r="B231" s="21"/>
      <c r="C231" s="22"/>
      <c r="D231" s="20" t="s">
        <v>577</v>
      </c>
      <c r="E231" s="69" t="s">
        <v>124</v>
      </c>
      <c r="F231" s="20" t="s">
        <v>533</v>
      </c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</row>
    <row r="232" spans="2:18" ht="13">
      <c r="B232" s="21"/>
      <c r="C232" s="22"/>
      <c r="D232" s="20" t="s">
        <v>557</v>
      </c>
      <c r="E232" s="69" t="s">
        <v>121</v>
      </c>
      <c r="F232" s="20" t="s">
        <v>533</v>
      </c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</row>
    <row r="233" spans="2:18" ht="13">
      <c r="B233" s="21"/>
      <c r="C233" s="22"/>
      <c r="D233" s="20" t="s">
        <v>577</v>
      </c>
      <c r="E233" s="69" t="s">
        <v>124</v>
      </c>
      <c r="F233" s="20" t="s">
        <v>533</v>
      </c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</row>
    <row r="234" spans="2:18" ht="13">
      <c r="B234" s="21"/>
      <c r="C234" s="22"/>
      <c r="D234" s="20" t="s">
        <v>570</v>
      </c>
      <c r="E234" s="69" t="s">
        <v>124</v>
      </c>
      <c r="F234" s="20" t="s">
        <v>533</v>
      </c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</row>
    <row r="235" spans="2:18" ht="13">
      <c r="B235" s="21"/>
      <c r="C235" s="22"/>
      <c r="D235" s="20" t="s">
        <v>586</v>
      </c>
      <c r="E235" s="69" t="s">
        <v>121</v>
      </c>
      <c r="F235" s="20" t="s">
        <v>533</v>
      </c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</row>
    <row r="236" spans="2:18" ht="13">
      <c r="B236" s="21"/>
      <c r="C236" s="22"/>
      <c r="D236" s="20" t="s">
        <v>587</v>
      </c>
      <c r="E236" s="69" t="s">
        <v>121</v>
      </c>
      <c r="F236" s="20" t="s">
        <v>533</v>
      </c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</row>
    <row r="237" spans="2:18" ht="13">
      <c r="B237" s="21"/>
      <c r="C237" s="22"/>
      <c r="D237" s="20" t="s">
        <v>86</v>
      </c>
      <c r="E237" s="69" t="s">
        <v>163</v>
      </c>
      <c r="F237" s="20" t="s">
        <v>533</v>
      </c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</row>
    <row r="238" spans="2:18" ht="13">
      <c r="B238" s="21"/>
      <c r="C238" s="22"/>
      <c r="D238" s="20" t="s">
        <v>17</v>
      </c>
      <c r="E238" s="69" t="s">
        <v>27</v>
      </c>
      <c r="F238" s="20" t="s">
        <v>533</v>
      </c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</row>
    <row r="239" spans="2:18" ht="13">
      <c r="B239" s="21"/>
      <c r="C239" s="22"/>
      <c r="D239" s="20" t="s">
        <v>17</v>
      </c>
      <c r="E239" s="69" t="s">
        <v>27</v>
      </c>
      <c r="F239" s="20" t="s">
        <v>533</v>
      </c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</row>
    <row r="240" spans="2:18" ht="13">
      <c r="B240" s="21"/>
      <c r="C240" s="22"/>
      <c r="D240" s="20" t="s">
        <v>17</v>
      </c>
      <c r="E240" s="69" t="s">
        <v>27</v>
      </c>
      <c r="F240" s="20" t="s">
        <v>533</v>
      </c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</row>
    <row r="241" spans="2:18" ht="13">
      <c r="B241" s="21"/>
      <c r="C241" s="22"/>
      <c r="D241" s="20" t="s">
        <v>17</v>
      </c>
      <c r="E241" s="69" t="s">
        <v>27</v>
      </c>
      <c r="F241" s="20" t="s">
        <v>533</v>
      </c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</row>
    <row r="242" spans="2:18" ht="13">
      <c r="B242" s="21"/>
      <c r="C242" s="22"/>
      <c r="D242" s="20" t="s">
        <v>17</v>
      </c>
      <c r="E242" s="69" t="s">
        <v>27</v>
      </c>
      <c r="F242" s="20" t="s">
        <v>533</v>
      </c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</row>
    <row r="243" spans="2:18" ht="13">
      <c r="B243" s="21"/>
      <c r="C243" s="22"/>
      <c r="D243" s="20" t="s">
        <v>17</v>
      </c>
      <c r="E243" s="69" t="s">
        <v>27</v>
      </c>
      <c r="F243" s="20" t="s">
        <v>533</v>
      </c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</row>
    <row r="244" spans="2:18" ht="13">
      <c r="B244" s="21"/>
      <c r="C244" s="22"/>
      <c r="D244" s="20" t="s">
        <v>17</v>
      </c>
      <c r="E244" s="69" t="s">
        <v>27</v>
      </c>
      <c r="F244" s="20" t="s">
        <v>533</v>
      </c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</row>
    <row r="245" spans="2:18" ht="13">
      <c r="B245" s="21"/>
      <c r="C245" s="22"/>
      <c r="D245" s="20" t="s">
        <v>17</v>
      </c>
      <c r="E245" s="69" t="s">
        <v>27</v>
      </c>
      <c r="F245" s="20" t="s">
        <v>533</v>
      </c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</row>
    <row r="246" spans="2:18" ht="13">
      <c r="B246" s="21"/>
      <c r="C246" s="22"/>
      <c r="D246" s="20" t="s">
        <v>17</v>
      </c>
      <c r="E246" s="69" t="s">
        <v>27</v>
      </c>
      <c r="F246" s="20" t="s">
        <v>533</v>
      </c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</row>
    <row r="247" spans="2:18" ht="13">
      <c r="B247" s="21"/>
      <c r="C247" s="22"/>
      <c r="D247" s="20" t="s">
        <v>174</v>
      </c>
      <c r="E247" s="69" t="s">
        <v>379</v>
      </c>
      <c r="F247" s="20" t="s">
        <v>533</v>
      </c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</row>
    <row r="248" spans="2:18" ht="13">
      <c r="B248" s="21"/>
      <c r="C248" s="22"/>
      <c r="D248" s="20" t="s">
        <v>17</v>
      </c>
      <c r="E248" s="69" t="s">
        <v>27</v>
      </c>
      <c r="F248" s="20" t="s">
        <v>533</v>
      </c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</row>
    <row r="249" spans="2:18" ht="13">
      <c r="B249" s="21"/>
      <c r="C249" s="22"/>
      <c r="D249" s="20" t="s">
        <v>26</v>
      </c>
      <c r="E249" s="69" t="s">
        <v>27</v>
      </c>
      <c r="F249" s="20" t="s">
        <v>533</v>
      </c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</row>
    <row r="250" spans="2:18" ht="13">
      <c r="B250" s="21"/>
      <c r="C250" s="22"/>
      <c r="D250" s="20" t="s">
        <v>574</v>
      </c>
      <c r="E250" s="69" t="s">
        <v>575</v>
      </c>
      <c r="F250" s="20" t="s">
        <v>533</v>
      </c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</row>
    <row r="251" spans="2:18" ht="13">
      <c r="B251" s="21"/>
      <c r="C251" s="22"/>
      <c r="D251" s="20" t="s">
        <v>17</v>
      </c>
      <c r="E251" s="69" t="s">
        <v>27</v>
      </c>
      <c r="F251" s="20" t="s">
        <v>533</v>
      </c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</row>
    <row r="252" spans="2:18" ht="13">
      <c r="B252" s="21"/>
      <c r="C252" s="22"/>
      <c r="D252" s="20" t="s">
        <v>17</v>
      </c>
      <c r="E252" s="69" t="s">
        <v>27</v>
      </c>
      <c r="F252" s="20" t="s">
        <v>533</v>
      </c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</row>
    <row r="253" spans="2:18" ht="13">
      <c r="B253" s="21"/>
      <c r="C253" s="22"/>
      <c r="D253" s="20" t="s">
        <v>17</v>
      </c>
      <c r="E253" s="69" t="s">
        <v>27</v>
      </c>
      <c r="F253" s="20" t="s">
        <v>533</v>
      </c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</row>
    <row r="254" spans="2:18" ht="13">
      <c r="B254" s="21"/>
      <c r="C254" s="22"/>
      <c r="D254" s="20" t="s">
        <v>17</v>
      </c>
      <c r="E254" s="69" t="s">
        <v>27</v>
      </c>
      <c r="F254" s="20" t="s">
        <v>533</v>
      </c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</row>
    <row r="255" spans="2:18" ht="13">
      <c r="B255" s="21"/>
      <c r="C255" s="22"/>
      <c r="D255" s="20" t="s">
        <v>588</v>
      </c>
      <c r="E255" s="69" t="s">
        <v>37</v>
      </c>
      <c r="F255" s="20" t="s">
        <v>533</v>
      </c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</row>
    <row r="256" spans="2:18" ht="13">
      <c r="B256" s="21"/>
      <c r="C256" s="22"/>
      <c r="D256" s="20" t="s">
        <v>53</v>
      </c>
      <c r="E256" s="69" t="s">
        <v>32</v>
      </c>
      <c r="F256" s="20" t="s">
        <v>533</v>
      </c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</row>
    <row r="257" spans="2:18" ht="13">
      <c r="B257" s="21"/>
      <c r="C257" s="22"/>
      <c r="D257" s="20" t="s">
        <v>562</v>
      </c>
      <c r="E257" s="69" t="s">
        <v>37</v>
      </c>
      <c r="F257" s="20" t="s">
        <v>533</v>
      </c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</row>
    <row r="258" spans="2:18" ht="13">
      <c r="B258" s="21"/>
      <c r="C258" s="22"/>
      <c r="D258" s="20" t="s">
        <v>574</v>
      </c>
      <c r="E258" s="69" t="s">
        <v>575</v>
      </c>
      <c r="F258" s="20" t="s">
        <v>533</v>
      </c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</row>
    <row r="259" spans="2:18" ht="13">
      <c r="B259" s="21"/>
      <c r="C259" s="22"/>
      <c r="D259" s="20" t="s">
        <v>17</v>
      </c>
      <c r="E259" s="69" t="s">
        <v>27</v>
      </c>
      <c r="F259" s="20" t="s">
        <v>533</v>
      </c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</row>
    <row r="260" spans="2:18" ht="13">
      <c r="B260" s="21"/>
      <c r="C260" s="22"/>
      <c r="D260" s="20" t="s">
        <v>577</v>
      </c>
      <c r="E260" s="69" t="s">
        <v>124</v>
      </c>
      <c r="F260" s="20" t="s">
        <v>533</v>
      </c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</row>
    <row r="261" spans="2:18" ht="13">
      <c r="B261" s="21"/>
      <c r="C261" s="22"/>
      <c r="D261" s="20" t="s">
        <v>407</v>
      </c>
      <c r="E261" s="69" t="s">
        <v>124</v>
      </c>
      <c r="F261" s="20" t="s">
        <v>533</v>
      </c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</row>
    <row r="262" spans="2:18" ht="13">
      <c r="B262" s="21"/>
      <c r="C262" s="22"/>
      <c r="D262" s="20" t="s">
        <v>407</v>
      </c>
      <c r="E262" s="69" t="s">
        <v>124</v>
      </c>
      <c r="F262" s="20" t="s">
        <v>533</v>
      </c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</row>
    <row r="263" spans="2:18" ht="13">
      <c r="B263" s="21"/>
      <c r="C263" s="22"/>
      <c r="D263" s="20" t="s">
        <v>589</v>
      </c>
      <c r="E263" s="69" t="s">
        <v>121</v>
      </c>
      <c r="F263" s="20" t="s">
        <v>533</v>
      </c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</row>
    <row r="264" spans="2:18" ht="13">
      <c r="B264" s="21"/>
      <c r="C264" s="22"/>
      <c r="D264" s="20" t="s">
        <v>26</v>
      </c>
      <c r="E264" s="69" t="s">
        <v>27</v>
      </c>
      <c r="F264" s="20" t="s">
        <v>533</v>
      </c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</row>
    <row r="265" spans="2:18" ht="13">
      <c r="B265" s="21"/>
      <c r="C265" s="22"/>
      <c r="D265" s="20" t="s">
        <v>26</v>
      </c>
      <c r="E265" s="69" t="s">
        <v>27</v>
      </c>
      <c r="F265" s="20" t="s">
        <v>533</v>
      </c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</row>
    <row r="266" spans="2:18" ht="13">
      <c r="B266" s="21"/>
      <c r="C266" s="22"/>
      <c r="D266" s="20" t="s">
        <v>17</v>
      </c>
      <c r="E266" s="69" t="s">
        <v>27</v>
      </c>
      <c r="F266" s="20" t="s">
        <v>533</v>
      </c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</row>
    <row r="267" spans="2:18" ht="13">
      <c r="B267" s="21"/>
      <c r="C267" s="22"/>
      <c r="D267" s="20" t="s">
        <v>36</v>
      </c>
      <c r="E267" s="69" t="s">
        <v>37</v>
      </c>
      <c r="F267" s="20" t="s">
        <v>533</v>
      </c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</row>
    <row r="268" spans="2:18" ht="13">
      <c r="B268" s="21"/>
      <c r="C268" s="22"/>
      <c r="D268" s="20" t="s">
        <v>31</v>
      </c>
      <c r="E268" s="69" t="s">
        <v>32</v>
      </c>
      <c r="F268" s="20" t="s">
        <v>533</v>
      </c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</row>
    <row r="269" spans="2:18" ht="13">
      <c r="B269" s="21"/>
      <c r="C269" s="22"/>
      <c r="D269" s="20" t="s">
        <v>26</v>
      </c>
      <c r="E269" s="69" t="s">
        <v>27</v>
      </c>
      <c r="F269" s="20" t="s">
        <v>533</v>
      </c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</row>
    <row r="270" spans="2:18" ht="13">
      <c r="B270" s="21"/>
      <c r="C270" s="22"/>
      <c r="D270" s="20" t="s">
        <v>86</v>
      </c>
      <c r="E270" s="69" t="s">
        <v>124</v>
      </c>
      <c r="F270" s="20" t="s">
        <v>533</v>
      </c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</row>
    <row r="271" spans="2:18" ht="13">
      <c r="B271" s="21"/>
      <c r="C271" s="22"/>
      <c r="D271" s="20" t="s">
        <v>86</v>
      </c>
      <c r="E271" s="69" t="s">
        <v>163</v>
      </c>
      <c r="F271" s="20" t="s">
        <v>533</v>
      </c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</row>
    <row r="272" spans="2:18" ht="13">
      <c r="B272" s="21"/>
      <c r="C272" s="22"/>
      <c r="D272" s="20" t="s">
        <v>571</v>
      </c>
      <c r="E272" s="69" t="s">
        <v>163</v>
      </c>
      <c r="F272" s="20" t="s">
        <v>533</v>
      </c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</row>
    <row r="273" spans="2:18" ht="13">
      <c r="B273" s="21"/>
      <c r="C273" s="22"/>
      <c r="D273" s="20" t="s">
        <v>590</v>
      </c>
      <c r="E273" s="69" t="s">
        <v>32</v>
      </c>
      <c r="F273" s="20" t="s">
        <v>533</v>
      </c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</row>
    <row r="274" spans="2:18" ht="13">
      <c r="B274" s="21"/>
      <c r="C274" s="22"/>
      <c r="D274" s="20" t="s">
        <v>86</v>
      </c>
      <c r="E274" s="69" t="s">
        <v>121</v>
      </c>
      <c r="F274" s="20" t="s">
        <v>533</v>
      </c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</row>
    <row r="275" spans="2:18" ht="13">
      <c r="B275" s="21"/>
      <c r="C275" s="22"/>
      <c r="D275" s="20" t="s">
        <v>86</v>
      </c>
      <c r="E275" s="69" t="s">
        <v>121</v>
      </c>
      <c r="F275" s="20" t="s">
        <v>533</v>
      </c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</row>
    <row r="276" spans="2:18" ht="13">
      <c r="B276" s="21"/>
      <c r="C276" s="22"/>
      <c r="D276" s="20" t="s">
        <v>326</v>
      </c>
      <c r="E276" s="69" t="s">
        <v>121</v>
      </c>
      <c r="F276" s="20" t="s">
        <v>533</v>
      </c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</row>
    <row r="277" spans="2:18" ht="13">
      <c r="B277" s="21"/>
      <c r="C277" s="22"/>
      <c r="D277" s="20" t="s">
        <v>591</v>
      </c>
      <c r="E277" s="69" t="s">
        <v>121</v>
      </c>
      <c r="F277" s="20" t="s">
        <v>533</v>
      </c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</row>
    <row r="278" spans="2:18" ht="13">
      <c r="B278" s="21"/>
      <c r="C278" s="22"/>
      <c r="D278" s="20" t="s">
        <v>577</v>
      </c>
      <c r="E278" s="69" t="s">
        <v>124</v>
      </c>
      <c r="F278" s="20" t="s">
        <v>533</v>
      </c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</row>
    <row r="279" spans="2:18" ht="13">
      <c r="B279" s="21"/>
      <c r="C279" s="22"/>
      <c r="D279" s="20" t="s">
        <v>17</v>
      </c>
      <c r="E279" s="69" t="s">
        <v>27</v>
      </c>
      <c r="F279" s="20" t="s">
        <v>533</v>
      </c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</row>
    <row r="280" spans="2:18" ht="13">
      <c r="B280" s="21"/>
      <c r="C280" s="22"/>
      <c r="D280" s="20" t="s">
        <v>17</v>
      </c>
      <c r="E280" s="69" t="s">
        <v>27</v>
      </c>
      <c r="F280" s="20" t="s">
        <v>533</v>
      </c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</row>
    <row r="281" spans="2:18" ht="13">
      <c r="B281" s="21"/>
      <c r="C281" s="22"/>
      <c r="D281" s="20" t="s">
        <v>17</v>
      </c>
      <c r="E281" s="69" t="s">
        <v>27</v>
      </c>
      <c r="F281" s="20" t="s">
        <v>533</v>
      </c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</row>
    <row r="282" spans="2:18" ht="13">
      <c r="B282" s="21"/>
      <c r="C282" s="22"/>
      <c r="D282" s="20" t="s">
        <v>17</v>
      </c>
      <c r="E282" s="69" t="s">
        <v>27</v>
      </c>
      <c r="F282" s="20" t="s">
        <v>533</v>
      </c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</row>
    <row r="283" spans="2:18" ht="13">
      <c r="B283" s="21"/>
      <c r="C283" s="22"/>
      <c r="D283" s="20" t="s">
        <v>26</v>
      </c>
      <c r="E283" s="69" t="s">
        <v>27</v>
      </c>
      <c r="F283" s="20" t="s">
        <v>533</v>
      </c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</row>
    <row r="284" spans="2:18" ht="13">
      <c r="B284" s="21"/>
      <c r="C284" s="22"/>
      <c r="D284" s="20" t="s">
        <v>26</v>
      </c>
      <c r="E284" s="69" t="s">
        <v>27</v>
      </c>
      <c r="F284" s="20" t="s">
        <v>533</v>
      </c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</row>
    <row r="285" spans="2:18" ht="13">
      <c r="B285" s="21"/>
      <c r="C285" s="22"/>
      <c r="D285" s="20" t="s">
        <v>592</v>
      </c>
      <c r="E285" s="69" t="s">
        <v>27</v>
      </c>
      <c r="F285" s="20" t="s">
        <v>533</v>
      </c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</row>
    <row r="286" spans="2:18" ht="13">
      <c r="B286" s="21"/>
      <c r="C286" s="22"/>
      <c r="D286" s="20" t="s">
        <v>593</v>
      </c>
      <c r="E286" s="69" t="s">
        <v>32</v>
      </c>
      <c r="F286" s="20" t="s">
        <v>533</v>
      </c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</row>
    <row r="287" spans="2:18" ht="13">
      <c r="B287" s="21"/>
      <c r="C287" s="22"/>
      <c r="D287" s="20" t="s">
        <v>17</v>
      </c>
      <c r="E287" s="69" t="s">
        <v>27</v>
      </c>
      <c r="F287" s="20" t="s">
        <v>533</v>
      </c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</row>
    <row r="288" spans="2:18" ht="13">
      <c r="B288" s="21"/>
      <c r="C288" s="22"/>
      <c r="D288" s="20" t="s">
        <v>174</v>
      </c>
      <c r="E288" s="69" t="s">
        <v>18</v>
      </c>
      <c r="F288" s="20" t="s">
        <v>533</v>
      </c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</row>
    <row r="289" spans="2:18" ht="13">
      <c r="B289" s="21"/>
      <c r="C289" s="22"/>
      <c r="D289" s="20" t="s">
        <v>594</v>
      </c>
      <c r="E289" s="69" t="s">
        <v>32</v>
      </c>
      <c r="F289" s="20" t="s">
        <v>533</v>
      </c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</row>
    <row r="290" spans="2:18" ht="13">
      <c r="B290" s="21"/>
      <c r="C290" s="22"/>
      <c r="D290" s="20" t="s">
        <v>26</v>
      </c>
      <c r="E290" s="69" t="s">
        <v>27</v>
      </c>
      <c r="F290" s="20" t="s">
        <v>533</v>
      </c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</row>
    <row r="291" spans="2:18" ht="13">
      <c r="B291" s="21"/>
      <c r="C291" s="22"/>
      <c r="D291" s="20" t="s">
        <v>17</v>
      </c>
      <c r="E291" s="69" t="s">
        <v>27</v>
      </c>
      <c r="F291" s="20" t="s">
        <v>533</v>
      </c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</row>
    <row r="292" spans="2:18" ht="13">
      <c r="B292" s="21"/>
      <c r="C292" s="22"/>
      <c r="D292" s="20" t="s">
        <v>17</v>
      </c>
      <c r="E292" s="69" t="s">
        <v>27</v>
      </c>
      <c r="F292" s="20" t="s">
        <v>533</v>
      </c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</row>
    <row r="293" spans="2:18" ht="13">
      <c r="B293" s="21"/>
      <c r="C293" s="22"/>
      <c r="D293" s="20" t="s">
        <v>17</v>
      </c>
      <c r="E293" s="69" t="s">
        <v>27</v>
      </c>
      <c r="F293" s="20" t="s">
        <v>533</v>
      </c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</row>
    <row r="294" spans="2:18" ht="13">
      <c r="B294" s="21"/>
      <c r="C294" s="22"/>
      <c r="D294" s="20" t="s">
        <v>17</v>
      </c>
      <c r="E294" s="69" t="s">
        <v>27</v>
      </c>
      <c r="F294" s="20" t="s">
        <v>533</v>
      </c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</row>
    <row r="295" spans="2:18" ht="13">
      <c r="B295" s="21"/>
      <c r="C295" s="22"/>
      <c r="D295" s="20" t="s">
        <v>17</v>
      </c>
      <c r="E295" s="69" t="s">
        <v>27</v>
      </c>
      <c r="F295" s="20" t="s">
        <v>533</v>
      </c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</row>
    <row r="296" spans="2:18" ht="13">
      <c r="B296" s="21"/>
      <c r="C296" s="22"/>
      <c r="D296" s="20" t="s">
        <v>26</v>
      </c>
      <c r="E296" s="69" t="s">
        <v>27</v>
      </c>
      <c r="F296" s="20" t="s">
        <v>533</v>
      </c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</row>
    <row r="297" spans="2:18" ht="13">
      <c r="B297" s="21"/>
      <c r="C297" s="22"/>
      <c r="D297" s="20" t="s">
        <v>26</v>
      </c>
      <c r="E297" s="69" t="s">
        <v>27</v>
      </c>
      <c r="F297" s="20" t="s">
        <v>533</v>
      </c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</row>
    <row r="298" spans="2:18" ht="13">
      <c r="B298" s="21"/>
      <c r="C298" s="22"/>
      <c r="D298" s="20" t="s">
        <v>17</v>
      </c>
      <c r="E298" s="69" t="s">
        <v>27</v>
      </c>
      <c r="F298" s="20" t="s">
        <v>533</v>
      </c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</row>
    <row r="299" spans="2:18" ht="13">
      <c r="B299" s="21"/>
      <c r="C299" s="22"/>
      <c r="D299" s="20" t="s">
        <v>17</v>
      </c>
      <c r="E299" s="69" t="s">
        <v>27</v>
      </c>
      <c r="F299" s="20" t="s">
        <v>533</v>
      </c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</row>
    <row r="300" spans="2:18" ht="13">
      <c r="B300" s="21"/>
      <c r="C300" s="22"/>
      <c r="D300" s="20" t="s">
        <v>26</v>
      </c>
      <c r="E300" s="69" t="s">
        <v>27</v>
      </c>
      <c r="F300" s="20" t="s">
        <v>533</v>
      </c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</row>
    <row r="301" spans="2:18" ht="13">
      <c r="B301" s="21"/>
      <c r="C301" s="22"/>
      <c r="D301" s="20" t="s">
        <v>26</v>
      </c>
      <c r="E301" s="69" t="s">
        <v>27</v>
      </c>
      <c r="F301" s="20" t="s">
        <v>533</v>
      </c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</row>
    <row r="302" spans="2:18" ht="13">
      <c r="B302" s="21"/>
      <c r="C302" s="22"/>
      <c r="D302" s="20" t="s">
        <v>17</v>
      </c>
      <c r="E302" s="69" t="s">
        <v>27</v>
      </c>
      <c r="F302" s="20" t="s">
        <v>533</v>
      </c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</row>
    <row r="303" spans="2:18" ht="13">
      <c r="B303" s="21"/>
      <c r="C303" s="22"/>
      <c r="D303" s="20" t="s">
        <v>174</v>
      </c>
      <c r="E303" s="69" t="s">
        <v>175</v>
      </c>
      <c r="F303" s="20" t="s">
        <v>533</v>
      </c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</row>
    <row r="304" spans="2:18" ht="13">
      <c r="B304" s="21"/>
      <c r="C304" s="22"/>
      <c r="D304" s="20" t="s">
        <v>26</v>
      </c>
      <c r="E304" s="69" t="s">
        <v>27</v>
      </c>
      <c r="F304" s="20" t="s">
        <v>533</v>
      </c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</row>
    <row r="305" spans="2:18" ht="13">
      <c r="B305" s="21"/>
      <c r="C305" s="22"/>
      <c r="D305" s="20" t="s">
        <v>17</v>
      </c>
      <c r="E305" s="69" t="s">
        <v>27</v>
      </c>
      <c r="F305" s="20" t="s">
        <v>533</v>
      </c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</row>
    <row r="306" spans="2:18" ht="13">
      <c r="B306" s="21"/>
      <c r="C306" s="22"/>
      <c r="D306" s="20" t="s">
        <v>168</v>
      </c>
      <c r="E306" s="69" t="s">
        <v>27</v>
      </c>
      <c r="F306" s="20" t="s">
        <v>533</v>
      </c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</row>
    <row r="307" spans="2:18" ht="13">
      <c r="B307" s="21"/>
      <c r="C307" s="22"/>
      <c r="D307" s="20" t="s">
        <v>574</v>
      </c>
      <c r="E307" s="69" t="s">
        <v>575</v>
      </c>
      <c r="F307" s="20" t="s">
        <v>533</v>
      </c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</row>
    <row r="308" spans="2:18" ht="13">
      <c r="B308" s="21"/>
      <c r="C308" s="22"/>
      <c r="D308" s="20" t="s">
        <v>17</v>
      </c>
      <c r="E308" s="69" t="s">
        <v>27</v>
      </c>
      <c r="F308" s="20" t="s">
        <v>533</v>
      </c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</row>
    <row r="309" spans="2:18" ht="13">
      <c r="B309" s="21"/>
      <c r="C309" s="22"/>
      <c r="D309" s="20" t="s">
        <v>26</v>
      </c>
      <c r="E309" s="69" t="s">
        <v>27</v>
      </c>
      <c r="F309" s="20" t="s">
        <v>533</v>
      </c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</row>
    <row r="310" spans="2:18" ht="13">
      <c r="B310" s="21"/>
      <c r="C310" s="22"/>
      <c r="D310" s="20" t="s">
        <v>17</v>
      </c>
      <c r="E310" s="69" t="s">
        <v>27</v>
      </c>
      <c r="F310" s="20" t="s">
        <v>533</v>
      </c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</row>
    <row r="311" spans="2:18" ht="13">
      <c r="B311" s="21"/>
      <c r="C311" s="22"/>
      <c r="D311" s="20" t="s">
        <v>26</v>
      </c>
      <c r="E311" s="69" t="s">
        <v>27</v>
      </c>
      <c r="F311" s="20" t="s">
        <v>533</v>
      </c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</row>
    <row r="312" spans="2:18" ht="13">
      <c r="B312" s="21"/>
      <c r="C312" s="22"/>
      <c r="D312" s="20" t="s">
        <v>26</v>
      </c>
      <c r="E312" s="69" t="s">
        <v>27</v>
      </c>
      <c r="F312" s="20" t="s">
        <v>533</v>
      </c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</row>
    <row r="313" spans="2:18" ht="13">
      <c r="B313" s="21"/>
      <c r="C313" s="22"/>
      <c r="D313" s="20" t="s">
        <v>17</v>
      </c>
      <c r="E313" s="69" t="s">
        <v>27</v>
      </c>
      <c r="F313" s="20" t="s">
        <v>533</v>
      </c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</row>
    <row r="314" spans="2:18" ht="13">
      <c r="B314" s="21"/>
      <c r="C314" s="22"/>
      <c r="D314" s="20" t="s">
        <v>17</v>
      </c>
      <c r="E314" s="69" t="s">
        <v>27</v>
      </c>
      <c r="F314" s="20" t="s">
        <v>533</v>
      </c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</row>
    <row r="315" spans="2:18" ht="13">
      <c r="B315" s="21"/>
      <c r="C315" s="22"/>
      <c r="D315" s="20" t="s">
        <v>17</v>
      </c>
      <c r="E315" s="69" t="s">
        <v>27</v>
      </c>
      <c r="F315" s="20" t="s">
        <v>533</v>
      </c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</row>
    <row r="316" spans="2:18" ht="13">
      <c r="B316" s="21"/>
      <c r="C316" s="22"/>
      <c r="D316" s="20" t="s">
        <v>17</v>
      </c>
      <c r="E316" s="69" t="s">
        <v>27</v>
      </c>
      <c r="F316" s="20" t="s">
        <v>533</v>
      </c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</row>
    <row r="317" spans="2:18" ht="13">
      <c r="B317" s="21"/>
      <c r="C317" s="22"/>
      <c r="D317" s="20" t="s">
        <v>17</v>
      </c>
      <c r="E317" s="69" t="s">
        <v>27</v>
      </c>
      <c r="F317" s="20" t="s">
        <v>533</v>
      </c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</row>
    <row r="318" spans="2:18" ht="13">
      <c r="B318" s="21"/>
      <c r="C318" s="22"/>
      <c r="D318" s="20" t="s">
        <v>26</v>
      </c>
      <c r="E318" s="69" t="s">
        <v>27</v>
      </c>
      <c r="F318" s="20" t="s">
        <v>533</v>
      </c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</row>
    <row r="319" spans="2:18" ht="13">
      <c r="B319" s="21"/>
      <c r="C319" s="22"/>
      <c r="D319" s="20" t="s">
        <v>26</v>
      </c>
      <c r="E319" s="69" t="s">
        <v>27</v>
      </c>
      <c r="F319" s="20" t="s">
        <v>533</v>
      </c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</row>
    <row r="320" spans="2:18" ht="13">
      <c r="B320" s="21"/>
      <c r="C320" s="22"/>
      <c r="D320" s="20" t="s">
        <v>174</v>
      </c>
      <c r="E320" s="69" t="s">
        <v>379</v>
      </c>
      <c r="F320" s="20" t="s">
        <v>533</v>
      </c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</row>
    <row r="321" spans="2:18" ht="13">
      <c r="B321" s="21"/>
      <c r="C321" s="22"/>
      <c r="D321" s="20" t="s">
        <v>17</v>
      </c>
      <c r="E321" s="69" t="s">
        <v>27</v>
      </c>
      <c r="F321" s="20" t="s">
        <v>533</v>
      </c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</row>
    <row r="322" spans="2:18" ht="13">
      <c r="B322" s="21"/>
      <c r="C322" s="22"/>
      <c r="D322" s="20" t="s">
        <v>26</v>
      </c>
      <c r="E322" s="69" t="s">
        <v>27</v>
      </c>
      <c r="F322" s="20" t="s">
        <v>533</v>
      </c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</row>
    <row r="323" spans="2:18" ht="13">
      <c r="B323" s="21"/>
      <c r="C323" s="22"/>
      <c r="D323" s="20" t="s">
        <v>17</v>
      </c>
      <c r="E323" s="69" t="s">
        <v>27</v>
      </c>
      <c r="F323" s="20" t="s">
        <v>533</v>
      </c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</row>
    <row r="324" spans="2:18" ht="13">
      <c r="B324" s="21"/>
      <c r="C324" s="22"/>
      <c r="D324" s="20" t="s">
        <v>26</v>
      </c>
      <c r="E324" s="69" t="s">
        <v>27</v>
      </c>
      <c r="F324" s="20" t="s">
        <v>533</v>
      </c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</row>
    <row r="325" spans="2:18" ht="13">
      <c r="B325" s="21"/>
      <c r="C325" s="22"/>
      <c r="D325" s="20" t="s">
        <v>17</v>
      </c>
      <c r="E325" s="69" t="s">
        <v>27</v>
      </c>
      <c r="F325" s="20" t="s">
        <v>533</v>
      </c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</row>
    <row r="326" spans="2:18" ht="13">
      <c r="B326" s="21"/>
      <c r="C326" s="22"/>
      <c r="D326" s="20" t="s">
        <v>26</v>
      </c>
      <c r="E326" s="69" t="s">
        <v>27</v>
      </c>
      <c r="F326" s="20" t="s">
        <v>533</v>
      </c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</row>
    <row r="327" spans="2:18" ht="13">
      <c r="B327" s="21"/>
      <c r="C327" s="22"/>
      <c r="D327" s="20" t="s">
        <v>36</v>
      </c>
      <c r="E327" s="69" t="s">
        <v>37</v>
      </c>
      <c r="F327" s="20" t="s">
        <v>533</v>
      </c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</row>
    <row r="328" spans="2:18" ht="13">
      <c r="B328" s="21"/>
      <c r="C328" s="22"/>
      <c r="D328" s="20" t="s">
        <v>26</v>
      </c>
      <c r="E328" s="69" t="s">
        <v>27</v>
      </c>
      <c r="F328" s="20" t="s">
        <v>533</v>
      </c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</row>
    <row r="329" spans="2:18" ht="13">
      <c r="B329" s="21"/>
      <c r="C329" s="22"/>
      <c r="D329" s="20" t="s">
        <v>26</v>
      </c>
      <c r="E329" s="69" t="s">
        <v>27</v>
      </c>
      <c r="F329" s="20" t="s">
        <v>533</v>
      </c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</row>
    <row r="330" spans="2:18" ht="13">
      <c r="B330" s="21"/>
      <c r="C330" s="22"/>
      <c r="D330" s="20" t="s">
        <v>174</v>
      </c>
      <c r="E330" s="69" t="s">
        <v>379</v>
      </c>
      <c r="F330" s="20" t="s">
        <v>533</v>
      </c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</row>
    <row r="331" spans="2:18" ht="13">
      <c r="B331" s="21"/>
      <c r="C331" s="22"/>
      <c r="D331" s="20" t="s">
        <v>36</v>
      </c>
      <c r="E331" s="69" t="s">
        <v>37</v>
      </c>
      <c r="F331" s="20" t="s">
        <v>533</v>
      </c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</row>
    <row r="332" spans="2:18" ht="13">
      <c r="B332" s="21"/>
      <c r="C332" s="22"/>
      <c r="D332" s="20" t="s">
        <v>26</v>
      </c>
      <c r="E332" s="69" t="s">
        <v>27</v>
      </c>
      <c r="F332" s="20" t="s">
        <v>533</v>
      </c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</row>
    <row r="333" spans="2:18" ht="13">
      <c r="B333" s="21"/>
      <c r="C333" s="22"/>
      <c r="D333" s="20" t="s">
        <v>578</v>
      </c>
      <c r="E333" s="69" t="s">
        <v>121</v>
      </c>
      <c r="F333" s="20" t="s">
        <v>533</v>
      </c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</row>
    <row r="334" spans="2:18" ht="13">
      <c r="B334" s="21"/>
      <c r="C334" s="22"/>
      <c r="D334" s="20" t="s">
        <v>577</v>
      </c>
      <c r="E334" s="69" t="s">
        <v>124</v>
      </c>
      <c r="F334" s="20" t="s">
        <v>533</v>
      </c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</row>
    <row r="335" spans="2:18" ht="13">
      <c r="B335" s="21"/>
      <c r="C335" s="22"/>
      <c r="D335" s="20" t="s">
        <v>17</v>
      </c>
      <c r="E335" s="69" t="s">
        <v>27</v>
      </c>
      <c r="F335" s="20" t="s">
        <v>533</v>
      </c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</row>
    <row r="336" spans="2:18" ht="13">
      <c r="B336" s="21"/>
      <c r="C336" s="22"/>
      <c r="D336" s="20" t="s">
        <v>17</v>
      </c>
      <c r="E336" s="69" t="s">
        <v>27</v>
      </c>
      <c r="F336" s="20" t="s">
        <v>533</v>
      </c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</row>
    <row r="337" spans="2:18" ht="13">
      <c r="B337" s="21"/>
      <c r="C337" s="22"/>
      <c r="D337" s="20" t="s">
        <v>17</v>
      </c>
      <c r="E337" s="69" t="s">
        <v>27</v>
      </c>
      <c r="F337" s="20" t="s">
        <v>533</v>
      </c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</row>
    <row r="338" spans="2:18" ht="13">
      <c r="B338" s="21"/>
      <c r="C338" s="22"/>
      <c r="D338" s="20" t="s">
        <v>595</v>
      </c>
      <c r="E338" s="69" t="s">
        <v>37</v>
      </c>
      <c r="F338" s="20" t="s">
        <v>533</v>
      </c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</row>
    <row r="339" spans="2:18" ht="13">
      <c r="B339" s="21"/>
      <c r="C339" s="22"/>
      <c r="D339" s="20" t="s">
        <v>17</v>
      </c>
      <c r="E339" s="69" t="s">
        <v>27</v>
      </c>
      <c r="F339" s="20" t="s">
        <v>533</v>
      </c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</row>
    <row r="340" spans="2:18" ht="13">
      <c r="B340" s="21"/>
      <c r="C340" s="22"/>
      <c r="D340" s="20" t="s">
        <v>17</v>
      </c>
      <c r="E340" s="69" t="s">
        <v>27</v>
      </c>
      <c r="F340" s="20" t="s">
        <v>533</v>
      </c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</row>
    <row r="341" spans="2:18" ht="13">
      <c r="B341" s="21"/>
      <c r="C341" s="22"/>
      <c r="D341" s="20" t="s">
        <v>17</v>
      </c>
      <c r="E341" s="69" t="s">
        <v>27</v>
      </c>
      <c r="F341" s="20" t="s">
        <v>533</v>
      </c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</row>
    <row r="342" spans="2:18" ht="13">
      <c r="B342" s="21"/>
      <c r="C342" s="22"/>
      <c r="D342" s="20" t="s">
        <v>26</v>
      </c>
      <c r="E342" s="69" t="s">
        <v>27</v>
      </c>
      <c r="F342" s="20" t="s">
        <v>533</v>
      </c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</row>
    <row r="343" spans="2:18" ht="13">
      <c r="B343" s="21"/>
      <c r="C343" s="22"/>
      <c r="D343" s="20" t="s">
        <v>53</v>
      </c>
      <c r="E343" s="69" t="s">
        <v>32</v>
      </c>
      <c r="F343" s="20" t="s">
        <v>533</v>
      </c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</row>
    <row r="344" spans="2:18" ht="13">
      <c r="B344" s="21"/>
      <c r="C344" s="22"/>
      <c r="D344" s="20" t="s">
        <v>17</v>
      </c>
      <c r="E344" s="69" t="s">
        <v>27</v>
      </c>
      <c r="F344" s="20" t="s">
        <v>533</v>
      </c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</row>
    <row r="345" spans="2:18" ht="13">
      <c r="B345" s="21"/>
      <c r="C345" s="22"/>
      <c r="D345" s="20" t="s">
        <v>596</v>
      </c>
      <c r="E345" s="69" t="s">
        <v>121</v>
      </c>
      <c r="F345" s="20" t="s">
        <v>533</v>
      </c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</row>
    <row r="346" spans="2:18" ht="13">
      <c r="B346" s="21"/>
      <c r="C346" s="22"/>
      <c r="D346" s="20" t="s">
        <v>17</v>
      </c>
      <c r="E346" s="69" t="s">
        <v>27</v>
      </c>
      <c r="F346" s="20" t="s">
        <v>533</v>
      </c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</row>
    <row r="347" spans="2:18" ht="13">
      <c r="B347" s="21"/>
      <c r="C347" s="22"/>
      <c r="D347" s="20" t="s">
        <v>17</v>
      </c>
      <c r="E347" s="69" t="s">
        <v>27</v>
      </c>
      <c r="F347" s="20" t="s">
        <v>533</v>
      </c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</row>
    <row r="348" spans="2:18" ht="13">
      <c r="B348" s="21"/>
      <c r="C348" s="22"/>
      <c r="D348" s="20" t="s">
        <v>17</v>
      </c>
      <c r="E348" s="69" t="s">
        <v>27</v>
      </c>
      <c r="F348" s="20" t="s">
        <v>533</v>
      </c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</row>
    <row r="349" spans="2:18" ht="13">
      <c r="B349" s="21"/>
      <c r="C349" s="22"/>
      <c r="D349" s="20" t="s">
        <v>17</v>
      </c>
      <c r="E349" s="69" t="s">
        <v>27</v>
      </c>
      <c r="F349" s="20" t="s">
        <v>533</v>
      </c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</row>
    <row r="350" spans="2:18" ht="13">
      <c r="B350" s="21"/>
      <c r="C350" s="22"/>
      <c r="D350" s="20" t="s">
        <v>560</v>
      </c>
      <c r="E350" s="69" t="s">
        <v>121</v>
      </c>
      <c r="F350" s="20" t="s">
        <v>533</v>
      </c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</row>
    <row r="351" spans="2:18" ht="13">
      <c r="B351" s="21"/>
      <c r="C351" s="22"/>
      <c r="D351" s="20" t="s">
        <v>17</v>
      </c>
      <c r="E351" s="69" t="s">
        <v>27</v>
      </c>
      <c r="F351" s="20" t="s">
        <v>533</v>
      </c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</row>
    <row r="352" spans="2:18" ht="13">
      <c r="B352" s="21"/>
      <c r="C352" s="22"/>
      <c r="D352" s="20" t="s">
        <v>36</v>
      </c>
      <c r="E352" s="69" t="s">
        <v>37</v>
      </c>
      <c r="F352" s="20" t="s">
        <v>533</v>
      </c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</row>
    <row r="353" spans="2:18" ht="13">
      <c r="B353" s="21"/>
      <c r="C353" s="22"/>
      <c r="D353" s="20" t="s">
        <v>17</v>
      </c>
      <c r="E353" s="69" t="s">
        <v>27</v>
      </c>
      <c r="F353" s="20" t="s">
        <v>533</v>
      </c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</row>
    <row r="354" spans="2:18" ht="13">
      <c r="B354" s="21"/>
      <c r="C354" s="22"/>
      <c r="D354" s="20" t="s">
        <v>562</v>
      </c>
      <c r="E354" s="69" t="s">
        <v>37</v>
      </c>
      <c r="F354" s="20" t="s">
        <v>533</v>
      </c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</row>
    <row r="355" spans="2:18" ht="13">
      <c r="B355" s="21"/>
      <c r="C355" s="22"/>
      <c r="D355" s="20" t="s">
        <v>595</v>
      </c>
      <c r="E355" s="69" t="s">
        <v>121</v>
      </c>
      <c r="F355" s="20" t="s">
        <v>533</v>
      </c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</row>
    <row r="356" spans="2:18" ht="13">
      <c r="B356" s="21"/>
      <c r="C356" s="22"/>
      <c r="D356" s="20" t="s">
        <v>597</v>
      </c>
      <c r="E356" s="69" t="s">
        <v>121</v>
      </c>
      <c r="F356" s="20" t="s">
        <v>533</v>
      </c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</row>
    <row r="357" spans="2:18" ht="13">
      <c r="B357" s="21"/>
      <c r="C357" s="22"/>
      <c r="D357" s="20" t="s">
        <v>598</v>
      </c>
      <c r="E357" s="69" t="s">
        <v>121</v>
      </c>
      <c r="F357" s="20" t="s">
        <v>533</v>
      </c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</row>
    <row r="358" spans="2:18" ht="13">
      <c r="B358" s="21"/>
      <c r="C358" s="22"/>
      <c r="D358" s="20"/>
      <c r="E358" s="69" t="s">
        <v>327</v>
      </c>
      <c r="F358" s="20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</row>
    <row r="359" spans="2:18" ht="13">
      <c r="B359" s="21"/>
      <c r="C359" s="22"/>
      <c r="D359" s="20" t="s">
        <v>599</v>
      </c>
      <c r="E359" s="69" t="s">
        <v>600</v>
      </c>
      <c r="F359" s="20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</row>
    <row r="360" spans="2:18" ht="13">
      <c r="B360" s="21"/>
      <c r="C360" s="22"/>
      <c r="D360" s="20" t="s">
        <v>503</v>
      </c>
      <c r="E360" s="69" t="s">
        <v>32</v>
      </c>
      <c r="F360" s="20" t="s">
        <v>533</v>
      </c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</row>
    <row r="361" spans="2:18" ht="13">
      <c r="B361" s="21"/>
      <c r="C361" s="22"/>
      <c r="D361" s="20"/>
      <c r="E361" s="69" t="s">
        <v>601</v>
      </c>
      <c r="F361" s="20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</row>
    <row r="362" spans="2:18" ht="13">
      <c r="B362" s="21"/>
      <c r="C362" s="22"/>
      <c r="D362" s="20" t="s">
        <v>602</v>
      </c>
      <c r="E362" s="69" t="s">
        <v>121</v>
      </c>
      <c r="F362" s="20" t="s">
        <v>533</v>
      </c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</row>
    <row r="363" spans="2:18" ht="13">
      <c r="B363" s="21"/>
      <c r="C363" s="22"/>
      <c r="D363" s="20" t="s">
        <v>573</v>
      </c>
      <c r="E363" s="69" t="s">
        <v>121</v>
      </c>
      <c r="F363" s="20" t="s">
        <v>533</v>
      </c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</row>
    <row r="364" spans="2:18" ht="13">
      <c r="B364" s="21"/>
      <c r="C364" s="22"/>
      <c r="D364" s="20" t="s">
        <v>17</v>
      </c>
      <c r="E364" s="69" t="s">
        <v>27</v>
      </c>
      <c r="F364" s="20" t="s">
        <v>533</v>
      </c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</row>
    <row r="365" spans="2:18" ht="13">
      <c r="B365" s="21"/>
      <c r="C365" s="22"/>
      <c r="D365" s="20" t="s">
        <v>86</v>
      </c>
      <c r="E365" s="69" t="s">
        <v>121</v>
      </c>
      <c r="F365" s="20" t="s">
        <v>533</v>
      </c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</row>
    <row r="366" spans="2:18" ht="13">
      <c r="B366" s="21"/>
      <c r="C366" s="22"/>
      <c r="D366" s="20" t="s">
        <v>26</v>
      </c>
      <c r="E366" s="69" t="s">
        <v>27</v>
      </c>
      <c r="F366" s="20" t="s">
        <v>533</v>
      </c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</row>
    <row r="367" spans="2:18" ht="13">
      <c r="B367" s="21"/>
      <c r="C367" s="22"/>
      <c r="D367" s="20" t="s">
        <v>574</v>
      </c>
      <c r="E367" s="69" t="s">
        <v>575</v>
      </c>
      <c r="F367" s="20" t="s">
        <v>533</v>
      </c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</row>
    <row r="368" spans="2:18" ht="13">
      <c r="B368" s="21"/>
      <c r="C368" s="22"/>
      <c r="D368" s="20" t="s">
        <v>17</v>
      </c>
      <c r="E368" s="69" t="s">
        <v>27</v>
      </c>
      <c r="F368" s="20" t="s">
        <v>533</v>
      </c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</row>
    <row r="369" spans="2:18" ht="13">
      <c r="B369" s="21"/>
      <c r="C369" s="22"/>
      <c r="D369" s="20" t="s">
        <v>26</v>
      </c>
      <c r="E369" s="69" t="s">
        <v>27</v>
      </c>
      <c r="F369" s="20" t="s">
        <v>533</v>
      </c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</row>
    <row r="370" spans="2:18" ht="13">
      <c r="B370" s="21"/>
      <c r="C370" s="22"/>
      <c r="D370" s="20" t="s">
        <v>17</v>
      </c>
      <c r="E370" s="69" t="s">
        <v>27</v>
      </c>
      <c r="F370" s="20" t="s">
        <v>533</v>
      </c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</row>
    <row r="371" spans="2:18" ht="13">
      <c r="B371" s="21"/>
      <c r="C371" s="22"/>
      <c r="D371" s="20" t="s">
        <v>603</v>
      </c>
      <c r="E371" s="69"/>
      <c r="F371" s="20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</row>
    <row r="372" spans="2:18" ht="13">
      <c r="B372" s="21"/>
      <c r="C372" s="22"/>
      <c r="D372" s="20" t="s">
        <v>17</v>
      </c>
      <c r="E372" s="69" t="s">
        <v>27</v>
      </c>
      <c r="F372" s="20" t="s">
        <v>533</v>
      </c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</row>
    <row r="373" spans="2:18" ht="13">
      <c r="B373" s="21"/>
      <c r="C373" s="22"/>
      <c r="D373" s="20" t="s">
        <v>17</v>
      </c>
      <c r="E373" s="69" t="s">
        <v>27</v>
      </c>
      <c r="F373" s="20" t="s">
        <v>533</v>
      </c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</row>
    <row r="374" spans="2:18" ht="13">
      <c r="B374" s="21"/>
      <c r="C374" s="22"/>
      <c r="D374" s="20" t="s">
        <v>26</v>
      </c>
      <c r="E374" s="69" t="s">
        <v>27</v>
      </c>
      <c r="F374" s="20" t="s">
        <v>533</v>
      </c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</row>
    <row r="375" spans="2:18" ht="13">
      <c r="B375" s="21"/>
      <c r="C375" s="22"/>
      <c r="D375" s="20" t="s">
        <v>17</v>
      </c>
      <c r="E375" s="69" t="s">
        <v>27</v>
      </c>
      <c r="F375" s="20" t="s">
        <v>533</v>
      </c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</row>
    <row r="376" spans="2:18" ht="13">
      <c r="B376" s="21"/>
      <c r="C376" s="22"/>
      <c r="D376" s="20" t="s">
        <v>17</v>
      </c>
      <c r="E376" s="69" t="s">
        <v>27</v>
      </c>
      <c r="F376" s="20" t="s">
        <v>533</v>
      </c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</row>
    <row r="377" spans="2:18" ht="13">
      <c r="B377" s="21"/>
      <c r="C377" s="22"/>
      <c r="D377" s="20" t="s">
        <v>17</v>
      </c>
      <c r="E377" s="69" t="s">
        <v>564</v>
      </c>
      <c r="F377" s="20" t="s">
        <v>533</v>
      </c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</row>
    <row r="378" spans="2:18" ht="13">
      <c r="B378" s="21"/>
      <c r="C378" s="22"/>
      <c r="D378" s="20" t="s">
        <v>26</v>
      </c>
      <c r="E378" s="69" t="s">
        <v>27</v>
      </c>
      <c r="F378" s="20" t="s">
        <v>533</v>
      </c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</row>
    <row r="379" spans="2:18" ht="13">
      <c r="B379" s="21"/>
      <c r="C379" s="22"/>
      <c r="D379" s="20" t="s">
        <v>604</v>
      </c>
      <c r="E379" s="69" t="s">
        <v>27</v>
      </c>
      <c r="F379" s="20" t="s">
        <v>533</v>
      </c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</row>
    <row r="380" spans="2:18" ht="13">
      <c r="B380" s="21"/>
      <c r="C380" s="22"/>
      <c r="D380" s="20" t="s">
        <v>17</v>
      </c>
      <c r="E380" s="69" t="s">
        <v>27</v>
      </c>
      <c r="F380" s="20" t="s">
        <v>533</v>
      </c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</row>
    <row r="381" spans="2:18" ht="13">
      <c r="B381" s="21"/>
      <c r="C381" s="22"/>
      <c r="D381" s="20" t="s">
        <v>17</v>
      </c>
      <c r="E381" s="69" t="s">
        <v>27</v>
      </c>
      <c r="F381" s="20" t="s">
        <v>533</v>
      </c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</row>
    <row r="382" spans="2:18" ht="13">
      <c r="B382" s="21"/>
      <c r="C382" s="22"/>
      <c r="D382" s="20" t="s">
        <v>17</v>
      </c>
      <c r="E382" s="69" t="s">
        <v>27</v>
      </c>
      <c r="F382" s="20" t="s">
        <v>533</v>
      </c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</row>
    <row r="383" spans="2:18" ht="13">
      <c r="B383" s="21"/>
      <c r="C383" s="22"/>
      <c r="D383" s="20" t="s">
        <v>17</v>
      </c>
      <c r="E383" s="69" t="s">
        <v>27</v>
      </c>
      <c r="F383" s="20" t="s">
        <v>533</v>
      </c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</row>
    <row r="384" spans="2:18" ht="13">
      <c r="B384" s="21"/>
      <c r="C384" s="22"/>
      <c r="D384" s="20" t="s">
        <v>17</v>
      </c>
      <c r="E384" s="69" t="s">
        <v>27</v>
      </c>
      <c r="F384" s="20" t="s">
        <v>533</v>
      </c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</row>
    <row r="385" spans="2:18" ht="13">
      <c r="B385" s="21"/>
      <c r="C385" s="22"/>
      <c r="D385" s="20" t="s">
        <v>17</v>
      </c>
      <c r="E385" s="69" t="s">
        <v>27</v>
      </c>
      <c r="F385" s="20" t="s">
        <v>533</v>
      </c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</row>
    <row r="386" spans="2:18" ht="13">
      <c r="B386" s="21"/>
      <c r="C386" s="22"/>
      <c r="D386" s="20" t="s">
        <v>17</v>
      </c>
      <c r="E386" s="69" t="s">
        <v>27</v>
      </c>
      <c r="F386" s="20" t="s">
        <v>533</v>
      </c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</row>
    <row r="387" spans="2:18" ht="13">
      <c r="B387" s="21"/>
      <c r="C387" s="22"/>
      <c r="D387" s="20" t="s">
        <v>26</v>
      </c>
      <c r="E387" s="69" t="s">
        <v>27</v>
      </c>
      <c r="F387" s="20" t="s">
        <v>533</v>
      </c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</row>
    <row r="388" spans="2:18" ht="13">
      <c r="B388" s="21"/>
      <c r="C388" s="22"/>
      <c r="D388" s="20" t="s">
        <v>605</v>
      </c>
      <c r="E388" s="69" t="s">
        <v>32</v>
      </c>
      <c r="F388" s="20" t="s">
        <v>533</v>
      </c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</row>
    <row r="389" spans="2:18" ht="13">
      <c r="B389" s="21"/>
      <c r="C389" s="22"/>
      <c r="D389" s="20" t="s">
        <v>606</v>
      </c>
      <c r="E389" s="69" t="s">
        <v>32</v>
      </c>
      <c r="F389" s="20" t="s">
        <v>533</v>
      </c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</row>
    <row r="390" spans="2:18" ht="13">
      <c r="B390" s="21"/>
      <c r="C390" s="22"/>
      <c r="D390" s="20" t="s">
        <v>26</v>
      </c>
      <c r="E390" s="69" t="s">
        <v>124</v>
      </c>
      <c r="F390" s="20" t="s">
        <v>533</v>
      </c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</row>
    <row r="391" spans="2:18" ht="13">
      <c r="B391" s="21"/>
      <c r="C391" s="22"/>
      <c r="D391" s="20" t="s">
        <v>26</v>
      </c>
      <c r="E391" s="69" t="s">
        <v>27</v>
      </c>
      <c r="F391" s="20" t="s">
        <v>533</v>
      </c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</row>
    <row r="392" spans="2:18" ht="13">
      <c r="B392" s="21"/>
      <c r="C392" s="22"/>
      <c r="D392" s="20" t="s">
        <v>17</v>
      </c>
      <c r="E392" s="69" t="s">
        <v>27</v>
      </c>
      <c r="F392" s="20" t="s">
        <v>533</v>
      </c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</row>
    <row r="393" spans="2:18" ht="13">
      <c r="B393" s="21"/>
      <c r="C393" s="22"/>
      <c r="D393" s="20" t="s">
        <v>36</v>
      </c>
      <c r="E393" s="69" t="s">
        <v>37</v>
      </c>
      <c r="F393" s="20" t="s">
        <v>533</v>
      </c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</row>
    <row r="394" spans="2:18" ht="13">
      <c r="B394" s="21"/>
      <c r="C394" s="22"/>
      <c r="D394" s="20" t="s">
        <v>168</v>
      </c>
      <c r="E394" s="69" t="s">
        <v>27</v>
      </c>
      <c r="F394" s="20" t="s">
        <v>533</v>
      </c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</row>
    <row r="395" spans="2:18" ht="13">
      <c r="B395" s="21"/>
      <c r="C395" s="22"/>
      <c r="D395" s="20" t="s">
        <v>17</v>
      </c>
      <c r="E395" s="69" t="s">
        <v>27</v>
      </c>
      <c r="F395" s="20" t="s">
        <v>533</v>
      </c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</row>
    <row r="396" spans="2:18" ht="13">
      <c r="B396" s="21"/>
      <c r="C396" s="22"/>
      <c r="D396" s="20" t="s">
        <v>26</v>
      </c>
      <c r="E396" s="69" t="s">
        <v>27</v>
      </c>
      <c r="F396" s="20" t="s">
        <v>533</v>
      </c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</row>
    <row r="397" spans="2:18" ht="13">
      <c r="B397" s="21"/>
      <c r="C397" s="22"/>
      <c r="D397" s="20" t="s">
        <v>17</v>
      </c>
      <c r="E397" s="69" t="s">
        <v>27</v>
      </c>
      <c r="F397" s="20" t="s">
        <v>533</v>
      </c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</row>
    <row r="398" spans="2:18" ht="13">
      <c r="B398" s="21"/>
      <c r="C398" s="22"/>
      <c r="D398" s="20" t="s">
        <v>26</v>
      </c>
      <c r="E398" s="69" t="s">
        <v>27</v>
      </c>
      <c r="F398" s="20" t="s">
        <v>533</v>
      </c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</row>
    <row r="399" spans="2:18" ht="13">
      <c r="B399" s="21"/>
      <c r="C399" s="22"/>
      <c r="D399" s="20" t="s">
        <v>17</v>
      </c>
      <c r="E399" s="69" t="s">
        <v>27</v>
      </c>
      <c r="F399" s="20" t="s">
        <v>533</v>
      </c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</row>
    <row r="400" spans="2:18" ht="13">
      <c r="B400" s="21"/>
      <c r="C400" s="22"/>
      <c r="D400" s="20" t="s">
        <v>26</v>
      </c>
      <c r="E400" s="69" t="s">
        <v>27</v>
      </c>
      <c r="F400" s="20" t="s">
        <v>533</v>
      </c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</row>
    <row r="401" spans="2:18" ht="13">
      <c r="B401" s="21"/>
      <c r="C401" s="22"/>
      <c r="D401" s="20" t="s">
        <v>17</v>
      </c>
      <c r="E401" s="69" t="s">
        <v>27</v>
      </c>
      <c r="F401" s="20" t="s">
        <v>533</v>
      </c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</row>
    <row r="402" spans="2:18" ht="13">
      <c r="B402" s="21"/>
      <c r="C402" s="22"/>
      <c r="D402" s="20" t="s">
        <v>17</v>
      </c>
      <c r="E402" s="69" t="s">
        <v>27</v>
      </c>
      <c r="F402" s="20" t="s">
        <v>533</v>
      </c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</row>
    <row r="403" spans="2:18" ht="13">
      <c r="B403" s="21"/>
      <c r="C403" s="22"/>
      <c r="D403" s="20" t="s">
        <v>607</v>
      </c>
      <c r="E403" s="69" t="s">
        <v>121</v>
      </c>
      <c r="F403" s="20" t="s">
        <v>533</v>
      </c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</row>
    <row r="404" spans="2:18" ht="13">
      <c r="B404" s="21"/>
      <c r="C404" s="22"/>
      <c r="D404" s="20" t="s">
        <v>17</v>
      </c>
      <c r="E404" s="69" t="s">
        <v>27</v>
      </c>
      <c r="F404" s="20" t="s">
        <v>533</v>
      </c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</row>
    <row r="405" spans="2:18" ht="13">
      <c r="B405" s="21"/>
      <c r="C405" s="22"/>
      <c r="D405" s="20" t="s">
        <v>608</v>
      </c>
      <c r="E405" s="69" t="s">
        <v>32</v>
      </c>
      <c r="F405" s="20" t="s">
        <v>533</v>
      </c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</row>
    <row r="406" spans="2:18" ht="13">
      <c r="B406" s="21"/>
      <c r="C406" s="22"/>
      <c r="D406" s="20" t="s">
        <v>26</v>
      </c>
      <c r="E406" s="69" t="s">
        <v>27</v>
      </c>
      <c r="F406" s="20" t="s">
        <v>533</v>
      </c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</row>
    <row r="407" spans="2:18" ht="13">
      <c r="B407" s="21"/>
      <c r="C407" s="22"/>
      <c r="D407" s="20" t="s">
        <v>26</v>
      </c>
      <c r="E407" s="69" t="s">
        <v>27</v>
      </c>
      <c r="F407" s="20" t="s">
        <v>533</v>
      </c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</row>
    <row r="408" spans="2:18" ht="13">
      <c r="B408" s="21"/>
      <c r="C408" s="22"/>
      <c r="D408" s="20" t="s">
        <v>404</v>
      </c>
      <c r="E408" s="69" t="s">
        <v>32</v>
      </c>
      <c r="F408" s="20" t="s">
        <v>533</v>
      </c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</row>
    <row r="409" spans="2:18" ht="13">
      <c r="B409" s="21"/>
      <c r="C409" s="22"/>
      <c r="D409" s="20" t="s">
        <v>574</v>
      </c>
      <c r="E409" s="69" t="s">
        <v>575</v>
      </c>
      <c r="F409" s="20" t="s">
        <v>533</v>
      </c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</row>
    <row r="410" spans="2:18" ht="13">
      <c r="B410" s="21"/>
      <c r="C410" s="22"/>
      <c r="D410" s="20" t="s">
        <v>26</v>
      </c>
      <c r="E410" s="69" t="s">
        <v>27</v>
      </c>
      <c r="F410" s="20" t="s">
        <v>533</v>
      </c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</row>
    <row r="411" spans="2:18" ht="13">
      <c r="B411" s="21"/>
      <c r="C411" s="22"/>
      <c r="D411" s="20" t="s">
        <v>17</v>
      </c>
      <c r="E411" s="69" t="s">
        <v>27</v>
      </c>
      <c r="F411" s="20" t="s">
        <v>533</v>
      </c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</row>
    <row r="412" spans="2:18" ht="13">
      <c r="B412" s="21"/>
      <c r="C412" s="22"/>
      <c r="D412" s="20" t="s">
        <v>17</v>
      </c>
      <c r="E412" s="69" t="s">
        <v>27</v>
      </c>
      <c r="F412" s="20" t="s">
        <v>533</v>
      </c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</row>
    <row r="413" spans="2:18" ht="13">
      <c r="B413" s="21"/>
      <c r="C413" s="22"/>
      <c r="D413" s="20" t="s">
        <v>17</v>
      </c>
      <c r="E413" s="69" t="s">
        <v>27</v>
      </c>
      <c r="F413" s="20" t="s">
        <v>533</v>
      </c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</row>
    <row r="414" spans="2:18" ht="13">
      <c r="B414" s="21"/>
      <c r="C414" s="22"/>
      <c r="D414" s="20" t="s">
        <v>17</v>
      </c>
      <c r="E414" s="69" t="s">
        <v>27</v>
      </c>
      <c r="F414" s="20" t="s">
        <v>533</v>
      </c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</row>
    <row r="415" spans="2:18" ht="13">
      <c r="B415" s="21"/>
      <c r="C415" s="22"/>
      <c r="D415" s="20" t="s">
        <v>609</v>
      </c>
      <c r="E415" s="69" t="s">
        <v>37</v>
      </c>
      <c r="F415" s="20" t="s">
        <v>533</v>
      </c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</row>
    <row r="416" spans="2:18" ht="13">
      <c r="B416" s="21"/>
      <c r="C416" s="22"/>
      <c r="D416" s="20" t="s">
        <v>17</v>
      </c>
      <c r="E416" s="69" t="s">
        <v>27</v>
      </c>
      <c r="F416" s="20" t="s">
        <v>533</v>
      </c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</row>
    <row r="417" spans="2:18" ht="13">
      <c r="B417" s="21"/>
      <c r="C417" s="22"/>
      <c r="D417" s="20" t="s">
        <v>26</v>
      </c>
      <c r="E417" s="69" t="s">
        <v>27</v>
      </c>
      <c r="F417" s="20" t="s">
        <v>533</v>
      </c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</row>
    <row r="418" spans="2:18" ht="13">
      <c r="B418" s="21"/>
      <c r="C418" s="22"/>
      <c r="D418" s="20" t="s">
        <v>36</v>
      </c>
      <c r="E418" s="69" t="s">
        <v>37</v>
      </c>
      <c r="F418" s="20" t="s">
        <v>533</v>
      </c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</row>
    <row r="419" spans="2:18" ht="13">
      <c r="B419" s="21"/>
      <c r="C419" s="22"/>
      <c r="D419" s="20" t="s">
        <v>17</v>
      </c>
      <c r="E419" s="69" t="s">
        <v>27</v>
      </c>
      <c r="F419" s="20" t="s">
        <v>533</v>
      </c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</row>
    <row r="420" spans="2:18" ht="13">
      <c r="B420" s="21"/>
      <c r="C420" s="22"/>
      <c r="D420" s="20" t="s">
        <v>17</v>
      </c>
      <c r="E420" s="69" t="s">
        <v>27</v>
      </c>
      <c r="F420" s="20" t="s">
        <v>533</v>
      </c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</row>
    <row r="421" spans="2:18" ht="13">
      <c r="B421" s="21"/>
      <c r="C421" s="22"/>
      <c r="D421" s="20" t="s">
        <v>17</v>
      </c>
      <c r="E421" s="69" t="s">
        <v>27</v>
      </c>
      <c r="F421" s="20" t="s">
        <v>533</v>
      </c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</row>
    <row r="422" spans="2:18" ht="13">
      <c r="B422" s="21"/>
      <c r="C422" s="22"/>
      <c r="D422" s="20" t="s">
        <v>17</v>
      </c>
      <c r="E422" s="69" t="s">
        <v>27</v>
      </c>
      <c r="F422" s="20" t="s">
        <v>533</v>
      </c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</row>
    <row r="423" spans="2:18" ht="13">
      <c r="B423" s="21"/>
      <c r="C423" s="22"/>
      <c r="D423" s="20" t="s">
        <v>404</v>
      </c>
      <c r="E423" s="69" t="s">
        <v>32</v>
      </c>
      <c r="F423" s="20" t="s">
        <v>533</v>
      </c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</row>
    <row r="424" spans="2:18" ht="13">
      <c r="B424" s="21"/>
      <c r="C424" s="22"/>
      <c r="D424" s="20" t="s">
        <v>26</v>
      </c>
      <c r="E424" s="69" t="s">
        <v>610</v>
      </c>
      <c r="F424" s="20" t="s">
        <v>533</v>
      </c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</row>
    <row r="425" spans="2:18" ht="13">
      <c r="B425" s="21"/>
      <c r="C425" s="22"/>
      <c r="D425" s="20" t="s">
        <v>26</v>
      </c>
      <c r="E425" s="69" t="s">
        <v>27</v>
      </c>
      <c r="F425" s="20" t="s">
        <v>533</v>
      </c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</row>
    <row r="426" spans="2:18" ht="13">
      <c r="B426" s="21"/>
      <c r="C426" s="22"/>
      <c r="D426" s="20" t="s">
        <v>36</v>
      </c>
      <c r="E426" s="69" t="s">
        <v>37</v>
      </c>
      <c r="F426" s="20" t="s">
        <v>533</v>
      </c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</row>
    <row r="427" spans="2:18" ht="13">
      <c r="B427" s="21"/>
      <c r="C427" s="22"/>
      <c r="D427" s="20" t="s">
        <v>36</v>
      </c>
      <c r="E427" s="69" t="s">
        <v>37</v>
      </c>
      <c r="F427" s="20" t="s">
        <v>533</v>
      </c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</row>
    <row r="428" spans="2:18" ht="13">
      <c r="B428" s="21"/>
      <c r="C428" s="22"/>
      <c r="D428" s="20" t="s">
        <v>17</v>
      </c>
      <c r="E428" s="69" t="s">
        <v>27</v>
      </c>
      <c r="F428" s="20" t="s">
        <v>533</v>
      </c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</row>
    <row r="429" spans="2:18" ht="13">
      <c r="B429" s="21"/>
      <c r="C429" s="22"/>
      <c r="D429" s="20" t="s">
        <v>17</v>
      </c>
      <c r="E429" s="69" t="s">
        <v>27</v>
      </c>
      <c r="F429" s="20" t="s">
        <v>533</v>
      </c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</row>
    <row r="430" spans="2:18" ht="13">
      <c r="B430" s="21"/>
      <c r="C430" s="22"/>
      <c r="D430" s="20" t="s">
        <v>26</v>
      </c>
      <c r="E430" s="69" t="s">
        <v>27</v>
      </c>
      <c r="F430" s="20" t="s">
        <v>533</v>
      </c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</row>
    <row r="431" spans="2:18" ht="13">
      <c r="B431" s="21"/>
      <c r="C431" s="22"/>
      <c r="D431" s="20" t="s">
        <v>544</v>
      </c>
      <c r="E431" s="69" t="s">
        <v>121</v>
      </c>
      <c r="F431" s="20" t="s">
        <v>533</v>
      </c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</row>
    <row r="432" spans="2:18" ht="13">
      <c r="B432" s="21"/>
      <c r="C432" s="22"/>
      <c r="D432" s="20" t="s">
        <v>26</v>
      </c>
      <c r="E432" s="69" t="s">
        <v>27</v>
      </c>
      <c r="F432" s="20" t="s">
        <v>533</v>
      </c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</row>
    <row r="433" spans="2:18" ht="13">
      <c r="B433" s="21"/>
      <c r="C433" s="22"/>
      <c r="D433" s="20" t="s">
        <v>17</v>
      </c>
      <c r="E433" s="69" t="s">
        <v>27</v>
      </c>
      <c r="F433" s="20" t="s">
        <v>533</v>
      </c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</row>
    <row r="434" spans="2:18" ht="13">
      <c r="B434" s="21"/>
      <c r="C434" s="22"/>
      <c r="D434" s="20" t="s">
        <v>571</v>
      </c>
      <c r="E434" s="69" t="s">
        <v>27</v>
      </c>
      <c r="F434" s="20" t="s">
        <v>533</v>
      </c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</row>
    <row r="435" spans="2:18" ht="13">
      <c r="B435" s="21"/>
      <c r="C435" s="22"/>
      <c r="D435" s="20" t="s">
        <v>26</v>
      </c>
      <c r="E435" s="69" t="s">
        <v>27</v>
      </c>
      <c r="F435" s="20" t="s">
        <v>533</v>
      </c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</row>
    <row r="436" spans="2:18" ht="13">
      <c r="B436" s="21"/>
      <c r="C436" s="22"/>
      <c r="D436" s="20" t="s">
        <v>17</v>
      </c>
      <c r="E436" s="69" t="s">
        <v>27</v>
      </c>
      <c r="F436" s="20" t="s">
        <v>533</v>
      </c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</row>
    <row r="437" spans="2:18" ht="13">
      <c r="B437" s="21"/>
      <c r="C437" s="22"/>
      <c r="D437" s="20" t="s">
        <v>17</v>
      </c>
      <c r="E437" s="69" t="s">
        <v>27</v>
      </c>
      <c r="F437" s="20" t="s">
        <v>533</v>
      </c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</row>
    <row r="438" spans="2:18" ht="13">
      <c r="B438" s="21"/>
      <c r="C438" s="22"/>
      <c r="D438" s="20" t="s">
        <v>17</v>
      </c>
      <c r="E438" s="69" t="s">
        <v>27</v>
      </c>
      <c r="F438" s="20" t="s">
        <v>533</v>
      </c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</row>
    <row r="439" spans="2:18" ht="13">
      <c r="B439" s="21"/>
      <c r="C439" s="22"/>
      <c r="D439" s="20" t="s">
        <v>17</v>
      </c>
      <c r="E439" s="69" t="s">
        <v>27</v>
      </c>
      <c r="F439" s="20" t="s">
        <v>533</v>
      </c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</row>
    <row r="440" spans="2:18" ht="13">
      <c r="B440" s="21"/>
      <c r="C440" s="22"/>
      <c r="D440" s="20" t="s">
        <v>17</v>
      </c>
      <c r="E440" s="69" t="s">
        <v>27</v>
      </c>
      <c r="F440" s="20" t="s">
        <v>533</v>
      </c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</row>
    <row r="441" spans="2:18" ht="13">
      <c r="B441" s="21"/>
      <c r="C441" s="22"/>
      <c r="D441" s="20" t="s">
        <v>53</v>
      </c>
      <c r="E441" s="69" t="s">
        <v>32</v>
      </c>
      <c r="F441" s="20" t="s">
        <v>533</v>
      </c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</row>
    <row r="442" spans="2:18" ht="13">
      <c r="B442" s="21"/>
      <c r="C442" s="22"/>
      <c r="D442" s="20" t="s">
        <v>26</v>
      </c>
      <c r="E442" s="69" t="s">
        <v>27</v>
      </c>
      <c r="F442" s="20" t="s">
        <v>533</v>
      </c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</row>
    <row r="443" spans="2:18" ht="13">
      <c r="B443" s="21"/>
      <c r="C443" s="22"/>
      <c r="D443" s="20" t="s">
        <v>17</v>
      </c>
      <c r="E443" s="69" t="s">
        <v>27</v>
      </c>
      <c r="F443" s="20" t="s">
        <v>533</v>
      </c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</row>
    <row r="444" spans="2:18" ht="13">
      <c r="B444" s="21"/>
      <c r="C444" s="22"/>
      <c r="D444" s="20" t="s">
        <v>17</v>
      </c>
      <c r="E444" s="69" t="s">
        <v>27</v>
      </c>
      <c r="F444" s="20" t="s">
        <v>533</v>
      </c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</row>
    <row r="445" spans="2:18" ht="13">
      <c r="B445" s="21"/>
      <c r="C445" s="22"/>
      <c r="D445" s="20" t="s">
        <v>17</v>
      </c>
      <c r="E445" s="69" t="s">
        <v>27</v>
      </c>
      <c r="F445" s="20" t="s">
        <v>533</v>
      </c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</row>
    <row r="446" spans="2:18" ht="13">
      <c r="B446" s="21"/>
      <c r="C446" s="22"/>
      <c r="D446" s="20" t="s">
        <v>577</v>
      </c>
      <c r="E446" s="69" t="s">
        <v>124</v>
      </c>
      <c r="F446" s="20" t="s">
        <v>533</v>
      </c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</row>
    <row r="447" spans="2:18" ht="13">
      <c r="B447" s="21"/>
      <c r="C447" s="22"/>
      <c r="D447" s="20" t="s">
        <v>26</v>
      </c>
      <c r="E447" s="69" t="s">
        <v>27</v>
      </c>
      <c r="F447" s="20" t="s">
        <v>533</v>
      </c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</row>
    <row r="448" spans="2:18" ht="13">
      <c r="B448" s="21"/>
      <c r="C448" s="22"/>
      <c r="D448" s="20" t="s">
        <v>17</v>
      </c>
      <c r="E448" s="69" t="s">
        <v>27</v>
      </c>
      <c r="F448" s="20" t="s">
        <v>533</v>
      </c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</row>
    <row r="449" spans="2:18" ht="13">
      <c r="B449" s="21"/>
      <c r="C449" s="22"/>
      <c r="D449" s="20" t="s">
        <v>572</v>
      </c>
      <c r="E449" s="69" t="s">
        <v>32</v>
      </c>
      <c r="F449" s="20" t="s">
        <v>533</v>
      </c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</row>
    <row r="450" spans="2:18" ht="13">
      <c r="B450" s="21"/>
      <c r="C450" s="22"/>
      <c r="D450" s="20" t="s">
        <v>404</v>
      </c>
      <c r="E450" s="69" t="s">
        <v>32</v>
      </c>
      <c r="F450" s="20" t="s">
        <v>533</v>
      </c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</row>
    <row r="451" spans="2:18" ht="13">
      <c r="B451" s="21"/>
      <c r="C451" s="22"/>
      <c r="D451" s="20" t="s">
        <v>17</v>
      </c>
      <c r="E451" s="69" t="s">
        <v>27</v>
      </c>
      <c r="F451" s="20" t="s">
        <v>533</v>
      </c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</row>
    <row r="452" spans="2:18" ht="13">
      <c r="B452" s="21"/>
      <c r="C452" s="22"/>
      <c r="D452" s="20" t="s">
        <v>26</v>
      </c>
      <c r="E452" s="69" t="s">
        <v>27</v>
      </c>
      <c r="F452" s="20" t="s">
        <v>533</v>
      </c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</row>
    <row r="453" spans="2:18" ht="13">
      <c r="B453" s="21"/>
      <c r="C453" s="22"/>
      <c r="D453" s="20" t="s">
        <v>17</v>
      </c>
      <c r="E453" s="69" t="s">
        <v>27</v>
      </c>
      <c r="F453" s="20" t="s">
        <v>533</v>
      </c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</row>
    <row r="454" spans="2:18" ht="13">
      <c r="B454" s="21"/>
      <c r="C454" s="22"/>
      <c r="D454" s="20" t="s">
        <v>17</v>
      </c>
      <c r="E454" s="69" t="s">
        <v>27</v>
      </c>
      <c r="F454" s="20" t="s">
        <v>533</v>
      </c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</row>
    <row r="455" spans="2:18" ht="13">
      <c r="B455" s="21"/>
      <c r="C455" s="22"/>
      <c r="D455" s="20" t="s">
        <v>26</v>
      </c>
      <c r="E455" s="69" t="s">
        <v>27</v>
      </c>
      <c r="F455" s="20" t="s">
        <v>533</v>
      </c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</row>
    <row r="456" spans="2:18" ht="13">
      <c r="B456" s="21"/>
      <c r="C456" s="22"/>
      <c r="D456" s="20" t="s">
        <v>17</v>
      </c>
      <c r="E456" s="69" t="s">
        <v>27</v>
      </c>
      <c r="F456" s="20" t="s">
        <v>533</v>
      </c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</row>
    <row r="457" spans="2:18" ht="13">
      <c r="B457" s="21"/>
      <c r="C457" s="22"/>
      <c r="D457" s="20" t="s">
        <v>17</v>
      </c>
      <c r="E457" s="69" t="s">
        <v>27</v>
      </c>
      <c r="F457" s="20" t="s">
        <v>533</v>
      </c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</row>
    <row r="458" spans="2:18" ht="13">
      <c r="B458" s="21"/>
      <c r="C458" s="22"/>
      <c r="D458" s="20" t="s">
        <v>17</v>
      </c>
      <c r="E458" s="69" t="s">
        <v>27</v>
      </c>
      <c r="F458" s="20" t="s">
        <v>533</v>
      </c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</row>
    <row r="459" spans="2:18" ht="13">
      <c r="B459" s="21"/>
      <c r="C459" s="22"/>
      <c r="D459" s="20" t="s">
        <v>26</v>
      </c>
      <c r="E459" s="69" t="s">
        <v>27</v>
      </c>
      <c r="F459" s="20" t="s">
        <v>533</v>
      </c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</row>
    <row r="460" spans="2:18" ht="13">
      <c r="B460" s="21"/>
      <c r="C460" s="22"/>
      <c r="D460" s="20" t="s">
        <v>36</v>
      </c>
      <c r="E460" s="69" t="s">
        <v>37</v>
      </c>
      <c r="F460" s="20" t="s">
        <v>533</v>
      </c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</row>
    <row r="461" spans="2:18" ht="13">
      <c r="B461" s="21"/>
      <c r="C461" s="22"/>
      <c r="D461" s="20" t="s">
        <v>17</v>
      </c>
      <c r="E461" s="69" t="s">
        <v>27</v>
      </c>
      <c r="F461" s="20" t="s">
        <v>533</v>
      </c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</row>
    <row r="462" spans="2:18" ht="13">
      <c r="B462" s="21"/>
      <c r="C462" s="22"/>
      <c r="D462" s="20" t="s">
        <v>571</v>
      </c>
      <c r="E462" s="69" t="s">
        <v>27</v>
      </c>
      <c r="F462" s="20" t="s">
        <v>533</v>
      </c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</row>
    <row r="463" spans="2:18" ht="13">
      <c r="B463" s="21"/>
      <c r="C463" s="22"/>
      <c r="D463" s="20" t="s">
        <v>611</v>
      </c>
      <c r="E463" s="69" t="s">
        <v>163</v>
      </c>
      <c r="F463" s="20" t="s">
        <v>533</v>
      </c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</row>
    <row r="464" spans="2:18" ht="13">
      <c r="B464" s="21"/>
      <c r="C464" s="22"/>
      <c r="D464" s="20" t="s">
        <v>26</v>
      </c>
      <c r="E464" s="69" t="s">
        <v>27</v>
      </c>
      <c r="F464" s="20" t="s">
        <v>533</v>
      </c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</row>
    <row r="465" spans="2:18" ht="13">
      <c r="B465" s="21"/>
      <c r="C465" s="22"/>
      <c r="D465" s="20" t="s">
        <v>17</v>
      </c>
      <c r="E465" s="69" t="s">
        <v>175</v>
      </c>
      <c r="F465" s="20" t="s">
        <v>533</v>
      </c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</row>
    <row r="466" spans="2:18" ht="13">
      <c r="B466" s="21"/>
      <c r="C466" s="22"/>
      <c r="D466" s="20" t="s">
        <v>17</v>
      </c>
      <c r="E466" s="69" t="s">
        <v>27</v>
      </c>
      <c r="F466" s="20" t="s">
        <v>533</v>
      </c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</row>
    <row r="467" spans="2:18" ht="13">
      <c r="B467" s="21"/>
      <c r="C467" s="22"/>
      <c r="D467" s="20" t="s">
        <v>17</v>
      </c>
      <c r="E467" s="69" t="s">
        <v>27</v>
      </c>
      <c r="F467" s="20" t="s">
        <v>533</v>
      </c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</row>
    <row r="468" spans="2:18" ht="13">
      <c r="B468" s="21"/>
      <c r="C468" s="22"/>
      <c r="D468" s="20" t="s">
        <v>404</v>
      </c>
      <c r="E468" s="69" t="s">
        <v>32</v>
      </c>
      <c r="F468" s="20" t="s">
        <v>533</v>
      </c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</row>
    <row r="469" spans="2:18" ht="13">
      <c r="B469" s="21"/>
      <c r="C469" s="22"/>
      <c r="D469" s="20" t="s">
        <v>404</v>
      </c>
      <c r="E469" s="69" t="s">
        <v>32</v>
      </c>
      <c r="F469" s="20" t="s">
        <v>533</v>
      </c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</row>
    <row r="470" spans="2:18" ht="13">
      <c r="B470" s="21"/>
      <c r="C470" s="22"/>
      <c r="D470" s="20" t="s">
        <v>17</v>
      </c>
      <c r="E470" s="69" t="s">
        <v>27</v>
      </c>
      <c r="F470" s="20" t="s">
        <v>533</v>
      </c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</row>
    <row r="471" spans="2:18" ht="13">
      <c r="B471" s="21"/>
      <c r="C471" s="22"/>
      <c r="D471" s="20" t="s">
        <v>17</v>
      </c>
      <c r="E471" s="69" t="s">
        <v>27</v>
      </c>
      <c r="F471" s="20" t="s">
        <v>533</v>
      </c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</row>
    <row r="472" spans="2:18" ht="13">
      <c r="B472" s="21"/>
      <c r="C472" s="22"/>
      <c r="D472" s="20" t="s">
        <v>570</v>
      </c>
      <c r="E472" s="69" t="s">
        <v>124</v>
      </c>
      <c r="F472" s="20" t="s">
        <v>533</v>
      </c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</row>
    <row r="473" spans="2:18" ht="13">
      <c r="B473" s="21"/>
      <c r="C473" s="22"/>
      <c r="D473" s="20" t="s">
        <v>557</v>
      </c>
      <c r="E473" s="69" t="s">
        <v>121</v>
      </c>
      <c r="F473" s="20" t="s">
        <v>533</v>
      </c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</row>
    <row r="474" spans="2:18" ht="13">
      <c r="B474" s="21"/>
      <c r="C474" s="22"/>
      <c r="D474" s="20" t="s">
        <v>26</v>
      </c>
      <c r="E474" s="69" t="s">
        <v>27</v>
      </c>
      <c r="F474" s="20" t="s">
        <v>533</v>
      </c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</row>
    <row r="475" spans="2:18" ht="13">
      <c r="B475" s="21"/>
      <c r="C475" s="22"/>
      <c r="D475" s="20" t="s">
        <v>17</v>
      </c>
      <c r="E475" s="69" t="s">
        <v>27</v>
      </c>
      <c r="F475" s="20" t="s">
        <v>533</v>
      </c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</row>
    <row r="476" spans="2:18" ht="13">
      <c r="B476" s="21"/>
      <c r="C476" s="22"/>
      <c r="D476" s="20" t="s">
        <v>577</v>
      </c>
      <c r="E476" s="69" t="s">
        <v>124</v>
      </c>
      <c r="F476" s="20" t="s">
        <v>533</v>
      </c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</row>
    <row r="477" spans="2:18" ht="13">
      <c r="B477" s="21"/>
      <c r="C477" s="22"/>
      <c r="D477" s="20" t="s">
        <v>570</v>
      </c>
      <c r="E477" s="69" t="s">
        <v>124</v>
      </c>
      <c r="F477" s="20" t="s">
        <v>533</v>
      </c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</row>
    <row r="478" spans="2:18" ht="13">
      <c r="B478" s="21"/>
      <c r="C478" s="22"/>
      <c r="D478" s="20" t="s">
        <v>17</v>
      </c>
      <c r="E478" s="69" t="s">
        <v>27</v>
      </c>
      <c r="F478" s="20" t="s">
        <v>533</v>
      </c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</row>
    <row r="479" spans="2:18" ht="13">
      <c r="B479" s="21"/>
      <c r="C479" s="22"/>
      <c r="D479" s="20" t="s">
        <v>577</v>
      </c>
      <c r="E479" s="69" t="s">
        <v>124</v>
      </c>
      <c r="F479" s="20" t="s">
        <v>533</v>
      </c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</row>
    <row r="480" spans="2:18" ht="13">
      <c r="B480" s="21"/>
      <c r="C480" s="22"/>
      <c r="D480" s="20" t="s">
        <v>86</v>
      </c>
      <c r="E480" s="69" t="s">
        <v>121</v>
      </c>
      <c r="F480" s="20" t="s">
        <v>533</v>
      </c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</row>
    <row r="481" spans="2:18" ht="13">
      <c r="B481" s="21"/>
      <c r="C481" s="22"/>
      <c r="D481" s="20" t="s">
        <v>17</v>
      </c>
      <c r="E481" s="69" t="s">
        <v>27</v>
      </c>
      <c r="F481" s="20" t="s">
        <v>533</v>
      </c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</row>
    <row r="482" spans="2:18" ht="13">
      <c r="B482" s="21"/>
      <c r="C482" s="22"/>
      <c r="D482" s="20" t="s">
        <v>17</v>
      </c>
      <c r="E482" s="69" t="s">
        <v>27</v>
      </c>
      <c r="F482" s="20" t="s">
        <v>533</v>
      </c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</row>
    <row r="483" spans="2:18" ht="13">
      <c r="B483" s="21"/>
      <c r="C483" s="22"/>
      <c r="D483" s="68" t="s">
        <v>17</v>
      </c>
      <c r="E483" s="69" t="s">
        <v>18</v>
      </c>
      <c r="F483" s="20" t="s">
        <v>533</v>
      </c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</row>
    <row r="484" spans="2:18" ht="13">
      <c r="B484" s="21"/>
      <c r="C484" s="22"/>
      <c r="D484" s="68" t="s">
        <v>17</v>
      </c>
      <c r="E484" s="69" t="s">
        <v>27</v>
      </c>
      <c r="F484" s="20" t="s">
        <v>533</v>
      </c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</row>
    <row r="485" spans="2:18" ht="13">
      <c r="B485" s="21"/>
      <c r="C485" s="22"/>
      <c r="D485" s="68" t="s">
        <v>17</v>
      </c>
      <c r="E485" s="69" t="s">
        <v>27</v>
      </c>
      <c r="F485" s="20" t="s">
        <v>533</v>
      </c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</row>
    <row r="486" spans="2:18" ht="13">
      <c r="B486" s="21"/>
      <c r="C486" s="22"/>
      <c r="D486" s="68" t="s">
        <v>17</v>
      </c>
      <c r="E486" s="69" t="s">
        <v>27</v>
      </c>
      <c r="F486" s="20" t="s">
        <v>533</v>
      </c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</row>
    <row r="487" spans="2:18" ht="13">
      <c r="B487" s="21"/>
      <c r="C487" s="22"/>
      <c r="D487" s="68" t="s">
        <v>168</v>
      </c>
      <c r="E487" s="69" t="s">
        <v>27</v>
      </c>
      <c r="F487" s="20" t="s">
        <v>533</v>
      </c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</row>
    <row r="488" spans="2:18" ht="13">
      <c r="B488" s="21"/>
      <c r="C488" s="22"/>
      <c r="D488" s="68" t="s">
        <v>17</v>
      </c>
      <c r="E488" s="69" t="s">
        <v>27</v>
      </c>
      <c r="F488" s="20" t="s">
        <v>533</v>
      </c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</row>
    <row r="489" spans="2:18" ht="13">
      <c r="B489" s="21"/>
      <c r="C489" s="22"/>
      <c r="D489" s="68" t="s">
        <v>17</v>
      </c>
      <c r="E489" s="69" t="s">
        <v>27</v>
      </c>
      <c r="F489" s="20" t="s">
        <v>533</v>
      </c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</row>
    <row r="490" spans="2:18" ht="13">
      <c r="B490" s="21"/>
      <c r="C490" s="22"/>
      <c r="D490" s="68" t="s">
        <v>17</v>
      </c>
      <c r="E490" s="69" t="s">
        <v>27</v>
      </c>
      <c r="F490" s="20" t="s">
        <v>533</v>
      </c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</row>
    <row r="491" spans="2:18" ht="13">
      <c r="B491" s="21"/>
      <c r="C491" s="22"/>
      <c r="D491" s="68" t="s">
        <v>17</v>
      </c>
      <c r="E491" s="69" t="s">
        <v>27</v>
      </c>
      <c r="F491" s="20" t="s">
        <v>533</v>
      </c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</row>
    <row r="492" spans="2:18" ht="13">
      <c r="B492" s="21"/>
      <c r="C492" s="22"/>
      <c r="D492" s="68" t="s">
        <v>36</v>
      </c>
      <c r="E492" s="69" t="s">
        <v>37</v>
      </c>
      <c r="F492" s="20" t="s">
        <v>533</v>
      </c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</row>
    <row r="493" spans="2:18" ht="13">
      <c r="B493" s="21"/>
      <c r="C493" s="22"/>
      <c r="D493" s="68" t="s">
        <v>17</v>
      </c>
      <c r="E493" s="69" t="s">
        <v>27</v>
      </c>
      <c r="F493" s="20" t="s">
        <v>533</v>
      </c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</row>
    <row r="494" spans="2:18" ht="13">
      <c r="B494" s="21"/>
      <c r="C494" s="22"/>
      <c r="D494" s="68" t="s">
        <v>17</v>
      </c>
      <c r="E494" s="69" t="s">
        <v>27</v>
      </c>
      <c r="F494" s="20" t="s">
        <v>533</v>
      </c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</row>
    <row r="495" spans="2:18" ht="13">
      <c r="B495" s="21"/>
      <c r="C495" s="22"/>
      <c r="D495" s="68" t="s">
        <v>17</v>
      </c>
      <c r="E495" s="69" t="s">
        <v>27</v>
      </c>
      <c r="F495" s="20" t="s">
        <v>533</v>
      </c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</row>
    <row r="496" spans="2:18" ht="13">
      <c r="B496" s="21"/>
      <c r="C496" s="22"/>
      <c r="D496" s="68" t="s">
        <v>612</v>
      </c>
      <c r="E496" s="69" t="s">
        <v>32</v>
      </c>
      <c r="F496" s="20" t="s">
        <v>533</v>
      </c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</row>
    <row r="497" spans="2:18" ht="13">
      <c r="B497" s="21"/>
      <c r="C497" s="22"/>
      <c r="D497" s="68" t="s">
        <v>17</v>
      </c>
      <c r="E497" s="69" t="s">
        <v>27</v>
      </c>
      <c r="F497" s="20" t="s">
        <v>533</v>
      </c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</row>
    <row r="498" spans="2:18" ht="13">
      <c r="B498" s="21"/>
      <c r="C498" s="22"/>
      <c r="D498" s="68" t="s">
        <v>26</v>
      </c>
      <c r="E498" s="69" t="s">
        <v>564</v>
      </c>
      <c r="F498" s="20" t="s">
        <v>533</v>
      </c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</row>
    <row r="499" spans="2:18" ht="13">
      <c r="B499" s="21"/>
      <c r="C499" s="22"/>
      <c r="D499" s="68" t="s">
        <v>577</v>
      </c>
      <c r="E499" s="69" t="s">
        <v>124</v>
      </c>
      <c r="F499" s="20" t="s">
        <v>533</v>
      </c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</row>
    <row r="500" spans="2:18" ht="13">
      <c r="B500" s="21"/>
      <c r="C500" s="22"/>
      <c r="D500" s="68" t="s">
        <v>26</v>
      </c>
      <c r="E500" s="69" t="s">
        <v>27</v>
      </c>
      <c r="F500" s="20" t="s">
        <v>533</v>
      </c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</row>
    <row r="501" spans="2:18" ht="13">
      <c r="B501" s="21"/>
      <c r="C501" s="22"/>
      <c r="D501" s="68" t="s">
        <v>17</v>
      </c>
      <c r="E501" s="69" t="s">
        <v>27</v>
      </c>
      <c r="F501" s="20" t="s">
        <v>533</v>
      </c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</row>
    <row r="502" spans="2:18" ht="13">
      <c r="B502" s="21"/>
      <c r="C502" s="22"/>
      <c r="D502" s="68" t="s">
        <v>577</v>
      </c>
      <c r="E502" s="69" t="s">
        <v>124</v>
      </c>
      <c r="F502" s="20" t="s">
        <v>533</v>
      </c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</row>
    <row r="503" spans="2:18" ht="13">
      <c r="B503" s="21"/>
      <c r="C503" s="22"/>
      <c r="D503" s="68" t="s">
        <v>17</v>
      </c>
      <c r="E503" s="69" t="s">
        <v>27</v>
      </c>
      <c r="F503" s="20" t="s">
        <v>533</v>
      </c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</row>
    <row r="504" spans="2:18" ht="13">
      <c r="B504" s="21"/>
      <c r="C504" s="22"/>
      <c r="D504" s="68" t="s">
        <v>26</v>
      </c>
      <c r="E504" s="69" t="s">
        <v>27</v>
      </c>
      <c r="F504" s="20" t="s">
        <v>533</v>
      </c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</row>
    <row r="505" spans="2:18" ht="13">
      <c r="B505" s="21"/>
      <c r="C505" s="22"/>
      <c r="D505" s="68" t="s">
        <v>17</v>
      </c>
      <c r="E505" s="69" t="s">
        <v>27</v>
      </c>
      <c r="F505" s="20" t="s">
        <v>533</v>
      </c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</row>
    <row r="506" spans="2:18" ht="13">
      <c r="B506" s="21"/>
      <c r="C506" s="22"/>
      <c r="D506" s="68" t="s">
        <v>17</v>
      </c>
      <c r="E506" s="69" t="s">
        <v>27</v>
      </c>
      <c r="F506" s="20" t="s">
        <v>533</v>
      </c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</row>
    <row r="507" spans="2:18" ht="13">
      <c r="B507" s="21"/>
      <c r="C507" s="22"/>
      <c r="D507" s="68" t="s">
        <v>17</v>
      </c>
      <c r="E507" s="69" t="s">
        <v>27</v>
      </c>
      <c r="F507" s="20" t="s">
        <v>533</v>
      </c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</row>
    <row r="508" spans="2:18" ht="13">
      <c r="B508" s="21"/>
      <c r="C508" s="22"/>
      <c r="D508" s="68" t="s">
        <v>17</v>
      </c>
      <c r="E508" s="69" t="s">
        <v>27</v>
      </c>
      <c r="F508" s="20" t="s">
        <v>533</v>
      </c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</row>
    <row r="509" spans="2:18" ht="13">
      <c r="B509" s="21"/>
      <c r="C509" s="22"/>
      <c r="D509" s="68" t="s">
        <v>17</v>
      </c>
      <c r="E509" s="69" t="s">
        <v>27</v>
      </c>
      <c r="F509" s="20" t="s">
        <v>533</v>
      </c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</row>
    <row r="510" spans="2:18" ht="13">
      <c r="B510" s="21"/>
      <c r="C510" s="22"/>
      <c r="D510" s="68" t="s">
        <v>36</v>
      </c>
      <c r="E510" s="69" t="s">
        <v>37</v>
      </c>
      <c r="F510" s="20" t="s">
        <v>533</v>
      </c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</row>
    <row r="511" spans="2:18" ht="13">
      <c r="B511" s="21"/>
      <c r="C511" s="22"/>
      <c r="D511" s="68" t="s">
        <v>53</v>
      </c>
      <c r="E511" s="69" t="s">
        <v>32</v>
      </c>
      <c r="F511" s="20" t="s">
        <v>533</v>
      </c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</row>
    <row r="512" spans="2:18" ht="13">
      <c r="B512" s="21"/>
      <c r="C512" s="22"/>
      <c r="D512" s="68" t="s">
        <v>17</v>
      </c>
      <c r="E512" s="69" t="s">
        <v>27</v>
      </c>
      <c r="F512" s="20" t="s">
        <v>533</v>
      </c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</row>
    <row r="513" spans="2:18" ht="13">
      <c r="B513" s="21"/>
      <c r="C513" s="22"/>
      <c r="D513" s="68" t="s">
        <v>17</v>
      </c>
      <c r="E513" s="69" t="s">
        <v>27</v>
      </c>
      <c r="F513" s="20" t="s">
        <v>533</v>
      </c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</row>
    <row r="514" spans="2:18" ht="13">
      <c r="B514" s="21"/>
      <c r="C514" s="22"/>
      <c r="D514" s="68" t="s">
        <v>17</v>
      </c>
      <c r="E514" s="69" t="s">
        <v>27</v>
      </c>
      <c r="F514" s="20" t="s">
        <v>533</v>
      </c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</row>
    <row r="515" spans="2:18" ht="13">
      <c r="B515" s="21"/>
      <c r="C515" s="22"/>
      <c r="D515" s="68" t="s">
        <v>17</v>
      </c>
      <c r="E515" s="69" t="s">
        <v>27</v>
      </c>
      <c r="F515" s="20" t="s">
        <v>533</v>
      </c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</row>
    <row r="516" spans="2:18" ht="13">
      <c r="B516" s="21"/>
      <c r="C516" s="22"/>
      <c r="D516" s="68" t="s">
        <v>591</v>
      </c>
      <c r="E516" s="69" t="s">
        <v>121</v>
      </c>
      <c r="F516" s="20" t="s">
        <v>533</v>
      </c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</row>
    <row r="517" spans="2:18" ht="13">
      <c r="B517" s="21"/>
      <c r="C517" s="22"/>
      <c r="D517" s="68" t="s">
        <v>86</v>
      </c>
      <c r="E517" s="69" t="s">
        <v>121</v>
      </c>
      <c r="F517" s="20" t="s">
        <v>533</v>
      </c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</row>
    <row r="518" spans="2:18" ht="13">
      <c r="B518" s="21"/>
      <c r="C518" s="22"/>
      <c r="D518" s="68" t="s">
        <v>17</v>
      </c>
      <c r="E518" s="69" t="s">
        <v>27</v>
      </c>
      <c r="F518" s="20" t="s">
        <v>533</v>
      </c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</row>
    <row r="519" spans="2:18" ht="13">
      <c r="B519" s="21"/>
      <c r="C519" s="22"/>
      <c r="D519" s="68" t="s">
        <v>86</v>
      </c>
      <c r="E519" s="69" t="s">
        <v>124</v>
      </c>
      <c r="F519" s="20" t="s">
        <v>533</v>
      </c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</row>
    <row r="520" spans="2:18" ht="13">
      <c r="B520" s="21"/>
      <c r="C520" s="22"/>
      <c r="D520" s="68" t="s">
        <v>26</v>
      </c>
      <c r="E520" s="69" t="s">
        <v>27</v>
      </c>
      <c r="F520" s="20" t="s">
        <v>533</v>
      </c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</row>
    <row r="521" spans="2:18" ht="13">
      <c r="B521" s="21"/>
      <c r="C521" s="22"/>
      <c r="D521" s="68" t="s">
        <v>174</v>
      </c>
      <c r="E521" s="69" t="s">
        <v>379</v>
      </c>
      <c r="F521" s="20" t="s">
        <v>533</v>
      </c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</row>
    <row r="522" spans="2:18" ht="13">
      <c r="B522" s="21"/>
      <c r="C522" s="22"/>
      <c r="D522" s="68" t="s">
        <v>26</v>
      </c>
      <c r="E522" s="69" t="s">
        <v>27</v>
      </c>
      <c r="F522" s="20" t="s">
        <v>533</v>
      </c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</row>
    <row r="523" spans="2:18" ht="13">
      <c r="B523" s="21"/>
      <c r="C523" s="22"/>
      <c r="D523" s="68" t="s">
        <v>26</v>
      </c>
      <c r="E523" s="69" t="s">
        <v>27</v>
      </c>
      <c r="F523" s="20" t="s">
        <v>533</v>
      </c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</row>
    <row r="524" spans="2:18" ht="13">
      <c r="B524" s="21"/>
      <c r="C524" s="22"/>
      <c r="D524" s="68" t="s">
        <v>26</v>
      </c>
      <c r="E524" s="69" t="s">
        <v>27</v>
      </c>
      <c r="F524" s="20" t="s">
        <v>533</v>
      </c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</row>
    <row r="525" spans="2:18" ht="13">
      <c r="B525" s="21"/>
      <c r="C525" s="22"/>
      <c r="D525" s="68" t="s">
        <v>17</v>
      </c>
      <c r="E525" s="69" t="s">
        <v>27</v>
      </c>
      <c r="F525" s="20" t="s">
        <v>533</v>
      </c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</row>
    <row r="526" spans="2:18" ht="13">
      <c r="B526" s="21"/>
      <c r="C526" s="22"/>
      <c r="D526" s="68" t="s">
        <v>17</v>
      </c>
      <c r="E526" s="69" t="s">
        <v>27</v>
      </c>
      <c r="F526" s="20" t="s">
        <v>533</v>
      </c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</row>
    <row r="527" spans="2:18" ht="13">
      <c r="B527" s="21"/>
      <c r="C527" s="22"/>
      <c r="D527" s="68" t="s">
        <v>17</v>
      </c>
      <c r="E527" s="69" t="s">
        <v>27</v>
      </c>
      <c r="F527" s="20" t="s">
        <v>533</v>
      </c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</row>
    <row r="528" spans="2:18" ht="13">
      <c r="B528" s="21"/>
      <c r="C528" s="22"/>
      <c r="D528" s="68" t="s">
        <v>17</v>
      </c>
      <c r="E528" s="69" t="s">
        <v>27</v>
      </c>
      <c r="F528" s="20" t="s">
        <v>533</v>
      </c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</row>
    <row r="529" spans="2:18" ht="13">
      <c r="B529" s="21"/>
      <c r="C529" s="22"/>
      <c r="D529" s="68" t="s">
        <v>17</v>
      </c>
      <c r="E529" s="69" t="s">
        <v>27</v>
      </c>
      <c r="F529" s="20" t="s">
        <v>533</v>
      </c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</row>
    <row r="530" spans="2:18" ht="13">
      <c r="B530" s="21"/>
      <c r="C530" s="22"/>
      <c r="D530" s="68" t="s">
        <v>17</v>
      </c>
      <c r="E530" s="69" t="s">
        <v>27</v>
      </c>
      <c r="F530" s="20" t="s">
        <v>533</v>
      </c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</row>
    <row r="531" spans="2:18" ht="13">
      <c r="B531" s="21"/>
      <c r="C531" s="22"/>
      <c r="D531" s="68" t="s">
        <v>26</v>
      </c>
      <c r="E531" s="69" t="s">
        <v>27</v>
      </c>
      <c r="F531" s="20" t="s">
        <v>533</v>
      </c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</row>
    <row r="532" spans="2:18" ht="13">
      <c r="B532" s="21"/>
      <c r="C532" s="22"/>
      <c r="D532" s="68" t="s">
        <v>17</v>
      </c>
      <c r="E532" s="69" t="s">
        <v>27</v>
      </c>
      <c r="F532" s="20" t="s">
        <v>533</v>
      </c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</row>
    <row r="533" spans="2:18" ht="13">
      <c r="B533" s="21"/>
      <c r="C533" s="22"/>
      <c r="D533" s="68" t="s">
        <v>17</v>
      </c>
      <c r="E533" s="69" t="s">
        <v>27</v>
      </c>
      <c r="F533" s="20" t="s">
        <v>533</v>
      </c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</row>
    <row r="534" spans="2:18" ht="13">
      <c r="B534" s="21"/>
      <c r="C534" s="22"/>
      <c r="D534" s="68" t="s">
        <v>26</v>
      </c>
      <c r="E534" s="69" t="s">
        <v>27</v>
      </c>
      <c r="F534" s="20" t="s">
        <v>533</v>
      </c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</row>
    <row r="535" spans="2:18" ht="13">
      <c r="B535" s="21"/>
      <c r="C535" s="22"/>
      <c r="D535" s="68" t="s">
        <v>17</v>
      </c>
      <c r="E535" s="69" t="s">
        <v>27</v>
      </c>
      <c r="F535" s="20" t="s">
        <v>533</v>
      </c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</row>
    <row r="536" spans="2:18" ht="13">
      <c r="B536" s="21"/>
      <c r="C536" s="22"/>
      <c r="D536" s="68" t="s">
        <v>17</v>
      </c>
      <c r="E536" s="69" t="s">
        <v>27</v>
      </c>
      <c r="F536" s="20" t="s">
        <v>533</v>
      </c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</row>
    <row r="537" spans="2:18" ht="13">
      <c r="B537" s="21"/>
      <c r="C537" s="22"/>
      <c r="D537" s="68" t="s">
        <v>17</v>
      </c>
      <c r="E537" s="69" t="s">
        <v>27</v>
      </c>
      <c r="F537" s="20" t="s">
        <v>533</v>
      </c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</row>
    <row r="538" spans="2:18" ht="13">
      <c r="B538" s="21"/>
      <c r="C538" s="22"/>
      <c r="D538" s="68" t="s">
        <v>86</v>
      </c>
      <c r="E538" s="69" t="s">
        <v>124</v>
      </c>
      <c r="F538" s="20" t="s">
        <v>533</v>
      </c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</row>
    <row r="539" spans="2:18" ht="13">
      <c r="B539" s="21"/>
      <c r="C539" s="22"/>
      <c r="D539" s="68" t="s">
        <v>26</v>
      </c>
      <c r="E539" s="69" t="s">
        <v>27</v>
      </c>
      <c r="F539" s="20" t="s">
        <v>533</v>
      </c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</row>
    <row r="540" spans="2:18" ht="13">
      <c r="B540" s="21"/>
      <c r="C540" s="22"/>
      <c r="D540" s="68" t="s">
        <v>17</v>
      </c>
      <c r="E540" s="69" t="s">
        <v>27</v>
      </c>
      <c r="F540" s="20" t="s">
        <v>533</v>
      </c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</row>
    <row r="541" spans="2:18" ht="13">
      <c r="B541" s="21"/>
      <c r="C541" s="22"/>
      <c r="D541" s="68" t="s">
        <v>17</v>
      </c>
      <c r="E541" s="69" t="s">
        <v>27</v>
      </c>
      <c r="F541" s="20" t="s">
        <v>533</v>
      </c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</row>
    <row r="542" spans="2:18" ht="13">
      <c r="B542" s="21"/>
      <c r="C542" s="22"/>
      <c r="D542" s="68" t="s">
        <v>86</v>
      </c>
      <c r="E542" s="69" t="s">
        <v>124</v>
      </c>
      <c r="F542" s="20" t="s">
        <v>533</v>
      </c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</row>
    <row r="543" spans="2:18" ht="13">
      <c r="B543" s="21"/>
      <c r="C543" s="22"/>
      <c r="D543" s="68" t="s">
        <v>571</v>
      </c>
      <c r="E543" s="69" t="s">
        <v>163</v>
      </c>
      <c r="F543" s="20" t="s">
        <v>533</v>
      </c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</row>
    <row r="544" spans="2:18" ht="13">
      <c r="B544" s="21"/>
      <c r="C544" s="22"/>
      <c r="D544" s="68" t="s">
        <v>36</v>
      </c>
      <c r="E544" s="69" t="s">
        <v>37</v>
      </c>
      <c r="F544" s="20" t="s">
        <v>533</v>
      </c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</row>
    <row r="545" spans="2:18" ht="13">
      <c r="B545" s="21"/>
      <c r="C545" s="22"/>
      <c r="D545" s="68" t="s">
        <v>17</v>
      </c>
      <c r="E545" s="69" t="s">
        <v>27</v>
      </c>
      <c r="F545" s="20" t="s">
        <v>533</v>
      </c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</row>
    <row r="546" spans="2:18" ht="13">
      <c r="B546" s="21"/>
      <c r="C546" s="22"/>
      <c r="D546" s="68" t="s">
        <v>17</v>
      </c>
      <c r="E546" s="69" t="s">
        <v>27</v>
      </c>
      <c r="F546" s="20" t="s">
        <v>533</v>
      </c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</row>
    <row r="547" spans="2:18" ht="13">
      <c r="B547" s="21"/>
      <c r="C547" s="22"/>
      <c r="D547" s="68" t="s">
        <v>17</v>
      </c>
      <c r="E547" s="69" t="s">
        <v>27</v>
      </c>
      <c r="F547" s="20" t="s">
        <v>533</v>
      </c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</row>
    <row r="548" spans="2:18" ht="13">
      <c r="B548" s="21"/>
      <c r="C548" s="22"/>
      <c r="D548" s="68" t="s">
        <v>17</v>
      </c>
      <c r="E548" s="69" t="s">
        <v>27</v>
      </c>
      <c r="F548" s="20" t="s">
        <v>533</v>
      </c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</row>
    <row r="549" spans="2:18" ht="13">
      <c r="B549" s="21"/>
      <c r="C549" s="22"/>
      <c r="D549" s="68" t="s">
        <v>17</v>
      </c>
      <c r="E549" s="69" t="s">
        <v>27</v>
      </c>
      <c r="F549" s="20" t="s">
        <v>533</v>
      </c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</row>
    <row r="550" spans="2:18" ht="13">
      <c r="B550" s="21"/>
      <c r="C550" s="22"/>
      <c r="D550" s="68" t="s">
        <v>613</v>
      </c>
      <c r="E550" s="69" t="s">
        <v>37</v>
      </c>
      <c r="F550" s="20" t="s">
        <v>533</v>
      </c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</row>
    <row r="551" spans="2:18" ht="13">
      <c r="B551" s="21"/>
      <c r="C551" s="22"/>
      <c r="D551" s="68" t="s">
        <v>17</v>
      </c>
      <c r="E551" s="69" t="s">
        <v>27</v>
      </c>
      <c r="F551" s="20" t="s">
        <v>533</v>
      </c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</row>
    <row r="552" spans="2:18" ht="13">
      <c r="B552" s="21"/>
      <c r="C552" s="22"/>
      <c r="D552" s="68" t="s">
        <v>26</v>
      </c>
      <c r="E552" s="69" t="s">
        <v>27</v>
      </c>
      <c r="F552" s="20" t="s">
        <v>533</v>
      </c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</row>
    <row r="553" spans="2:18" ht="13">
      <c r="B553" s="21"/>
      <c r="C553" s="22"/>
      <c r="D553" s="68" t="s">
        <v>404</v>
      </c>
      <c r="E553" s="69" t="s">
        <v>32</v>
      </c>
      <c r="F553" s="20" t="s">
        <v>533</v>
      </c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</row>
    <row r="554" spans="2:18" ht="13">
      <c r="B554" s="21"/>
      <c r="C554" s="22"/>
      <c r="D554" s="68" t="s">
        <v>86</v>
      </c>
      <c r="E554" s="69" t="s">
        <v>124</v>
      </c>
      <c r="F554" s="20" t="s">
        <v>533</v>
      </c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</row>
    <row r="555" spans="2:18" ht="13">
      <c r="B555" s="21"/>
      <c r="C555" s="22"/>
      <c r="D555" s="68" t="s">
        <v>17</v>
      </c>
      <c r="E555" s="69" t="s">
        <v>27</v>
      </c>
      <c r="F555" s="20" t="s">
        <v>533</v>
      </c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</row>
    <row r="556" spans="2:18" ht="13">
      <c r="B556" s="21"/>
      <c r="C556" s="22"/>
      <c r="D556" s="68" t="s">
        <v>17</v>
      </c>
      <c r="E556" s="69" t="s">
        <v>27</v>
      </c>
      <c r="F556" s="20" t="s">
        <v>533</v>
      </c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</row>
    <row r="557" spans="2:18" ht="13">
      <c r="B557" s="21"/>
      <c r="C557" s="22"/>
      <c r="D557" s="68" t="s">
        <v>17</v>
      </c>
      <c r="E557" s="69" t="s">
        <v>27</v>
      </c>
      <c r="F557" s="20" t="s">
        <v>533</v>
      </c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</row>
    <row r="558" spans="2:18" ht="13">
      <c r="B558" s="21"/>
      <c r="C558" s="22"/>
      <c r="D558" s="68" t="s">
        <v>579</v>
      </c>
      <c r="E558" s="69" t="s">
        <v>37</v>
      </c>
      <c r="F558" s="20" t="s">
        <v>533</v>
      </c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</row>
    <row r="559" spans="2:18" ht="13">
      <c r="B559" s="21"/>
      <c r="C559" s="22"/>
      <c r="D559" s="68" t="s">
        <v>53</v>
      </c>
      <c r="E559" s="69" t="s">
        <v>32</v>
      </c>
      <c r="F559" s="20" t="s">
        <v>533</v>
      </c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</row>
    <row r="560" spans="2:18" ht="13">
      <c r="B560" s="21"/>
      <c r="C560" s="22"/>
      <c r="D560" s="68" t="s">
        <v>17</v>
      </c>
      <c r="E560" s="69" t="s">
        <v>27</v>
      </c>
      <c r="F560" s="20" t="s">
        <v>533</v>
      </c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</row>
    <row r="561" spans="2:18" ht="13">
      <c r="B561" s="21"/>
      <c r="C561" s="22"/>
      <c r="D561" s="68" t="s">
        <v>17</v>
      </c>
      <c r="E561" s="69" t="s">
        <v>27</v>
      </c>
      <c r="F561" s="20" t="s">
        <v>533</v>
      </c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</row>
    <row r="562" spans="2:18" ht="13">
      <c r="B562" s="21"/>
      <c r="C562" s="22"/>
      <c r="D562" s="68" t="s">
        <v>17</v>
      </c>
      <c r="E562" s="69" t="s">
        <v>27</v>
      </c>
      <c r="F562" s="20" t="s">
        <v>533</v>
      </c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</row>
    <row r="563" spans="2:18" ht="13">
      <c r="B563" s="21"/>
      <c r="C563" s="22"/>
      <c r="D563" s="68" t="s">
        <v>17</v>
      </c>
      <c r="E563" s="69" t="s">
        <v>27</v>
      </c>
      <c r="F563" s="20" t="s">
        <v>533</v>
      </c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</row>
    <row r="564" spans="2:18" ht="13">
      <c r="B564" s="21"/>
      <c r="C564" s="22"/>
      <c r="D564" s="68" t="s">
        <v>26</v>
      </c>
      <c r="E564" s="69" t="s">
        <v>27</v>
      </c>
      <c r="F564" s="20" t="s">
        <v>533</v>
      </c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</row>
    <row r="565" spans="2:18" ht="13">
      <c r="B565" s="21"/>
      <c r="C565" s="22"/>
      <c r="D565" s="68" t="s">
        <v>17</v>
      </c>
      <c r="E565" s="69" t="s">
        <v>27</v>
      </c>
      <c r="F565" s="20" t="s">
        <v>533</v>
      </c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</row>
    <row r="566" spans="2:18" ht="13">
      <c r="B566" s="21"/>
      <c r="C566" s="22"/>
      <c r="D566" s="68" t="s">
        <v>602</v>
      </c>
      <c r="E566" s="69" t="s">
        <v>121</v>
      </c>
      <c r="F566" s="20" t="s">
        <v>533</v>
      </c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</row>
    <row r="567" spans="2:18" ht="13">
      <c r="B567" s="21"/>
      <c r="C567" s="22"/>
      <c r="D567" s="68" t="s">
        <v>17</v>
      </c>
      <c r="E567" s="69" t="s">
        <v>27</v>
      </c>
      <c r="F567" s="20" t="s">
        <v>533</v>
      </c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</row>
    <row r="568" spans="2:18" ht="13">
      <c r="B568" s="21"/>
      <c r="C568" s="22"/>
      <c r="D568" s="68" t="s">
        <v>17</v>
      </c>
      <c r="E568" s="69" t="s">
        <v>27</v>
      </c>
      <c r="F568" s="20" t="s">
        <v>533</v>
      </c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</row>
    <row r="569" spans="2:18" ht="13">
      <c r="B569" s="21"/>
      <c r="C569" s="22"/>
      <c r="D569" s="68" t="s">
        <v>26</v>
      </c>
      <c r="E569" s="69" t="s">
        <v>27</v>
      </c>
      <c r="F569" s="20" t="s">
        <v>533</v>
      </c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</row>
    <row r="570" spans="2:18" ht="13">
      <c r="B570" s="21"/>
      <c r="C570" s="22"/>
      <c r="D570" s="68" t="s">
        <v>17</v>
      </c>
      <c r="E570" s="69" t="s">
        <v>27</v>
      </c>
      <c r="F570" s="20" t="s">
        <v>533</v>
      </c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</row>
    <row r="571" spans="2:18" ht="13">
      <c r="B571" s="21"/>
      <c r="C571" s="22"/>
      <c r="D571" s="68" t="s">
        <v>17</v>
      </c>
      <c r="E571" s="69" t="s">
        <v>27</v>
      </c>
      <c r="F571" s="20" t="s">
        <v>533</v>
      </c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</row>
    <row r="572" spans="2:18" ht="13">
      <c r="B572" s="21"/>
      <c r="C572" s="22"/>
      <c r="D572" s="68" t="s">
        <v>26</v>
      </c>
      <c r="E572" s="69" t="s">
        <v>27</v>
      </c>
      <c r="F572" s="20" t="s">
        <v>533</v>
      </c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</row>
    <row r="573" spans="2:18" ht="13">
      <c r="B573" s="21"/>
      <c r="C573" s="22"/>
      <c r="D573" s="68" t="s">
        <v>26</v>
      </c>
      <c r="E573" s="69" t="s">
        <v>27</v>
      </c>
      <c r="F573" s="20" t="s">
        <v>533</v>
      </c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</row>
    <row r="574" spans="2:18" ht="13">
      <c r="B574" s="21"/>
      <c r="C574" s="22"/>
      <c r="D574" s="68" t="s">
        <v>17</v>
      </c>
      <c r="E574" s="69" t="s">
        <v>27</v>
      </c>
      <c r="F574" s="20" t="s">
        <v>533</v>
      </c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</row>
    <row r="575" spans="2:18" ht="13">
      <c r="B575" s="21"/>
      <c r="C575" s="22"/>
      <c r="D575" s="68" t="s">
        <v>17</v>
      </c>
      <c r="E575" s="69" t="s">
        <v>27</v>
      </c>
      <c r="F575" s="20" t="s">
        <v>533</v>
      </c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</row>
    <row r="576" spans="2:18" ht="13">
      <c r="B576" s="21"/>
      <c r="C576" s="22"/>
      <c r="D576" s="68" t="s">
        <v>17</v>
      </c>
      <c r="E576" s="69" t="s">
        <v>27</v>
      </c>
      <c r="F576" s="20" t="s">
        <v>533</v>
      </c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</row>
    <row r="577" spans="2:18" ht="13">
      <c r="B577" s="21"/>
      <c r="C577" s="22"/>
      <c r="D577" s="68" t="s">
        <v>26</v>
      </c>
      <c r="E577" s="69" t="s">
        <v>27</v>
      </c>
      <c r="F577" s="20" t="s">
        <v>533</v>
      </c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</row>
    <row r="578" spans="2:18" ht="13">
      <c r="B578" s="21"/>
      <c r="C578" s="22"/>
      <c r="D578" s="68" t="s">
        <v>36</v>
      </c>
      <c r="E578" s="69" t="s">
        <v>37</v>
      </c>
      <c r="F578" s="20" t="s">
        <v>533</v>
      </c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</row>
    <row r="579" spans="2:18" ht="13">
      <c r="B579" s="21"/>
      <c r="C579" s="22"/>
      <c r="D579" s="68" t="s">
        <v>17</v>
      </c>
      <c r="E579" s="69" t="s">
        <v>116</v>
      </c>
      <c r="F579" s="20" t="s">
        <v>533</v>
      </c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</row>
    <row r="580" spans="2:18" ht="13">
      <c r="B580" s="21"/>
      <c r="C580" s="22"/>
      <c r="D580" s="68" t="s">
        <v>26</v>
      </c>
      <c r="E580" s="69" t="s">
        <v>27</v>
      </c>
      <c r="F580" s="20" t="s">
        <v>533</v>
      </c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</row>
    <row r="581" spans="2:18" ht="13">
      <c r="B581" s="21"/>
      <c r="C581" s="22"/>
      <c r="D581" s="68" t="s">
        <v>606</v>
      </c>
      <c r="E581" s="69" t="s">
        <v>32</v>
      </c>
      <c r="F581" s="20" t="s">
        <v>533</v>
      </c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</row>
    <row r="582" spans="2:18" ht="13">
      <c r="B582" s="21"/>
      <c r="C582" s="22"/>
      <c r="D582" s="68" t="s">
        <v>17</v>
      </c>
      <c r="E582" s="69" t="s">
        <v>27</v>
      </c>
      <c r="F582" s="20" t="s">
        <v>533</v>
      </c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</row>
    <row r="583" spans="2:18" ht="13">
      <c r="B583" s="21"/>
      <c r="C583" s="22"/>
      <c r="D583" s="68" t="s">
        <v>17</v>
      </c>
      <c r="E583" s="69" t="s">
        <v>27</v>
      </c>
      <c r="F583" s="20" t="s">
        <v>533</v>
      </c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</row>
    <row r="584" spans="2:18" ht="13">
      <c r="B584" s="21"/>
      <c r="C584" s="22"/>
      <c r="D584" s="68" t="s">
        <v>17</v>
      </c>
      <c r="E584" s="69" t="s">
        <v>27</v>
      </c>
      <c r="F584" s="20" t="s">
        <v>533</v>
      </c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</row>
    <row r="585" spans="2:18" ht="13">
      <c r="B585" s="21"/>
      <c r="C585" s="22"/>
      <c r="D585" s="68" t="s">
        <v>544</v>
      </c>
      <c r="E585" s="69" t="s">
        <v>121</v>
      </c>
      <c r="F585" s="20" t="s">
        <v>533</v>
      </c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</row>
    <row r="586" spans="2:18" ht="13">
      <c r="B586" s="21"/>
      <c r="C586" s="22"/>
      <c r="D586" s="68" t="s">
        <v>577</v>
      </c>
      <c r="E586" s="69" t="s">
        <v>124</v>
      </c>
      <c r="F586" s="20" t="s">
        <v>533</v>
      </c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</row>
    <row r="587" spans="2:18" ht="13">
      <c r="B587" s="21"/>
      <c r="C587" s="22"/>
      <c r="D587" s="68" t="s">
        <v>26</v>
      </c>
      <c r="E587" s="69" t="s">
        <v>27</v>
      </c>
      <c r="F587" s="20" t="s">
        <v>533</v>
      </c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</row>
    <row r="588" spans="2:18" ht="13">
      <c r="B588" s="21"/>
      <c r="C588" s="22"/>
      <c r="D588" s="68" t="s">
        <v>17</v>
      </c>
      <c r="E588" s="69" t="s">
        <v>27</v>
      </c>
      <c r="F588" s="20" t="s">
        <v>533</v>
      </c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</row>
    <row r="589" spans="2:18" ht="13">
      <c r="B589" s="21"/>
      <c r="C589" s="22"/>
      <c r="D589" s="68" t="s">
        <v>17</v>
      </c>
      <c r="E589" s="69" t="s">
        <v>27</v>
      </c>
      <c r="F589" s="20" t="s">
        <v>533</v>
      </c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</row>
    <row r="590" spans="2:18" ht="13">
      <c r="B590" s="21"/>
      <c r="C590" s="22"/>
      <c r="D590" s="68" t="s">
        <v>602</v>
      </c>
      <c r="E590" s="69" t="s">
        <v>121</v>
      </c>
      <c r="F590" s="20" t="s">
        <v>533</v>
      </c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</row>
    <row r="591" spans="2:18" ht="13">
      <c r="B591" s="21"/>
      <c r="C591" s="22"/>
      <c r="D591" s="68" t="s">
        <v>17</v>
      </c>
      <c r="E591" s="69" t="s">
        <v>27</v>
      </c>
      <c r="F591" s="20" t="s">
        <v>533</v>
      </c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</row>
    <row r="592" spans="2:18" ht="13">
      <c r="B592" s="21"/>
      <c r="C592" s="22"/>
      <c r="D592" s="68" t="s">
        <v>26</v>
      </c>
      <c r="E592" s="69" t="s">
        <v>27</v>
      </c>
      <c r="F592" s="20" t="s">
        <v>533</v>
      </c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</row>
    <row r="593" spans="2:18" ht="13">
      <c r="B593" s="21"/>
      <c r="C593" s="22"/>
      <c r="D593" s="68" t="s">
        <v>26</v>
      </c>
      <c r="E593" s="69" t="s">
        <v>27</v>
      </c>
      <c r="F593" s="20" t="s">
        <v>533</v>
      </c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</row>
    <row r="594" spans="2:18" ht="13">
      <c r="B594" s="21"/>
      <c r="C594" s="22"/>
      <c r="D594" s="68" t="s">
        <v>17</v>
      </c>
      <c r="E594" s="69" t="s">
        <v>27</v>
      </c>
      <c r="F594" s="20" t="s">
        <v>533</v>
      </c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</row>
    <row r="595" spans="2:18" ht="13">
      <c r="B595" s="21"/>
      <c r="C595" s="22"/>
      <c r="D595" s="68" t="s">
        <v>563</v>
      </c>
      <c r="E595" s="69" t="s">
        <v>121</v>
      </c>
      <c r="F595" s="20" t="s">
        <v>533</v>
      </c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</row>
    <row r="596" spans="2:18" ht="13">
      <c r="B596" s="21"/>
      <c r="C596" s="22"/>
      <c r="D596" s="68" t="s">
        <v>326</v>
      </c>
      <c r="E596" s="69" t="s">
        <v>121</v>
      </c>
      <c r="F596" s="20" t="s">
        <v>533</v>
      </c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</row>
    <row r="597" spans="2:18" ht="13">
      <c r="B597" s="21"/>
      <c r="C597" s="22"/>
      <c r="D597" s="68" t="s">
        <v>26</v>
      </c>
      <c r="E597" s="69" t="s">
        <v>27</v>
      </c>
      <c r="F597" s="20" t="s">
        <v>533</v>
      </c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</row>
    <row r="598" spans="2:18" ht="13">
      <c r="B598" s="21"/>
      <c r="C598" s="22"/>
      <c r="D598" s="68" t="s">
        <v>607</v>
      </c>
      <c r="E598" s="69" t="s">
        <v>121</v>
      </c>
      <c r="F598" s="20" t="s">
        <v>533</v>
      </c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</row>
    <row r="599" spans="2:18" ht="13">
      <c r="B599" s="21"/>
      <c r="C599" s="22"/>
      <c r="D599" s="68" t="s">
        <v>613</v>
      </c>
      <c r="E599" s="69" t="s">
        <v>32</v>
      </c>
      <c r="F599" s="20" t="s">
        <v>533</v>
      </c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</row>
    <row r="600" spans="2:18" ht="13">
      <c r="B600" s="21"/>
      <c r="C600" s="22"/>
      <c r="D600" s="68" t="s">
        <v>17</v>
      </c>
      <c r="E600" s="69" t="s">
        <v>27</v>
      </c>
      <c r="F600" s="20" t="s">
        <v>533</v>
      </c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</row>
    <row r="601" spans="2:18" ht="13">
      <c r="B601" s="21"/>
      <c r="C601" s="22"/>
      <c r="D601" s="68" t="s">
        <v>174</v>
      </c>
      <c r="E601" s="69" t="s">
        <v>175</v>
      </c>
      <c r="F601" s="20" t="s">
        <v>533</v>
      </c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</row>
    <row r="602" spans="2:18" ht="13">
      <c r="B602" s="21"/>
      <c r="C602" s="22"/>
      <c r="D602" s="68" t="s">
        <v>26</v>
      </c>
      <c r="E602" s="69" t="s">
        <v>27</v>
      </c>
      <c r="F602" s="20" t="s">
        <v>533</v>
      </c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</row>
    <row r="603" spans="2:18" ht="13">
      <c r="B603" s="21"/>
      <c r="C603" s="22"/>
      <c r="D603" s="68" t="s">
        <v>26</v>
      </c>
      <c r="E603" s="69" t="s">
        <v>614</v>
      </c>
      <c r="F603" s="20" t="s">
        <v>533</v>
      </c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</row>
    <row r="604" spans="2:18" ht="13">
      <c r="B604" s="21"/>
      <c r="C604" s="22"/>
      <c r="D604" s="68" t="s">
        <v>17</v>
      </c>
      <c r="E604" s="69" t="s">
        <v>27</v>
      </c>
      <c r="F604" s="20" t="s">
        <v>533</v>
      </c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</row>
    <row r="605" spans="2:18" ht="13">
      <c r="B605" s="21"/>
      <c r="C605" s="22"/>
      <c r="D605" s="68" t="s">
        <v>26</v>
      </c>
      <c r="E605" s="69" t="s">
        <v>27</v>
      </c>
      <c r="F605" s="20" t="s">
        <v>533</v>
      </c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</row>
    <row r="606" spans="2:18" ht="13">
      <c r="B606" s="21"/>
      <c r="C606" s="22"/>
      <c r="D606" s="68" t="s">
        <v>17</v>
      </c>
      <c r="E606" s="69" t="s">
        <v>27</v>
      </c>
      <c r="F606" s="20" t="s">
        <v>533</v>
      </c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</row>
    <row r="607" spans="2:18" ht="13">
      <c r="B607" s="21"/>
      <c r="C607" s="22"/>
      <c r="D607" s="68" t="s">
        <v>615</v>
      </c>
      <c r="E607" s="69" t="s">
        <v>121</v>
      </c>
      <c r="F607" s="20" t="s">
        <v>533</v>
      </c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</row>
    <row r="608" spans="2:18" ht="13">
      <c r="B608" s="21"/>
      <c r="C608" s="22"/>
      <c r="D608" s="68" t="s">
        <v>573</v>
      </c>
      <c r="E608" s="69" t="s">
        <v>121</v>
      </c>
      <c r="F608" s="20" t="s">
        <v>533</v>
      </c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</row>
    <row r="609" spans="2:18" ht="13">
      <c r="B609" s="21"/>
      <c r="C609" s="22"/>
      <c r="D609" s="68" t="s">
        <v>36</v>
      </c>
      <c r="E609" s="69" t="s">
        <v>37</v>
      </c>
      <c r="F609" s="20" t="s">
        <v>533</v>
      </c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</row>
    <row r="610" spans="2:18" ht="13">
      <c r="B610" s="21"/>
      <c r="C610" s="22"/>
      <c r="D610" s="68" t="s">
        <v>17</v>
      </c>
      <c r="E610" s="69" t="s">
        <v>27</v>
      </c>
      <c r="F610" s="20" t="s">
        <v>533</v>
      </c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</row>
    <row r="611" spans="2:18" ht="13">
      <c r="B611" s="21"/>
      <c r="C611" s="22"/>
      <c r="D611" s="68" t="s">
        <v>17</v>
      </c>
      <c r="E611" s="69" t="s">
        <v>27</v>
      </c>
      <c r="F611" s="20" t="s">
        <v>533</v>
      </c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</row>
    <row r="612" spans="2:18" ht="13">
      <c r="B612" s="21"/>
      <c r="C612" s="22"/>
      <c r="D612" s="68" t="s">
        <v>26</v>
      </c>
      <c r="E612" s="69" t="s">
        <v>27</v>
      </c>
      <c r="F612" s="20" t="s">
        <v>533</v>
      </c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</row>
    <row r="613" spans="2:18" ht="13">
      <c r="B613" s="21"/>
      <c r="C613" s="22"/>
      <c r="D613" s="68" t="s">
        <v>616</v>
      </c>
      <c r="E613" s="69" t="s">
        <v>617</v>
      </c>
      <c r="F613" s="20" t="s">
        <v>533</v>
      </c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</row>
    <row r="614" spans="2:18" ht="13">
      <c r="B614" s="21"/>
      <c r="C614" s="22"/>
      <c r="D614" s="68" t="s">
        <v>17</v>
      </c>
      <c r="E614" s="69" t="s">
        <v>27</v>
      </c>
      <c r="F614" s="20" t="s">
        <v>533</v>
      </c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</row>
    <row r="615" spans="2:18" ht="13">
      <c r="B615" s="21"/>
      <c r="C615" s="22"/>
      <c r="D615" s="68" t="s">
        <v>36</v>
      </c>
      <c r="E615" s="69" t="s">
        <v>37</v>
      </c>
      <c r="F615" s="20" t="s">
        <v>533</v>
      </c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</row>
    <row r="616" spans="2:18" ht="13">
      <c r="B616" s="21"/>
      <c r="C616" s="22"/>
      <c r="D616" s="68" t="s">
        <v>17</v>
      </c>
      <c r="E616" s="69" t="s">
        <v>27</v>
      </c>
      <c r="F616" s="20" t="s">
        <v>533</v>
      </c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</row>
    <row r="617" spans="2:18" ht="13">
      <c r="B617" s="21"/>
      <c r="C617" s="22"/>
      <c r="D617" s="68" t="s">
        <v>26</v>
      </c>
      <c r="E617" s="69" t="s">
        <v>27</v>
      </c>
      <c r="F617" s="20" t="s">
        <v>533</v>
      </c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</row>
    <row r="618" spans="2:18" ht="13">
      <c r="B618" s="21"/>
      <c r="C618" s="22"/>
      <c r="D618" s="68" t="s">
        <v>53</v>
      </c>
      <c r="E618" s="69" t="s">
        <v>32</v>
      </c>
      <c r="F618" s="20" t="s">
        <v>533</v>
      </c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</row>
    <row r="619" spans="2:18" ht="13">
      <c r="B619" s="21"/>
      <c r="C619" s="22"/>
      <c r="D619" s="68" t="s">
        <v>17</v>
      </c>
      <c r="E619" s="69" t="s">
        <v>27</v>
      </c>
      <c r="F619" s="20" t="s">
        <v>533</v>
      </c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</row>
    <row r="620" spans="2:18" ht="13">
      <c r="B620" s="21"/>
      <c r="C620" s="22"/>
      <c r="D620" s="68" t="s">
        <v>36</v>
      </c>
      <c r="E620" s="69" t="s">
        <v>37</v>
      </c>
      <c r="F620" s="20" t="s">
        <v>533</v>
      </c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</row>
    <row r="621" spans="2:18" ht="13">
      <c r="B621" s="21"/>
      <c r="C621" s="22"/>
      <c r="D621" s="68" t="s">
        <v>290</v>
      </c>
      <c r="E621" s="69" t="s">
        <v>32</v>
      </c>
      <c r="F621" s="20" t="s">
        <v>533</v>
      </c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</row>
    <row r="622" spans="2:18" ht="13">
      <c r="B622" s="21"/>
      <c r="C622" s="22"/>
      <c r="D622" s="68" t="s">
        <v>36</v>
      </c>
      <c r="E622" s="69" t="s">
        <v>37</v>
      </c>
      <c r="F622" s="20" t="s">
        <v>533</v>
      </c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</row>
    <row r="623" spans="2:18" ht="13">
      <c r="B623" s="21"/>
      <c r="C623" s="22"/>
      <c r="D623" s="68" t="s">
        <v>26</v>
      </c>
      <c r="E623" s="69" t="s">
        <v>27</v>
      </c>
      <c r="F623" s="20" t="s">
        <v>533</v>
      </c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</row>
    <row r="624" spans="2:18" ht="13">
      <c r="B624" s="21"/>
      <c r="C624" s="22"/>
      <c r="D624" s="68" t="s">
        <v>17</v>
      </c>
      <c r="E624" s="69" t="s">
        <v>27</v>
      </c>
      <c r="F624" s="20" t="s">
        <v>533</v>
      </c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</row>
    <row r="625" spans="2:18" ht="13">
      <c r="B625" s="21"/>
      <c r="C625" s="22"/>
      <c r="D625" s="68" t="s">
        <v>26</v>
      </c>
      <c r="E625" s="69" t="s">
        <v>27</v>
      </c>
      <c r="F625" s="20" t="s">
        <v>533</v>
      </c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</row>
    <row r="626" spans="2:18" ht="13">
      <c r="B626" s="21"/>
      <c r="C626" s="22"/>
      <c r="D626" s="68" t="s">
        <v>17</v>
      </c>
      <c r="E626" s="69" t="s">
        <v>27</v>
      </c>
      <c r="F626" s="20" t="s">
        <v>533</v>
      </c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</row>
    <row r="627" spans="2:18" ht="13">
      <c r="B627" s="21"/>
      <c r="C627" s="22"/>
      <c r="D627" s="68" t="s">
        <v>618</v>
      </c>
      <c r="E627" s="69" t="s">
        <v>121</v>
      </c>
      <c r="F627" s="20" t="s">
        <v>533</v>
      </c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</row>
    <row r="628" spans="2:18" ht="13">
      <c r="B628" s="21"/>
      <c r="C628" s="22"/>
      <c r="D628" s="68" t="s">
        <v>556</v>
      </c>
      <c r="E628" s="69" t="s">
        <v>37</v>
      </c>
      <c r="F628" s="20" t="s">
        <v>533</v>
      </c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</row>
    <row r="629" spans="2:18" ht="13">
      <c r="B629" s="21"/>
      <c r="C629" s="22"/>
      <c r="D629" s="68" t="s">
        <v>562</v>
      </c>
      <c r="E629" s="69" t="s">
        <v>37</v>
      </c>
      <c r="F629" s="20" t="s">
        <v>533</v>
      </c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</row>
    <row r="630" spans="2:18" ht="13">
      <c r="B630" s="21"/>
      <c r="C630" s="22"/>
      <c r="D630" s="68" t="s">
        <v>17</v>
      </c>
      <c r="E630" s="69" t="s">
        <v>27</v>
      </c>
      <c r="F630" s="20" t="s">
        <v>533</v>
      </c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</row>
    <row r="631" spans="2:18" ht="13">
      <c r="B631" s="21"/>
      <c r="C631" s="22"/>
      <c r="D631" s="68" t="s">
        <v>17</v>
      </c>
      <c r="E631" s="69" t="s">
        <v>27</v>
      </c>
      <c r="F631" s="20" t="s">
        <v>533</v>
      </c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</row>
    <row r="632" spans="2:18" ht="13">
      <c r="B632" s="21"/>
      <c r="C632" s="22"/>
      <c r="D632" s="68" t="s">
        <v>36</v>
      </c>
      <c r="E632" s="69" t="s">
        <v>37</v>
      </c>
      <c r="F632" s="20" t="s">
        <v>533</v>
      </c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</row>
    <row r="633" spans="2:18" ht="13">
      <c r="B633" s="21"/>
      <c r="C633" s="22"/>
      <c r="D633" s="68" t="s">
        <v>595</v>
      </c>
      <c r="E633" s="69" t="s">
        <v>121</v>
      </c>
      <c r="F633" s="20" t="s">
        <v>533</v>
      </c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</row>
    <row r="634" spans="2:18" ht="13">
      <c r="B634" s="21"/>
      <c r="C634" s="22"/>
      <c r="D634" s="68" t="s">
        <v>619</v>
      </c>
      <c r="E634" s="69" t="s">
        <v>121</v>
      </c>
      <c r="F634" s="20" t="s">
        <v>533</v>
      </c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</row>
    <row r="635" spans="2:18" ht="13">
      <c r="B635" s="21"/>
      <c r="C635" s="22"/>
      <c r="D635" s="68" t="s">
        <v>174</v>
      </c>
      <c r="E635" s="69" t="s">
        <v>18</v>
      </c>
      <c r="F635" s="20" t="s">
        <v>533</v>
      </c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</row>
    <row r="636" spans="2:18" ht="13">
      <c r="B636" s="21"/>
      <c r="C636" s="22"/>
      <c r="D636" s="68" t="s">
        <v>26</v>
      </c>
      <c r="E636" s="69" t="s">
        <v>27</v>
      </c>
      <c r="F636" s="20" t="s">
        <v>533</v>
      </c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</row>
    <row r="637" spans="2:18" ht="13">
      <c r="B637" s="21"/>
      <c r="C637" s="22"/>
      <c r="D637" s="68" t="s">
        <v>36</v>
      </c>
      <c r="E637" s="69" t="s">
        <v>37</v>
      </c>
      <c r="F637" s="20" t="s">
        <v>533</v>
      </c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</row>
    <row r="638" spans="2:18" ht="13">
      <c r="B638" s="21"/>
      <c r="C638" s="22"/>
      <c r="D638" s="68" t="s">
        <v>26</v>
      </c>
      <c r="E638" s="69" t="s">
        <v>27</v>
      </c>
      <c r="F638" s="20" t="s">
        <v>533</v>
      </c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</row>
    <row r="639" spans="2:18" ht="13">
      <c r="B639" s="21"/>
      <c r="C639" s="22"/>
      <c r="D639" s="68" t="s">
        <v>26</v>
      </c>
      <c r="E639" s="69" t="s">
        <v>27</v>
      </c>
      <c r="F639" s="20" t="s">
        <v>533</v>
      </c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</row>
    <row r="640" spans="2:18" ht="13">
      <c r="B640" s="21"/>
      <c r="C640" s="22"/>
      <c r="D640" s="68" t="s">
        <v>17</v>
      </c>
      <c r="E640" s="69" t="s">
        <v>27</v>
      </c>
      <c r="F640" s="20" t="s">
        <v>533</v>
      </c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</row>
    <row r="641" spans="2:18" ht="13">
      <c r="B641" s="21"/>
      <c r="C641" s="22"/>
      <c r="D641" s="68" t="s">
        <v>36</v>
      </c>
      <c r="E641" s="69" t="s">
        <v>37</v>
      </c>
      <c r="F641" s="20" t="s">
        <v>533</v>
      </c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</row>
    <row r="642" spans="2:18" ht="13">
      <c r="B642" s="21"/>
      <c r="C642" s="22"/>
      <c r="D642" s="68" t="s">
        <v>17</v>
      </c>
      <c r="E642" s="69" t="s">
        <v>27</v>
      </c>
      <c r="F642" s="20" t="s">
        <v>533</v>
      </c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</row>
    <row r="643" spans="2:18" ht="13">
      <c r="B643" s="21"/>
      <c r="C643" s="22"/>
      <c r="D643" s="68" t="s">
        <v>17</v>
      </c>
      <c r="E643" s="69" t="s">
        <v>27</v>
      </c>
      <c r="F643" s="20" t="s">
        <v>533</v>
      </c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</row>
    <row r="644" spans="2:18" ht="13">
      <c r="B644" s="21"/>
      <c r="C644" s="22"/>
      <c r="D644" s="68" t="s">
        <v>618</v>
      </c>
      <c r="E644" s="69" t="s">
        <v>121</v>
      </c>
      <c r="F644" s="20" t="s">
        <v>533</v>
      </c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</row>
    <row r="645" spans="2:18" ht="13">
      <c r="B645" s="21"/>
      <c r="C645" s="22"/>
      <c r="D645" s="68" t="s">
        <v>547</v>
      </c>
      <c r="E645" s="69" t="s">
        <v>124</v>
      </c>
      <c r="F645" s="20" t="s">
        <v>533</v>
      </c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</row>
    <row r="646" spans="2:18" ht="13">
      <c r="B646" s="21"/>
      <c r="C646" s="22"/>
      <c r="D646" s="68" t="s">
        <v>17</v>
      </c>
      <c r="E646" s="69" t="s">
        <v>27</v>
      </c>
      <c r="F646" s="20" t="s">
        <v>533</v>
      </c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</row>
    <row r="647" spans="2:18" ht="13">
      <c r="B647" s="21"/>
      <c r="C647" s="22"/>
      <c r="D647" s="68" t="s">
        <v>17</v>
      </c>
      <c r="E647" s="69" t="s">
        <v>27</v>
      </c>
      <c r="F647" s="20" t="s">
        <v>533</v>
      </c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</row>
    <row r="648" spans="2:18" ht="13">
      <c r="B648" s="21"/>
      <c r="C648" s="22"/>
      <c r="D648" s="68" t="s">
        <v>17</v>
      </c>
      <c r="E648" s="69" t="s">
        <v>121</v>
      </c>
      <c r="F648" s="20" t="s">
        <v>533</v>
      </c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</row>
    <row r="649" spans="2:18" ht="13">
      <c r="B649" s="21"/>
      <c r="C649" s="22"/>
      <c r="D649" s="68" t="s">
        <v>17</v>
      </c>
      <c r="E649" s="69" t="s">
        <v>27</v>
      </c>
      <c r="F649" s="20" t="s">
        <v>533</v>
      </c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</row>
    <row r="650" spans="2:18" ht="13">
      <c r="B650" s="21"/>
      <c r="C650" s="22"/>
      <c r="D650" s="68" t="s">
        <v>17</v>
      </c>
      <c r="E650" s="69" t="s">
        <v>27</v>
      </c>
      <c r="F650" s="20" t="s">
        <v>533</v>
      </c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</row>
    <row r="651" spans="2:18" ht="13">
      <c r="B651" s="21"/>
      <c r="C651" s="22"/>
      <c r="D651" s="68" t="s">
        <v>17</v>
      </c>
      <c r="E651" s="69" t="s">
        <v>27</v>
      </c>
      <c r="F651" s="20" t="s">
        <v>533</v>
      </c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</row>
    <row r="652" spans="2:18" ht="13">
      <c r="B652" s="21"/>
      <c r="C652" s="22"/>
      <c r="D652" s="68" t="s">
        <v>17</v>
      </c>
      <c r="E652" s="69" t="s">
        <v>27</v>
      </c>
      <c r="F652" s="20" t="s">
        <v>533</v>
      </c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</row>
    <row r="653" spans="2:18" ht="13">
      <c r="B653" s="21"/>
      <c r="C653" s="22"/>
      <c r="D653" s="68" t="s">
        <v>17</v>
      </c>
      <c r="E653" s="69" t="s">
        <v>610</v>
      </c>
      <c r="F653" s="20" t="s">
        <v>533</v>
      </c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</row>
    <row r="654" spans="2:18" ht="13">
      <c r="B654" s="21"/>
      <c r="C654" s="22"/>
      <c r="D654" s="68" t="s">
        <v>17</v>
      </c>
      <c r="E654" s="69" t="s">
        <v>27</v>
      </c>
      <c r="F654" s="20" t="s">
        <v>533</v>
      </c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</row>
    <row r="655" spans="2:18" ht="13">
      <c r="B655" s="21"/>
      <c r="C655" s="22"/>
      <c r="D655" s="68" t="s">
        <v>620</v>
      </c>
      <c r="E655" s="69" t="s">
        <v>121</v>
      </c>
      <c r="F655" s="20" t="s">
        <v>533</v>
      </c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</row>
    <row r="656" spans="2:18" ht="13">
      <c r="B656" s="21"/>
      <c r="C656" s="22"/>
      <c r="D656" s="68" t="s">
        <v>17</v>
      </c>
      <c r="E656" s="69" t="s">
        <v>27</v>
      </c>
      <c r="F656" s="20" t="s">
        <v>533</v>
      </c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</row>
    <row r="657" spans="2:18" ht="13">
      <c r="B657" s="21"/>
      <c r="C657" s="22"/>
      <c r="D657" s="68" t="s">
        <v>17</v>
      </c>
      <c r="E657" s="69" t="s">
        <v>27</v>
      </c>
      <c r="F657" s="20" t="s">
        <v>533</v>
      </c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</row>
    <row r="658" spans="2:18" ht="13">
      <c r="B658" s="21"/>
      <c r="C658" s="22"/>
      <c r="D658" s="68" t="s">
        <v>17</v>
      </c>
      <c r="E658" s="69" t="s">
        <v>27</v>
      </c>
      <c r="F658" s="20" t="s">
        <v>533</v>
      </c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</row>
    <row r="659" spans="2:18" ht="13">
      <c r="B659" s="21"/>
      <c r="C659" s="22"/>
      <c r="D659" s="68" t="s">
        <v>17</v>
      </c>
      <c r="E659" s="69" t="s">
        <v>27</v>
      </c>
      <c r="F659" s="20" t="s">
        <v>533</v>
      </c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</row>
    <row r="660" spans="2:18" ht="13">
      <c r="B660" s="21"/>
      <c r="C660" s="22"/>
      <c r="D660" s="68" t="s">
        <v>17</v>
      </c>
      <c r="E660" s="69" t="s">
        <v>27</v>
      </c>
      <c r="F660" s="20" t="s">
        <v>533</v>
      </c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</row>
    <row r="661" spans="2:18" ht="13">
      <c r="B661" s="21"/>
      <c r="C661" s="22"/>
      <c r="D661" s="68" t="s">
        <v>17</v>
      </c>
      <c r="E661" s="69" t="s">
        <v>27</v>
      </c>
      <c r="F661" s="20" t="s">
        <v>533</v>
      </c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</row>
    <row r="662" spans="2:18" ht="13">
      <c r="B662" s="21"/>
      <c r="C662" s="22"/>
      <c r="D662" s="68" t="s">
        <v>17</v>
      </c>
      <c r="E662" s="69" t="s">
        <v>27</v>
      </c>
      <c r="F662" s="20" t="s">
        <v>533</v>
      </c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</row>
    <row r="663" spans="2:18" ht="13">
      <c r="B663" s="21"/>
      <c r="C663" s="22"/>
      <c r="D663" s="68" t="s">
        <v>17</v>
      </c>
      <c r="E663" s="69" t="s">
        <v>27</v>
      </c>
      <c r="F663" s="20" t="s">
        <v>533</v>
      </c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</row>
    <row r="664" spans="2:18" ht="13">
      <c r="B664" s="21"/>
      <c r="C664" s="22"/>
      <c r="D664" s="68" t="s">
        <v>544</v>
      </c>
      <c r="E664" s="69" t="s">
        <v>121</v>
      </c>
      <c r="F664" s="20" t="s">
        <v>533</v>
      </c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</row>
    <row r="665" spans="2:18" ht="13">
      <c r="B665" s="21"/>
      <c r="C665" s="22"/>
      <c r="D665" s="68" t="s">
        <v>26</v>
      </c>
      <c r="E665" s="69" t="s">
        <v>27</v>
      </c>
      <c r="F665" s="20" t="s">
        <v>533</v>
      </c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</row>
    <row r="666" spans="2:18" ht="13">
      <c r="B666" s="21"/>
      <c r="C666" s="22"/>
      <c r="D666" s="68" t="s">
        <v>17</v>
      </c>
      <c r="E666" s="69" t="s">
        <v>27</v>
      </c>
      <c r="F666" s="20" t="s">
        <v>533</v>
      </c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</row>
    <row r="667" spans="2:18" ht="13">
      <c r="B667" s="21"/>
      <c r="C667" s="22"/>
      <c r="D667" s="68" t="s">
        <v>86</v>
      </c>
      <c r="E667" s="69" t="s">
        <v>124</v>
      </c>
      <c r="F667" s="20" t="s">
        <v>533</v>
      </c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</row>
    <row r="668" spans="2:18" ht="13">
      <c r="B668" s="21"/>
      <c r="C668" s="22"/>
      <c r="D668" s="68" t="s">
        <v>26</v>
      </c>
      <c r="E668" s="69" t="s">
        <v>27</v>
      </c>
      <c r="F668" s="20" t="s">
        <v>533</v>
      </c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</row>
    <row r="669" spans="2:18" ht="13">
      <c r="B669" s="21"/>
      <c r="C669" s="22"/>
      <c r="D669" s="68" t="s">
        <v>17</v>
      </c>
      <c r="E669" s="69" t="s">
        <v>27</v>
      </c>
      <c r="F669" s="20" t="s">
        <v>533</v>
      </c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</row>
    <row r="670" spans="2:18" ht="13">
      <c r="B670" s="21"/>
      <c r="C670" s="22"/>
      <c r="D670" s="68" t="s">
        <v>17</v>
      </c>
      <c r="E670" s="69" t="s">
        <v>27</v>
      </c>
      <c r="F670" s="20" t="s">
        <v>533</v>
      </c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</row>
    <row r="671" spans="2:18" ht="13">
      <c r="B671" s="21"/>
      <c r="C671" s="22"/>
      <c r="D671" s="68" t="s">
        <v>17</v>
      </c>
      <c r="E671" s="69" t="s">
        <v>27</v>
      </c>
      <c r="F671" s="20" t="s">
        <v>533</v>
      </c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</row>
    <row r="672" spans="2:18" ht="13">
      <c r="B672" s="21"/>
      <c r="C672" s="22"/>
      <c r="D672" s="68" t="s">
        <v>608</v>
      </c>
      <c r="E672" s="69" t="s">
        <v>32</v>
      </c>
      <c r="F672" s="20" t="s">
        <v>533</v>
      </c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</row>
    <row r="673" spans="2:18" ht="13">
      <c r="B673" s="21"/>
      <c r="C673" s="22"/>
      <c r="D673" s="68" t="s">
        <v>17</v>
      </c>
      <c r="E673" s="69" t="s">
        <v>27</v>
      </c>
      <c r="F673" s="20" t="s">
        <v>533</v>
      </c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</row>
    <row r="674" spans="2:18" ht="13">
      <c r="B674" s="21"/>
      <c r="C674" s="22"/>
      <c r="D674" s="68" t="s">
        <v>26</v>
      </c>
      <c r="E674" s="69" t="s">
        <v>27</v>
      </c>
      <c r="F674" s="20" t="s">
        <v>533</v>
      </c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</row>
    <row r="675" spans="2:18" ht="13">
      <c r="B675" s="21"/>
      <c r="C675" s="22"/>
      <c r="D675" s="68" t="s">
        <v>17</v>
      </c>
      <c r="E675" s="69" t="s">
        <v>27</v>
      </c>
      <c r="F675" s="20" t="s">
        <v>533</v>
      </c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</row>
    <row r="676" spans="2:18" ht="13">
      <c r="B676" s="21"/>
      <c r="C676" s="22"/>
      <c r="D676" s="68" t="s">
        <v>621</v>
      </c>
      <c r="E676" s="69" t="s">
        <v>121</v>
      </c>
      <c r="F676" s="20" t="s">
        <v>533</v>
      </c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</row>
    <row r="677" spans="2:18" ht="13">
      <c r="B677" s="21"/>
      <c r="C677" s="22"/>
      <c r="D677" s="68" t="s">
        <v>17</v>
      </c>
      <c r="E677" s="69" t="s">
        <v>27</v>
      </c>
      <c r="F677" s="20" t="s">
        <v>533</v>
      </c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</row>
    <row r="678" spans="2:18" ht="13">
      <c r="B678" s="21"/>
      <c r="C678" s="22"/>
      <c r="D678" s="68" t="s">
        <v>168</v>
      </c>
      <c r="E678" s="69" t="s">
        <v>27</v>
      </c>
      <c r="F678" s="20" t="s">
        <v>533</v>
      </c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</row>
    <row r="679" spans="2:18" ht="13">
      <c r="B679" s="21"/>
      <c r="C679" s="22"/>
      <c r="D679" s="68" t="s">
        <v>17</v>
      </c>
      <c r="E679" s="69" t="s">
        <v>27</v>
      </c>
      <c r="F679" s="20" t="s">
        <v>533</v>
      </c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</row>
    <row r="680" spans="2:18" ht="13">
      <c r="B680" s="21"/>
      <c r="C680" s="22"/>
      <c r="D680" s="68" t="s">
        <v>17</v>
      </c>
      <c r="E680" s="69" t="s">
        <v>27</v>
      </c>
      <c r="F680" s="20" t="s">
        <v>533</v>
      </c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</row>
    <row r="681" spans="2:18" ht="13">
      <c r="B681" s="21"/>
      <c r="C681" s="22"/>
      <c r="D681" s="68" t="s">
        <v>17</v>
      </c>
      <c r="E681" s="69" t="s">
        <v>27</v>
      </c>
      <c r="F681" s="20" t="s">
        <v>533</v>
      </c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</row>
    <row r="682" spans="2:18" ht="13">
      <c r="B682" s="21"/>
      <c r="C682" s="22"/>
      <c r="D682" s="68" t="s">
        <v>53</v>
      </c>
      <c r="E682" s="69" t="s">
        <v>32</v>
      </c>
      <c r="F682" s="20" t="s">
        <v>533</v>
      </c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</row>
    <row r="683" spans="2:18" ht="13">
      <c r="B683" s="21"/>
      <c r="C683" s="22"/>
      <c r="D683" s="68" t="s">
        <v>17</v>
      </c>
      <c r="E683" s="69" t="s">
        <v>27</v>
      </c>
      <c r="F683" s="20" t="s">
        <v>533</v>
      </c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</row>
    <row r="684" spans="2:18" ht="13">
      <c r="B684" s="21"/>
      <c r="C684" s="22"/>
      <c r="D684" s="68" t="s">
        <v>17</v>
      </c>
      <c r="E684" s="69" t="s">
        <v>27</v>
      </c>
      <c r="F684" s="20" t="s">
        <v>533</v>
      </c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</row>
    <row r="685" spans="2:18" ht="13">
      <c r="B685" s="21"/>
      <c r="C685" s="22"/>
      <c r="D685" s="68" t="s">
        <v>566</v>
      </c>
      <c r="E685" s="69" t="s">
        <v>32</v>
      </c>
      <c r="F685" s="20" t="s">
        <v>533</v>
      </c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</row>
    <row r="686" spans="2:18" ht="13">
      <c r="B686" s="21"/>
      <c r="C686" s="22"/>
      <c r="D686" s="68" t="s">
        <v>17</v>
      </c>
      <c r="E686" s="69" t="s">
        <v>27</v>
      </c>
      <c r="F686" s="20" t="s">
        <v>533</v>
      </c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</row>
    <row r="687" spans="2:18" ht="13">
      <c r="B687" s="21"/>
      <c r="C687" s="22"/>
      <c r="D687" s="68" t="s">
        <v>622</v>
      </c>
      <c r="E687" s="69" t="s">
        <v>163</v>
      </c>
      <c r="F687" s="20" t="s">
        <v>533</v>
      </c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</row>
    <row r="688" spans="2:18" ht="13">
      <c r="B688" s="21"/>
      <c r="C688" s="22"/>
      <c r="D688" s="68" t="s">
        <v>162</v>
      </c>
      <c r="E688" s="69" t="s">
        <v>163</v>
      </c>
      <c r="F688" s="20" t="s">
        <v>533</v>
      </c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</row>
    <row r="689" spans="2:18" ht="13">
      <c r="B689" s="21"/>
      <c r="C689" s="22"/>
      <c r="D689" s="68" t="s">
        <v>17</v>
      </c>
      <c r="E689" s="69" t="s">
        <v>27</v>
      </c>
      <c r="F689" s="20" t="s">
        <v>533</v>
      </c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</row>
    <row r="690" spans="2:18" ht="13">
      <c r="B690" s="21"/>
      <c r="C690" s="22"/>
      <c r="D690" s="68" t="s">
        <v>17</v>
      </c>
      <c r="E690" s="69" t="s">
        <v>27</v>
      </c>
      <c r="F690" s="20" t="s">
        <v>533</v>
      </c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</row>
    <row r="691" spans="2:18" ht="13">
      <c r="B691" s="21"/>
      <c r="C691" s="22"/>
      <c r="D691" s="68" t="s">
        <v>17</v>
      </c>
      <c r="E691" s="69" t="s">
        <v>27</v>
      </c>
      <c r="F691" s="20" t="s">
        <v>533</v>
      </c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</row>
    <row r="692" spans="2:18" ht="13">
      <c r="B692" s="21"/>
      <c r="C692" s="22"/>
      <c r="D692" s="68" t="s">
        <v>17</v>
      </c>
      <c r="E692" s="69" t="s">
        <v>27</v>
      </c>
      <c r="F692" s="20" t="s">
        <v>533</v>
      </c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</row>
    <row r="693" spans="2:18" ht="13">
      <c r="B693" s="21"/>
      <c r="C693" s="22"/>
      <c r="D693" s="68" t="s">
        <v>17</v>
      </c>
      <c r="E693" s="69" t="s">
        <v>27</v>
      </c>
      <c r="F693" s="20" t="s">
        <v>533</v>
      </c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</row>
    <row r="694" spans="2:18" ht="13">
      <c r="B694" s="21"/>
      <c r="C694" s="22"/>
      <c r="D694" s="68" t="s">
        <v>17</v>
      </c>
      <c r="E694" s="69" t="s">
        <v>27</v>
      </c>
      <c r="F694" s="20" t="s">
        <v>533</v>
      </c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</row>
    <row r="695" spans="2:18" ht="13">
      <c r="B695" s="21"/>
      <c r="C695" s="22"/>
      <c r="D695" s="68" t="s">
        <v>17</v>
      </c>
      <c r="E695" s="69" t="s">
        <v>27</v>
      </c>
      <c r="F695" s="20" t="s">
        <v>533</v>
      </c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</row>
    <row r="696" spans="2:18" ht="13">
      <c r="B696" s="21"/>
      <c r="C696" s="22"/>
      <c r="D696" s="68" t="s">
        <v>17</v>
      </c>
      <c r="E696" s="69" t="s">
        <v>27</v>
      </c>
      <c r="F696" s="20" t="s">
        <v>533</v>
      </c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</row>
    <row r="697" spans="2:18" ht="13">
      <c r="B697" s="21"/>
      <c r="C697" s="22"/>
      <c r="D697" s="68" t="s">
        <v>17</v>
      </c>
      <c r="E697" s="69" t="s">
        <v>27</v>
      </c>
      <c r="F697" s="20" t="s">
        <v>533</v>
      </c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</row>
    <row r="698" spans="2:18" ht="13">
      <c r="B698" s="21"/>
      <c r="C698" s="22"/>
      <c r="D698" s="68" t="s">
        <v>36</v>
      </c>
      <c r="E698" s="69" t="s">
        <v>37</v>
      </c>
      <c r="F698" s="20" t="s">
        <v>533</v>
      </c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</row>
    <row r="699" spans="2:18" ht="13">
      <c r="B699" s="21"/>
      <c r="C699" s="22"/>
      <c r="D699" s="68" t="s">
        <v>26</v>
      </c>
      <c r="E699" s="69" t="s">
        <v>27</v>
      </c>
      <c r="F699" s="20" t="s">
        <v>533</v>
      </c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</row>
    <row r="700" spans="2:18" ht="13">
      <c r="B700" s="21"/>
      <c r="C700" s="22"/>
      <c r="D700" s="68" t="s">
        <v>17</v>
      </c>
      <c r="E700" s="69" t="s">
        <v>27</v>
      </c>
      <c r="F700" s="20" t="s">
        <v>533</v>
      </c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</row>
    <row r="701" spans="2:18" ht="13">
      <c r="B701" s="21"/>
      <c r="C701" s="22"/>
      <c r="D701" s="68" t="s">
        <v>26</v>
      </c>
      <c r="E701" s="69" t="s">
        <v>27</v>
      </c>
      <c r="F701" s="20" t="s">
        <v>533</v>
      </c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</row>
    <row r="702" spans="2:18" ht="13">
      <c r="B702" s="21"/>
      <c r="C702" s="22"/>
      <c r="D702" s="68" t="s">
        <v>17</v>
      </c>
      <c r="E702" s="69" t="s">
        <v>27</v>
      </c>
      <c r="F702" s="20" t="s">
        <v>533</v>
      </c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</row>
    <row r="703" spans="2:18" ht="13">
      <c r="B703" s="21"/>
      <c r="C703" s="22"/>
      <c r="D703" s="68" t="s">
        <v>26</v>
      </c>
      <c r="E703" s="69" t="s">
        <v>27</v>
      </c>
      <c r="F703" s="20" t="s">
        <v>533</v>
      </c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</row>
    <row r="704" spans="2:18" ht="13">
      <c r="B704" s="21"/>
      <c r="C704" s="22"/>
      <c r="D704" s="68" t="s">
        <v>17</v>
      </c>
      <c r="E704" s="69" t="s">
        <v>27</v>
      </c>
      <c r="F704" s="20" t="s">
        <v>533</v>
      </c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</row>
    <row r="705" spans="2:18" ht="13">
      <c r="B705" s="21"/>
      <c r="C705" s="22"/>
      <c r="D705" s="68" t="s">
        <v>26</v>
      </c>
      <c r="E705" s="69" t="s">
        <v>27</v>
      </c>
      <c r="F705" s="20" t="s">
        <v>533</v>
      </c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</row>
    <row r="706" spans="2:18" ht="13">
      <c r="B706" s="21"/>
      <c r="C706" s="22"/>
      <c r="D706" s="68" t="s">
        <v>17</v>
      </c>
      <c r="E706" s="69" t="s">
        <v>27</v>
      </c>
      <c r="F706" s="20" t="s">
        <v>533</v>
      </c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</row>
    <row r="707" spans="2:18" ht="13">
      <c r="B707" s="21"/>
      <c r="C707" s="22"/>
      <c r="D707" s="68" t="s">
        <v>557</v>
      </c>
      <c r="E707" s="69" t="s">
        <v>121</v>
      </c>
      <c r="F707" s="20" t="s">
        <v>533</v>
      </c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</row>
    <row r="708" spans="2:18" ht="13">
      <c r="B708" s="21"/>
      <c r="C708" s="22"/>
      <c r="D708" s="68" t="s">
        <v>17</v>
      </c>
      <c r="E708" s="69" t="s">
        <v>27</v>
      </c>
      <c r="F708" s="20" t="s">
        <v>533</v>
      </c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</row>
    <row r="709" spans="2:18" ht="13">
      <c r="B709" s="21"/>
      <c r="C709" s="22"/>
      <c r="D709" s="68" t="s">
        <v>595</v>
      </c>
      <c r="E709" s="69" t="s">
        <v>124</v>
      </c>
      <c r="F709" s="20" t="s">
        <v>533</v>
      </c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</row>
    <row r="710" spans="2:18" ht="13">
      <c r="B710" s="21"/>
      <c r="C710" s="22"/>
      <c r="D710" s="68" t="s">
        <v>577</v>
      </c>
      <c r="E710" s="69" t="s">
        <v>124</v>
      </c>
      <c r="F710" s="20" t="s">
        <v>533</v>
      </c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</row>
    <row r="711" spans="2:18" ht="13">
      <c r="B711" s="21"/>
      <c r="C711" s="22"/>
      <c r="D711" s="68" t="s">
        <v>17</v>
      </c>
      <c r="E711" s="69" t="s">
        <v>27</v>
      </c>
      <c r="F711" s="20" t="s">
        <v>533</v>
      </c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</row>
    <row r="712" spans="2:18" ht="13">
      <c r="B712" s="21"/>
      <c r="C712" s="22"/>
      <c r="D712" s="68" t="s">
        <v>17</v>
      </c>
      <c r="E712" s="69" t="s">
        <v>27</v>
      </c>
      <c r="F712" s="20" t="s">
        <v>533</v>
      </c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</row>
    <row r="713" spans="2:18" ht="13">
      <c r="B713" s="21"/>
      <c r="C713" s="22"/>
      <c r="D713" s="68" t="s">
        <v>557</v>
      </c>
      <c r="E713" s="69" t="s">
        <v>121</v>
      </c>
      <c r="F713" s="20" t="s">
        <v>533</v>
      </c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</row>
    <row r="714" spans="2:18" ht="13">
      <c r="B714" s="21"/>
      <c r="C714" s="22"/>
      <c r="D714" s="68" t="s">
        <v>623</v>
      </c>
      <c r="E714" s="69" t="s">
        <v>121</v>
      </c>
      <c r="F714" s="20" t="s">
        <v>533</v>
      </c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</row>
    <row r="715" spans="2:18" ht="13">
      <c r="B715" s="21"/>
      <c r="C715" s="22"/>
      <c r="D715" s="68" t="s">
        <v>26</v>
      </c>
      <c r="E715" s="69" t="s">
        <v>27</v>
      </c>
      <c r="F715" s="20" t="s">
        <v>533</v>
      </c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</row>
    <row r="716" spans="2:18" ht="13">
      <c r="B716" s="21"/>
      <c r="C716" s="22"/>
      <c r="D716" s="68" t="s">
        <v>588</v>
      </c>
      <c r="E716" s="69" t="s">
        <v>37</v>
      </c>
      <c r="F716" s="20" t="s">
        <v>533</v>
      </c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</row>
    <row r="717" spans="2:18" ht="13">
      <c r="B717" s="21"/>
      <c r="C717" s="22"/>
      <c r="D717" s="68" t="s">
        <v>174</v>
      </c>
      <c r="E717" s="69" t="s">
        <v>379</v>
      </c>
      <c r="F717" s="20" t="s">
        <v>533</v>
      </c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</row>
    <row r="718" spans="2:18" ht="13">
      <c r="B718" s="21"/>
      <c r="C718" s="22"/>
      <c r="D718" s="68" t="s">
        <v>574</v>
      </c>
      <c r="E718" s="69" t="s">
        <v>575</v>
      </c>
      <c r="F718" s="20" t="s">
        <v>533</v>
      </c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</row>
    <row r="719" spans="2:18" ht="13">
      <c r="B719" s="21"/>
      <c r="C719" s="22"/>
      <c r="D719" s="68" t="s">
        <v>624</v>
      </c>
      <c r="E719" s="69" t="s">
        <v>32</v>
      </c>
      <c r="F719" s="20" t="s">
        <v>533</v>
      </c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</row>
    <row r="720" spans="2:18" ht="13">
      <c r="B720" s="21"/>
      <c r="C720" s="22"/>
      <c r="D720" s="68" t="s">
        <v>17</v>
      </c>
      <c r="E720" s="69" t="s">
        <v>27</v>
      </c>
      <c r="F720" s="20" t="s">
        <v>533</v>
      </c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</row>
    <row r="721" spans="2:18" ht="13">
      <c r="B721" s="21"/>
      <c r="C721" s="22"/>
      <c r="D721" s="68" t="s">
        <v>17</v>
      </c>
      <c r="E721" s="69" t="s">
        <v>27</v>
      </c>
      <c r="F721" s="20" t="s">
        <v>533</v>
      </c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</row>
    <row r="722" spans="2:18" ht="13">
      <c r="B722" s="21"/>
      <c r="C722" s="22"/>
      <c r="D722" s="68" t="s">
        <v>17</v>
      </c>
      <c r="E722" s="69" t="s">
        <v>27</v>
      </c>
      <c r="F722" s="20" t="s">
        <v>533</v>
      </c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</row>
    <row r="723" spans="2:18" ht="13">
      <c r="B723" s="21"/>
      <c r="C723" s="22"/>
      <c r="D723" s="68" t="s">
        <v>17</v>
      </c>
      <c r="E723" s="69" t="s">
        <v>27</v>
      </c>
      <c r="F723" s="20" t="s">
        <v>533</v>
      </c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</row>
    <row r="724" spans="2:18" ht="13">
      <c r="B724" s="21"/>
      <c r="C724" s="22"/>
      <c r="D724" s="68" t="s">
        <v>86</v>
      </c>
      <c r="E724" s="69" t="s">
        <v>121</v>
      </c>
      <c r="F724" s="20" t="s">
        <v>533</v>
      </c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</row>
    <row r="725" spans="2:18" ht="13">
      <c r="B725" s="21"/>
      <c r="C725" s="22"/>
      <c r="D725" s="68" t="s">
        <v>17</v>
      </c>
      <c r="E725" s="69" t="s">
        <v>27</v>
      </c>
      <c r="F725" s="20" t="s">
        <v>533</v>
      </c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</row>
    <row r="726" spans="2:18" ht="13">
      <c r="B726" s="21"/>
      <c r="C726" s="22"/>
      <c r="D726" s="68" t="s">
        <v>17</v>
      </c>
      <c r="E726" s="69" t="s">
        <v>27</v>
      </c>
      <c r="F726" s="20" t="s">
        <v>533</v>
      </c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</row>
    <row r="727" spans="2:18" ht="13">
      <c r="B727" s="21"/>
      <c r="C727" s="22"/>
      <c r="D727" s="68" t="s">
        <v>26</v>
      </c>
      <c r="E727" s="69" t="s">
        <v>27</v>
      </c>
      <c r="F727" s="20" t="s">
        <v>533</v>
      </c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</row>
    <row r="728" spans="2:18" ht="13">
      <c r="B728" s="21"/>
      <c r="C728" s="22"/>
      <c r="D728" s="68" t="s">
        <v>26</v>
      </c>
      <c r="E728" s="69" t="s">
        <v>27</v>
      </c>
      <c r="F728" s="20" t="s">
        <v>533</v>
      </c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</row>
    <row r="729" spans="2:18" ht="13">
      <c r="B729" s="21"/>
      <c r="C729" s="22"/>
      <c r="D729" s="68" t="s">
        <v>17</v>
      </c>
      <c r="E729" s="69" t="s">
        <v>27</v>
      </c>
      <c r="F729" s="20" t="s">
        <v>533</v>
      </c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</row>
    <row r="730" spans="2:18" ht="13">
      <c r="B730" s="21"/>
      <c r="C730" s="22"/>
      <c r="D730" s="68" t="s">
        <v>26</v>
      </c>
      <c r="E730" s="69" t="s">
        <v>27</v>
      </c>
      <c r="F730" s="20" t="s">
        <v>533</v>
      </c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</row>
    <row r="731" spans="2:18" ht="13">
      <c r="B731" s="21"/>
      <c r="C731" s="22"/>
      <c r="D731" s="68" t="s">
        <v>17</v>
      </c>
      <c r="E731" s="69" t="s">
        <v>27</v>
      </c>
      <c r="F731" s="20" t="s">
        <v>533</v>
      </c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</row>
    <row r="732" spans="2:18" ht="13">
      <c r="B732" s="21"/>
      <c r="C732" s="22"/>
      <c r="D732" s="68" t="s">
        <v>26</v>
      </c>
      <c r="E732" s="69" t="s">
        <v>27</v>
      </c>
      <c r="F732" s="20" t="s">
        <v>533</v>
      </c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</row>
    <row r="733" spans="2:18" ht="13">
      <c r="B733" s="21"/>
      <c r="C733" s="22"/>
      <c r="D733" s="68" t="s">
        <v>625</v>
      </c>
      <c r="E733" s="69" t="s">
        <v>626</v>
      </c>
      <c r="F733" s="20" t="s">
        <v>533</v>
      </c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</row>
    <row r="734" spans="2:18" ht="13">
      <c r="B734" s="21"/>
      <c r="C734" s="22"/>
      <c r="D734" s="68" t="s">
        <v>625</v>
      </c>
      <c r="E734" s="69" t="s">
        <v>626</v>
      </c>
      <c r="F734" s="20" t="s">
        <v>533</v>
      </c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</row>
    <row r="735" spans="2:18" ht="13">
      <c r="B735" s="21"/>
      <c r="C735" s="22"/>
      <c r="D735" s="68" t="s">
        <v>17</v>
      </c>
      <c r="E735" s="69" t="s">
        <v>27</v>
      </c>
      <c r="F735" s="20" t="s">
        <v>533</v>
      </c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</row>
    <row r="736" spans="2:18" ht="13">
      <c r="B736" s="21"/>
      <c r="C736" s="22"/>
      <c r="D736" s="68" t="s">
        <v>17</v>
      </c>
      <c r="E736" s="69" t="s">
        <v>27</v>
      </c>
      <c r="F736" s="20" t="s">
        <v>533</v>
      </c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</row>
    <row r="737" spans="2:18" ht="13">
      <c r="B737" s="21"/>
      <c r="C737" s="22"/>
      <c r="D737" s="68" t="s">
        <v>17</v>
      </c>
      <c r="E737" s="69" t="s">
        <v>27</v>
      </c>
      <c r="F737" s="20" t="s">
        <v>533</v>
      </c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</row>
    <row r="738" spans="2:18" ht="13">
      <c r="B738" s="21"/>
      <c r="C738" s="22"/>
      <c r="D738" s="68" t="s">
        <v>174</v>
      </c>
      <c r="E738" s="69" t="s">
        <v>175</v>
      </c>
      <c r="F738" s="20" t="s">
        <v>533</v>
      </c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</row>
    <row r="739" spans="2:18" ht="13">
      <c r="B739" s="21"/>
      <c r="C739" s="22"/>
      <c r="D739" s="68" t="s">
        <v>162</v>
      </c>
      <c r="E739" s="69" t="s">
        <v>163</v>
      </c>
      <c r="F739" s="20" t="s">
        <v>533</v>
      </c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</row>
    <row r="740" spans="2:18" ht="13">
      <c r="B740" s="21"/>
      <c r="C740" s="22"/>
      <c r="D740" s="68" t="s">
        <v>53</v>
      </c>
      <c r="E740" s="69" t="s">
        <v>32</v>
      </c>
      <c r="F740" s="20" t="s">
        <v>533</v>
      </c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</row>
    <row r="741" spans="2:18" ht="13">
      <c r="B741" s="21"/>
      <c r="C741" s="22"/>
      <c r="D741" s="68" t="s">
        <v>17</v>
      </c>
      <c r="E741" s="69" t="s">
        <v>27</v>
      </c>
      <c r="F741" s="20" t="s">
        <v>533</v>
      </c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</row>
    <row r="742" spans="2:18" ht="13">
      <c r="B742" s="21"/>
      <c r="C742" s="22"/>
      <c r="D742" s="68" t="s">
        <v>17</v>
      </c>
      <c r="E742" s="69" t="s">
        <v>27</v>
      </c>
      <c r="F742" s="20" t="s">
        <v>533</v>
      </c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</row>
    <row r="743" spans="2:18" ht="13">
      <c r="B743" s="21"/>
      <c r="C743" s="22"/>
      <c r="D743" s="68" t="s">
        <v>17</v>
      </c>
      <c r="E743" s="69" t="s">
        <v>27</v>
      </c>
      <c r="F743" s="20" t="s">
        <v>533</v>
      </c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</row>
    <row r="744" spans="2:18" ht="13">
      <c r="B744" s="21"/>
      <c r="C744" s="22"/>
      <c r="D744" s="68" t="s">
        <v>17</v>
      </c>
      <c r="E744" s="69" t="s">
        <v>27</v>
      </c>
      <c r="F744" s="20" t="s">
        <v>533</v>
      </c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</row>
    <row r="745" spans="2:18" ht="13">
      <c r="B745" s="21"/>
      <c r="C745" s="22"/>
      <c r="D745" s="68" t="s">
        <v>262</v>
      </c>
      <c r="E745" s="69" t="s">
        <v>27</v>
      </c>
      <c r="F745" s="20" t="s">
        <v>533</v>
      </c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</row>
    <row r="746" spans="2:18" ht="13">
      <c r="B746" s="21"/>
      <c r="C746" s="22"/>
      <c r="D746" s="68" t="s">
        <v>17</v>
      </c>
      <c r="E746" s="69" t="s">
        <v>27</v>
      </c>
      <c r="F746" s="20" t="s">
        <v>533</v>
      </c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</row>
    <row r="747" spans="2:18" ht="13">
      <c r="B747" s="21"/>
      <c r="C747" s="22"/>
      <c r="D747" s="68" t="s">
        <v>17</v>
      </c>
      <c r="E747" s="69" t="s">
        <v>27</v>
      </c>
      <c r="F747" s="20" t="s">
        <v>533</v>
      </c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</row>
    <row r="748" spans="2:18" ht="13">
      <c r="B748" s="21"/>
      <c r="C748" s="22"/>
      <c r="D748" s="68" t="s">
        <v>17</v>
      </c>
      <c r="E748" s="69" t="s">
        <v>27</v>
      </c>
      <c r="F748" s="20" t="s">
        <v>533</v>
      </c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</row>
    <row r="749" spans="2:18" ht="13">
      <c r="B749" s="21"/>
      <c r="C749" s="22"/>
      <c r="D749" s="68" t="s">
        <v>17</v>
      </c>
      <c r="E749" s="69" t="s">
        <v>27</v>
      </c>
      <c r="F749" s="20" t="s">
        <v>533</v>
      </c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</row>
    <row r="750" spans="2:18" ht="13">
      <c r="B750" s="21"/>
      <c r="C750" s="22"/>
      <c r="D750" s="68" t="s">
        <v>590</v>
      </c>
      <c r="E750" s="69" t="s">
        <v>32</v>
      </c>
      <c r="F750" s="20" t="s">
        <v>533</v>
      </c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</row>
    <row r="751" spans="2:18" ht="13">
      <c r="B751" s="21"/>
      <c r="C751" s="22"/>
      <c r="D751" s="68" t="s">
        <v>571</v>
      </c>
      <c r="E751" s="69" t="s">
        <v>163</v>
      </c>
      <c r="F751" s="20" t="s">
        <v>533</v>
      </c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</row>
    <row r="752" spans="2:18" ht="13">
      <c r="B752" s="21"/>
      <c r="C752" s="22"/>
      <c r="D752" s="68" t="s">
        <v>627</v>
      </c>
      <c r="E752" s="69" t="s">
        <v>37</v>
      </c>
      <c r="F752" s="20" t="s">
        <v>533</v>
      </c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</row>
    <row r="753" spans="2:18" ht="13">
      <c r="B753" s="21"/>
      <c r="C753" s="22"/>
      <c r="D753" s="68" t="s">
        <v>262</v>
      </c>
      <c r="E753" s="69" t="s">
        <v>27</v>
      </c>
      <c r="F753" s="20" t="s">
        <v>533</v>
      </c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</row>
    <row r="754" spans="2:18" ht="13">
      <c r="B754" s="21"/>
      <c r="C754" s="22"/>
      <c r="D754" s="68" t="s">
        <v>26</v>
      </c>
      <c r="E754" s="69" t="s">
        <v>27</v>
      </c>
      <c r="F754" s="20" t="s">
        <v>533</v>
      </c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</row>
    <row r="755" spans="2:18" ht="13">
      <c r="B755" s="21"/>
      <c r="C755" s="22"/>
      <c r="D755" s="68" t="s">
        <v>17</v>
      </c>
      <c r="E755" s="69" t="s">
        <v>27</v>
      </c>
      <c r="F755" s="20" t="s">
        <v>533</v>
      </c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</row>
    <row r="756" spans="2:18" ht="13">
      <c r="B756" s="21"/>
      <c r="C756" s="22"/>
      <c r="D756" s="68" t="s">
        <v>17</v>
      </c>
      <c r="E756" s="69" t="s">
        <v>27</v>
      </c>
      <c r="F756" s="20" t="s">
        <v>533</v>
      </c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</row>
    <row r="757" spans="2:18" ht="13">
      <c r="B757" s="21"/>
      <c r="C757" s="22"/>
      <c r="D757" s="68" t="s">
        <v>17</v>
      </c>
      <c r="E757" s="69" t="s">
        <v>27</v>
      </c>
      <c r="F757" s="20" t="s">
        <v>533</v>
      </c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</row>
    <row r="758" spans="2:18" ht="13">
      <c r="B758" s="21"/>
      <c r="C758" s="22"/>
      <c r="D758" s="68" t="s">
        <v>17</v>
      </c>
      <c r="E758" s="69" t="s">
        <v>27</v>
      </c>
      <c r="F758" s="20" t="s">
        <v>533</v>
      </c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</row>
    <row r="759" spans="2:18" ht="13">
      <c r="B759" s="21"/>
      <c r="C759" s="22"/>
      <c r="D759" s="68" t="s">
        <v>17</v>
      </c>
      <c r="E759" s="69" t="s">
        <v>27</v>
      </c>
      <c r="F759" s="20" t="s">
        <v>533</v>
      </c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</row>
    <row r="760" spans="2:18" ht="13">
      <c r="B760" s="21"/>
      <c r="C760" s="22"/>
      <c r="D760" s="68" t="s">
        <v>616</v>
      </c>
      <c r="E760" s="69" t="s">
        <v>163</v>
      </c>
      <c r="F760" s="20" t="s">
        <v>533</v>
      </c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</row>
    <row r="761" spans="2:18" ht="13">
      <c r="B761" s="21"/>
      <c r="C761" s="22"/>
      <c r="D761" s="68" t="s">
        <v>577</v>
      </c>
      <c r="E761" s="69" t="s">
        <v>124</v>
      </c>
      <c r="F761" s="20" t="s">
        <v>533</v>
      </c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</row>
    <row r="762" spans="2:18" ht="13">
      <c r="B762" s="21"/>
      <c r="C762" s="22"/>
      <c r="D762" s="68" t="s">
        <v>168</v>
      </c>
      <c r="E762" s="69" t="s">
        <v>27</v>
      </c>
      <c r="F762" s="20" t="s">
        <v>533</v>
      </c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</row>
    <row r="763" spans="2:18" ht="13">
      <c r="B763" s="21"/>
      <c r="C763" s="22"/>
      <c r="D763" s="68" t="s">
        <v>17</v>
      </c>
      <c r="E763" s="69" t="s">
        <v>27</v>
      </c>
      <c r="F763" s="20" t="s">
        <v>533</v>
      </c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</row>
    <row r="764" spans="2:18" ht="13">
      <c r="B764" s="21"/>
      <c r="C764" s="22"/>
      <c r="D764" s="68" t="s">
        <v>26</v>
      </c>
      <c r="E764" s="69" t="s">
        <v>27</v>
      </c>
      <c r="F764" s="20" t="s">
        <v>533</v>
      </c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</row>
    <row r="765" spans="2:18" ht="13">
      <c r="B765" s="21"/>
      <c r="C765" s="22"/>
      <c r="D765" s="68" t="s">
        <v>17</v>
      </c>
      <c r="E765" s="69" t="s">
        <v>27</v>
      </c>
      <c r="F765" s="20" t="s">
        <v>533</v>
      </c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</row>
    <row r="766" spans="2:18" ht="13">
      <c r="B766" s="21"/>
      <c r="C766" s="22"/>
      <c r="D766" s="68" t="s">
        <v>17</v>
      </c>
      <c r="E766" s="69" t="s">
        <v>27</v>
      </c>
      <c r="F766" s="20" t="s">
        <v>533</v>
      </c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</row>
    <row r="767" spans="2:18" ht="13">
      <c r="B767" s="21"/>
      <c r="C767" s="22"/>
      <c r="D767" s="68" t="s">
        <v>36</v>
      </c>
      <c r="E767" s="69" t="s">
        <v>37</v>
      </c>
      <c r="F767" s="20" t="s">
        <v>533</v>
      </c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</row>
    <row r="768" spans="2:18" ht="13">
      <c r="B768" s="21"/>
      <c r="C768" s="22"/>
      <c r="D768" s="68" t="s">
        <v>17</v>
      </c>
      <c r="E768" s="69" t="s">
        <v>27</v>
      </c>
      <c r="F768" s="20" t="s">
        <v>533</v>
      </c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</row>
    <row r="769" spans="2:18" ht="13">
      <c r="B769" s="21"/>
      <c r="C769" s="22"/>
      <c r="D769" s="68" t="s">
        <v>26</v>
      </c>
      <c r="E769" s="69" t="s">
        <v>27</v>
      </c>
      <c r="F769" s="20" t="s">
        <v>533</v>
      </c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</row>
    <row r="770" spans="2:18" ht="13">
      <c r="B770" s="21"/>
      <c r="C770" s="22"/>
      <c r="D770" s="68" t="s">
        <v>17</v>
      </c>
      <c r="E770" s="69" t="s">
        <v>27</v>
      </c>
      <c r="F770" s="20" t="s">
        <v>533</v>
      </c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</row>
    <row r="771" spans="2:18" ht="13">
      <c r="B771" s="21"/>
      <c r="C771" s="22"/>
      <c r="D771" s="68" t="s">
        <v>17</v>
      </c>
      <c r="E771" s="69" t="s">
        <v>27</v>
      </c>
      <c r="F771" s="20" t="s">
        <v>533</v>
      </c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</row>
    <row r="772" spans="2:18" ht="13">
      <c r="B772" s="21"/>
      <c r="C772" s="22"/>
      <c r="D772" s="68" t="s">
        <v>26</v>
      </c>
      <c r="E772" s="69" t="s">
        <v>27</v>
      </c>
      <c r="F772" s="20" t="s">
        <v>533</v>
      </c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</row>
    <row r="773" spans="2:18" ht="13">
      <c r="B773" s="21"/>
      <c r="C773" s="22"/>
      <c r="D773" s="68" t="s">
        <v>17</v>
      </c>
      <c r="E773" s="69" t="s">
        <v>27</v>
      </c>
      <c r="F773" s="20" t="s">
        <v>533</v>
      </c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</row>
    <row r="774" spans="2:18" ht="13">
      <c r="B774" s="21"/>
      <c r="C774" s="22"/>
      <c r="D774" s="68" t="s">
        <v>17</v>
      </c>
      <c r="E774" s="69" t="s">
        <v>27</v>
      </c>
      <c r="F774" s="20" t="s">
        <v>533</v>
      </c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</row>
    <row r="775" spans="2:18" ht="13">
      <c r="B775" s="21"/>
      <c r="C775" s="22"/>
      <c r="D775" s="68" t="s">
        <v>17</v>
      </c>
      <c r="E775" s="69" t="s">
        <v>27</v>
      </c>
      <c r="F775" s="20" t="s">
        <v>533</v>
      </c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</row>
    <row r="776" spans="2:18" ht="13">
      <c r="B776" s="21"/>
      <c r="C776" s="22"/>
      <c r="D776" s="68" t="s">
        <v>17</v>
      </c>
      <c r="E776" s="69" t="s">
        <v>27</v>
      </c>
      <c r="F776" s="20" t="s">
        <v>533</v>
      </c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</row>
    <row r="777" spans="2:18" ht="13">
      <c r="B777" s="21"/>
      <c r="C777" s="22"/>
      <c r="D777" s="68" t="s">
        <v>590</v>
      </c>
      <c r="E777" s="69" t="s">
        <v>32</v>
      </c>
      <c r="F777" s="20" t="s">
        <v>533</v>
      </c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</row>
    <row r="778" spans="2:18" ht="13">
      <c r="B778" s="21"/>
      <c r="C778" s="22"/>
      <c r="D778" s="68" t="s">
        <v>17</v>
      </c>
      <c r="E778" s="69" t="s">
        <v>27</v>
      </c>
      <c r="F778" s="20" t="s">
        <v>533</v>
      </c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</row>
    <row r="779" spans="2:18" ht="13">
      <c r="B779" s="21"/>
      <c r="C779" s="22"/>
      <c r="D779" s="68" t="s">
        <v>618</v>
      </c>
      <c r="E779" s="69" t="s">
        <v>121</v>
      </c>
      <c r="F779" s="20" t="s">
        <v>533</v>
      </c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</row>
    <row r="780" spans="2:18" ht="13">
      <c r="B780" s="21"/>
      <c r="C780" s="22"/>
      <c r="D780" s="68" t="s">
        <v>26</v>
      </c>
      <c r="E780" s="69" t="s">
        <v>628</v>
      </c>
      <c r="F780" s="20" t="s">
        <v>533</v>
      </c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</row>
    <row r="781" spans="2:18" ht="13">
      <c r="B781" s="21"/>
      <c r="C781" s="22"/>
      <c r="D781" s="68" t="s">
        <v>26</v>
      </c>
      <c r="E781" s="69" t="s">
        <v>27</v>
      </c>
      <c r="F781" s="20" t="s">
        <v>533</v>
      </c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</row>
    <row r="782" spans="2:18" ht="13">
      <c r="B782" s="21"/>
      <c r="C782" s="22"/>
      <c r="D782" s="68" t="s">
        <v>404</v>
      </c>
      <c r="E782" s="69" t="s">
        <v>32</v>
      </c>
      <c r="F782" s="20" t="s">
        <v>533</v>
      </c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</row>
    <row r="783" spans="2:18" ht="13">
      <c r="B783" s="21"/>
      <c r="C783" s="22"/>
      <c r="D783" s="68" t="s">
        <v>36</v>
      </c>
      <c r="E783" s="69" t="s">
        <v>37</v>
      </c>
      <c r="F783" s="20" t="s">
        <v>533</v>
      </c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</row>
    <row r="784" spans="2:18" ht="13">
      <c r="B784" s="21"/>
      <c r="C784" s="22"/>
      <c r="D784" s="68" t="s">
        <v>17</v>
      </c>
      <c r="E784" s="69" t="s">
        <v>27</v>
      </c>
      <c r="F784" s="20" t="s">
        <v>533</v>
      </c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</row>
    <row r="785" spans="2:18" ht="13">
      <c r="B785" s="21"/>
      <c r="C785" s="22"/>
      <c r="D785" s="68" t="s">
        <v>17</v>
      </c>
      <c r="E785" s="69" t="s">
        <v>27</v>
      </c>
      <c r="F785" s="20" t="s">
        <v>533</v>
      </c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</row>
    <row r="786" spans="2:18" ht="13">
      <c r="B786" s="21"/>
      <c r="C786" s="22"/>
      <c r="D786" s="68" t="s">
        <v>17</v>
      </c>
      <c r="E786" s="69" t="s">
        <v>27</v>
      </c>
      <c r="F786" s="20" t="s">
        <v>533</v>
      </c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</row>
    <row r="787" spans="2:18" ht="13">
      <c r="B787" s="21"/>
      <c r="C787" s="22"/>
      <c r="D787" s="68" t="s">
        <v>36</v>
      </c>
      <c r="E787" s="69" t="s">
        <v>37</v>
      </c>
      <c r="F787" s="20" t="s">
        <v>533</v>
      </c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</row>
    <row r="788" spans="2:18" ht="13">
      <c r="B788" s="21"/>
      <c r="C788" s="22"/>
      <c r="D788" s="68" t="s">
        <v>17</v>
      </c>
      <c r="E788" s="69" t="s">
        <v>27</v>
      </c>
      <c r="F788" s="20" t="s">
        <v>533</v>
      </c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</row>
    <row r="789" spans="2:18" ht="13">
      <c r="B789" s="21"/>
      <c r="C789" s="22"/>
      <c r="D789" s="68" t="s">
        <v>17</v>
      </c>
      <c r="E789" s="69" t="s">
        <v>27</v>
      </c>
      <c r="F789" s="20" t="s">
        <v>533</v>
      </c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</row>
    <row r="790" spans="2:18" ht="13">
      <c r="B790" s="21"/>
      <c r="C790" s="22"/>
      <c r="D790" s="68" t="s">
        <v>17</v>
      </c>
      <c r="E790" s="69" t="s">
        <v>27</v>
      </c>
      <c r="F790" s="20" t="s">
        <v>533</v>
      </c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</row>
    <row r="791" spans="2:18" ht="13">
      <c r="B791" s="21"/>
      <c r="C791" s="22"/>
      <c r="D791" s="68" t="s">
        <v>17</v>
      </c>
      <c r="E791" s="69" t="s">
        <v>27</v>
      </c>
      <c r="F791" s="20" t="s">
        <v>533</v>
      </c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</row>
    <row r="792" spans="2:18" ht="13">
      <c r="B792" s="21"/>
      <c r="C792" s="22"/>
      <c r="D792" s="68" t="s">
        <v>17</v>
      </c>
      <c r="E792" s="69" t="s">
        <v>27</v>
      </c>
      <c r="F792" s="20" t="s">
        <v>533</v>
      </c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</row>
    <row r="793" spans="2:18" ht="13">
      <c r="B793" s="21"/>
      <c r="C793" s="22"/>
      <c r="D793" s="68" t="s">
        <v>17</v>
      </c>
      <c r="E793" s="69" t="s">
        <v>18</v>
      </c>
      <c r="F793" s="20" t="s">
        <v>533</v>
      </c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</row>
    <row r="794" spans="2:18" ht="13">
      <c r="B794" s="21"/>
      <c r="C794" s="22"/>
      <c r="D794" s="68" t="s">
        <v>17</v>
      </c>
      <c r="E794" s="69" t="s">
        <v>27</v>
      </c>
      <c r="F794" s="20" t="s">
        <v>533</v>
      </c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</row>
    <row r="795" spans="2:18" ht="13">
      <c r="B795" s="21"/>
      <c r="C795" s="22"/>
      <c r="D795" s="68" t="s">
        <v>17</v>
      </c>
      <c r="E795" s="69" t="s">
        <v>27</v>
      </c>
      <c r="F795" s="20" t="s">
        <v>533</v>
      </c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</row>
    <row r="796" spans="2:18" ht="13">
      <c r="B796" s="21"/>
      <c r="C796" s="22"/>
      <c r="D796" s="68" t="s">
        <v>17</v>
      </c>
      <c r="E796" s="69" t="s">
        <v>27</v>
      </c>
      <c r="F796" s="20" t="s">
        <v>533</v>
      </c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</row>
    <row r="797" spans="2:18" ht="13">
      <c r="B797" s="21"/>
      <c r="C797" s="22"/>
      <c r="D797" s="68" t="s">
        <v>262</v>
      </c>
      <c r="E797" s="69" t="s">
        <v>27</v>
      </c>
      <c r="F797" s="20" t="s">
        <v>533</v>
      </c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</row>
    <row r="798" spans="2:18" ht="13">
      <c r="B798" s="21"/>
      <c r="C798" s="22"/>
      <c r="D798" s="68" t="s">
        <v>573</v>
      </c>
      <c r="E798" s="69" t="s">
        <v>121</v>
      </c>
      <c r="F798" s="20" t="s">
        <v>533</v>
      </c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</row>
    <row r="799" spans="2:18" ht="13">
      <c r="B799" s="21"/>
      <c r="C799" s="22"/>
      <c r="D799" s="68" t="s">
        <v>577</v>
      </c>
      <c r="E799" s="69" t="s">
        <v>124</v>
      </c>
      <c r="F799" s="20" t="s">
        <v>533</v>
      </c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</row>
    <row r="800" spans="2:18" ht="13">
      <c r="B800" s="21"/>
      <c r="C800" s="22"/>
      <c r="D800" s="68" t="s">
        <v>577</v>
      </c>
      <c r="E800" s="69" t="s">
        <v>124</v>
      </c>
      <c r="F800" s="20" t="s">
        <v>533</v>
      </c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</row>
    <row r="801" spans="2:18" ht="13">
      <c r="B801" s="21"/>
      <c r="C801" s="22"/>
      <c r="D801" s="68" t="s">
        <v>290</v>
      </c>
      <c r="E801" s="69" t="s">
        <v>32</v>
      </c>
      <c r="F801" s="20" t="s">
        <v>533</v>
      </c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</row>
    <row r="802" spans="2:18" ht="13">
      <c r="B802" s="21"/>
      <c r="C802" s="22"/>
      <c r="D802" s="68" t="s">
        <v>572</v>
      </c>
      <c r="E802" s="69" t="s">
        <v>32</v>
      </c>
      <c r="F802" s="20" t="s">
        <v>533</v>
      </c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</row>
    <row r="803" spans="2:18" ht="13">
      <c r="B803" s="21"/>
      <c r="C803" s="22"/>
      <c r="D803" s="68" t="s">
        <v>569</v>
      </c>
      <c r="E803" s="69" t="s">
        <v>32</v>
      </c>
      <c r="F803" s="20" t="s">
        <v>533</v>
      </c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</row>
    <row r="804" spans="2:18" ht="13">
      <c r="B804" s="21"/>
      <c r="C804" s="22"/>
      <c r="D804" s="68" t="s">
        <v>17</v>
      </c>
      <c r="E804" s="69" t="s">
        <v>27</v>
      </c>
      <c r="F804" s="20" t="s">
        <v>533</v>
      </c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</row>
    <row r="805" spans="2:18" ht="13">
      <c r="B805" s="21"/>
      <c r="C805" s="22"/>
      <c r="D805" s="68" t="s">
        <v>17</v>
      </c>
      <c r="E805" s="69" t="s">
        <v>27</v>
      </c>
      <c r="F805" s="20" t="s">
        <v>533</v>
      </c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</row>
    <row r="806" spans="2:18" ht="13">
      <c r="B806" s="21"/>
      <c r="C806" s="22"/>
      <c r="D806" s="68" t="s">
        <v>616</v>
      </c>
      <c r="E806" s="69" t="s">
        <v>163</v>
      </c>
      <c r="F806" s="20" t="s">
        <v>533</v>
      </c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</row>
    <row r="807" spans="2:18" ht="13">
      <c r="B807" s="21"/>
      <c r="C807" s="22"/>
      <c r="D807" s="68" t="s">
        <v>17</v>
      </c>
      <c r="E807" s="69" t="s">
        <v>27</v>
      </c>
      <c r="F807" s="20" t="s">
        <v>533</v>
      </c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</row>
    <row r="808" spans="2:18" ht="13">
      <c r="B808" s="21"/>
      <c r="C808" s="22"/>
      <c r="D808" s="68" t="s">
        <v>17</v>
      </c>
      <c r="E808" s="69" t="s">
        <v>27</v>
      </c>
      <c r="F808" s="20" t="s">
        <v>533</v>
      </c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</row>
    <row r="809" spans="2:18" ht="13">
      <c r="B809" s="21"/>
      <c r="C809" s="22"/>
      <c r="D809" s="68" t="s">
        <v>17</v>
      </c>
      <c r="E809" s="69" t="s">
        <v>27</v>
      </c>
      <c r="F809" s="20" t="s">
        <v>533</v>
      </c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</row>
    <row r="810" spans="2:18" ht="13">
      <c r="B810" s="21"/>
      <c r="C810" s="22"/>
      <c r="D810" s="68" t="s">
        <v>17</v>
      </c>
      <c r="E810" s="69" t="s">
        <v>27</v>
      </c>
      <c r="F810" s="20" t="s">
        <v>533</v>
      </c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</row>
    <row r="811" spans="2:18" ht="13">
      <c r="B811" s="21"/>
      <c r="C811" s="22"/>
      <c r="D811" s="68" t="s">
        <v>26</v>
      </c>
      <c r="E811" s="69" t="s">
        <v>27</v>
      </c>
      <c r="F811" s="20" t="s">
        <v>533</v>
      </c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</row>
    <row r="812" spans="2:18" ht="13">
      <c r="B812" s="21"/>
      <c r="C812" s="22"/>
      <c r="D812" s="68" t="s">
        <v>17</v>
      </c>
      <c r="E812" s="69" t="s">
        <v>27</v>
      </c>
      <c r="F812" s="20" t="s">
        <v>533</v>
      </c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</row>
    <row r="813" spans="2:18" ht="13">
      <c r="B813" s="21"/>
      <c r="C813" s="22"/>
      <c r="D813" s="68" t="s">
        <v>17</v>
      </c>
      <c r="E813" s="69" t="s">
        <v>27</v>
      </c>
      <c r="F813" s="20" t="s">
        <v>533</v>
      </c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</row>
    <row r="814" spans="2:18" ht="13">
      <c r="B814" s="21"/>
      <c r="C814" s="22"/>
      <c r="D814" s="68" t="s">
        <v>17</v>
      </c>
      <c r="E814" s="69" t="s">
        <v>27</v>
      </c>
      <c r="F814" s="20" t="s">
        <v>533</v>
      </c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</row>
    <row r="815" spans="2:18" ht="13">
      <c r="B815" s="21"/>
      <c r="C815" s="22"/>
      <c r="D815" s="68" t="s">
        <v>17</v>
      </c>
      <c r="E815" s="69" t="s">
        <v>27</v>
      </c>
      <c r="F815" s="20" t="s">
        <v>533</v>
      </c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</row>
    <row r="816" spans="2:18" ht="13">
      <c r="B816" s="21"/>
      <c r="C816" s="22"/>
      <c r="D816" s="68" t="s">
        <v>17</v>
      </c>
      <c r="E816" s="69" t="s">
        <v>27</v>
      </c>
      <c r="F816" s="20" t="s">
        <v>533</v>
      </c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</row>
    <row r="817" spans="2:18" ht="13">
      <c r="B817" s="21"/>
      <c r="C817" s="22"/>
      <c r="D817" s="68" t="s">
        <v>86</v>
      </c>
      <c r="E817" s="69" t="s">
        <v>121</v>
      </c>
      <c r="F817" s="20" t="s">
        <v>533</v>
      </c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</row>
    <row r="818" spans="2:18" ht="13">
      <c r="B818" s="21"/>
      <c r="C818" s="22"/>
      <c r="D818" s="68" t="s">
        <v>17</v>
      </c>
      <c r="E818" s="69" t="s">
        <v>27</v>
      </c>
      <c r="F818" s="20" t="s">
        <v>533</v>
      </c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</row>
    <row r="819" spans="2:18" ht="13">
      <c r="B819" s="21"/>
      <c r="C819" s="22"/>
      <c r="D819" s="68" t="s">
        <v>17</v>
      </c>
      <c r="E819" s="69" t="s">
        <v>27</v>
      </c>
      <c r="F819" s="20" t="s">
        <v>533</v>
      </c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</row>
    <row r="820" spans="2:18" ht="13">
      <c r="B820" s="21"/>
      <c r="C820" s="22"/>
      <c r="D820" s="68" t="s">
        <v>577</v>
      </c>
      <c r="E820" s="69" t="s">
        <v>124</v>
      </c>
      <c r="F820" s="20" t="s">
        <v>533</v>
      </c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</row>
    <row r="821" spans="2:18" ht="13">
      <c r="B821" s="21"/>
      <c r="C821" s="22"/>
      <c r="D821" s="68" t="s">
        <v>26</v>
      </c>
      <c r="E821" s="69" t="s">
        <v>27</v>
      </c>
      <c r="F821" s="20" t="s">
        <v>533</v>
      </c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</row>
    <row r="822" spans="2:18" ht="13">
      <c r="B822" s="21"/>
      <c r="C822" s="22"/>
      <c r="D822" s="68" t="s">
        <v>17</v>
      </c>
      <c r="E822" s="69" t="s">
        <v>27</v>
      </c>
      <c r="F822" s="20" t="s">
        <v>533</v>
      </c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</row>
    <row r="823" spans="2:18" ht="13">
      <c r="B823" s="21"/>
      <c r="C823" s="22"/>
      <c r="D823" s="68" t="s">
        <v>26</v>
      </c>
      <c r="E823" s="69" t="s">
        <v>27</v>
      </c>
      <c r="F823" s="20" t="s">
        <v>533</v>
      </c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</row>
    <row r="824" spans="2:18" ht="13">
      <c r="B824" s="21"/>
      <c r="C824" s="22"/>
      <c r="D824" s="68" t="s">
        <v>17</v>
      </c>
      <c r="E824" s="69" t="s">
        <v>27</v>
      </c>
      <c r="F824" s="20" t="s">
        <v>533</v>
      </c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</row>
    <row r="825" spans="2:18" ht="13">
      <c r="B825" s="21"/>
      <c r="C825" s="22"/>
      <c r="D825" s="68" t="s">
        <v>26</v>
      </c>
      <c r="E825" s="69" t="s">
        <v>27</v>
      </c>
      <c r="F825" s="20" t="s">
        <v>533</v>
      </c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</row>
    <row r="826" spans="2:18" ht="13">
      <c r="B826" s="21"/>
      <c r="C826" s="22"/>
      <c r="D826" s="68" t="s">
        <v>17</v>
      </c>
      <c r="E826" s="69" t="s">
        <v>27</v>
      </c>
      <c r="F826" s="20" t="s">
        <v>533</v>
      </c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</row>
    <row r="827" spans="2:18" ht="13">
      <c r="B827" s="21"/>
      <c r="C827" s="22"/>
      <c r="D827" s="68" t="s">
        <v>576</v>
      </c>
      <c r="E827" s="69" t="s">
        <v>124</v>
      </c>
      <c r="F827" s="20" t="s">
        <v>533</v>
      </c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</row>
    <row r="828" spans="2:18" ht="13">
      <c r="B828" s="21"/>
      <c r="C828" s="22"/>
      <c r="D828" s="68" t="s">
        <v>595</v>
      </c>
      <c r="E828" s="69" t="s">
        <v>121</v>
      </c>
      <c r="F828" s="20" t="s">
        <v>533</v>
      </c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</row>
    <row r="829" spans="2:18" ht="13">
      <c r="B829" s="21"/>
      <c r="C829" s="22"/>
      <c r="D829" s="68" t="s">
        <v>17</v>
      </c>
      <c r="E829" s="69" t="s">
        <v>27</v>
      </c>
      <c r="F829" s="20" t="s">
        <v>533</v>
      </c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</row>
    <row r="830" spans="2:18" ht="13">
      <c r="B830" s="21"/>
      <c r="C830" s="22"/>
      <c r="D830" s="68" t="s">
        <v>86</v>
      </c>
      <c r="E830" s="69" t="s">
        <v>124</v>
      </c>
      <c r="F830" s="20" t="s">
        <v>533</v>
      </c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</row>
    <row r="831" spans="2:18" ht="13">
      <c r="B831" s="21"/>
      <c r="C831" s="22"/>
      <c r="D831" s="68" t="s">
        <v>404</v>
      </c>
      <c r="E831" s="69" t="s">
        <v>32</v>
      </c>
      <c r="F831" s="20" t="s">
        <v>533</v>
      </c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</row>
    <row r="832" spans="2:18" ht="13">
      <c r="B832" s="21"/>
      <c r="C832" s="22"/>
      <c r="D832" s="68" t="s">
        <v>86</v>
      </c>
      <c r="E832" s="69" t="s">
        <v>124</v>
      </c>
      <c r="F832" s="20" t="s">
        <v>533</v>
      </c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</row>
    <row r="833" spans="2:18" ht="13">
      <c r="B833" s="21"/>
      <c r="C833" s="22"/>
      <c r="D833" s="68" t="s">
        <v>17</v>
      </c>
      <c r="E833" s="69" t="s">
        <v>27</v>
      </c>
      <c r="F833" s="20" t="s">
        <v>533</v>
      </c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</row>
    <row r="834" spans="2:18" ht="13">
      <c r="B834" s="21"/>
      <c r="C834" s="22"/>
      <c r="D834" s="68" t="s">
        <v>17</v>
      </c>
      <c r="E834" s="69" t="s">
        <v>116</v>
      </c>
      <c r="F834" s="20" t="s">
        <v>533</v>
      </c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</row>
    <row r="835" spans="2:18" ht="13">
      <c r="B835" s="21"/>
      <c r="C835" s="22"/>
      <c r="D835" s="68" t="s">
        <v>571</v>
      </c>
      <c r="E835" s="69" t="s">
        <v>163</v>
      </c>
      <c r="F835" s="20" t="s">
        <v>533</v>
      </c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</row>
    <row r="836" spans="2:18" ht="13">
      <c r="B836" s="21"/>
      <c r="C836" s="22"/>
      <c r="D836" s="68" t="s">
        <v>26</v>
      </c>
      <c r="E836" s="69" t="s">
        <v>27</v>
      </c>
      <c r="F836" s="20" t="s">
        <v>533</v>
      </c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</row>
    <row r="837" spans="2:18" ht="13">
      <c r="B837" s="21"/>
      <c r="C837" s="22"/>
      <c r="D837" s="68" t="s">
        <v>17</v>
      </c>
      <c r="E837" s="69" t="s">
        <v>27</v>
      </c>
      <c r="F837" s="20" t="s">
        <v>533</v>
      </c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</row>
    <row r="838" spans="2:18" ht="13">
      <c r="B838" s="21"/>
      <c r="C838" s="22"/>
      <c r="D838" s="68" t="s">
        <v>26</v>
      </c>
      <c r="E838" s="69" t="s">
        <v>27</v>
      </c>
      <c r="F838" s="20" t="s">
        <v>533</v>
      </c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</row>
    <row r="839" spans="2:18" ht="13">
      <c r="B839" s="21"/>
      <c r="C839" s="22"/>
      <c r="D839" s="68" t="s">
        <v>17</v>
      </c>
      <c r="E839" s="69" t="s">
        <v>27</v>
      </c>
      <c r="F839" s="20" t="s">
        <v>533</v>
      </c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</row>
    <row r="840" spans="2:18" ht="13">
      <c r="B840" s="21"/>
      <c r="C840" s="22"/>
      <c r="D840" s="68" t="s">
        <v>17</v>
      </c>
      <c r="E840" s="69" t="s">
        <v>27</v>
      </c>
      <c r="F840" s="20" t="s">
        <v>533</v>
      </c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</row>
    <row r="841" spans="2:18" ht="13">
      <c r="B841" s="21"/>
      <c r="C841" s="22"/>
      <c r="D841" s="68" t="s">
        <v>17</v>
      </c>
      <c r="E841" s="69" t="s">
        <v>27</v>
      </c>
      <c r="F841" s="20" t="s">
        <v>533</v>
      </c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</row>
    <row r="842" spans="2:18" ht="13">
      <c r="B842" s="21"/>
      <c r="C842" s="22"/>
      <c r="D842" s="68" t="s">
        <v>17</v>
      </c>
      <c r="E842" s="69" t="s">
        <v>27</v>
      </c>
      <c r="F842" s="20" t="s">
        <v>533</v>
      </c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</row>
    <row r="843" spans="2:18" ht="13">
      <c r="B843" s="21"/>
      <c r="C843" s="22"/>
      <c r="D843" s="68" t="s">
        <v>404</v>
      </c>
      <c r="E843" s="69" t="s">
        <v>32</v>
      </c>
      <c r="F843" s="20" t="s">
        <v>533</v>
      </c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</row>
    <row r="844" spans="2:18" ht="13">
      <c r="B844" s="21"/>
      <c r="C844" s="22"/>
      <c r="D844" s="68" t="s">
        <v>17</v>
      </c>
      <c r="E844" s="69" t="s">
        <v>27</v>
      </c>
      <c r="F844" s="20" t="s">
        <v>533</v>
      </c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</row>
    <row r="845" spans="2:18" ht="13">
      <c r="B845" s="21"/>
      <c r="C845" s="22"/>
      <c r="D845" s="68" t="s">
        <v>17</v>
      </c>
      <c r="E845" s="69" t="s">
        <v>27</v>
      </c>
      <c r="F845" s="20" t="s">
        <v>533</v>
      </c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</row>
    <row r="846" spans="2:18" ht="13">
      <c r="B846" s="21"/>
      <c r="C846" s="22"/>
      <c r="D846" s="68" t="s">
        <v>17</v>
      </c>
      <c r="E846" s="69" t="s">
        <v>27</v>
      </c>
      <c r="F846" s="20" t="s">
        <v>533</v>
      </c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</row>
    <row r="847" spans="2:18" ht="13">
      <c r="B847" s="21"/>
      <c r="C847" s="22"/>
      <c r="D847" s="68" t="s">
        <v>17</v>
      </c>
      <c r="E847" s="69" t="s">
        <v>564</v>
      </c>
      <c r="F847" s="20" t="s">
        <v>533</v>
      </c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</row>
    <row r="848" spans="2:18" ht="13">
      <c r="B848" s="21"/>
      <c r="C848" s="22"/>
      <c r="D848" s="68" t="s">
        <v>26</v>
      </c>
      <c r="E848" s="69" t="s">
        <v>27</v>
      </c>
      <c r="F848" s="20" t="s">
        <v>533</v>
      </c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</row>
    <row r="849" spans="2:18" ht="13">
      <c r="B849" s="21"/>
      <c r="C849" s="22"/>
      <c r="D849" s="68" t="s">
        <v>17</v>
      </c>
      <c r="E849" s="69" t="s">
        <v>27</v>
      </c>
      <c r="F849" s="20" t="s">
        <v>533</v>
      </c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</row>
    <row r="850" spans="2:18" ht="13">
      <c r="B850" s="21"/>
      <c r="C850" s="22"/>
      <c r="D850" s="68" t="s">
        <v>17</v>
      </c>
      <c r="E850" s="69" t="s">
        <v>27</v>
      </c>
      <c r="F850" s="20" t="s">
        <v>533</v>
      </c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</row>
    <row r="851" spans="2:18" ht="13">
      <c r="B851" s="21"/>
      <c r="C851" s="22"/>
      <c r="D851" s="68" t="s">
        <v>17</v>
      </c>
      <c r="E851" s="69" t="s">
        <v>27</v>
      </c>
      <c r="F851" s="20" t="s">
        <v>533</v>
      </c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</row>
    <row r="852" spans="2:18" ht="13">
      <c r="B852" s="21"/>
      <c r="C852" s="22"/>
      <c r="D852" s="68" t="s">
        <v>629</v>
      </c>
      <c r="E852" s="69" t="s">
        <v>121</v>
      </c>
      <c r="F852" s="20" t="s">
        <v>533</v>
      </c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</row>
    <row r="853" spans="2:18" ht="13">
      <c r="B853" s="21"/>
      <c r="C853" s="22"/>
      <c r="D853" s="68" t="s">
        <v>26</v>
      </c>
      <c r="E853" s="69" t="s">
        <v>27</v>
      </c>
      <c r="F853" s="20" t="s">
        <v>533</v>
      </c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</row>
    <row r="854" spans="2:18" ht="13">
      <c r="B854" s="21"/>
      <c r="C854" s="22"/>
      <c r="D854" s="68" t="s">
        <v>290</v>
      </c>
      <c r="E854" s="69" t="s">
        <v>32</v>
      </c>
      <c r="F854" s="20" t="s">
        <v>533</v>
      </c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</row>
    <row r="855" spans="2:18" ht="13">
      <c r="B855" s="21"/>
      <c r="C855" s="22"/>
      <c r="D855" s="68" t="s">
        <v>17</v>
      </c>
      <c r="E855" s="69" t="s">
        <v>27</v>
      </c>
      <c r="F855" s="20" t="s">
        <v>533</v>
      </c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</row>
    <row r="856" spans="2:18" ht="13">
      <c r="B856" s="21"/>
      <c r="C856" s="22"/>
      <c r="D856" s="68" t="s">
        <v>607</v>
      </c>
      <c r="E856" s="69" t="s">
        <v>121</v>
      </c>
      <c r="F856" s="20" t="s">
        <v>533</v>
      </c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</row>
    <row r="857" spans="2:18" ht="13">
      <c r="B857" s="21"/>
      <c r="C857" s="22"/>
      <c r="D857" s="68" t="s">
        <v>17</v>
      </c>
      <c r="E857" s="69" t="s">
        <v>27</v>
      </c>
      <c r="F857" s="20" t="s">
        <v>533</v>
      </c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</row>
    <row r="858" spans="2:18" ht="13">
      <c r="B858" s="21"/>
      <c r="C858" s="22"/>
      <c r="D858" s="68" t="s">
        <v>17</v>
      </c>
      <c r="E858" s="69" t="s">
        <v>27</v>
      </c>
      <c r="F858" s="20" t="s">
        <v>533</v>
      </c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</row>
    <row r="859" spans="2:18" ht="13">
      <c r="B859" s="21"/>
      <c r="C859" s="22"/>
      <c r="D859" s="68" t="s">
        <v>17</v>
      </c>
      <c r="E859" s="69" t="s">
        <v>27</v>
      </c>
      <c r="F859" s="20" t="s">
        <v>533</v>
      </c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</row>
    <row r="860" spans="2:18" ht="13">
      <c r="B860" s="21"/>
      <c r="C860" s="22"/>
      <c r="D860" s="68" t="s">
        <v>17</v>
      </c>
      <c r="E860" s="69" t="s">
        <v>27</v>
      </c>
      <c r="F860" s="20" t="s">
        <v>533</v>
      </c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</row>
    <row r="861" spans="2:18" ht="13">
      <c r="B861" s="21"/>
      <c r="C861" s="22"/>
      <c r="D861" s="68" t="s">
        <v>17</v>
      </c>
      <c r="E861" s="69" t="s">
        <v>27</v>
      </c>
      <c r="F861" s="20" t="s">
        <v>533</v>
      </c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</row>
    <row r="862" spans="2:18" ht="13">
      <c r="B862" s="21"/>
      <c r="C862" s="22"/>
      <c r="D862" s="68" t="s">
        <v>26</v>
      </c>
      <c r="E862" s="69" t="s">
        <v>27</v>
      </c>
      <c r="F862" s="20" t="s">
        <v>533</v>
      </c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</row>
    <row r="863" spans="2:18" ht="13">
      <c r="B863" s="21"/>
      <c r="C863" s="22"/>
      <c r="D863" s="68" t="s">
        <v>544</v>
      </c>
      <c r="E863" s="69" t="s">
        <v>121</v>
      </c>
      <c r="F863" s="20" t="s">
        <v>533</v>
      </c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</row>
    <row r="864" spans="2:18" ht="13">
      <c r="B864" s="21"/>
      <c r="C864" s="22"/>
      <c r="D864" s="68" t="s">
        <v>26</v>
      </c>
      <c r="E864" s="69" t="s">
        <v>175</v>
      </c>
      <c r="F864" s="20" t="s">
        <v>533</v>
      </c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</row>
    <row r="865" spans="2:18" ht="13">
      <c r="B865" s="21"/>
      <c r="C865" s="22"/>
      <c r="D865" s="68" t="s">
        <v>17</v>
      </c>
      <c r="E865" s="69" t="s">
        <v>27</v>
      </c>
      <c r="F865" s="20" t="s">
        <v>533</v>
      </c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</row>
    <row r="866" spans="2:18" ht="13">
      <c r="B866" s="21"/>
      <c r="C866" s="22"/>
      <c r="D866" s="68" t="s">
        <v>26</v>
      </c>
      <c r="E866" s="69" t="s">
        <v>27</v>
      </c>
      <c r="F866" s="20" t="s">
        <v>533</v>
      </c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</row>
    <row r="867" spans="2:18" ht="13">
      <c r="B867" s="21"/>
      <c r="C867" s="22"/>
      <c r="D867" s="68" t="s">
        <v>17</v>
      </c>
      <c r="E867" s="69" t="s">
        <v>27</v>
      </c>
      <c r="F867" s="20" t="s">
        <v>533</v>
      </c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</row>
    <row r="868" spans="2:18" ht="13">
      <c r="B868" s="21"/>
      <c r="C868" s="22"/>
      <c r="D868" s="68" t="s">
        <v>17</v>
      </c>
      <c r="E868" s="69" t="s">
        <v>27</v>
      </c>
      <c r="F868" s="20" t="s">
        <v>533</v>
      </c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</row>
    <row r="869" spans="2:18" ht="13">
      <c r="B869" s="21"/>
      <c r="C869" s="22"/>
      <c r="D869" s="68" t="s">
        <v>26</v>
      </c>
      <c r="E869" s="69" t="s">
        <v>27</v>
      </c>
      <c r="F869" s="20" t="s">
        <v>533</v>
      </c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</row>
    <row r="870" spans="2:18" ht="13">
      <c r="B870" s="21"/>
      <c r="C870" s="22"/>
      <c r="D870" s="68" t="s">
        <v>17</v>
      </c>
      <c r="E870" s="69" t="s">
        <v>27</v>
      </c>
      <c r="F870" s="20" t="s">
        <v>533</v>
      </c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</row>
    <row r="871" spans="2:18" ht="13">
      <c r="B871" s="21"/>
      <c r="C871" s="22"/>
      <c r="D871" s="68" t="s">
        <v>577</v>
      </c>
      <c r="E871" s="69" t="s">
        <v>124</v>
      </c>
      <c r="F871" s="20" t="s">
        <v>533</v>
      </c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</row>
    <row r="872" spans="2:18" ht="13">
      <c r="B872" s="21"/>
      <c r="C872" s="22"/>
      <c r="D872" s="68" t="s">
        <v>86</v>
      </c>
      <c r="E872" s="69" t="s">
        <v>124</v>
      </c>
      <c r="F872" s="20" t="s">
        <v>533</v>
      </c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</row>
    <row r="873" spans="2:18" ht="13">
      <c r="B873" s="21"/>
      <c r="C873" s="22"/>
      <c r="D873" s="68" t="s">
        <v>17</v>
      </c>
      <c r="E873" s="69" t="s">
        <v>27</v>
      </c>
      <c r="F873" s="20" t="s">
        <v>533</v>
      </c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</row>
    <row r="874" spans="2:18" ht="13">
      <c r="B874" s="21"/>
      <c r="C874" s="22"/>
      <c r="D874" s="68" t="s">
        <v>17</v>
      </c>
      <c r="E874" s="69" t="s">
        <v>27</v>
      </c>
      <c r="F874" s="20" t="s">
        <v>533</v>
      </c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</row>
    <row r="875" spans="2:18" ht="13">
      <c r="B875" s="21"/>
      <c r="C875" s="22"/>
      <c r="D875" s="68" t="s">
        <v>26</v>
      </c>
      <c r="E875" s="69" t="s">
        <v>27</v>
      </c>
      <c r="F875" s="20" t="s">
        <v>533</v>
      </c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</row>
    <row r="876" spans="2:18" ht="13">
      <c r="B876" s="21"/>
      <c r="C876" s="22"/>
      <c r="D876" s="68" t="s">
        <v>17</v>
      </c>
      <c r="E876" s="69" t="s">
        <v>27</v>
      </c>
      <c r="F876" s="20" t="s">
        <v>533</v>
      </c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</row>
    <row r="877" spans="2:18" ht="13">
      <c r="B877" s="21"/>
      <c r="C877" s="22"/>
      <c r="D877" s="68" t="s">
        <v>26</v>
      </c>
      <c r="E877" s="69" t="s">
        <v>27</v>
      </c>
      <c r="F877" s="20" t="s">
        <v>533</v>
      </c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</row>
    <row r="878" spans="2:18" ht="13">
      <c r="B878" s="21"/>
      <c r="C878" s="22"/>
      <c r="D878" s="68" t="s">
        <v>17</v>
      </c>
      <c r="E878" s="69" t="s">
        <v>27</v>
      </c>
      <c r="F878" s="20" t="s">
        <v>533</v>
      </c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</row>
    <row r="879" spans="2:18" ht="13">
      <c r="B879" s="21"/>
      <c r="C879" s="22"/>
      <c r="D879" s="68" t="s">
        <v>17</v>
      </c>
      <c r="E879" s="69" t="s">
        <v>27</v>
      </c>
      <c r="F879" s="20" t="s">
        <v>533</v>
      </c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</row>
    <row r="880" spans="2:18" ht="13">
      <c r="B880" s="21"/>
      <c r="C880" s="22"/>
      <c r="D880" s="68" t="s">
        <v>17</v>
      </c>
      <c r="E880" s="69" t="s">
        <v>27</v>
      </c>
      <c r="F880" s="20" t="s">
        <v>533</v>
      </c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</row>
    <row r="881" spans="2:18" ht="13">
      <c r="B881" s="21"/>
      <c r="C881" s="22"/>
      <c r="D881" s="68" t="s">
        <v>17</v>
      </c>
      <c r="E881" s="69" t="s">
        <v>27</v>
      </c>
      <c r="F881" s="20" t="s">
        <v>533</v>
      </c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</row>
    <row r="882" spans="2:18" ht="13">
      <c r="B882" s="21"/>
      <c r="C882" s="22"/>
      <c r="D882" s="68" t="s">
        <v>17</v>
      </c>
      <c r="E882" s="69" t="s">
        <v>27</v>
      </c>
      <c r="F882" s="20" t="s">
        <v>533</v>
      </c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</row>
    <row r="883" spans="2:18" ht="13">
      <c r="B883" s="21"/>
      <c r="C883" s="22"/>
      <c r="D883" s="68" t="s">
        <v>609</v>
      </c>
      <c r="E883" s="69" t="s">
        <v>37</v>
      </c>
      <c r="F883" s="20" t="s">
        <v>533</v>
      </c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</row>
    <row r="884" spans="2:18" ht="13">
      <c r="B884" s="21"/>
      <c r="C884" s="22"/>
      <c r="D884" s="68" t="s">
        <v>26</v>
      </c>
      <c r="E884" s="69" t="s">
        <v>27</v>
      </c>
      <c r="F884" s="20" t="s">
        <v>533</v>
      </c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</row>
    <row r="885" spans="2:18" ht="13">
      <c r="B885" s="21"/>
      <c r="C885" s="22"/>
      <c r="D885" s="68" t="s">
        <v>17</v>
      </c>
      <c r="E885" s="69" t="s">
        <v>27</v>
      </c>
      <c r="F885" s="20" t="s">
        <v>533</v>
      </c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</row>
    <row r="886" spans="2:18" ht="13">
      <c r="B886" s="21"/>
      <c r="C886" s="22"/>
      <c r="D886" s="68" t="s">
        <v>26</v>
      </c>
      <c r="E886" s="69" t="s">
        <v>27</v>
      </c>
      <c r="F886" s="20" t="s">
        <v>533</v>
      </c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</row>
    <row r="887" spans="2:18" ht="13">
      <c r="B887" s="21"/>
      <c r="C887" s="22"/>
      <c r="D887" s="68" t="s">
        <v>17</v>
      </c>
      <c r="E887" s="69" t="s">
        <v>27</v>
      </c>
      <c r="F887" s="20" t="s">
        <v>533</v>
      </c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</row>
    <row r="888" spans="2:18" ht="13">
      <c r="B888" s="21"/>
      <c r="C888" s="22"/>
      <c r="D888" s="68" t="s">
        <v>17</v>
      </c>
      <c r="E888" s="69" t="s">
        <v>27</v>
      </c>
      <c r="F888" s="20" t="s">
        <v>533</v>
      </c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</row>
    <row r="889" spans="2:18" ht="13">
      <c r="B889" s="21"/>
      <c r="C889" s="22"/>
      <c r="D889" s="68" t="s">
        <v>577</v>
      </c>
      <c r="E889" s="69" t="s">
        <v>124</v>
      </c>
      <c r="F889" s="20" t="s">
        <v>533</v>
      </c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</row>
    <row r="890" spans="2:18" ht="13">
      <c r="B890" s="21"/>
      <c r="C890" s="22"/>
      <c r="D890" s="68" t="s">
        <v>26</v>
      </c>
      <c r="E890" s="69" t="s">
        <v>27</v>
      </c>
      <c r="F890" s="20" t="s">
        <v>533</v>
      </c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</row>
    <row r="891" spans="2:18" ht="13">
      <c r="B891" s="21"/>
      <c r="C891" s="22"/>
      <c r="D891" s="68" t="s">
        <v>26</v>
      </c>
      <c r="E891" s="69" t="s">
        <v>27</v>
      </c>
      <c r="F891" s="20" t="s">
        <v>533</v>
      </c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</row>
    <row r="892" spans="2:18" ht="13">
      <c r="B892" s="21"/>
      <c r="C892" s="22"/>
      <c r="D892" s="68" t="s">
        <v>168</v>
      </c>
      <c r="E892" s="69" t="s">
        <v>27</v>
      </c>
      <c r="F892" s="20" t="s">
        <v>533</v>
      </c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</row>
    <row r="893" spans="2:18" ht="13">
      <c r="B893" s="21"/>
      <c r="C893" s="22"/>
      <c r="D893" s="68" t="s">
        <v>26</v>
      </c>
      <c r="E893" s="69" t="s">
        <v>27</v>
      </c>
      <c r="F893" s="20" t="s">
        <v>533</v>
      </c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</row>
    <row r="894" spans="2:18" ht="13">
      <c r="B894" s="21"/>
      <c r="C894" s="22"/>
      <c r="D894" s="68" t="s">
        <v>26</v>
      </c>
      <c r="E894" s="69" t="s">
        <v>27</v>
      </c>
      <c r="F894" s="20" t="s">
        <v>533</v>
      </c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</row>
    <row r="895" spans="2:18" ht="13">
      <c r="B895" s="21"/>
      <c r="C895" s="22"/>
      <c r="D895" s="68" t="s">
        <v>26</v>
      </c>
      <c r="E895" s="69" t="s">
        <v>27</v>
      </c>
      <c r="F895" s="20" t="s">
        <v>533</v>
      </c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</row>
    <row r="896" spans="2:18" ht="13">
      <c r="B896" s="21"/>
      <c r="C896" s="22"/>
      <c r="D896" s="68" t="s">
        <v>36</v>
      </c>
      <c r="E896" s="69" t="s">
        <v>37</v>
      </c>
      <c r="F896" s="20" t="s">
        <v>533</v>
      </c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</row>
    <row r="897" spans="2:18" ht="13">
      <c r="B897" s="21"/>
      <c r="C897" s="22"/>
      <c r="D897" s="68" t="s">
        <v>26</v>
      </c>
      <c r="E897" s="69" t="s">
        <v>27</v>
      </c>
      <c r="F897" s="20" t="s">
        <v>533</v>
      </c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</row>
    <row r="898" spans="2:18" ht="13">
      <c r="B898" s="21"/>
      <c r="C898" s="22"/>
      <c r="D898" s="68" t="s">
        <v>17</v>
      </c>
      <c r="E898" s="69" t="s">
        <v>27</v>
      </c>
      <c r="F898" s="20" t="s">
        <v>533</v>
      </c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</row>
    <row r="899" spans="2:18" ht="13">
      <c r="B899" s="21"/>
      <c r="C899" s="22"/>
      <c r="D899" s="68" t="s">
        <v>17</v>
      </c>
      <c r="E899" s="69" t="s">
        <v>27</v>
      </c>
      <c r="F899" s="20" t="s">
        <v>533</v>
      </c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</row>
    <row r="900" spans="2:18" ht="13">
      <c r="B900" s="21"/>
      <c r="C900" s="22"/>
      <c r="D900" s="68" t="s">
        <v>17</v>
      </c>
      <c r="E900" s="69" t="s">
        <v>27</v>
      </c>
      <c r="F900" s="20" t="s">
        <v>533</v>
      </c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</row>
    <row r="901" spans="2:18" ht="13">
      <c r="B901" s="21"/>
      <c r="C901" s="22"/>
      <c r="D901" s="68" t="s">
        <v>618</v>
      </c>
      <c r="E901" s="69" t="s">
        <v>121</v>
      </c>
      <c r="F901" s="20" t="s">
        <v>533</v>
      </c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</row>
    <row r="902" spans="2:18" ht="13">
      <c r="B902" s="21"/>
      <c r="C902" s="22"/>
      <c r="D902" s="68" t="s">
        <v>26</v>
      </c>
      <c r="E902" s="69" t="s">
        <v>27</v>
      </c>
      <c r="F902" s="20" t="s">
        <v>533</v>
      </c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</row>
    <row r="903" spans="2:18" ht="13">
      <c r="B903" s="21"/>
      <c r="C903" s="22"/>
      <c r="D903" s="68" t="s">
        <v>31</v>
      </c>
      <c r="E903" s="69" t="s">
        <v>32</v>
      </c>
      <c r="F903" s="20" t="s">
        <v>533</v>
      </c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</row>
    <row r="904" spans="2:18" ht="13">
      <c r="B904" s="21"/>
      <c r="C904" s="22"/>
      <c r="D904" s="68" t="s">
        <v>17</v>
      </c>
      <c r="E904" s="69" t="s">
        <v>27</v>
      </c>
      <c r="F904" s="20" t="s">
        <v>533</v>
      </c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</row>
    <row r="905" spans="2:18" ht="13">
      <c r="B905" s="21"/>
      <c r="C905" s="22"/>
      <c r="D905" s="68" t="s">
        <v>17</v>
      </c>
      <c r="E905" s="69" t="s">
        <v>27</v>
      </c>
      <c r="F905" s="20" t="s">
        <v>533</v>
      </c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</row>
    <row r="906" spans="2:18" ht="13">
      <c r="B906" s="21"/>
      <c r="C906" s="22"/>
      <c r="D906" s="68" t="s">
        <v>17</v>
      </c>
      <c r="E906" s="69" t="s">
        <v>27</v>
      </c>
      <c r="F906" s="20" t="s">
        <v>533</v>
      </c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</row>
    <row r="907" spans="2:18" ht="13">
      <c r="B907" s="21"/>
      <c r="C907" s="22"/>
      <c r="D907" s="68" t="s">
        <v>17</v>
      </c>
      <c r="E907" s="69" t="s">
        <v>27</v>
      </c>
      <c r="F907" s="20" t="s">
        <v>533</v>
      </c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</row>
    <row r="908" spans="2:18" ht="13">
      <c r="B908" s="21"/>
      <c r="C908" s="22"/>
      <c r="D908" s="68" t="s">
        <v>26</v>
      </c>
      <c r="E908" s="69" t="s">
        <v>27</v>
      </c>
      <c r="F908" s="20" t="s">
        <v>533</v>
      </c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</row>
    <row r="909" spans="2:18" ht="13">
      <c r="B909" s="21"/>
      <c r="C909" s="22"/>
      <c r="D909" s="68" t="s">
        <v>26</v>
      </c>
      <c r="E909" s="69" t="s">
        <v>124</v>
      </c>
      <c r="F909" s="20" t="s">
        <v>533</v>
      </c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</row>
    <row r="910" spans="2:18" ht="13">
      <c r="B910" s="21"/>
      <c r="C910" s="22"/>
      <c r="D910" s="68" t="s">
        <v>17</v>
      </c>
      <c r="E910" s="69" t="s">
        <v>18</v>
      </c>
      <c r="F910" s="20" t="s">
        <v>533</v>
      </c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</row>
    <row r="911" spans="2:18" ht="13">
      <c r="B911" s="21"/>
      <c r="C911" s="22"/>
      <c r="D911" s="68" t="s">
        <v>17</v>
      </c>
      <c r="E911" s="69" t="s">
        <v>27</v>
      </c>
      <c r="F911" s="20" t="s">
        <v>533</v>
      </c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</row>
    <row r="912" spans="2:18" ht="13">
      <c r="B912" s="21"/>
      <c r="C912" s="22"/>
      <c r="D912" s="68" t="s">
        <v>17</v>
      </c>
      <c r="E912" s="69" t="s">
        <v>27</v>
      </c>
      <c r="F912" s="20" t="s">
        <v>533</v>
      </c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</row>
    <row r="913" spans="2:18" ht="13">
      <c r="B913" s="21"/>
      <c r="C913" s="22"/>
      <c r="D913" s="68" t="s">
        <v>560</v>
      </c>
      <c r="E913" s="69" t="s">
        <v>121</v>
      </c>
      <c r="F913" s="20" t="s">
        <v>533</v>
      </c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</row>
    <row r="914" spans="2:18" ht="13">
      <c r="B914" s="21"/>
      <c r="C914" s="22"/>
      <c r="D914" s="68" t="s">
        <v>17</v>
      </c>
      <c r="E914" s="69" t="s">
        <v>27</v>
      </c>
      <c r="F914" s="20" t="s">
        <v>533</v>
      </c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</row>
    <row r="915" spans="2:18" ht="13">
      <c r="B915" s="21"/>
      <c r="C915" s="22"/>
      <c r="D915" s="68" t="s">
        <v>17</v>
      </c>
      <c r="E915" s="69" t="s">
        <v>27</v>
      </c>
      <c r="F915" s="20" t="s">
        <v>533</v>
      </c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</row>
    <row r="916" spans="2:18" ht="13">
      <c r="B916" s="21"/>
      <c r="C916" s="22"/>
      <c r="D916" s="68" t="s">
        <v>17</v>
      </c>
      <c r="E916" s="69" t="s">
        <v>27</v>
      </c>
      <c r="F916" s="20" t="s">
        <v>533</v>
      </c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</row>
    <row r="917" spans="2:18" ht="13">
      <c r="B917" s="21"/>
      <c r="C917" s="22"/>
      <c r="D917" s="68" t="s">
        <v>26</v>
      </c>
      <c r="E917" s="69" t="s">
        <v>27</v>
      </c>
      <c r="F917" s="20" t="s">
        <v>533</v>
      </c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</row>
    <row r="918" spans="2:18" ht="13">
      <c r="B918" s="21"/>
      <c r="C918" s="22"/>
      <c r="D918" s="68" t="s">
        <v>17</v>
      </c>
      <c r="E918" s="69" t="s">
        <v>27</v>
      </c>
      <c r="F918" s="20" t="s">
        <v>533</v>
      </c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</row>
    <row r="919" spans="2:18" ht="13">
      <c r="B919" s="21"/>
      <c r="C919" s="22"/>
      <c r="D919" s="68" t="s">
        <v>605</v>
      </c>
      <c r="E919" s="69" t="s">
        <v>32</v>
      </c>
      <c r="F919" s="20" t="s">
        <v>533</v>
      </c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</row>
    <row r="920" spans="2:18" ht="13">
      <c r="B920" s="21"/>
      <c r="C920" s="22"/>
      <c r="D920" s="68" t="s">
        <v>17</v>
      </c>
      <c r="E920" s="69" t="s">
        <v>27</v>
      </c>
      <c r="F920" s="20" t="s">
        <v>533</v>
      </c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</row>
    <row r="921" spans="2:18" ht="13">
      <c r="B921" s="21"/>
      <c r="C921" s="22"/>
      <c r="D921" s="68" t="s">
        <v>53</v>
      </c>
      <c r="E921" s="69" t="s">
        <v>32</v>
      </c>
      <c r="F921" s="20" t="s">
        <v>533</v>
      </c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</row>
    <row r="922" spans="2:18" ht="13">
      <c r="B922" s="21"/>
      <c r="C922" s="22"/>
      <c r="D922" s="68" t="s">
        <v>593</v>
      </c>
      <c r="E922" s="69" t="s">
        <v>32</v>
      </c>
      <c r="F922" s="20" t="s">
        <v>533</v>
      </c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</row>
    <row r="923" spans="2:18" ht="13">
      <c r="B923" s="21"/>
      <c r="C923" s="22"/>
      <c r="D923" s="68" t="s">
        <v>17</v>
      </c>
      <c r="E923" s="69" t="s">
        <v>27</v>
      </c>
      <c r="F923" s="20" t="s">
        <v>533</v>
      </c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</row>
    <row r="924" spans="2:18" ht="13">
      <c r="B924" s="21"/>
      <c r="C924" s="22"/>
      <c r="D924" s="68" t="s">
        <v>26</v>
      </c>
      <c r="E924" s="69" t="s">
        <v>564</v>
      </c>
      <c r="F924" s="20" t="s">
        <v>533</v>
      </c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</row>
    <row r="925" spans="2:18" ht="13">
      <c r="B925" s="21"/>
      <c r="C925" s="22"/>
      <c r="D925" s="68" t="s">
        <v>26</v>
      </c>
      <c r="E925" s="69" t="s">
        <v>27</v>
      </c>
      <c r="F925" s="20" t="s">
        <v>533</v>
      </c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</row>
    <row r="926" spans="2:18" ht="13">
      <c r="B926" s="21"/>
      <c r="C926" s="22"/>
      <c r="D926" s="68" t="s">
        <v>17</v>
      </c>
      <c r="E926" s="69" t="s">
        <v>27</v>
      </c>
      <c r="F926" s="20" t="s">
        <v>533</v>
      </c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</row>
    <row r="927" spans="2:18" ht="13">
      <c r="B927" s="21"/>
      <c r="C927" s="22"/>
      <c r="D927" s="68" t="s">
        <v>17</v>
      </c>
      <c r="E927" s="69" t="s">
        <v>27</v>
      </c>
      <c r="F927" s="20" t="s">
        <v>533</v>
      </c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</row>
    <row r="928" spans="2:18" ht="13">
      <c r="B928" s="21"/>
      <c r="C928" s="22"/>
      <c r="D928" s="68" t="s">
        <v>17</v>
      </c>
      <c r="E928" s="69" t="s">
        <v>27</v>
      </c>
      <c r="F928" s="20" t="s">
        <v>533</v>
      </c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</row>
    <row r="929" spans="2:18" ht="13">
      <c r="B929" s="21"/>
      <c r="C929" s="22"/>
      <c r="D929" s="68" t="s">
        <v>544</v>
      </c>
      <c r="E929" s="69" t="s">
        <v>121</v>
      </c>
      <c r="F929" s="20" t="s">
        <v>533</v>
      </c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</row>
    <row r="930" spans="2:18" ht="13">
      <c r="B930" s="21"/>
      <c r="C930" s="22"/>
      <c r="D930" s="68" t="s">
        <v>17</v>
      </c>
      <c r="E930" s="69" t="s">
        <v>27</v>
      </c>
      <c r="F930" s="20" t="s">
        <v>533</v>
      </c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</row>
    <row r="931" spans="2:18" ht="13">
      <c r="B931" s="21"/>
      <c r="C931" s="22"/>
      <c r="D931" s="68" t="s">
        <v>17</v>
      </c>
      <c r="E931" s="69" t="s">
        <v>27</v>
      </c>
      <c r="F931" s="20" t="s">
        <v>533</v>
      </c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</row>
    <row r="932" spans="2:18" ht="13">
      <c r="B932" s="21"/>
      <c r="C932" s="22"/>
      <c r="D932" s="68" t="s">
        <v>605</v>
      </c>
      <c r="E932" s="69" t="s">
        <v>37</v>
      </c>
      <c r="F932" s="20" t="s">
        <v>533</v>
      </c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</row>
    <row r="933" spans="2:18" ht="13">
      <c r="B933" s="21"/>
      <c r="C933" s="22"/>
      <c r="D933" s="68" t="s">
        <v>605</v>
      </c>
      <c r="E933" s="69" t="s">
        <v>37</v>
      </c>
      <c r="F933" s="20" t="s">
        <v>533</v>
      </c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</row>
    <row r="934" spans="2:18" ht="13">
      <c r="B934" s="21"/>
      <c r="C934" s="22"/>
      <c r="D934" s="68" t="s">
        <v>404</v>
      </c>
      <c r="E934" s="69" t="s">
        <v>32</v>
      </c>
      <c r="F934" s="20" t="s">
        <v>533</v>
      </c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</row>
    <row r="935" spans="2:18" ht="13">
      <c r="B935" s="21"/>
      <c r="C935" s="22"/>
      <c r="D935" s="68" t="s">
        <v>26</v>
      </c>
      <c r="E935" s="69" t="s">
        <v>27</v>
      </c>
      <c r="F935" s="20" t="s">
        <v>533</v>
      </c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</row>
    <row r="936" spans="2:18" ht="13">
      <c r="B936" s="21"/>
      <c r="C936" s="22"/>
      <c r="D936" s="68" t="s">
        <v>17</v>
      </c>
      <c r="E936" s="69" t="s">
        <v>27</v>
      </c>
      <c r="F936" s="20" t="s">
        <v>533</v>
      </c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</row>
    <row r="937" spans="2:18" ht="13">
      <c r="B937" s="21"/>
      <c r="C937" s="22"/>
      <c r="D937" s="68" t="s">
        <v>17</v>
      </c>
      <c r="E937" s="69" t="s">
        <v>27</v>
      </c>
      <c r="F937" s="20" t="s">
        <v>533</v>
      </c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</row>
    <row r="938" spans="2:18" ht="13">
      <c r="B938" s="21"/>
      <c r="C938" s="22"/>
      <c r="D938" s="68" t="s">
        <v>26</v>
      </c>
      <c r="E938" s="69" t="s">
        <v>27</v>
      </c>
      <c r="F938" s="20" t="s">
        <v>533</v>
      </c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</row>
    <row r="939" spans="2:18" ht="13">
      <c r="B939" s="21"/>
      <c r="C939" s="22"/>
      <c r="D939" s="68" t="s">
        <v>577</v>
      </c>
      <c r="E939" s="69" t="s">
        <v>124</v>
      </c>
      <c r="F939" s="20" t="s">
        <v>533</v>
      </c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</row>
    <row r="940" spans="2:18" ht="13">
      <c r="B940" s="21"/>
      <c r="C940" s="22"/>
      <c r="D940" s="68" t="s">
        <v>17</v>
      </c>
      <c r="E940" s="69" t="s">
        <v>27</v>
      </c>
      <c r="F940" s="20" t="s">
        <v>533</v>
      </c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</row>
    <row r="941" spans="2:18" ht="13">
      <c r="B941" s="21"/>
      <c r="C941" s="22"/>
      <c r="D941" s="68" t="s">
        <v>17</v>
      </c>
      <c r="E941" s="69" t="s">
        <v>27</v>
      </c>
      <c r="F941" s="20" t="s">
        <v>533</v>
      </c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</row>
    <row r="942" spans="2:18" ht="13">
      <c r="B942" s="21"/>
      <c r="C942" s="22"/>
      <c r="D942" s="68" t="s">
        <v>591</v>
      </c>
      <c r="E942" s="69" t="s">
        <v>121</v>
      </c>
      <c r="F942" s="20" t="s">
        <v>533</v>
      </c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</row>
    <row r="943" spans="2:18" ht="13">
      <c r="B943" s="21"/>
      <c r="C943" s="22"/>
      <c r="D943" s="68" t="s">
        <v>17</v>
      </c>
      <c r="E943" s="69" t="s">
        <v>27</v>
      </c>
      <c r="F943" s="20" t="s">
        <v>533</v>
      </c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</row>
    <row r="944" spans="2:18" ht="13">
      <c r="B944" s="21"/>
      <c r="C944" s="22"/>
      <c r="D944" s="68" t="s">
        <v>17</v>
      </c>
      <c r="E944" s="69" t="s">
        <v>27</v>
      </c>
      <c r="F944" s="20" t="s">
        <v>533</v>
      </c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</row>
    <row r="945" spans="2:18" ht="13">
      <c r="B945" s="21"/>
      <c r="C945" s="22"/>
      <c r="D945" s="68" t="s">
        <v>17</v>
      </c>
      <c r="E945" s="69" t="s">
        <v>27</v>
      </c>
      <c r="F945" s="20" t="s">
        <v>533</v>
      </c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</row>
    <row r="946" spans="2:18" ht="13">
      <c r="B946" s="21"/>
      <c r="C946" s="22"/>
      <c r="D946" s="68" t="s">
        <v>17</v>
      </c>
      <c r="E946" s="69" t="s">
        <v>27</v>
      </c>
      <c r="F946" s="20" t="s">
        <v>533</v>
      </c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</row>
    <row r="947" spans="2:18" ht="13">
      <c r="B947" s="21"/>
      <c r="C947" s="22"/>
      <c r="D947" s="68" t="s">
        <v>17</v>
      </c>
      <c r="E947" s="69" t="s">
        <v>27</v>
      </c>
      <c r="F947" s="20" t="s">
        <v>533</v>
      </c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</row>
    <row r="948" spans="2:18" ht="13">
      <c r="B948" s="21"/>
      <c r="C948" s="22"/>
      <c r="D948" s="68" t="s">
        <v>624</v>
      </c>
      <c r="E948" s="69" t="s">
        <v>32</v>
      </c>
      <c r="F948" s="20" t="s">
        <v>533</v>
      </c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</row>
    <row r="949" spans="2:18" ht="13">
      <c r="B949" s="21"/>
      <c r="C949" s="22"/>
      <c r="D949" s="68" t="s">
        <v>556</v>
      </c>
      <c r="E949" s="69" t="s">
        <v>37</v>
      </c>
      <c r="F949" s="20" t="s">
        <v>533</v>
      </c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</row>
    <row r="950" spans="2:18" ht="13">
      <c r="B950" s="21"/>
      <c r="C950" s="22"/>
      <c r="D950" s="68" t="s">
        <v>26</v>
      </c>
      <c r="E950" s="69" t="s">
        <v>27</v>
      </c>
      <c r="F950" s="20" t="s">
        <v>533</v>
      </c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</row>
    <row r="951" spans="2:18" ht="13">
      <c r="B951" s="21"/>
      <c r="C951" s="22"/>
      <c r="D951" s="68" t="s">
        <v>17</v>
      </c>
      <c r="E951" s="69" t="s">
        <v>27</v>
      </c>
      <c r="F951" s="20" t="s">
        <v>533</v>
      </c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</row>
    <row r="952" spans="2:18" ht="13">
      <c r="B952" s="21"/>
      <c r="C952" s="22"/>
      <c r="D952" s="68" t="s">
        <v>17</v>
      </c>
      <c r="E952" s="69" t="s">
        <v>116</v>
      </c>
      <c r="F952" s="20" t="s">
        <v>533</v>
      </c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</row>
    <row r="953" spans="2:18" ht="13">
      <c r="B953" s="21"/>
      <c r="C953" s="22"/>
      <c r="D953" s="68" t="s">
        <v>17</v>
      </c>
      <c r="E953" s="69" t="s">
        <v>27</v>
      </c>
      <c r="F953" s="20" t="s">
        <v>533</v>
      </c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</row>
    <row r="954" spans="2:18" ht="13">
      <c r="B954" s="21"/>
      <c r="C954" s="22"/>
      <c r="D954" s="68" t="s">
        <v>630</v>
      </c>
      <c r="E954" s="69" t="s">
        <v>27</v>
      </c>
      <c r="F954" s="20" t="s">
        <v>533</v>
      </c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</row>
    <row r="955" spans="2:18" ht="13">
      <c r="B955" s="21"/>
      <c r="C955" s="22"/>
      <c r="D955" s="68" t="s">
        <v>566</v>
      </c>
      <c r="E955" s="69" t="s">
        <v>32</v>
      </c>
      <c r="F955" s="20" t="s">
        <v>533</v>
      </c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</row>
    <row r="956" spans="2:18" ht="13">
      <c r="B956" s="21"/>
      <c r="C956" s="22"/>
      <c r="D956" s="68" t="s">
        <v>17</v>
      </c>
      <c r="E956" s="69" t="s">
        <v>27</v>
      </c>
      <c r="F956" s="20" t="s">
        <v>533</v>
      </c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</row>
    <row r="957" spans="2:18" ht="13">
      <c r="B957" s="21"/>
      <c r="C957" s="22"/>
      <c r="D957" s="68" t="s">
        <v>17</v>
      </c>
      <c r="E957" s="69" t="s">
        <v>27</v>
      </c>
      <c r="F957" s="20" t="s">
        <v>533</v>
      </c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</row>
    <row r="958" spans="2:18" ht="13">
      <c r="B958" s="21"/>
      <c r="C958" s="22"/>
      <c r="D958" s="68" t="s">
        <v>624</v>
      </c>
      <c r="E958" s="69" t="s">
        <v>32</v>
      </c>
      <c r="F958" s="20" t="s">
        <v>533</v>
      </c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</row>
    <row r="959" spans="2:18" ht="13">
      <c r="B959" s="21"/>
      <c r="C959" s="22"/>
      <c r="D959" s="68" t="s">
        <v>26</v>
      </c>
      <c r="E959" s="69" t="s">
        <v>27</v>
      </c>
      <c r="F959" s="20" t="s">
        <v>533</v>
      </c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</row>
    <row r="960" spans="2:18" ht="13">
      <c r="B960" s="21"/>
      <c r="C960" s="22"/>
      <c r="D960" s="68" t="s">
        <v>17</v>
      </c>
      <c r="E960" s="69" t="s">
        <v>27</v>
      </c>
      <c r="F960" s="20" t="s">
        <v>533</v>
      </c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</row>
    <row r="961" spans="2:18" ht="13">
      <c r="B961" s="21"/>
      <c r="C961" s="22"/>
      <c r="D961" s="68" t="s">
        <v>404</v>
      </c>
      <c r="E961" s="69" t="s">
        <v>32</v>
      </c>
      <c r="F961" s="20" t="s">
        <v>533</v>
      </c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</row>
    <row r="962" spans="2:18" ht="13">
      <c r="B962" s="21"/>
      <c r="C962" s="22"/>
      <c r="D962" s="68" t="s">
        <v>404</v>
      </c>
      <c r="E962" s="69" t="s">
        <v>32</v>
      </c>
      <c r="F962" s="20" t="s">
        <v>533</v>
      </c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</row>
    <row r="963" spans="2:18" ht="13">
      <c r="B963" s="21"/>
      <c r="C963" s="22"/>
      <c r="D963" s="68" t="s">
        <v>17</v>
      </c>
      <c r="E963" s="69" t="s">
        <v>27</v>
      </c>
      <c r="F963" s="20" t="s">
        <v>533</v>
      </c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</row>
    <row r="964" spans="2:18" ht="13">
      <c r="B964" s="21"/>
      <c r="C964" s="22"/>
      <c r="D964" s="68" t="s">
        <v>31</v>
      </c>
      <c r="E964" s="69" t="s">
        <v>32</v>
      </c>
      <c r="F964" s="20" t="s">
        <v>533</v>
      </c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</row>
    <row r="965" spans="2:18" ht="13">
      <c r="B965" s="21"/>
      <c r="C965" s="22"/>
      <c r="D965" s="68" t="s">
        <v>631</v>
      </c>
      <c r="E965" s="69" t="s">
        <v>124</v>
      </c>
      <c r="F965" s="20" t="s">
        <v>533</v>
      </c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</row>
    <row r="966" spans="2:18" ht="13">
      <c r="B966" s="21"/>
      <c r="C966" s="22"/>
      <c r="D966" s="68" t="s">
        <v>571</v>
      </c>
      <c r="E966" s="69" t="s">
        <v>163</v>
      </c>
      <c r="F966" s="20" t="s">
        <v>533</v>
      </c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</row>
    <row r="967" spans="2:18" ht="13">
      <c r="B967" s="21"/>
      <c r="C967" s="22"/>
      <c r="D967" s="68" t="s">
        <v>17</v>
      </c>
      <c r="E967" s="69" t="s">
        <v>27</v>
      </c>
      <c r="F967" s="20" t="s">
        <v>533</v>
      </c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</row>
    <row r="968" spans="2:18" ht="13">
      <c r="B968" s="21"/>
      <c r="C968" s="22"/>
      <c r="D968" s="68" t="s">
        <v>17</v>
      </c>
      <c r="E968" s="69" t="s">
        <v>27</v>
      </c>
      <c r="F968" s="20" t="s">
        <v>533</v>
      </c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</row>
    <row r="969" spans="2:18" ht="13">
      <c r="B969" s="21"/>
      <c r="C969" s="22"/>
      <c r="D969" s="68" t="s">
        <v>17</v>
      </c>
      <c r="E969" s="69" t="s">
        <v>27</v>
      </c>
      <c r="F969" s="20" t="s">
        <v>533</v>
      </c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</row>
    <row r="970" spans="2:18" ht="13">
      <c r="B970" s="21"/>
      <c r="C970" s="22"/>
      <c r="D970" s="68" t="s">
        <v>17</v>
      </c>
      <c r="E970" s="69" t="s">
        <v>27</v>
      </c>
      <c r="F970" s="20" t="s">
        <v>533</v>
      </c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</row>
    <row r="971" spans="2:18" ht="13">
      <c r="B971" s="21"/>
      <c r="C971" s="22"/>
      <c r="D971" s="68" t="s">
        <v>17</v>
      </c>
      <c r="E971" s="69" t="s">
        <v>27</v>
      </c>
      <c r="F971" s="20" t="s">
        <v>533</v>
      </c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</row>
    <row r="972" spans="2:18" ht="13">
      <c r="B972" s="21"/>
      <c r="C972" s="22"/>
      <c r="D972" s="68" t="s">
        <v>606</v>
      </c>
      <c r="E972" s="69" t="s">
        <v>32</v>
      </c>
      <c r="F972" s="20" t="s">
        <v>533</v>
      </c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</row>
    <row r="973" spans="2:18" ht="13">
      <c r="B973" s="21"/>
      <c r="C973" s="22"/>
      <c r="D973" s="68" t="s">
        <v>17</v>
      </c>
      <c r="E973" s="69" t="s">
        <v>27</v>
      </c>
      <c r="F973" s="20" t="s">
        <v>533</v>
      </c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</row>
    <row r="974" spans="2:18" ht="13">
      <c r="B974" s="21"/>
      <c r="C974" s="22"/>
      <c r="D974" s="68" t="s">
        <v>31</v>
      </c>
      <c r="E974" s="69" t="s">
        <v>32</v>
      </c>
      <c r="F974" s="20" t="s">
        <v>533</v>
      </c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</row>
    <row r="975" spans="2:18" ht="13">
      <c r="B975" s="21"/>
      <c r="C975" s="22"/>
      <c r="D975" s="68" t="s">
        <v>17</v>
      </c>
      <c r="E975" s="69" t="s">
        <v>27</v>
      </c>
      <c r="F975" s="20" t="s">
        <v>533</v>
      </c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</row>
    <row r="976" spans="2:18" ht="13">
      <c r="B976" s="21"/>
      <c r="C976" s="22"/>
      <c r="D976" s="68" t="s">
        <v>106</v>
      </c>
      <c r="E976" s="69" t="s">
        <v>37</v>
      </c>
      <c r="F976" s="20" t="s">
        <v>533</v>
      </c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</row>
    <row r="977" spans="2:18" ht="13">
      <c r="B977" s="21"/>
      <c r="C977" s="22"/>
      <c r="D977" s="68" t="s">
        <v>577</v>
      </c>
      <c r="E977" s="69" t="s">
        <v>124</v>
      </c>
      <c r="F977" s="20" t="s">
        <v>533</v>
      </c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</row>
    <row r="978" spans="2:18" ht="13">
      <c r="B978" s="21"/>
      <c r="C978" s="22"/>
      <c r="D978" s="68" t="s">
        <v>17</v>
      </c>
      <c r="E978" s="69" t="s">
        <v>27</v>
      </c>
      <c r="F978" s="20" t="s">
        <v>533</v>
      </c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</row>
    <row r="979" spans="2:18" ht="13">
      <c r="B979" s="21"/>
      <c r="C979" s="22"/>
      <c r="D979" s="68" t="s">
        <v>17</v>
      </c>
      <c r="E979" s="69" t="s">
        <v>27</v>
      </c>
      <c r="F979" s="20" t="s">
        <v>533</v>
      </c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</row>
    <row r="980" spans="2:18" ht="13">
      <c r="B980" s="21"/>
      <c r="C980" s="22"/>
      <c r="D980" s="68" t="s">
        <v>17</v>
      </c>
      <c r="E980" s="69" t="s">
        <v>614</v>
      </c>
      <c r="F980" s="20" t="s">
        <v>533</v>
      </c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</row>
    <row r="981" spans="2:18" ht="13">
      <c r="B981" s="21"/>
      <c r="C981" s="22"/>
      <c r="D981" s="68" t="s">
        <v>17</v>
      </c>
      <c r="E981" s="69" t="s">
        <v>614</v>
      </c>
      <c r="F981" s="20" t="s">
        <v>533</v>
      </c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</row>
    <row r="982" spans="2:18" ht="13">
      <c r="B982" s="21"/>
      <c r="C982" s="22"/>
      <c r="D982" s="68" t="s">
        <v>17</v>
      </c>
      <c r="E982" s="69" t="s">
        <v>614</v>
      </c>
      <c r="F982" s="20" t="s">
        <v>533</v>
      </c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</row>
    <row r="983" spans="2:18" ht="13">
      <c r="B983" s="21"/>
      <c r="C983" s="22"/>
      <c r="D983" s="68" t="s">
        <v>26</v>
      </c>
      <c r="E983" s="69" t="s">
        <v>27</v>
      </c>
      <c r="F983" s="20" t="s">
        <v>533</v>
      </c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</row>
    <row r="984" spans="2:18" ht="13">
      <c r="B984" s="21"/>
      <c r="C984" s="22"/>
      <c r="D984" s="68" t="s">
        <v>17</v>
      </c>
      <c r="E984" s="69" t="s">
        <v>27</v>
      </c>
      <c r="F984" s="20" t="s">
        <v>533</v>
      </c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</row>
    <row r="985" spans="2:18" ht="13">
      <c r="B985" s="21"/>
      <c r="C985" s="22"/>
      <c r="D985" s="68" t="s">
        <v>17</v>
      </c>
      <c r="E985" s="69" t="s">
        <v>27</v>
      </c>
      <c r="F985" s="20" t="s">
        <v>533</v>
      </c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</row>
    <row r="986" spans="2:18" ht="13">
      <c r="B986" s="21"/>
      <c r="C986" s="22"/>
      <c r="D986" s="68" t="s">
        <v>26</v>
      </c>
      <c r="E986" s="69" t="s">
        <v>27</v>
      </c>
      <c r="F986" s="20" t="s">
        <v>533</v>
      </c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</row>
    <row r="987" spans="2:18" ht="13">
      <c r="B987" s="21"/>
      <c r="C987" s="22"/>
      <c r="D987" s="68" t="s">
        <v>17</v>
      </c>
      <c r="E987" s="69" t="s">
        <v>27</v>
      </c>
      <c r="F987" s="20" t="s">
        <v>533</v>
      </c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</row>
    <row r="988" spans="2:18" ht="13">
      <c r="B988" s="21"/>
      <c r="C988" s="22"/>
      <c r="D988" s="68" t="s">
        <v>17</v>
      </c>
      <c r="E988" s="69" t="s">
        <v>27</v>
      </c>
      <c r="F988" s="20" t="s">
        <v>533</v>
      </c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</row>
    <row r="989" spans="2:18" ht="13">
      <c r="B989" s="21"/>
      <c r="C989" s="22"/>
      <c r="D989" s="68" t="s">
        <v>17</v>
      </c>
      <c r="E989" s="69" t="s">
        <v>27</v>
      </c>
      <c r="F989" s="20" t="s">
        <v>533</v>
      </c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</row>
    <row r="990" spans="2:18" ht="13">
      <c r="B990" s="21"/>
      <c r="C990" s="22"/>
      <c r="D990" s="68" t="s">
        <v>17</v>
      </c>
      <c r="E990" s="69" t="s">
        <v>27</v>
      </c>
      <c r="F990" s="20" t="s">
        <v>533</v>
      </c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</row>
    <row r="991" spans="2:18" ht="13">
      <c r="B991" s="21"/>
      <c r="C991" s="22"/>
      <c r="D991" s="68" t="s">
        <v>17</v>
      </c>
      <c r="E991" s="69" t="s">
        <v>27</v>
      </c>
      <c r="F991" s="20" t="s">
        <v>533</v>
      </c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</row>
    <row r="992" spans="2:18" ht="13">
      <c r="B992" s="21"/>
      <c r="C992" s="22"/>
      <c r="D992" s="68" t="s">
        <v>17</v>
      </c>
      <c r="E992" s="69" t="s">
        <v>27</v>
      </c>
      <c r="F992" s="20" t="s">
        <v>533</v>
      </c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</row>
    <row r="993" spans="2:18" ht="13">
      <c r="B993" s="21"/>
      <c r="C993" s="22"/>
      <c r="D993" s="68" t="s">
        <v>26</v>
      </c>
      <c r="E993" s="69" t="s">
        <v>27</v>
      </c>
      <c r="F993" s="20" t="s">
        <v>533</v>
      </c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</row>
    <row r="994" spans="2:18" ht="13">
      <c r="B994" s="21"/>
      <c r="C994" s="22"/>
      <c r="D994" s="68" t="s">
        <v>17</v>
      </c>
      <c r="E994" s="69" t="s">
        <v>27</v>
      </c>
      <c r="F994" s="20" t="s">
        <v>533</v>
      </c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</row>
    <row r="995" spans="2:18" ht="13">
      <c r="B995" s="21"/>
      <c r="C995" s="22"/>
      <c r="D995" s="68" t="s">
        <v>174</v>
      </c>
      <c r="E995" s="69" t="s">
        <v>379</v>
      </c>
      <c r="F995" s="20" t="s">
        <v>533</v>
      </c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</row>
    <row r="996" spans="2:18" ht="13">
      <c r="B996" s="21"/>
      <c r="C996" s="22"/>
      <c r="D996" s="68" t="s">
        <v>17</v>
      </c>
      <c r="E996" s="69" t="s">
        <v>27</v>
      </c>
      <c r="F996" s="20" t="s">
        <v>533</v>
      </c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</row>
    <row r="997" spans="2:18" ht="13">
      <c r="B997" s="21"/>
      <c r="C997" s="22"/>
      <c r="D997" s="68" t="s">
        <v>17</v>
      </c>
      <c r="E997" s="69" t="s">
        <v>27</v>
      </c>
      <c r="F997" s="20" t="s">
        <v>533</v>
      </c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</row>
    <row r="998" spans="2:18" ht="13">
      <c r="B998" s="21"/>
      <c r="C998" s="22"/>
      <c r="D998" s="68" t="s">
        <v>559</v>
      </c>
      <c r="E998" s="69" t="s">
        <v>32</v>
      </c>
      <c r="F998" s="20" t="s">
        <v>533</v>
      </c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</row>
    <row r="999" spans="2:18" ht="13">
      <c r="B999" s="21"/>
      <c r="C999" s="22"/>
      <c r="D999" s="68" t="s">
        <v>26</v>
      </c>
      <c r="E999" s="69" t="s">
        <v>27</v>
      </c>
      <c r="F999" s="20" t="s">
        <v>533</v>
      </c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</row>
    <row r="1000" spans="2:18" ht="13">
      <c r="B1000" s="21"/>
      <c r="C1000" s="22"/>
      <c r="D1000" s="68" t="s">
        <v>86</v>
      </c>
      <c r="E1000" s="69" t="s">
        <v>124</v>
      </c>
      <c r="F1000" s="20" t="s">
        <v>533</v>
      </c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</row>
    <row r="1001" spans="2:18" ht="13">
      <c r="B1001" s="21"/>
      <c r="C1001" s="22"/>
      <c r="D1001" s="68" t="s">
        <v>86</v>
      </c>
      <c r="E1001" s="69" t="s">
        <v>121</v>
      </c>
      <c r="F1001" s="20" t="s">
        <v>533</v>
      </c>
      <c r="G1001" s="15"/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</row>
    <row r="1002" spans="2:18" ht="13">
      <c r="B1002" s="21"/>
      <c r="C1002" s="22"/>
      <c r="D1002" s="68" t="s">
        <v>632</v>
      </c>
      <c r="E1002" s="69" t="s">
        <v>379</v>
      </c>
      <c r="F1002" s="20" t="s">
        <v>533</v>
      </c>
      <c r="G1002" s="15"/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</row>
    <row r="1003" spans="2:18" ht="13">
      <c r="B1003" s="21"/>
      <c r="C1003" s="22"/>
      <c r="D1003" s="68" t="s">
        <v>26</v>
      </c>
      <c r="E1003" s="69" t="s">
        <v>27</v>
      </c>
      <c r="F1003" s="20" t="s">
        <v>533</v>
      </c>
      <c r="G1003" s="15"/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</row>
    <row r="1004" spans="2:18" ht="13">
      <c r="B1004" s="21"/>
      <c r="C1004" s="22"/>
      <c r="D1004" s="68" t="s">
        <v>574</v>
      </c>
      <c r="E1004" s="69" t="s">
        <v>575</v>
      </c>
      <c r="F1004" s="20" t="s">
        <v>533</v>
      </c>
      <c r="G1004" s="15"/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</row>
    <row r="1005" spans="2:18" ht="13">
      <c r="B1005" s="21"/>
      <c r="C1005" s="22"/>
      <c r="D1005" s="68" t="s">
        <v>17</v>
      </c>
      <c r="E1005" s="69" t="s">
        <v>27</v>
      </c>
      <c r="F1005" s="20" t="s">
        <v>533</v>
      </c>
      <c r="G1005" s="15"/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</row>
    <row r="1006" spans="2:18" ht="13">
      <c r="B1006" s="21"/>
      <c r="C1006" s="22"/>
      <c r="D1006" s="68" t="s">
        <v>17</v>
      </c>
      <c r="E1006" s="69" t="s">
        <v>27</v>
      </c>
      <c r="F1006" s="20" t="s">
        <v>533</v>
      </c>
      <c r="G1006" s="15"/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</row>
    <row r="1007" spans="2:18" ht="13">
      <c r="B1007" s="21"/>
      <c r="C1007" s="22"/>
      <c r="D1007" s="68" t="s">
        <v>17</v>
      </c>
      <c r="E1007" s="69" t="s">
        <v>27</v>
      </c>
      <c r="F1007" s="20" t="s">
        <v>533</v>
      </c>
      <c r="G1007" s="15"/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</row>
    <row r="1008" spans="2:18" ht="13">
      <c r="B1008" s="21"/>
      <c r="C1008" s="22"/>
      <c r="D1008" s="68" t="s">
        <v>17</v>
      </c>
      <c r="E1008" s="69" t="s">
        <v>27</v>
      </c>
      <c r="F1008" s="20" t="s">
        <v>533</v>
      </c>
      <c r="G1008" s="15"/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</row>
    <row r="1009" spans="2:18" ht="13">
      <c r="B1009" s="21"/>
      <c r="C1009" s="22"/>
      <c r="D1009" s="68" t="s">
        <v>17</v>
      </c>
      <c r="E1009" s="69" t="s">
        <v>27</v>
      </c>
      <c r="F1009" s="20" t="s">
        <v>533</v>
      </c>
      <c r="G1009" s="15"/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</row>
    <row r="1010" spans="2:18" ht="13">
      <c r="B1010" s="21"/>
      <c r="C1010" s="22"/>
      <c r="D1010" s="68" t="s">
        <v>17</v>
      </c>
      <c r="E1010" s="69" t="s">
        <v>27</v>
      </c>
      <c r="F1010" s="20" t="s">
        <v>533</v>
      </c>
      <c r="G1010" s="15"/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</row>
    <row r="1011" spans="2:18" ht="13">
      <c r="B1011" s="21"/>
      <c r="C1011" s="22"/>
      <c r="D1011" s="68" t="s">
        <v>17</v>
      </c>
      <c r="E1011" s="69" t="s">
        <v>27</v>
      </c>
      <c r="F1011" s="20" t="s">
        <v>533</v>
      </c>
      <c r="G1011" s="15"/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</row>
    <row r="1012" spans="2:18" ht="13">
      <c r="B1012" s="21"/>
      <c r="C1012" s="22"/>
      <c r="D1012" s="68" t="s">
        <v>17</v>
      </c>
      <c r="E1012" s="69" t="s">
        <v>27</v>
      </c>
      <c r="F1012" s="20" t="s">
        <v>533</v>
      </c>
      <c r="G1012" s="15"/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</row>
    <row r="1013" spans="2:18" ht="13">
      <c r="B1013" s="21"/>
      <c r="C1013" s="22"/>
      <c r="D1013" s="68" t="s">
        <v>26</v>
      </c>
      <c r="E1013" s="69" t="s">
        <v>27</v>
      </c>
      <c r="F1013" s="20" t="s">
        <v>533</v>
      </c>
      <c r="G1013" s="15"/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</row>
    <row r="1014" spans="2:18" ht="13">
      <c r="B1014" s="21"/>
      <c r="C1014" s="22"/>
      <c r="D1014" s="68" t="s">
        <v>36</v>
      </c>
      <c r="E1014" s="69" t="s">
        <v>37</v>
      </c>
      <c r="F1014" s="20" t="s">
        <v>533</v>
      </c>
      <c r="G1014" s="15"/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</row>
    <row r="1015" spans="2:18" ht="13">
      <c r="B1015" s="21"/>
      <c r="C1015" s="22"/>
      <c r="D1015" s="68" t="s">
        <v>17</v>
      </c>
      <c r="E1015" s="69" t="s">
        <v>27</v>
      </c>
      <c r="F1015" s="20" t="s">
        <v>533</v>
      </c>
      <c r="G1015" s="15"/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</row>
    <row r="1016" spans="2:18" ht="13">
      <c r="B1016" s="21"/>
      <c r="C1016" s="22"/>
      <c r="D1016" s="68" t="s">
        <v>17</v>
      </c>
      <c r="E1016" s="69" t="s">
        <v>27</v>
      </c>
      <c r="F1016" s="20" t="s">
        <v>533</v>
      </c>
      <c r="G1016" s="15"/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</row>
    <row r="1017" spans="2:18" ht="13">
      <c r="B1017" s="21"/>
      <c r="C1017" s="22"/>
      <c r="D1017" s="68" t="s">
        <v>17</v>
      </c>
      <c r="E1017" s="69" t="s">
        <v>27</v>
      </c>
      <c r="F1017" s="20" t="s">
        <v>533</v>
      </c>
      <c r="G1017" s="15"/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</row>
    <row r="1018" spans="2:18" ht="13">
      <c r="B1018" s="21"/>
      <c r="C1018" s="22"/>
      <c r="D1018" s="68" t="s">
        <v>17</v>
      </c>
      <c r="E1018" s="69" t="s">
        <v>27</v>
      </c>
      <c r="F1018" s="20" t="s">
        <v>533</v>
      </c>
      <c r="G1018" s="15"/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</row>
    <row r="1019" spans="2:18" ht="13">
      <c r="B1019" s="21"/>
      <c r="C1019" s="22"/>
      <c r="D1019" s="68" t="s">
        <v>17</v>
      </c>
      <c r="E1019" s="69" t="s">
        <v>27</v>
      </c>
      <c r="F1019" s="20" t="s">
        <v>533</v>
      </c>
      <c r="G1019" s="15"/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</row>
    <row r="1020" spans="2:18" ht="13">
      <c r="B1020" s="21"/>
      <c r="C1020" s="22"/>
      <c r="D1020" s="68" t="s">
        <v>17</v>
      </c>
      <c r="E1020" s="69" t="s">
        <v>27</v>
      </c>
      <c r="F1020" s="20" t="s">
        <v>533</v>
      </c>
      <c r="G1020" s="15"/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</row>
    <row r="1021" spans="2:18" ht="13">
      <c r="B1021" s="21"/>
      <c r="C1021" s="22"/>
      <c r="D1021" s="68" t="s">
        <v>26</v>
      </c>
      <c r="E1021" s="69" t="s">
        <v>27</v>
      </c>
      <c r="F1021" s="20" t="s">
        <v>533</v>
      </c>
      <c r="G1021" s="15"/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</row>
    <row r="1022" spans="2:18" ht="13">
      <c r="B1022" s="21"/>
      <c r="C1022" s="22"/>
      <c r="D1022" s="68" t="s">
        <v>17</v>
      </c>
      <c r="E1022" s="69" t="s">
        <v>27</v>
      </c>
      <c r="F1022" s="20" t="s">
        <v>533</v>
      </c>
      <c r="G1022" s="15"/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</row>
    <row r="1023" spans="2:18" ht="13">
      <c r="B1023" s="21"/>
      <c r="C1023" s="22"/>
      <c r="D1023" s="68" t="s">
        <v>106</v>
      </c>
      <c r="E1023" s="69" t="s">
        <v>37</v>
      </c>
      <c r="F1023" s="20" t="s">
        <v>533</v>
      </c>
      <c r="G1023" s="15"/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</row>
    <row r="1024" spans="2:18" ht="13">
      <c r="B1024" s="21"/>
      <c r="C1024" s="22"/>
      <c r="D1024" s="68" t="s">
        <v>17</v>
      </c>
      <c r="E1024" s="69" t="s">
        <v>27</v>
      </c>
      <c r="F1024" s="20" t="s">
        <v>533</v>
      </c>
      <c r="G1024" s="15"/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</row>
    <row r="1025" spans="2:18" ht="13">
      <c r="B1025" s="21"/>
      <c r="C1025" s="22"/>
      <c r="D1025" s="68" t="s">
        <v>17</v>
      </c>
      <c r="E1025" s="69" t="s">
        <v>27</v>
      </c>
      <c r="F1025" s="20" t="s">
        <v>533</v>
      </c>
      <c r="G1025" s="15"/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</row>
    <row r="1026" spans="2:18" ht="13">
      <c r="B1026" s="21"/>
      <c r="C1026" s="22"/>
      <c r="D1026" s="68" t="s">
        <v>630</v>
      </c>
      <c r="E1026" s="69" t="s">
        <v>27</v>
      </c>
      <c r="F1026" s="20" t="s">
        <v>533</v>
      </c>
      <c r="G1026" s="15"/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</row>
    <row r="1027" spans="2:18" ht="13">
      <c r="B1027" s="21"/>
      <c r="C1027" s="22"/>
      <c r="D1027" s="68" t="s">
        <v>26</v>
      </c>
      <c r="E1027" s="69" t="s">
        <v>379</v>
      </c>
      <c r="F1027" s="20" t="s">
        <v>533</v>
      </c>
      <c r="G1027" s="15"/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</row>
    <row r="1028" spans="2:18" ht="13">
      <c r="B1028" s="21"/>
      <c r="C1028" s="22"/>
      <c r="D1028" s="68" t="s">
        <v>26</v>
      </c>
      <c r="E1028" s="69" t="s">
        <v>27</v>
      </c>
      <c r="F1028" s="20" t="s">
        <v>533</v>
      </c>
      <c r="G1028" s="15"/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</row>
    <row r="1029" spans="2:18" ht="13">
      <c r="B1029" s="21"/>
      <c r="C1029" s="22"/>
      <c r="D1029" s="68" t="s">
        <v>633</v>
      </c>
      <c r="E1029" s="69" t="s">
        <v>379</v>
      </c>
      <c r="F1029" s="20" t="s">
        <v>533</v>
      </c>
      <c r="G1029" s="15"/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</row>
    <row r="1030" spans="2:18" ht="13">
      <c r="B1030" s="21"/>
      <c r="C1030" s="22"/>
      <c r="D1030" s="68" t="s">
        <v>17</v>
      </c>
      <c r="E1030" s="69" t="s">
        <v>27</v>
      </c>
      <c r="F1030" s="20" t="s">
        <v>533</v>
      </c>
      <c r="G1030" s="15"/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</row>
    <row r="1031" spans="2:18" ht="13">
      <c r="B1031" s="21"/>
      <c r="C1031" s="22"/>
      <c r="D1031" s="68" t="s">
        <v>572</v>
      </c>
      <c r="E1031" s="69" t="s">
        <v>32</v>
      </c>
      <c r="F1031" s="20" t="s">
        <v>533</v>
      </c>
      <c r="G1031" s="15"/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</row>
    <row r="1032" spans="2:18" ht="13">
      <c r="B1032" s="21"/>
      <c r="C1032" s="22"/>
      <c r="D1032" s="68" t="s">
        <v>26</v>
      </c>
      <c r="E1032" s="69" t="s">
        <v>27</v>
      </c>
      <c r="F1032" s="20" t="s">
        <v>533</v>
      </c>
      <c r="G1032" s="15"/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</row>
    <row r="1033" spans="2:18" ht="13">
      <c r="B1033" s="21"/>
      <c r="C1033" s="22"/>
      <c r="D1033" s="68" t="s">
        <v>594</v>
      </c>
      <c r="E1033" s="69" t="s">
        <v>32</v>
      </c>
      <c r="F1033" s="20" t="s">
        <v>533</v>
      </c>
      <c r="G1033" s="15"/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</row>
    <row r="1034" spans="2:18" ht="13">
      <c r="B1034" s="21"/>
      <c r="C1034" s="22"/>
      <c r="D1034" s="68" t="s">
        <v>36</v>
      </c>
      <c r="E1034" s="69" t="s">
        <v>37</v>
      </c>
      <c r="F1034" s="20" t="s">
        <v>533</v>
      </c>
      <c r="G1034" s="15"/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</row>
    <row r="1035" spans="2:18" ht="13">
      <c r="B1035" s="21"/>
      <c r="C1035" s="22"/>
      <c r="D1035" s="68" t="s">
        <v>17</v>
      </c>
      <c r="E1035" s="69" t="s">
        <v>27</v>
      </c>
      <c r="F1035" s="20" t="s">
        <v>533</v>
      </c>
      <c r="G1035" s="15"/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</row>
    <row r="1036" spans="2:18" ht="13">
      <c r="B1036" s="21"/>
      <c r="C1036" s="22"/>
      <c r="D1036" s="68" t="s">
        <v>574</v>
      </c>
      <c r="E1036" s="69" t="s">
        <v>575</v>
      </c>
      <c r="F1036" s="20" t="s">
        <v>533</v>
      </c>
      <c r="G1036" s="15"/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</row>
    <row r="1037" spans="2:18" ht="13">
      <c r="B1037" s="21"/>
      <c r="C1037" s="22"/>
      <c r="D1037" s="68" t="s">
        <v>583</v>
      </c>
      <c r="E1037" s="69" t="s">
        <v>124</v>
      </c>
      <c r="F1037" s="20" t="s">
        <v>533</v>
      </c>
      <c r="G1037" s="15"/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</row>
    <row r="1038" spans="2:18" ht="13">
      <c r="B1038" s="21"/>
      <c r="C1038" s="22"/>
      <c r="D1038" s="68" t="s">
        <v>86</v>
      </c>
      <c r="E1038" s="69" t="s">
        <v>121</v>
      </c>
      <c r="F1038" s="20" t="s">
        <v>533</v>
      </c>
      <c r="G1038" s="15"/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</row>
    <row r="1039" spans="2:18" ht="13">
      <c r="B1039" s="21"/>
      <c r="C1039" s="22"/>
      <c r="D1039" s="68" t="s">
        <v>583</v>
      </c>
      <c r="E1039" s="69" t="s">
        <v>124</v>
      </c>
      <c r="F1039" s="20" t="s">
        <v>533</v>
      </c>
      <c r="G1039" s="15"/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</row>
    <row r="1040" spans="2:18" ht="13">
      <c r="B1040" s="21"/>
      <c r="C1040" s="22"/>
      <c r="D1040" s="68" t="s">
        <v>634</v>
      </c>
      <c r="E1040" s="69" t="s">
        <v>121</v>
      </c>
      <c r="F1040" s="20" t="s">
        <v>533</v>
      </c>
      <c r="G1040" s="15"/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</row>
    <row r="1041" spans="2:18" ht="13">
      <c r="B1041" s="21"/>
      <c r="C1041" s="22"/>
      <c r="D1041" s="68" t="s">
        <v>17</v>
      </c>
      <c r="E1041" s="69" t="s">
        <v>27</v>
      </c>
      <c r="F1041" s="20" t="s">
        <v>533</v>
      </c>
      <c r="G1041" s="15"/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</row>
    <row r="1042" spans="2:18" ht="13">
      <c r="B1042" s="21"/>
      <c r="C1042" s="22"/>
      <c r="D1042" s="68" t="s">
        <v>17</v>
      </c>
      <c r="E1042" s="69" t="s">
        <v>27</v>
      </c>
      <c r="F1042" s="20" t="s">
        <v>533</v>
      </c>
      <c r="G1042" s="15"/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</row>
    <row r="1043" spans="2:18" ht="13">
      <c r="B1043" s="21"/>
      <c r="C1043" s="22"/>
      <c r="D1043" s="68" t="s">
        <v>17</v>
      </c>
      <c r="E1043" s="69" t="s">
        <v>27</v>
      </c>
      <c r="F1043" s="20" t="s">
        <v>533</v>
      </c>
      <c r="G1043" s="15"/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</row>
    <row r="1044" spans="2:18" ht="13">
      <c r="B1044" s="21"/>
      <c r="C1044" s="22"/>
      <c r="D1044" s="68" t="s">
        <v>570</v>
      </c>
      <c r="E1044" s="69" t="s">
        <v>124</v>
      </c>
      <c r="F1044" s="20" t="s">
        <v>533</v>
      </c>
      <c r="G1044" s="15"/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</row>
    <row r="1045" spans="2:18" ht="13">
      <c r="B1045" s="21"/>
      <c r="C1045" s="22"/>
      <c r="D1045" s="68" t="s">
        <v>86</v>
      </c>
      <c r="E1045" s="69" t="s">
        <v>124</v>
      </c>
      <c r="F1045" s="20" t="s">
        <v>533</v>
      </c>
      <c r="G1045" s="15"/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</row>
    <row r="1046" spans="2:18" ht="13">
      <c r="B1046" s="21"/>
      <c r="C1046" s="22"/>
      <c r="D1046" s="68" t="s">
        <v>26</v>
      </c>
      <c r="E1046" s="69" t="s">
        <v>564</v>
      </c>
      <c r="F1046" s="20" t="s">
        <v>533</v>
      </c>
      <c r="G1046" s="15"/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</row>
    <row r="1047" spans="2:18" ht="13">
      <c r="B1047" s="21"/>
      <c r="C1047" s="22"/>
      <c r="D1047" s="68" t="s">
        <v>17</v>
      </c>
      <c r="E1047" s="69" t="s">
        <v>27</v>
      </c>
      <c r="F1047" s="20" t="s">
        <v>533</v>
      </c>
      <c r="G1047" s="15"/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</row>
    <row r="1048" spans="2:18" ht="13">
      <c r="B1048" s="21"/>
      <c r="C1048" s="22"/>
      <c r="D1048" s="68" t="s">
        <v>17</v>
      </c>
      <c r="E1048" s="69" t="s">
        <v>27</v>
      </c>
      <c r="F1048" s="20" t="s">
        <v>533</v>
      </c>
      <c r="G1048" s="15"/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</row>
    <row r="1049" spans="2:18" ht="13">
      <c r="B1049" s="21"/>
      <c r="C1049" s="22"/>
      <c r="D1049" s="68" t="s">
        <v>36</v>
      </c>
      <c r="E1049" s="69" t="s">
        <v>37</v>
      </c>
      <c r="F1049" s="20" t="s">
        <v>533</v>
      </c>
      <c r="G1049" s="15"/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</row>
    <row r="1050" spans="2:18" ht="13">
      <c r="B1050" s="21"/>
      <c r="C1050" s="22"/>
      <c r="D1050" s="68" t="s">
        <v>404</v>
      </c>
      <c r="E1050" s="69" t="s">
        <v>32</v>
      </c>
      <c r="F1050" s="20" t="s">
        <v>533</v>
      </c>
      <c r="G1050" s="15"/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</row>
    <row r="1051" spans="2:18" ht="13">
      <c r="B1051" s="21"/>
      <c r="C1051" s="22"/>
      <c r="D1051" s="68" t="s">
        <v>36</v>
      </c>
      <c r="E1051" s="69" t="s">
        <v>37</v>
      </c>
      <c r="F1051" s="20" t="s">
        <v>533</v>
      </c>
      <c r="G1051" s="15"/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</row>
    <row r="1052" spans="2:18" ht="13">
      <c r="B1052" s="21"/>
      <c r="C1052" s="22"/>
      <c r="D1052" s="68" t="s">
        <v>36</v>
      </c>
      <c r="E1052" s="69" t="s">
        <v>37</v>
      </c>
      <c r="F1052" s="20" t="s">
        <v>533</v>
      </c>
      <c r="G1052" s="15"/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</row>
    <row r="1053" spans="2:18" ht="13">
      <c r="B1053" s="21"/>
      <c r="C1053" s="22"/>
      <c r="D1053" s="68" t="s">
        <v>17</v>
      </c>
      <c r="E1053" s="69" t="s">
        <v>27</v>
      </c>
      <c r="F1053" s="20" t="s">
        <v>533</v>
      </c>
      <c r="G1053" s="15"/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</row>
    <row r="1054" spans="2:18" ht="13">
      <c r="B1054" s="21"/>
      <c r="C1054" s="22"/>
      <c r="D1054" s="68" t="s">
        <v>544</v>
      </c>
      <c r="E1054" s="69" t="s">
        <v>121</v>
      </c>
      <c r="F1054" s="20" t="s">
        <v>533</v>
      </c>
      <c r="G1054" s="15"/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</row>
    <row r="1055" spans="2:18" ht="13">
      <c r="B1055" s="21"/>
      <c r="C1055" s="22"/>
      <c r="D1055" s="68" t="s">
        <v>17</v>
      </c>
      <c r="E1055" s="69" t="s">
        <v>27</v>
      </c>
      <c r="F1055" s="20" t="s">
        <v>533</v>
      </c>
      <c r="G1055" s="15"/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</row>
    <row r="1056" spans="2:18" ht="13">
      <c r="B1056" s="21"/>
      <c r="C1056" s="22"/>
      <c r="D1056" s="68" t="s">
        <v>17</v>
      </c>
      <c r="E1056" s="69" t="s">
        <v>27</v>
      </c>
      <c r="F1056" s="20" t="s">
        <v>533</v>
      </c>
      <c r="G1056" s="15"/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</row>
    <row r="1057" spans="2:18" ht="13">
      <c r="B1057" s="21"/>
      <c r="C1057" s="22"/>
      <c r="D1057" s="68" t="s">
        <v>17</v>
      </c>
      <c r="E1057" s="69" t="s">
        <v>27</v>
      </c>
      <c r="F1057" s="20" t="s">
        <v>533</v>
      </c>
      <c r="G1057" s="15"/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</row>
    <row r="1058" spans="2:18" ht="13">
      <c r="B1058" s="21"/>
      <c r="C1058" s="22"/>
      <c r="D1058" s="68" t="s">
        <v>26</v>
      </c>
      <c r="E1058" s="69" t="s">
        <v>27</v>
      </c>
      <c r="F1058" s="20" t="s">
        <v>533</v>
      </c>
      <c r="G1058" s="15"/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</row>
    <row r="1059" spans="2:18" ht="13">
      <c r="B1059" s="21"/>
      <c r="C1059" s="22"/>
      <c r="D1059" s="68" t="s">
        <v>17</v>
      </c>
      <c r="E1059" s="69" t="s">
        <v>27</v>
      </c>
      <c r="F1059" s="20" t="s">
        <v>533</v>
      </c>
      <c r="G1059" s="15"/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</row>
    <row r="1060" spans="2:18" ht="13">
      <c r="B1060" s="21"/>
      <c r="C1060" s="22"/>
      <c r="D1060" s="68" t="s">
        <v>17</v>
      </c>
      <c r="E1060" s="69" t="s">
        <v>18</v>
      </c>
      <c r="F1060" s="20" t="s">
        <v>533</v>
      </c>
      <c r="G1060" s="15"/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</row>
    <row r="1061" spans="2:18" ht="13">
      <c r="B1061" s="21"/>
      <c r="C1061" s="22"/>
      <c r="D1061" s="68" t="s">
        <v>36</v>
      </c>
      <c r="E1061" s="69" t="s">
        <v>37</v>
      </c>
      <c r="F1061" s="20" t="s">
        <v>533</v>
      </c>
      <c r="G1061" s="15"/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</row>
    <row r="1062" spans="2:18" ht="13">
      <c r="B1062" s="21"/>
      <c r="C1062" s="22"/>
      <c r="D1062" s="68" t="s">
        <v>26</v>
      </c>
      <c r="E1062" s="69" t="s">
        <v>27</v>
      </c>
      <c r="F1062" s="20" t="s">
        <v>533</v>
      </c>
      <c r="G1062" s="15"/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</row>
    <row r="1063" spans="2:18" ht="13">
      <c r="B1063" s="21"/>
      <c r="C1063" s="22"/>
      <c r="D1063" s="68" t="s">
        <v>17</v>
      </c>
      <c r="E1063" s="69" t="s">
        <v>27</v>
      </c>
      <c r="F1063" s="20" t="s">
        <v>533</v>
      </c>
      <c r="G1063" s="15"/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</row>
    <row r="1064" spans="2:18" ht="13">
      <c r="B1064" s="21"/>
      <c r="C1064" s="22"/>
      <c r="D1064" s="68" t="s">
        <v>17</v>
      </c>
      <c r="E1064" s="69" t="s">
        <v>27</v>
      </c>
      <c r="F1064" s="20" t="s">
        <v>533</v>
      </c>
      <c r="G1064" s="15"/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</row>
    <row r="1065" spans="2:18" ht="13">
      <c r="B1065" s="21"/>
      <c r="C1065" s="22"/>
      <c r="D1065" s="68" t="s">
        <v>17</v>
      </c>
      <c r="E1065" s="69" t="s">
        <v>27</v>
      </c>
      <c r="F1065" s="20" t="s">
        <v>533</v>
      </c>
      <c r="G1065" s="15"/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</row>
    <row r="1066" spans="2:18" ht="13">
      <c r="B1066" s="21"/>
      <c r="C1066" s="22"/>
      <c r="D1066" s="68" t="s">
        <v>17</v>
      </c>
      <c r="E1066" s="69" t="s">
        <v>27</v>
      </c>
      <c r="F1066" s="20" t="s">
        <v>533</v>
      </c>
      <c r="G1066" s="15"/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</row>
    <row r="1067" spans="2:18" ht="13">
      <c r="B1067" s="21"/>
      <c r="C1067" s="22"/>
      <c r="D1067" s="68" t="s">
        <v>562</v>
      </c>
      <c r="E1067" s="69" t="s">
        <v>37</v>
      </c>
      <c r="F1067" s="20" t="s">
        <v>533</v>
      </c>
      <c r="G1067" s="15"/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</row>
    <row r="1068" spans="2:18" ht="13">
      <c r="B1068" s="21"/>
      <c r="C1068" s="22"/>
      <c r="D1068" s="68" t="s">
        <v>17</v>
      </c>
      <c r="E1068" s="69" t="s">
        <v>27</v>
      </c>
      <c r="F1068" s="20" t="s">
        <v>533</v>
      </c>
      <c r="G1068" s="15"/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</row>
    <row r="1069" spans="2:18" ht="13">
      <c r="B1069" s="21"/>
      <c r="C1069" s="22"/>
      <c r="D1069" s="68" t="s">
        <v>17</v>
      </c>
      <c r="E1069" s="69" t="s">
        <v>18</v>
      </c>
      <c r="F1069" s="20" t="s">
        <v>533</v>
      </c>
      <c r="G1069" s="15"/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</row>
    <row r="1070" spans="2:18" ht="13">
      <c r="B1070" s="21"/>
      <c r="C1070" s="22"/>
      <c r="D1070" s="68" t="s">
        <v>571</v>
      </c>
      <c r="E1070" s="69" t="s">
        <v>163</v>
      </c>
      <c r="F1070" s="20" t="s">
        <v>533</v>
      </c>
      <c r="G1070" s="15"/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</row>
    <row r="1071" spans="2:18" ht="13">
      <c r="B1071" s="21"/>
      <c r="C1071" s="22"/>
      <c r="D1071" s="68" t="s">
        <v>26</v>
      </c>
      <c r="E1071" s="69" t="s">
        <v>27</v>
      </c>
      <c r="F1071" s="20" t="s">
        <v>533</v>
      </c>
      <c r="G1071" s="15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</row>
    <row r="1072" spans="2:18" ht="13">
      <c r="B1072" s="21"/>
      <c r="C1072" s="22"/>
      <c r="D1072" s="68" t="s">
        <v>17</v>
      </c>
      <c r="E1072" s="69" t="s">
        <v>27</v>
      </c>
      <c r="F1072" s="20" t="s">
        <v>533</v>
      </c>
      <c r="G1072" s="15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</row>
    <row r="1073" spans="2:18" ht="13">
      <c r="B1073" s="21"/>
      <c r="C1073" s="22"/>
      <c r="D1073" s="68" t="s">
        <v>17</v>
      </c>
      <c r="E1073" s="69" t="s">
        <v>27</v>
      </c>
      <c r="F1073" s="20" t="s">
        <v>533</v>
      </c>
      <c r="G1073" s="15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</row>
    <row r="1074" spans="2:18" ht="13">
      <c r="B1074" s="21"/>
      <c r="C1074" s="22"/>
      <c r="D1074" s="68" t="s">
        <v>174</v>
      </c>
      <c r="E1074" s="69" t="s">
        <v>379</v>
      </c>
      <c r="F1074" s="20" t="s">
        <v>533</v>
      </c>
      <c r="G1074" s="15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</row>
    <row r="1075" spans="2:18" ht="13">
      <c r="B1075" s="21"/>
      <c r="C1075" s="22"/>
      <c r="D1075" s="68" t="s">
        <v>26</v>
      </c>
      <c r="E1075" s="69" t="s">
        <v>27</v>
      </c>
      <c r="F1075" s="20" t="s">
        <v>533</v>
      </c>
      <c r="G1075" s="15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</row>
    <row r="1076" spans="2:18" ht="13">
      <c r="B1076" s="21"/>
      <c r="C1076" s="22"/>
      <c r="D1076" s="68" t="s">
        <v>26</v>
      </c>
      <c r="E1076" s="69" t="s">
        <v>27</v>
      </c>
      <c r="F1076" s="20" t="s">
        <v>533</v>
      </c>
      <c r="G1076" s="15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</row>
    <row r="1077" spans="2:18" ht="13">
      <c r="B1077" s="21"/>
      <c r="C1077" s="22"/>
      <c r="D1077" s="68" t="s">
        <v>574</v>
      </c>
      <c r="E1077" s="69" t="s">
        <v>575</v>
      </c>
      <c r="F1077" s="20" t="s">
        <v>533</v>
      </c>
      <c r="G1077" s="15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</row>
    <row r="1078" spans="2:18" ht="13">
      <c r="B1078" s="21"/>
      <c r="C1078" s="22"/>
      <c r="D1078" s="68" t="s">
        <v>26</v>
      </c>
      <c r="E1078" s="69" t="s">
        <v>27</v>
      </c>
      <c r="F1078" s="20" t="s">
        <v>533</v>
      </c>
      <c r="G1078" s="15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</row>
    <row r="1079" spans="2:18" ht="13">
      <c r="B1079" s="21"/>
      <c r="C1079" s="22"/>
      <c r="D1079" s="68" t="s">
        <v>26</v>
      </c>
      <c r="E1079" s="69" t="s">
        <v>27</v>
      </c>
      <c r="F1079" s="20" t="s">
        <v>533</v>
      </c>
      <c r="G1079" s="15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</row>
    <row r="1080" spans="2:18" ht="13">
      <c r="B1080" s="21"/>
      <c r="C1080" s="22"/>
      <c r="D1080" s="68" t="s">
        <v>17</v>
      </c>
      <c r="E1080" s="69" t="s">
        <v>37</v>
      </c>
      <c r="F1080" s="20" t="s">
        <v>533</v>
      </c>
      <c r="G1080" s="15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</row>
    <row r="1081" spans="2:18" ht="13">
      <c r="B1081" s="21"/>
      <c r="C1081" s="22"/>
      <c r="D1081" s="68" t="s">
        <v>577</v>
      </c>
      <c r="E1081" s="69" t="s">
        <v>124</v>
      </c>
      <c r="F1081" s="20" t="s">
        <v>533</v>
      </c>
      <c r="G1081" s="15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</row>
    <row r="1082" spans="2:18" ht="13">
      <c r="B1082" s="21"/>
      <c r="C1082" s="22"/>
      <c r="D1082" s="68" t="s">
        <v>86</v>
      </c>
      <c r="E1082" s="69" t="s">
        <v>124</v>
      </c>
      <c r="F1082" s="20" t="s">
        <v>533</v>
      </c>
      <c r="G1082" s="15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</row>
    <row r="1083" spans="2:18" ht="13">
      <c r="B1083" s="21"/>
      <c r="C1083" s="22"/>
      <c r="D1083" s="68" t="s">
        <v>618</v>
      </c>
      <c r="E1083" s="69" t="s">
        <v>121</v>
      </c>
      <c r="F1083" s="20" t="s">
        <v>533</v>
      </c>
      <c r="G1083" s="15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</row>
    <row r="1084" spans="2:18" ht="13">
      <c r="B1084" s="21"/>
      <c r="C1084" s="22"/>
      <c r="D1084" s="68" t="s">
        <v>624</v>
      </c>
      <c r="E1084" s="69" t="s">
        <v>32</v>
      </c>
      <c r="F1084" s="20" t="s">
        <v>533</v>
      </c>
      <c r="G1084" s="15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</row>
    <row r="1085" spans="2:18" ht="13">
      <c r="B1085" s="21"/>
      <c r="C1085" s="22"/>
      <c r="D1085" s="68" t="s">
        <v>17</v>
      </c>
      <c r="E1085" s="69" t="s">
        <v>27</v>
      </c>
      <c r="F1085" s="20" t="s">
        <v>533</v>
      </c>
      <c r="G1085" s="15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</row>
    <row r="1086" spans="2:18" ht="13">
      <c r="B1086" s="21"/>
      <c r="C1086" s="22"/>
      <c r="D1086" s="68" t="s">
        <v>26</v>
      </c>
      <c r="E1086" s="69" t="s">
        <v>27</v>
      </c>
      <c r="F1086" s="20" t="s">
        <v>533</v>
      </c>
      <c r="G1086" s="15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</row>
    <row r="1087" spans="2:18" ht="13">
      <c r="B1087" s="21"/>
      <c r="C1087" s="22"/>
      <c r="D1087" s="68" t="s">
        <v>26</v>
      </c>
      <c r="E1087" s="69" t="s">
        <v>27</v>
      </c>
      <c r="F1087" s="20" t="s">
        <v>533</v>
      </c>
      <c r="G1087" s="15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</row>
    <row r="1088" spans="2:18" ht="13">
      <c r="B1088" s="21"/>
      <c r="C1088" s="22"/>
      <c r="D1088" s="68" t="s">
        <v>17</v>
      </c>
      <c r="E1088" s="69" t="s">
        <v>628</v>
      </c>
      <c r="F1088" s="20" t="s">
        <v>533</v>
      </c>
      <c r="G1088" s="15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</row>
    <row r="1089" spans="2:18" ht="13">
      <c r="B1089" s="21"/>
      <c r="C1089" s="22"/>
      <c r="D1089" s="68" t="s">
        <v>17</v>
      </c>
      <c r="E1089" s="69" t="s">
        <v>27</v>
      </c>
      <c r="F1089" s="20" t="s">
        <v>533</v>
      </c>
      <c r="G1089" s="15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</row>
    <row r="1090" spans="2:18" ht="13">
      <c r="B1090" s="21"/>
      <c r="C1090" s="22"/>
      <c r="D1090" s="68" t="s">
        <v>17</v>
      </c>
      <c r="E1090" s="69" t="s">
        <v>27</v>
      </c>
      <c r="F1090" s="20" t="s">
        <v>533</v>
      </c>
      <c r="G1090" s="15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</row>
    <row r="1091" spans="2:18" ht="13">
      <c r="B1091" s="21"/>
      <c r="C1091" s="22"/>
      <c r="D1091" s="68" t="s">
        <v>17</v>
      </c>
      <c r="E1091" s="69" t="s">
        <v>27</v>
      </c>
      <c r="F1091" s="20" t="s">
        <v>533</v>
      </c>
      <c r="G1091" s="15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</row>
    <row r="1092" spans="2:18" ht="13">
      <c r="B1092" s="21"/>
      <c r="C1092" s="22"/>
      <c r="D1092" s="68" t="s">
        <v>17</v>
      </c>
      <c r="E1092" s="69" t="s">
        <v>27</v>
      </c>
      <c r="F1092" s="20" t="s">
        <v>533</v>
      </c>
      <c r="G1092" s="15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</row>
    <row r="1093" spans="2:18" ht="13">
      <c r="B1093" s="21"/>
      <c r="C1093" s="22"/>
      <c r="D1093" s="68" t="s">
        <v>17</v>
      </c>
      <c r="E1093" s="69" t="s">
        <v>27</v>
      </c>
      <c r="F1093" s="20" t="s">
        <v>533</v>
      </c>
      <c r="G1093" s="15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</row>
    <row r="1094" spans="2:18" ht="13">
      <c r="B1094" s="21"/>
      <c r="C1094" s="22"/>
      <c r="D1094" s="68" t="s">
        <v>36</v>
      </c>
      <c r="E1094" s="69" t="s">
        <v>37</v>
      </c>
      <c r="F1094" s="20" t="s">
        <v>533</v>
      </c>
      <c r="G1094" s="15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</row>
    <row r="1095" spans="2:18" ht="13">
      <c r="B1095" s="21"/>
      <c r="C1095" s="22"/>
      <c r="D1095" s="68" t="s">
        <v>17</v>
      </c>
      <c r="E1095" s="69" t="s">
        <v>27</v>
      </c>
      <c r="F1095" s="20" t="s">
        <v>533</v>
      </c>
      <c r="G1095" s="15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</row>
    <row r="1096" spans="2:18" ht="13">
      <c r="B1096" s="21"/>
      <c r="C1096" s="22"/>
      <c r="D1096" s="68" t="s">
        <v>26</v>
      </c>
      <c r="E1096" s="69" t="s">
        <v>27</v>
      </c>
      <c r="F1096" s="20" t="s">
        <v>533</v>
      </c>
      <c r="G1096" s="15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</row>
    <row r="1097" spans="2:18" ht="13">
      <c r="B1097" s="21"/>
      <c r="C1097" s="22"/>
      <c r="D1097" s="68" t="s">
        <v>17</v>
      </c>
      <c r="E1097" s="69" t="s">
        <v>27</v>
      </c>
      <c r="F1097" s="20" t="s">
        <v>533</v>
      </c>
      <c r="G1097" s="15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</row>
    <row r="1098" spans="2:18" ht="13">
      <c r="B1098" s="21"/>
      <c r="C1098" s="22"/>
      <c r="D1098" s="68" t="s">
        <v>577</v>
      </c>
      <c r="E1098" s="69" t="s">
        <v>124</v>
      </c>
      <c r="F1098" s="20" t="s">
        <v>533</v>
      </c>
      <c r="G1098" s="15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</row>
    <row r="1099" spans="2:18" ht="13">
      <c r="B1099" s="21"/>
      <c r="C1099" s="22"/>
      <c r="D1099" s="68" t="s">
        <v>404</v>
      </c>
      <c r="E1099" s="69" t="s">
        <v>32</v>
      </c>
      <c r="F1099" s="20" t="s">
        <v>533</v>
      </c>
      <c r="G1099" s="15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</row>
    <row r="1100" spans="2:18" ht="13">
      <c r="B1100" s="21"/>
      <c r="C1100" s="22"/>
      <c r="D1100" s="68" t="s">
        <v>17</v>
      </c>
      <c r="E1100" s="69" t="s">
        <v>27</v>
      </c>
      <c r="F1100" s="20" t="s">
        <v>533</v>
      </c>
      <c r="G1100" s="15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</row>
    <row r="1101" spans="2:18" ht="13">
      <c r="B1101" s="21"/>
      <c r="C1101" s="22"/>
      <c r="D1101" s="68" t="s">
        <v>17</v>
      </c>
      <c r="E1101" s="69" t="s">
        <v>27</v>
      </c>
      <c r="F1101" s="20" t="s">
        <v>533</v>
      </c>
      <c r="G1101" s="15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</row>
    <row r="1102" spans="2:18" ht="13">
      <c r="B1102" s="21"/>
      <c r="C1102" s="22"/>
      <c r="D1102" s="68" t="s">
        <v>26</v>
      </c>
      <c r="E1102" s="69" t="s">
        <v>27</v>
      </c>
      <c r="F1102" s="20" t="s">
        <v>533</v>
      </c>
      <c r="G1102" s="15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</row>
    <row r="1103" spans="2:18" ht="13">
      <c r="B1103" s="21"/>
      <c r="C1103" s="22"/>
      <c r="D1103" s="68" t="s">
        <v>17</v>
      </c>
      <c r="E1103" s="69" t="s">
        <v>27</v>
      </c>
      <c r="F1103" s="20" t="s">
        <v>533</v>
      </c>
      <c r="G1103" s="15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</row>
    <row r="1104" spans="2:18" ht="13">
      <c r="B1104" s="21"/>
      <c r="C1104" s="22"/>
      <c r="D1104" s="68" t="s">
        <v>26</v>
      </c>
      <c r="E1104" s="69" t="s">
        <v>27</v>
      </c>
      <c r="F1104" s="20" t="s">
        <v>533</v>
      </c>
      <c r="G1104" s="15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</row>
    <row r="1105" spans="2:18" ht="13">
      <c r="B1105" s="21"/>
      <c r="C1105" s="22"/>
      <c r="D1105" s="68" t="s">
        <v>17</v>
      </c>
      <c r="E1105" s="69" t="s">
        <v>27</v>
      </c>
      <c r="F1105" s="20" t="s">
        <v>533</v>
      </c>
      <c r="G1105" s="15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</row>
    <row r="1106" spans="2:18" ht="13">
      <c r="B1106" s="21"/>
      <c r="C1106" s="22"/>
      <c r="D1106" s="68" t="s">
        <v>162</v>
      </c>
      <c r="E1106" s="69" t="s">
        <v>163</v>
      </c>
      <c r="F1106" s="20" t="s">
        <v>533</v>
      </c>
      <c r="G1106" s="15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</row>
    <row r="1107" spans="2:18" ht="13">
      <c r="B1107" s="21"/>
      <c r="C1107" s="22"/>
      <c r="D1107" s="68" t="s">
        <v>17</v>
      </c>
      <c r="E1107" s="69" t="s">
        <v>27</v>
      </c>
      <c r="F1107" s="20" t="s">
        <v>533</v>
      </c>
      <c r="G1107" s="15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</row>
    <row r="1108" spans="2:18" ht="13">
      <c r="B1108" s="21"/>
      <c r="C1108" s="22"/>
      <c r="D1108" s="68" t="s">
        <v>17</v>
      </c>
      <c r="E1108" s="69" t="s">
        <v>27</v>
      </c>
      <c r="F1108" s="20" t="s">
        <v>533</v>
      </c>
      <c r="G1108" s="15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</row>
    <row r="1109" spans="2:18" ht="13">
      <c r="B1109" s="21"/>
      <c r="C1109" s="22"/>
      <c r="D1109" s="68" t="s">
        <v>26</v>
      </c>
      <c r="E1109" s="69" t="s">
        <v>27</v>
      </c>
      <c r="F1109" s="20" t="s">
        <v>533</v>
      </c>
      <c r="G1109" s="15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</row>
    <row r="1110" spans="2:18" ht="13">
      <c r="B1110" s="21"/>
      <c r="C1110" s="22"/>
      <c r="D1110" s="68" t="s">
        <v>17</v>
      </c>
      <c r="E1110" s="69" t="s">
        <v>27</v>
      </c>
      <c r="F1110" s="20" t="s">
        <v>533</v>
      </c>
      <c r="G1110" s="15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</row>
    <row r="1111" spans="2:18" ht="13">
      <c r="B1111" s="21"/>
      <c r="C1111" s="22"/>
      <c r="D1111" s="68" t="s">
        <v>36</v>
      </c>
      <c r="E1111" s="69" t="s">
        <v>37</v>
      </c>
      <c r="F1111" s="20" t="s">
        <v>533</v>
      </c>
      <c r="G1111" s="15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</row>
    <row r="1112" spans="2:18" ht="13">
      <c r="B1112" s="21"/>
      <c r="C1112" s="22"/>
      <c r="D1112" s="68" t="s">
        <v>17</v>
      </c>
      <c r="E1112" s="69" t="s">
        <v>27</v>
      </c>
      <c r="F1112" s="20" t="s">
        <v>533</v>
      </c>
      <c r="G1112" s="15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</row>
    <row r="1113" spans="2:18" ht="13">
      <c r="B1113" s="21"/>
      <c r="C1113" s="22"/>
      <c r="D1113" s="68" t="s">
        <v>17</v>
      </c>
      <c r="E1113" s="69" t="s">
        <v>27</v>
      </c>
      <c r="F1113" s="20" t="s">
        <v>533</v>
      </c>
      <c r="G1113" s="15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</row>
    <row r="1114" spans="2:18" ht="13">
      <c r="B1114" s="21"/>
      <c r="C1114" s="22"/>
      <c r="D1114" s="68" t="s">
        <v>17</v>
      </c>
      <c r="E1114" s="69" t="s">
        <v>27</v>
      </c>
      <c r="F1114" s="20" t="s">
        <v>533</v>
      </c>
      <c r="G1114" s="15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</row>
    <row r="1115" spans="2:18" ht="13">
      <c r="B1115" s="21"/>
      <c r="C1115" s="22"/>
      <c r="D1115" s="68" t="s">
        <v>571</v>
      </c>
      <c r="E1115" s="69" t="s">
        <v>163</v>
      </c>
      <c r="F1115" s="20" t="s">
        <v>533</v>
      </c>
      <c r="G1115" s="15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</row>
    <row r="1116" spans="2:18" ht="13">
      <c r="B1116" s="21"/>
      <c r="C1116" s="22"/>
      <c r="D1116" s="68" t="s">
        <v>17</v>
      </c>
      <c r="E1116" s="69" t="s">
        <v>27</v>
      </c>
      <c r="F1116" s="20" t="s">
        <v>533</v>
      </c>
      <c r="G1116" s="15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</row>
    <row r="1117" spans="2:18" ht="13">
      <c r="B1117" s="21"/>
      <c r="C1117" s="22"/>
      <c r="D1117" s="68" t="s">
        <v>17</v>
      </c>
      <c r="E1117" s="69" t="s">
        <v>27</v>
      </c>
      <c r="F1117" s="20" t="s">
        <v>533</v>
      </c>
      <c r="G1117" s="15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</row>
    <row r="1118" spans="2:18" ht="13">
      <c r="B1118" s="21"/>
      <c r="C1118" s="22"/>
      <c r="D1118" s="68" t="s">
        <v>17</v>
      </c>
      <c r="E1118" s="69" t="s">
        <v>27</v>
      </c>
      <c r="F1118" s="20" t="s">
        <v>533</v>
      </c>
      <c r="G1118" s="15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</row>
    <row r="1119" spans="2:18" ht="13">
      <c r="B1119" s="21"/>
      <c r="C1119" s="22"/>
      <c r="D1119" s="68" t="s">
        <v>17</v>
      </c>
      <c r="E1119" s="69" t="s">
        <v>27</v>
      </c>
      <c r="F1119" s="20" t="s">
        <v>533</v>
      </c>
      <c r="G1119" s="15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</row>
    <row r="1120" spans="2:18" ht="13">
      <c r="B1120" s="21"/>
      <c r="C1120" s="22"/>
      <c r="D1120" s="68" t="s">
        <v>17</v>
      </c>
      <c r="E1120" s="69" t="s">
        <v>27</v>
      </c>
      <c r="F1120" s="20" t="s">
        <v>533</v>
      </c>
      <c r="G1120" s="15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</row>
    <row r="1121" spans="2:18" ht="13">
      <c r="B1121" s="21"/>
      <c r="C1121" s="22"/>
      <c r="D1121" s="68" t="s">
        <v>17</v>
      </c>
      <c r="E1121" s="69" t="s">
        <v>27</v>
      </c>
      <c r="F1121" s="20" t="s">
        <v>533</v>
      </c>
      <c r="G1121" s="15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</row>
    <row r="1122" spans="2:18" ht="13">
      <c r="B1122" s="21"/>
      <c r="C1122" s="22"/>
      <c r="D1122" s="68" t="s">
        <v>17</v>
      </c>
      <c r="E1122" s="69" t="s">
        <v>27</v>
      </c>
      <c r="F1122" s="20" t="s">
        <v>533</v>
      </c>
      <c r="G1122" s="15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</row>
    <row r="1123" spans="2:18" ht="13">
      <c r="B1123" s="21"/>
      <c r="C1123" s="22"/>
      <c r="D1123" s="68" t="s">
        <v>26</v>
      </c>
      <c r="E1123" s="69" t="s">
        <v>27</v>
      </c>
      <c r="F1123" s="20" t="s">
        <v>533</v>
      </c>
      <c r="G1123" s="15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</row>
    <row r="1124" spans="2:18" ht="13">
      <c r="B1124" s="21"/>
      <c r="C1124" s="22"/>
      <c r="D1124" s="68" t="s">
        <v>36</v>
      </c>
      <c r="E1124" s="69" t="s">
        <v>37</v>
      </c>
      <c r="F1124" s="20" t="s">
        <v>533</v>
      </c>
      <c r="G1124" s="15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</row>
    <row r="1125" spans="2:18" ht="13">
      <c r="B1125" s="21"/>
      <c r="C1125" s="22"/>
      <c r="D1125" s="68" t="s">
        <v>168</v>
      </c>
      <c r="E1125" s="69" t="s">
        <v>27</v>
      </c>
      <c r="F1125" s="20" t="s">
        <v>533</v>
      </c>
      <c r="G1125" s="15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</row>
    <row r="1126" spans="2:18" ht="13">
      <c r="B1126" s="21"/>
      <c r="C1126" s="22"/>
      <c r="D1126" s="68" t="s">
        <v>17</v>
      </c>
      <c r="E1126" s="69" t="s">
        <v>27</v>
      </c>
      <c r="F1126" s="20" t="s">
        <v>533</v>
      </c>
      <c r="G1126" s="15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</row>
    <row r="1127" spans="2:18" ht="13">
      <c r="B1127" s="21"/>
      <c r="C1127" s="22"/>
      <c r="D1127" s="68" t="s">
        <v>618</v>
      </c>
      <c r="E1127" s="69" t="s">
        <v>121</v>
      </c>
      <c r="F1127" s="20" t="s">
        <v>533</v>
      </c>
      <c r="G1127" s="15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</row>
    <row r="1128" spans="2:18" ht="13">
      <c r="B1128" s="21"/>
      <c r="C1128" s="22"/>
      <c r="D1128" s="68" t="s">
        <v>17</v>
      </c>
      <c r="E1128" s="69" t="s">
        <v>27</v>
      </c>
      <c r="F1128" s="20" t="s">
        <v>533</v>
      </c>
      <c r="G1128" s="15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</row>
    <row r="1129" spans="2:18" ht="13">
      <c r="B1129" s="21"/>
      <c r="C1129" s="22"/>
      <c r="D1129" s="68" t="s">
        <v>17</v>
      </c>
      <c r="E1129" s="69" t="s">
        <v>27</v>
      </c>
      <c r="F1129" s="20" t="s">
        <v>533</v>
      </c>
      <c r="G1129" s="15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</row>
    <row r="1130" spans="2:18" ht="13">
      <c r="B1130" s="21"/>
      <c r="C1130" s="22"/>
      <c r="D1130" s="68" t="s">
        <v>17</v>
      </c>
      <c r="E1130" s="69" t="s">
        <v>27</v>
      </c>
      <c r="F1130" s="20" t="s">
        <v>533</v>
      </c>
      <c r="G1130" s="15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</row>
    <row r="1131" spans="2:18" ht="13">
      <c r="B1131" s="21"/>
      <c r="C1131" s="22"/>
      <c r="D1131" s="68" t="s">
        <v>174</v>
      </c>
      <c r="E1131" s="69" t="s">
        <v>18</v>
      </c>
      <c r="F1131" s="20" t="s">
        <v>533</v>
      </c>
      <c r="G1131" s="15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</row>
    <row r="1132" spans="2:18" ht="13">
      <c r="B1132" s="21"/>
      <c r="C1132" s="22"/>
      <c r="D1132" s="68" t="s">
        <v>17</v>
      </c>
      <c r="E1132" s="69" t="s">
        <v>27</v>
      </c>
      <c r="F1132" s="20" t="s">
        <v>533</v>
      </c>
      <c r="G1132" s="15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</row>
    <row r="1133" spans="2:18" ht="13">
      <c r="B1133" s="21"/>
      <c r="C1133" s="22"/>
      <c r="D1133" s="68" t="s">
        <v>17</v>
      </c>
      <c r="E1133" s="69" t="s">
        <v>27</v>
      </c>
      <c r="F1133" s="20" t="s">
        <v>533</v>
      </c>
      <c r="G1133" s="15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</row>
    <row r="1134" spans="2:18" ht="13">
      <c r="B1134" s="21"/>
      <c r="C1134" s="22"/>
      <c r="D1134" s="68" t="s">
        <v>17</v>
      </c>
      <c r="E1134" s="69" t="s">
        <v>27</v>
      </c>
      <c r="F1134" s="20" t="s">
        <v>533</v>
      </c>
      <c r="G1134" s="15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</row>
    <row r="1135" spans="2:18" ht="13">
      <c r="B1135" s="21"/>
      <c r="C1135" s="22"/>
      <c r="D1135" s="68" t="s">
        <v>17</v>
      </c>
      <c r="E1135" s="69" t="s">
        <v>27</v>
      </c>
      <c r="F1135" s="20" t="s">
        <v>533</v>
      </c>
      <c r="G1135" s="15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</row>
    <row r="1136" spans="2:18" ht="13">
      <c r="B1136" s="21"/>
      <c r="C1136" s="22"/>
      <c r="D1136" s="68" t="s">
        <v>17</v>
      </c>
      <c r="E1136" s="69" t="s">
        <v>27</v>
      </c>
      <c r="F1136" s="20" t="s">
        <v>533</v>
      </c>
      <c r="G1136" s="15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</row>
    <row r="1137" spans="2:18" ht="13">
      <c r="B1137" s="21"/>
      <c r="C1137" s="22"/>
      <c r="D1137" s="68" t="s">
        <v>26</v>
      </c>
      <c r="E1137" s="69" t="s">
        <v>27</v>
      </c>
      <c r="F1137" s="20" t="s">
        <v>533</v>
      </c>
      <c r="G1137" s="15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</row>
    <row r="1138" spans="2:18" ht="13">
      <c r="B1138" s="21"/>
      <c r="C1138" s="22"/>
      <c r="D1138" s="68" t="s">
        <v>290</v>
      </c>
      <c r="E1138" s="69" t="s">
        <v>32</v>
      </c>
      <c r="F1138" s="20" t="s">
        <v>533</v>
      </c>
      <c r="G1138" s="15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</row>
    <row r="1139" spans="2:18" ht="13">
      <c r="B1139" s="21"/>
      <c r="C1139" s="22"/>
      <c r="D1139" s="68" t="s">
        <v>26</v>
      </c>
      <c r="E1139" s="69" t="s">
        <v>27</v>
      </c>
      <c r="F1139" s="20" t="s">
        <v>533</v>
      </c>
      <c r="G1139" s="15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</row>
    <row r="1140" spans="2:18" ht="13">
      <c r="B1140" s="21"/>
      <c r="C1140" s="22"/>
      <c r="D1140" s="68" t="s">
        <v>26</v>
      </c>
      <c r="E1140" s="69" t="s">
        <v>27</v>
      </c>
      <c r="F1140" s="20" t="s">
        <v>533</v>
      </c>
      <c r="G1140" s="15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</row>
    <row r="1141" spans="2:18" ht="13">
      <c r="B1141" s="21"/>
      <c r="C1141" s="22"/>
      <c r="D1141" s="68" t="s">
        <v>17</v>
      </c>
      <c r="E1141" s="69" t="s">
        <v>27</v>
      </c>
      <c r="F1141" s="20" t="s">
        <v>533</v>
      </c>
      <c r="G1141" s="15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</row>
    <row r="1142" spans="2:18" ht="13">
      <c r="B1142" s="21"/>
      <c r="C1142" s="22"/>
      <c r="D1142" s="68" t="s">
        <v>26</v>
      </c>
      <c r="E1142" s="69" t="s">
        <v>27</v>
      </c>
      <c r="F1142" s="20" t="s">
        <v>533</v>
      </c>
      <c r="G1142" s="15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</row>
    <row r="1143" spans="2:18" ht="13">
      <c r="B1143" s="21"/>
      <c r="C1143" s="22"/>
      <c r="D1143" s="68" t="s">
        <v>17</v>
      </c>
      <c r="E1143" s="69" t="s">
        <v>27</v>
      </c>
      <c r="F1143" s="20" t="s">
        <v>533</v>
      </c>
      <c r="G1143" s="15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</row>
    <row r="1144" spans="2:18" ht="13">
      <c r="B1144" s="21"/>
      <c r="C1144" s="22"/>
      <c r="D1144" s="68" t="s">
        <v>635</v>
      </c>
      <c r="E1144" s="69" t="s">
        <v>37</v>
      </c>
      <c r="F1144" s="20" t="s">
        <v>533</v>
      </c>
      <c r="G1144" s="15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</row>
    <row r="1145" spans="2:18" ht="13">
      <c r="B1145" s="21"/>
      <c r="C1145" s="22"/>
      <c r="D1145" s="68" t="s">
        <v>544</v>
      </c>
      <c r="E1145" s="69" t="s">
        <v>121</v>
      </c>
      <c r="F1145" s="20" t="s">
        <v>533</v>
      </c>
      <c r="G1145" s="15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</row>
    <row r="1146" spans="2:18" ht="13">
      <c r="B1146" s="21"/>
      <c r="C1146" s="22"/>
      <c r="D1146" s="68" t="s">
        <v>17</v>
      </c>
      <c r="E1146" s="69" t="s">
        <v>27</v>
      </c>
      <c r="F1146" s="20" t="s">
        <v>533</v>
      </c>
      <c r="G1146" s="15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</row>
    <row r="1147" spans="2:18" ht="13">
      <c r="B1147" s="21"/>
      <c r="C1147" s="22"/>
      <c r="D1147" s="68" t="s">
        <v>17</v>
      </c>
      <c r="E1147" s="69" t="s">
        <v>27</v>
      </c>
      <c r="F1147" s="20" t="s">
        <v>533</v>
      </c>
      <c r="G1147" s="15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</row>
    <row r="1148" spans="2:18" ht="13">
      <c r="B1148" s="21"/>
      <c r="C1148" s="22"/>
      <c r="D1148" s="68" t="s">
        <v>17</v>
      </c>
      <c r="E1148" s="69" t="s">
        <v>27</v>
      </c>
      <c r="F1148" s="20" t="s">
        <v>533</v>
      </c>
      <c r="G1148" s="15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</row>
    <row r="1149" spans="2:18" ht="13">
      <c r="B1149" s="21"/>
      <c r="C1149" s="22"/>
      <c r="D1149" s="68" t="s">
        <v>17</v>
      </c>
      <c r="E1149" s="69" t="s">
        <v>27</v>
      </c>
      <c r="F1149" s="20" t="s">
        <v>533</v>
      </c>
      <c r="G1149" s="15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</row>
    <row r="1150" spans="2:18" ht="13">
      <c r="B1150" s="21"/>
      <c r="C1150" s="22"/>
      <c r="D1150" s="68" t="s">
        <v>26</v>
      </c>
      <c r="E1150" s="69" t="s">
        <v>27</v>
      </c>
      <c r="F1150" s="20" t="s">
        <v>533</v>
      </c>
      <c r="G1150" s="15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</row>
    <row r="1151" spans="2:18" ht="13">
      <c r="B1151" s="21"/>
      <c r="C1151" s="22"/>
      <c r="D1151" s="68" t="s">
        <v>17</v>
      </c>
      <c r="E1151" s="69" t="s">
        <v>27</v>
      </c>
      <c r="F1151" s="20" t="s">
        <v>533</v>
      </c>
      <c r="G1151" s="15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</row>
    <row r="1152" spans="2:18" ht="13">
      <c r="B1152" s="21"/>
      <c r="C1152" s="22"/>
      <c r="D1152" s="68" t="s">
        <v>17</v>
      </c>
      <c r="E1152" s="69" t="s">
        <v>27</v>
      </c>
      <c r="F1152" s="20" t="s">
        <v>533</v>
      </c>
      <c r="G1152" s="15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</row>
    <row r="1153" spans="2:18" ht="13">
      <c r="B1153" s="21"/>
      <c r="C1153" s="22"/>
      <c r="D1153" s="68" t="s">
        <v>544</v>
      </c>
      <c r="E1153" s="69" t="s">
        <v>121</v>
      </c>
      <c r="F1153" s="20" t="s">
        <v>533</v>
      </c>
      <c r="G1153" s="15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</row>
    <row r="1154" spans="2:18" ht="13">
      <c r="B1154" s="21"/>
      <c r="C1154" s="22"/>
      <c r="D1154" s="68" t="s">
        <v>174</v>
      </c>
      <c r="E1154" s="69" t="s">
        <v>175</v>
      </c>
      <c r="F1154" s="20" t="s">
        <v>533</v>
      </c>
      <c r="G1154" s="15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</row>
    <row r="1155" spans="2:18" ht="13">
      <c r="B1155" s="21"/>
      <c r="C1155" s="22"/>
      <c r="D1155" s="68" t="s">
        <v>26</v>
      </c>
      <c r="E1155" s="69" t="s">
        <v>27</v>
      </c>
      <c r="F1155" s="20" t="s">
        <v>533</v>
      </c>
      <c r="G1155" s="15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</row>
    <row r="1156" spans="2:18" ht="13">
      <c r="B1156" s="21"/>
      <c r="C1156" s="22"/>
      <c r="D1156" s="68" t="s">
        <v>17</v>
      </c>
      <c r="E1156" s="69" t="s">
        <v>27</v>
      </c>
      <c r="F1156" s="20" t="s">
        <v>533</v>
      </c>
      <c r="G1156" s="15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</row>
    <row r="1157" spans="2:18" ht="13">
      <c r="B1157" s="21"/>
      <c r="C1157" s="22"/>
      <c r="D1157" s="68" t="s">
        <v>17</v>
      </c>
      <c r="E1157" s="69" t="s">
        <v>27</v>
      </c>
      <c r="F1157" s="20" t="s">
        <v>533</v>
      </c>
      <c r="G1157" s="15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</row>
    <row r="1158" spans="2:18" ht="13">
      <c r="B1158" s="21"/>
      <c r="C1158" s="22"/>
      <c r="D1158" s="68" t="s">
        <v>17</v>
      </c>
      <c r="E1158" s="69" t="s">
        <v>27</v>
      </c>
      <c r="F1158" s="20" t="s">
        <v>533</v>
      </c>
      <c r="G1158" s="15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</row>
    <row r="1159" spans="2:18" ht="13">
      <c r="B1159" s="21"/>
      <c r="C1159" s="22"/>
      <c r="D1159" s="68" t="s">
        <v>17</v>
      </c>
      <c r="E1159" s="69" t="s">
        <v>27</v>
      </c>
      <c r="F1159" s="20" t="s">
        <v>533</v>
      </c>
      <c r="G1159" s="15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</row>
    <row r="1160" spans="2:18" ht="13">
      <c r="B1160" s="21"/>
      <c r="C1160" s="22"/>
      <c r="D1160" s="68" t="s">
        <v>17</v>
      </c>
      <c r="E1160" s="69" t="s">
        <v>27</v>
      </c>
      <c r="F1160" s="20" t="s">
        <v>533</v>
      </c>
      <c r="G1160" s="15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</row>
    <row r="1161" spans="2:18" ht="13">
      <c r="B1161" s="21"/>
      <c r="C1161" s="22"/>
      <c r="D1161" s="68" t="s">
        <v>17</v>
      </c>
      <c r="E1161" s="69" t="s">
        <v>27</v>
      </c>
      <c r="F1161" s="20" t="s">
        <v>533</v>
      </c>
      <c r="G1161" s="15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</row>
    <row r="1162" spans="2:18" ht="13">
      <c r="B1162" s="21"/>
      <c r="C1162" s="22"/>
      <c r="D1162" s="68" t="s">
        <v>17</v>
      </c>
      <c r="E1162" s="69" t="s">
        <v>27</v>
      </c>
      <c r="F1162" s="20" t="s">
        <v>533</v>
      </c>
      <c r="G1162" s="15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</row>
    <row r="1163" spans="2:18" ht="13">
      <c r="B1163" s="21"/>
      <c r="C1163" s="22"/>
      <c r="D1163" s="68" t="s">
        <v>26</v>
      </c>
      <c r="E1163" s="69" t="s">
        <v>27</v>
      </c>
      <c r="F1163" s="20" t="s">
        <v>533</v>
      </c>
      <c r="G1163" s="15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</row>
    <row r="1164" spans="2:18" ht="13">
      <c r="B1164" s="21"/>
      <c r="C1164" s="22"/>
      <c r="D1164" s="68" t="s">
        <v>17</v>
      </c>
      <c r="E1164" s="69" t="s">
        <v>27</v>
      </c>
      <c r="F1164" s="20" t="s">
        <v>533</v>
      </c>
      <c r="G1164" s="15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</row>
    <row r="1165" spans="2:18" ht="13">
      <c r="B1165" s="21"/>
      <c r="C1165" s="22"/>
      <c r="D1165" s="68" t="s">
        <v>17</v>
      </c>
      <c r="E1165" s="69" t="s">
        <v>27</v>
      </c>
      <c r="F1165" s="20" t="s">
        <v>533</v>
      </c>
      <c r="G1165" s="15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</row>
    <row r="1166" spans="2:18" ht="13">
      <c r="B1166" s="21"/>
      <c r="C1166" s="22"/>
      <c r="D1166" s="68" t="s">
        <v>17</v>
      </c>
      <c r="E1166" s="69" t="s">
        <v>27</v>
      </c>
      <c r="F1166" s="20" t="s">
        <v>533</v>
      </c>
      <c r="G1166" s="15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</row>
    <row r="1167" spans="2:18" ht="13">
      <c r="B1167" s="21"/>
      <c r="C1167" s="22"/>
      <c r="D1167" s="68" t="s">
        <v>583</v>
      </c>
      <c r="E1167" s="69" t="s">
        <v>124</v>
      </c>
      <c r="F1167" s="20" t="s">
        <v>533</v>
      </c>
      <c r="G1167" s="15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</row>
    <row r="1168" spans="2:18" ht="13">
      <c r="B1168" s="21"/>
      <c r="C1168" s="22"/>
      <c r="D1168" s="68" t="s">
        <v>17</v>
      </c>
      <c r="E1168" s="69" t="s">
        <v>27</v>
      </c>
      <c r="F1168" s="20" t="s">
        <v>533</v>
      </c>
      <c r="G1168" s="15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</row>
    <row r="1169" spans="2:18" ht="13">
      <c r="B1169" s="21"/>
      <c r="C1169" s="22"/>
      <c r="D1169" s="68" t="s">
        <v>605</v>
      </c>
      <c r="E1169" s="69" t="s">
        <v>37</v>
      </c>
      <c r="F1169" s="20" t="s">
        <v>533</v>
      </c>
      <c r="G1169" s="15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</row>
    <row r="1170" spans="2:18" ht="13">
      <c r="B1170" s="21"/>
      <c r="C1170" s="22"/>
      <c r="D1170" s="68" t="s">
        <v>17</v>
      </c>
      <c r="E1170" s="69" t="s">
        <v>27</v>
      </c>
      <c r="F1170" s="20" t="s">
        <v>533</v>
      </c>
      <c r="G1170" s="15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</row>
    <row r="1171" spans="2:18" ht="13">
      <c r="B1171" s="21"/>
      <c r="C1171" s="22"/>
      <c r="D1171" s="68" t="s">
        <v>17</v>
      </c>
      <c r="E1171" s="69" t="s">
        <v>610</v>
      </c>
      <c r="F1171" s="20" t="s">
        <v>533</v>
      </c>
      <c r="G1171" s="15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</row>
    <row r="1172" spans="2:18" ht="13">
      <c r="B1172" s="21"/>
      <c r="C1172" s="22"/>
      <c r="D1172" s="68" t="s">
        <v>17</v>
      </c>
      <c r="E1172" s="69" t="s">
        <v>27</v>
      </c>
      <c r="F1172" s="20" t="s">
        <v>533</v>
      </c>
      <c r="G1172" s="15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</row>
    <row r="1173" spans="2:18" ht="13">
      <c r="B1173" s="21"/>
      <c r="C1173" s="22"/>
      <c r="D1173" s="68" t="s">
        <v>17</v>
      </c>
      <c r="E1173" s="69" t="s">
        <v>27</v>
      </c>
      <c r="F1173" s="20" t="s">
        <v>533</v>
      </c>
      <c r="G1173" s="15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</row>
    <row r="1174" spans="2:18" ht="13">
      <c r="B1174" s="21"/>
      <c r="C1174" s="22"/>
      <c r="D1174" s="68" t="s">
        <v>17</v>
      </c>
      <c r="E1174" s="69" t="s">
        <v>27</v>
      </c>
      <c r="F1174" s="20" t="s">
        <v>533</v>
      </c>
      <c r="G1174" s="15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</row>
    <row r="1175" spans="2:18" ht="13">
      <c r="B1175" s="21"/>
      <c r="C1175" s="22"/>
      <c r="D1175" s="68" t="s">
        <v>636</v>
      </c>
      <c r="E1175" s="69" t="s">
        <v>121</v>
      </c>
      <c r="F1175" s="20" t="s">
        <v>533</v>
      </c>
      <c r="G1175" s="15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</row>
    <row r="1176" spans="2:18" ht="13">
      <c r="B1176" s="21"/>
      <c r="C1176" s="22"/>
      <c r="D1176" s="68" t="s">
        <v>17</v>
      </c>
      <c r="E1176" s="69" t="s">
        <v>27</v>
      </c>
      <c r="F1176" s="20" t="s">
        <v>533</v>
      </c>
      <c r="G1176" s="15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</row>
    <row r="1177" spans="2:18" ht="13">
      <c r="B1177" s="21"/>
      <c r="C1177" s="22"/>
      <c r="D1177" s="68" t="s">
        <v>36</v>
      </c>
      <c r="E1177" s="69" t="s">
        <v>37</v>
      </c>
      <c r="F1177" s="20" t="s">
        <v>533</v>
      </c>
      <c r="G1177" s="15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</row>
    <row r="1178" spans="2:18" ht="13">
      <c r="B1178" s="21"/>
      <c r="C1178" s="22"/>
      <c r="D1178" s="68" t="s">
        <v>36</v>
      </c>
      <c r="E1178" s="69" t="s">
        <v>37</v>
      </c>
      <c r="F1178" s="20" t="s">
        <v>533</v>
      </c>
      <c r="G1178" s="15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</row>
    <row r="1179" spans="2:18" ht="13">
      <c r="B1179" s="21"/>
      <c r="C1179" s="22"/>
      <c r="D1179" s="68" t="s">
        <v>17</v>
      </c>
      <c r="E1179" s="69" t="s">
        <v>27</v>
      </c>
      <c r="F1179" s="20" t="s">
        <v>533</v>
      </c>
      <c r="G1179" s="15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</row>
    <row r="1180" spans="2:18" ht="13">
      <c r="B1180" s="21"/>
      <c r="C1180" s="22"/>
      <c r="D1180" s="68" t="s">
        <v>17</v>
      </c>
      <c r="E1180" s="69" t="s">
        <v>27</v>
      </c>
      <c r="F1180" s="20" t="s">
        <v>533</v>
      </c>
      <c r="G1180" s="15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</row>
    <row r="1181" spans="2:18" ht="13">
      <c r="B1181" s="21"/>
      <c r="C1181" s="22"/>
      <c r="D1181" s="68" t="s">
        <v>26</v>
      </c>
      <c r="E1181" s="69" t="s">
        <v>27</v>
      </c>
      <c r="F1181" s="20" t="s">
        <v>533</v>
      </c>
      <c r="G1181" s="15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</row>
    <row r="1182" spans="2:18" ht="13">
      <c r="B1182" s="21"/>
      <c r="C1182" s="22"/>
      <c r="D1182" s="68" t="s">
        <v>17</v>
      </c>
      <c r="E1182" s="69" t="s">
        <v>27</v>
      </c>
      <c r="F1182" s="20" t="s">
        <v>533</v>
      </c>
      <c r="G1182" s="15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</row>
    <row r="1183" spans="2:18" ht="13">
      <c r="B1183" s="21"/>
      <c r="C1183" s="22"/>
      <c r="D1183" s="68" t="s">
        <v>17</v>
      </c>
      <c r="E1183" s="69" t="s">
        <v>27</v>
      </c>
      <c r="F1183" s="20" t="s">
        <v>533</v>
      </c>
      <c r="G1183" s="15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</row>
    <row r="1184" spans="2:18" ht="13">
      <c r="B1184" s="21"/>
      <c r="C1184" s="22"/>
      <c r="D1184" s="68" t="s">
        <v>607</v>
      </c>
      <c r="E1184" s="69" t="s">
        <v>121</v>
      </c>
      <c r="F1184" s="20" t="s">
        <v>533</v>
      </c>
      <c r="G1184" s="15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</row>
    <row r="1185" spans="2:18" ht="13">
      <c r="B1185" s="21"/>
      <c r="C1185" s="22"/>
      <c r="D1185" s="68" t="s">
        <v>17</v>
      </c>
      <c r="E1185" s="69" t="s">
        <v>27</v>
      </c>
      <c r="F1185" s="20" t="s">
        <v>533</v>
      </c>
      <c r="G1185" s="15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</row>
    <row r="1186" spans="2:18" ht="13">
      <c r="B1186" s="21"/>
      <c r="C1186" s="22"/>
      <c r="D1186" s="68" t="s">
        <v>17</v>
      </c>
      <c r="E1186" s="69" t="s">
        <v>27</v>
      </c>
      <c r="F1186" s="20" t="s">
        <v>533</v>
      </c>
      <c r="G1186" s="15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</row>
    <row r="1187" spans="2:18" ht="13">
      <c r="B1187" s="21"/>
      <c r="C1187" s="22"/>
      <c r="D1187" s="68" t="s">
        <v>17</v>
      </c>
      <c r="E1187" s="69" t="s">
        <v>27</v>
      </c>
      <c r="F1187" s="20" t="s">
        <v>533</v>
      </c>
      <c r="G1187" s="15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</row>
    <row r="1188" spans="2:18" ht="13">
      <c r="B1188" s="21"/>
      <c r="C1188" s="22"/>
      <c r="D1188" s="68" t="s">
        <v>17</v>
      </c>
      <c r="E1188" s="69" t="s">
        <v>27</v>
      </c>
      <c r="F1188" s="20" t="s">
        <v>533</v>
      </c>
      <c r="G1188" s="15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</row>
    <row r="1189" spans="2:18" ht="13">
      <c r="B1189" s="21"/>
      <c r="C1189" s="22"/>
      <c r="D1189" s="68" t="s">
        <v>26</v>
      </c>
      <c r="E1189" s="69" t="s">
        <v>27</v>
      </c>
      <c r="F1189" s="20" t="s">
        <v>533</v>
      </c>
      <c r="G1189" s="15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</row>
    <row r="1190" spans="2:18" ht="13">
      <c r="B1190" s="21"/>
      <c r="C1190" s="22"/>
      <c r="D1190" s="68" t="s">
        <v>174</v>
      </c>
      <c r="E1190" s="69" t="s">
        <v>379</v>
      </c>
      <c r="F1190" s="20" t="s">
        <v>533</v>
      </c>
      <c r="G1190" s="15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</row>
    <row r="1191" spans="2:18" ht="13">
      <c r="B1191" s="21"/>
      <c r="C1191" s="22"/>
      <c r="D1191" s="68" t="s">
        <v>17</v>
      </c>
      <c r="E1191" s="69" t="s">
        <v>27</v>
      </c>
      <c r="F1191" s="20" t="s">
        <v>533</v>
      </c>
      <c r="G1191" s="15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</row>
    <row r="1192" spans="2:18" ht="13">
      <c r="B1192" s="21"/>
      <c r="C1192" s="22"/>
      <c r="D1192" s="68" t="s">
        <v>17</v>
      </c>
      <c r="E1192" s="69" t="s">
        <v>27</v>
      </c>
      <c r="F1192" s="20" t="s">
        <v>533</v>
      </c>
      <c r="G1192" s="15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</row>
    <row r="1193" spans="2:18" ht="13">
      <c r="B1193" s="21"/>
      <c r="C1193" s="22"/>
      <c r="D1193" s="68" t="s">
        <v>17</v>
      </c>
      <c r="E1193" s="69" t="s">
        <v>27</v>
      </c>
      <c r="F1193" s="20" t="s">
        <v>533</v>
      </c>
      <c r="G1193" s="15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</row>
    <row r="1194" spans="2:18" ht="13">
      <c r="B1194" s="21"/>
      <c r="C1194" s="22"/>
      <c r="D1194" s="68" t="s">
        <v>17</v>
      </c>
      <c r="E1194" s="69" t="s">
        <v>27</v>
      </c>
      <c r="F1194" s="20" t="s">
        <v>533</v>
      </c>
      <c r="G1194" s="15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</row>
    <row r="1195" spans="2:18" ht="13">
      <c r="B1195" s="21"/>
      <c r="C1195" s="22"/>
      <c r="D1195" s="68" t="s">
        <v>17</v>
      </c>
      <c r="E1195" s="69" t="s">
        <v>27</v>
      </c>
      <c r="F1195" s="20" t="s">
        <v>533</v>
      </c>
      <c r="G1195" s="15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</row>
    <row r="1196" spans="2:18" ht="13">
      <c r="B1196" s="21"/>
      <c r="C1196" s="22"/>
      <c r="D1196" s="68" t="s">
        <v>17</v>
      </c>
      <c r="E1196" s="69" t="s">
        <v>27</v>
      </c>
      <c r="F1196" s="20" t="s">
        <v>533</v>
      </c>
      <c r="G1196" s="15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</row>
    <row r="1197" spans="2:18" ht="13">
      <c r="B1197" s="21"/>
      <c r="C1197" s="22"/>
      <c r="D1197" s="68" t="s">
        <v>17</v>
      </c>
      <c r="E1197" s="69" t="s">
        <v>27</v>
      </c>
      <c r="F1197" s="20" t="s">
        <v>533</v>
      </c>
      <c r="G1197" s="15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</row>
    <row r="1198" spans="2:18" ht="13">
      <c r="B1198" s="21"/>
      <c r="C1198" s="22"/>
      <c r="D1198" s="68" t="s">
        <v>26</v>
      </c>
      <c r="E1198" s="69" t="s">
        <v>27</v>
      </c>
      <c r="F1198" s="20" t="s">
        <v>533</v>
      </c>
      <c r="G1198" s="15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</row>
    <row r="1199" spans="2:18" ht="13">
      <c r="B1199" s="21"/>
      <c r="C1199" s="22"/>
      <c r="D1199" s="68" t="s">
        <v>17</v>
      </c>
      <c r="E1199" s="69" t="s">
        <v>27</v>
      </c>
      <c r="F1199" s="20" t="s">
        <v>533</v>
      </c>
      <c r="G1199" s="15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</row>
    <row r="1200" spans="2:18" ht="13">
      <c r="B1200" s="21"/>
      <c r="C1200" s="22"/>
      <c r="D1200" s="68" t="s">
        <v>26</v>
      </c>
      <c r="E1200" s="69" t="s">
        <v>610</v>
      </c>
      <c r="F1200" s="20" t="s">
        <v>533</v>
      </c>
      <c r="G1200" s="15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</row>
    <row r="1201" spans="2:18" ht="13">
      <c r="B1201" s="21"/>
      <c r="C1201" s="22"/>
      <c r="D1201" s="68" t="s">
        <v>544</v>
      </c>
      <c r="E1201" s="69" t="s">
        <v>121</v>
      </c>
      <c r="F1201" s="20" t="s">
        <v>533</v>
      </c>
      <c r="G1201" s="15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</row>
    <row r="1202" spans="2:18" ht="13">
      <c r="B1202" s="21"/>
      <c r="C1202" s="22"/>
      <c r="D1202" s="68" t="s">
        <v>17</v>
      </c>
      <c r="E1202" s="69" t="s">
        <v>27</v>
      </c>
      <c r="F1202" s="20" t="s">
        <v>533</v>
      </c>
      <c r="G1202" s="15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</row>
    <row r="1203" spans="2:18" ht="13">
      <c r="B1203" s="21"/>
      <c r="C1203" s="22"/>
      <c r="D1203" s="68" t="s">
        <v>26</v>
      </c>
      <c r="E1203" s="69" t="s">
        <v>124</v>
      </c>
      <c r="F1203" s="20" t="s">
        <v>533</v>
      </c>
      <c r="G1203" s="15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</row>
    <row r="1204" spans="2:18" ht="13">
      <c r="B1204" s="21"/>
      <c r="C1204" s="22"/>
      <c r="D1204" s="68" t="s">
        <v>17</v>
      </c>
      <c r="E1204" s="69" t="s">
        <v>27</v>
      </c>
      <c r="F1204" s="20" t="s">
        <v>533</v>
      </c>
      <c r="G1204" s="15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</row>
    <row r="1205" spans="2:18" ht="13">
      <c r="B1205" s="21"/>
      <c r="C1205" s="22"/>
      <c r="D1205" s="68" t="s">
        <v>17</v>
      </c>
      <c r="E1205" s="69" t="s">
        <v>27</v>
      </c>
      <c r="F1205" s="20" t="s">
        <v>533</v>
      </c>
      <c r="G1205" s="15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</row>
    <row r="1206" spans="2:18" ht="13">
      <c r="B1206" s="21"/>
      <c r="C1206" s="22"/>
      <c r="D1206" s="68" t="s">
        <v>404</v>
      </c>
      <c r="E1206" s="69" t="s">
        <v>32</v>
      </c>
      <c r="F1206" s="20" t="s">
        <v>533</v>
      </c>
      <c r="G1206" s="15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</row>
    <row r="1207" spans="2:18" ht="13">
      <c r="B1207" s="21"/>
      <c r="C1207" s="22"/>
      <c r="D1207" s="68" t="s">
        <v>17</v>
      </c>
      <c r="E1207" s="69" t="s">
        <v>27</v>
      </c>
      <c r="F1207" s="20" t="s">
        <v>533</v>
      </c>
      <c r="G1207" s="15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</row>
    <row r="1208" spans="2:18" ht="13">
      <c r="B1208" s="21"/>
      <c r="C1208" s="22"/>
      <c r="D1208" s="68" t="s">
        <v>17</v>
      </c>
      <c r="E1208" s="69" t="s">
        <v>27</v>
      </c>
      <c r="F1208" s="20" t="s">
        <v>533</v>
      </c>
      <c r="G1208" s="15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</row>
    <row r="1209" spans="2:18" ht="13">
      <c r="B1209" s="21"/>
      <c r="C1209" s="22"/>
      <c r="D1209" s="68" t="s">
        <v>17</v>
      </c>
      <c r="E1209" s="69" t="s">
        <v>27</v>
      </c>
      <c r="F1209" s="20" t="s">
        <v>533</v>
      </c>
      <c r="G1209" s="15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</row>
    <row r="1210" spans="2:18" ht="13">
      <c r="B1210" s="21"/>
      <c r="C1210" s="22"/>
      <c r="D1210" s="68" t="s">
        <v>17</v>
      </c>
      <c r="E1210" s="69" t="s">
        <v>27</v>
      </c>
      <c r="F1210" s="20" t="s">
        <v>533</v>
      </c>
      <c r="G1210" s="15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</row>
    <row r="1211" spans="2:18" ht="13">
      <c r="B1211" s="21"/>
      <c r="C1211" s="22"/>
      <c r="D1211" s="68" t="s">
        <v>26</v>
      </c>
      <c r="E1211" s="69" t="s">
        <v>27</v>
      </c>
      <c r="F1211" s="20" t="s">
        <v>533</v>
      </c>
      <c r="G1211" s="15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</row>
    <row r="1212" spans="2:18" ht="13">
      <c r="B1212" s="21"/>
      <c r="C1212" s="22"/>
      <c r="D1212" s="68" t="s">
        <v>17</v>
      </c>
      <c r="E1212" s="69" t="s">
        <v>27</v>
      </c>
      <c r="F1212" s="20" t="s">
        <v>533</v>
      </c>
      <c r="G1212" s="15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</row>
    <row r="1213" spans="2:18" ht="13">
      <c r="B1213" s="21"/>
      <c r="C1213" s="22"/>
      <c r="D1213" s="68" t="s">
        <v>17</v>
      </c>
      <c r="E1213" s="69" t="s">
        <v>27</v>
      </c>
      <c r="F1213" s="20" t="s">
        <v>533</v>
      </c>
      <c r="G1213" s="15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</row>
    <row r="1214" spans="2:18" ht="13">
      <c r="B1214" s="21"/>
      <c r="C1214" s="22"/>
      <c r="D1214" s="68" t="s">
        <v>17</v>
      </c>
      <c r="E1214" s="69" t="s">
        <v>27</v>
      </c>
      <c r="F1214" s="20" t="s">
        <v>533</v>
      </c>
      <c r="G1214" s="15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</row>
    <row r="1215" spans="2:18" ht="13">
      <c r="B1215" s="21"/>
      <c r="C1215" s="22"/>
      <c r="D1215" s="68" t="s">
        <v>17</v>
      </c>
      <c r="E1215" s="69" t="s">
        <v>27</v>
      </c>
      <c r="F1215" s="20" t="s">
        <v>533</v>
      </c>
      <c r="G1215" s="15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</row>
    <row r="1216" spans="2:18" ht="13">
      <c r="B1216" s="21"/>
      <c r="C1216" s="22"/>
      <c r="D1216" s="68" t="s">
        <v>17</v>
      </c>
      <c r="E1216" s="69" t="s">
        <v>27</v>
      </c>
      <c r="F1216" s="20" t="s">
        <v>533</v>
      </c>
      <c r="G1216" s="15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</row>
    <row r="1217" spans="2:18" ht="13">
      <c r="B1217" s="33"/>
      <c r="C1217" s="34"/>
      <c r="D1217" s="68" t="s">
        <v>17</v>
      </c>
      <c r="E1217" s="69" t="s">
        <v>116</v>
      </c>
      <c r="F1217" s="20" t="s">
        <v>533</v>
      </c>
      <c r="G1217" s="15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</row>
    <row r="1218" spans="2:18" ht="13">
      <c r="B1218" s="33"/>
      <c r="C1218" s="34"/>
      <c r="D1218" s="68" t="s">
        <v>17</v>
      </c>
      <c r="E1218" s="69" t="s">
        <v>27</v>
      </c>
      <c r="F1218" s="20" t="s">
        <v>533</v>
      </c>
      <c r="G1218" s="15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</row>
    <row r="1219" spans="2:18" ht="13">
      <c r="B1219" s="33"/>
      <c r="C1219" s="34"/>
      <c r="D1219" s="68" t="s">
        <v>26</v>
      </c>
      <c r="E1219" s="69" t="s">
        <v>27</v>
      </c>
      <c r="F1219" s="20" t="s">
        <v>533</v>
      </c>
      <c r="G1219" s="15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</row>
    <row r="1220" spans="2:18" ht="13">
      <c r="B1220" s="33"/>
      <c r="C1220" s="34"/>
      <c r="D1220" s="68" t="s">
        <v>36</v>
      </c>
      <c r="E1220" s="69" t="s">
        <v>37</v>
      </c>
      <c r="F1220" s="20" t="s">
        <v>533</v>
      </c>
      <c r="G1220" s="15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</row>
    <row r="1221" spans="2:18" ht="13">
      <c r="B1221" s="33"/>
      <c r="C1221" s="34"/>
      <c r="D1221" s="68" t="s">
        <v>404</v>
      </c>
      <c r="E1221" s="69" t="s">
        <v>32</v>
      </c>
      <c r="F1221" s="20" t="s">
        <v>533</v>
      </c>
      <c r="G1221" s="15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</row>
    <row r="1222" spans="2:18" ht="13">
      <c r="B1222" s="33"/>
      <c r="C1222" s="34"/>
      <c r="D1222" s="68" t="s">
        <v>17</v>
      </c>
      <c r="E1222" s="69" t="s">
        <v>27</v>
      </c>
      <c r="F1222" s="20" t="s">
        <v>533</v>
      </c>
      <c r="G1222" s="15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</row>
    <row r="1223" spans="2:18" ht="13">
      <c r="B1223" s="33"/>
      <c r="C1223" s="34"/>
      <c r="D1223" s="68" t="s">
        <v>31</v>
      </c>
      <c r="E1223" s="69" t="s">
        <v>32</v>
      </c>
      <c r="F1223" s="20" t="s">
        <v>533</v>
      </c>
      <c r="G1223" s="15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</row>
    <row r="1224" spans="2:18" ht="13">
      <c r="B1224" s="33"/>
      <c r="C1224" s="34"/>
      <c r="D1224" s="68" t="s">
        <v>17</v>
      </c>
      <c r="E1224" s="69" t="s">
        <v>27</v>
      </c>
      <c r="F1224" s="20" t="s">
        <v>533</v>
      </c>
      <c r="G1224" s="15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</row>
    <row r="1225" spans="2:18" ht="13">
      <c r="B1225" s="33"/>
      <c r="C1225" s="34"/>
      <c r="D1225" s="68" t="s">
        <v>569</v>
      </c>
      <c r="E1225" s="69" t="s">
        <v>32</v>
      </c>
      <c r="F1225" s="20" t="s">
        <v>533</v>
      </c>
      <c r="G1225" s="15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</row>
    <row r="1226" spans="2:18" ht="13">
      <c r="B1226" s="33"/>
      <c r="C1226" s="34"/>
      <c r="D1226" s="68" t="s">
        <v>26</v>
      </c>
      <c r="E1226" s="69" t="s">
        <v>27</v>
      </c>
      <c r="F1226" s="20" t="s">
        <v>533</v>
      </c>
      <c r="G1226" s="15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</row>
    <row r="1227" spans="2:18" ht="13">
      <c r="B1227" s="33"/>
      <c r="C1227" s="34"/>
      <c r="D1227" s="68" t="s">
        <v>591</v>
      </c>
      <c r="E1227" s="69" t="s">
        <v>121</v>
      </c>
      <c r="F1227" s="20" t="s">
        <v>533</v>
      </c>
      <c r="G1227" s="15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</row>
    <row r="1228" spans="2:18" ht="13">
      <c r="B1228" s="33"/>
      <c r="C1228" s="34"/>
      <c r="D1228" s="68" t="s">
        <v>598</v>
      </c>
      <c r="E1228" s="69" t="s">
        <v>121</v>
      </c>
      <c r="F1228" s="20" t="s">
        <v>533</v>
      </c>
      <c r="G1228" s="15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</row>
    <row r="1229" spans="2:18" ht="13">
      <c r="B1229" s="33"/>
      <c r="C1229" s="34"/>
      <c r="D1229" s="68" t="s">
        <v>26</v>
      </c>
      <c r="E1229" s="69" t="s">
        <v>27</v>
      </c>
      <c r="F1229" s="20" t="s">
        <v>533</v>
      </c>
      <c r="G1229" s="15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</row>
    <row r="1230" spans="2:18" ht="13">
      <c r="B1230" s="33"/>
      <c r="C1230" s="34"/>
      <c r="D1230" s="68" t="s">
        <v>26</v>
      </c>
      <c r="E1230" s="69" t="s">
        <v>27</v>
      </c>
      <c r="F1230" s="20" t="s">
        <v>533</v>
      </c>
      <c r="G1230" s="15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</row>
    <row r="1231" spans="2:18" ht="13">
      <c r="B1231" s="33"/>
      <c r="C1231" s="34"/>
      <c r="D1231" s="68" t="s">
        <v>17</v>
      </c>
      <c r="E1231" s="69" t="s">
        <v>27</v>
      </c>
      <c r="F1231" s="20" t="s">
        <v>533</v>
      </c>
      <c r="G1231" s="15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</row>
    <row r="1232" spans="2:18" ht="13">
      <c r="B1232" s="33"/>
      <c r="C1232" s="34"/>
      <c r="D1232" s="68" t="s">
        <v>17</v>
      </c>
      <c r="E1232" s="69" t="s">
        <v>27</v>
      </c>
      <c r="F1232" s="20" t="s">
        <v>533</v>
      </c>
      <c r="G1232" s="15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</row>
    <row r="1233" spans="2:18" ht="13">
      <c r="B1233" s="33"/>
      <c r="C1233" s="34"/>
      <c r="D1233" s="68" t="s">
        <v>404</v>
      </c>
      <c r="E1233" s="69" t="s">
        <v>32</v>
      </c>
      <c r="F1233" s="20" t="s">
        <v>533</v>
      </c>
      <c r="G1233" s="15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</row>
    <row r="1234" spans="2:18" ht="13">
      <c r="B1234" s="33"/>
      <c r="C1234" s="34"/>
      <c r="D1234" s="68" t="s">
        <v>17</v>
      </c>
      <c r="E1234" s="69" t="s">
        <v>18</v>
      </c>
      <c r="F1234" s="20" t="s">
        <v>533</v>
      </c>
      <c r="G1234" s="15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</row>
    <row r="1235" spans="2:18" ht="13">
      <c r="B1235" s="33"/>
      <c r="C1235" s="34"/>
      <c r="D1235" s="68" t="s">
        <v>17</v>
      </c>
      <c r="E1235" s="69" t="s">
        <v>27</v>
      </c>
      <c r="F1235" s="20" t="s">
        <v>533</v>
      </c>
      <c r="G1235" s="15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</row>
    <row r="1236" spans="2:18" ht="13">
      <c r="B1236" s="33"/>
      <c r="C1236" s="34"/>
      <c r="D1236" s="68" t="s">
        <v>17</v>
      </c>
      <c r="E1236" s="69" t="s">
        <v>27</v>
      </c>
      <c r="F1236" s="20" t="s">
        <v>533</v>
      </c>
      <c r="G1236" s="15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</row>
    <row r="1237" spans="2:18" ht="13">
      <c r="B1237" s="33"/>
      <c r="C1237" s="34"/>
      <c r="D1237" s="68" t="s">
        <v>168</v>
      </c>
      <c r="E1237" s="69" t="s">
        <v>27</v>
      </c>
      <c r="F1237" s="20" t="s">
        <v>533</v>
      </c>
      <c r="G1237" s="15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</row>
    <row r="1238" spans="2:18" ht="13">
      <c r="B1238" s="33"/>
      <c r="C1238" s="34"/>
      <c r="D1238" s="68" t="s">
        <v>570</v>
      </c>
      <c r="E1238" s="69" t="s">
        <v>124</v>
      </c>
      <c r="F1238" s="20" t="s">
        <v>533</v>
      </c>
      <c r="G1238" s="15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</row>
    <row r="1239" spans="2:18" ht="13">
      <c r="B1239" s="33"/>
      <c r="C1239" s="34"/>
      <c r="D1239" s="68" t="s">
        <v>17</v>
      </c>
      <c r="E1239" s="69" t="s">
        <v>27</v>
      </c>
      <c r="F1239" s="20" t="s">
        <v>533</v>
      </c>
      <c r="G1239" s="15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</row>
    <row r="1240" spans="2:18" ht="13">
      <c r="B1240" s="33"/>
      <c r="C1240" s="34"/>
      <c r="D1240" s="68" t="s">
        <v>17</v>
      </c>
      <c r="E1240" s="69" t="s">
        <v>27</v>
      </c>
      <c r="F1240" s="20" t="s">
        <v>533</v>
      </c>
      <c r="G1240" s="15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</row>
    <row r="1241" spans="2:18" ht="13">
      <c r="B1241" s="33"/>
      <c r="C1241" s="34"/>
      <c r="D1241" s="68" t="s">
        <v>17</v>
      </c>
      <c r="E1241" s="69" t="s">
        <v>27</v>
      </c>
      <c r="F1241" s="20" t="s">
        <v>533</v>
      </c>
      <c r="G1241" s="15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</row>
    <row r="1242" spans="2:18" ht="13">
      <c r="B1242" s="33"/>
      <c r="C1242" s="34"/>
      <c r="D1242" s="68" t="s">
        <v>17</v>
      </c>
      <c r="E1242" s="69" t="s">
        <v>27</v>
      </c>
      <c r="F1242" s="20" t="s">
        <v>533</v>
      </c>
      <c r="G1242" s="15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</row>
    <row r="1243" spans="2:18" ht="13">
      <c r="B1243" s="33"/>
      <c r="C1243" s="34"/>
      <c r="D1243" s="68" t="s">
        <v>36</v>
      </c>
      <c r="E1243" s="69" t="s">
        <v>37</v>
      </c>
      <c r="F1243" s="20" t="s">
        <v>533</v>
      </c>
      <c r="G1243" s="15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</row>
    <row r="1244" spans="2:18" ht="13">
      <c r="B1244" s="33"/>
      <c r="C1244" s="34"/>
      <c r="D1244" s="68" t="s">
        <v>637</v>
      </c>
      <c r="E1244" s="69" t="s">
        <v>37</v>
      </c>
      <c r="F1244" s="20" t="s">
        <v>533</v>
      </c>
      <c r="G1244" s="15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</row>
    <row r="1245" spans="2:18" ht="13">
      <c r="B1245" s="33"/>
      <c r="C1245" s="34"/>
      <c r="D1245" s="68" t="s">
        <v>26</v>
      </c>
      <c r="E1245" s="69" t="s">
        <v>27</v>
      </c>
      <c r="F1245" s="20" t="s">
        <v>533</v>
      </c>
      <c r="G1245" s="15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</row>
    <row r="1246" spans="2:18" ht="13">
      <c r="B1246" s="33"/>
      <c r="C1246" s="34"/>
      <c r="D1246" s="68" t="s">
        <v>26</v>
      </c>
      <c r="E1246" s="69" t="s">
        <v>27</v>
      </c>
      <c r="F1246" s="20" t="s">
        <v>533</v>
      </c>
      <c r="G1246" s="15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</row>
    <row r="1247" spans="2:18" ht="13">
      <c r="B1247" s="33"/>
      <c r="C1247" s="34"/>
      <c r="D1247" s="68" t="s">
        <v>17</v>
      </c>
      <c r="E1247" s="69" t="s">
        <v>27</v>
      </c>
      <c r="F1247" s="20" t="s">
        <v>533</v>
      </c>
      <c r="G1247" s="15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</row>
    <row r="1248" spans="2:18" ht="13">
      <c r="B1248" s="33"/>
      <c r="C1248" s="34"/>
      <c r="D1248" s="68" t="s">
        <v>17</v>
      </c>
      <c r="E1248" s="69" t="s">
        <v>27</v>
      </c>
      <c r="F1248" s="20" t="s">
        <v>533</v>
      </c>
      <c r="G1248" s="15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</row>
    <row r="1249" spans="2:18" ht="13">
      <c r="B1249" s="33"/>
      <c r="C1249" s="34"/>
      <c r="D1249" s="68" t="s">
        <v>26</v>
      </c>
      <c r="E1249" s="69" t="s">
        <v>27</v>
      </c>
      <c r="F1249" s="20" t="s">
        <v>533</v>
      </c>
      <c r="G1249" s="15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</row>
    <row r="1250" spans="2:18" ht="13">
      <c r="B1250" s="33"/>
      <c r="C1250" s="34"/>
      <c r="D1250" s="68" t="s">
        <v>26</v>
      </c>
      <c r="E1250" s="69" t="s">
        <v>27</v>
      </c>
      <c r="F1250" s="20" t="s">
        <v>533</v>
      </c>
      <c r="G1250" s="15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</row>
    <row r="1251" spans="2:18" ht="13">
      <c r="B1251" s="33"/>
      <c r="C1251" s="34"/>
      <c r="D1251" s="68" t="s">
        <v>26</v>
      </c>
      <c r="E1251" s="69" t="s">
        <v>27</v>
      </c>
      <c r="F1251" s="20" t="s">
        <v>533</v>
      </c>
      <c r="G1251" s="15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</row>
    <row r="1252" spans="2:18" ht="13">
      <c r="B1252" s="33"/>
      <c r="C1252" s="34"/>
      <c r="D1252" s="68" t="s">
        <v>26</v>
      </c>
      <c r="E1252" s="69" t="s">
        <v>27</v>
      </c>
      <c r="F1252" s="20" t="s">
        <v>533</v>
      </c>
      <c r="G1252" s="15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</row>
    <row r="1253" spans="2:18" ht="13">
      <c r="B1253" s="33"/>
      <c r="C1253" s="34"/>
      <c r="D1253" s="68" t="s">
        <v>168</v>
      </c>
      <c r="E1253" s="69" t="s">
        <v>27</v>
      </c>
      <c r="F1253" s="20" t="s">
        <v>533</v>
      </c>
      <c r="G1253" s="15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</row>
    <row r="1254" spans="2:18" ht="13">
      <c r="B1254" s="33"/>
      <c r="C1254" s="34"/>
      <c r="D1254" s="68" t="s">
        <v>17</v>
      </c>
      <c r="E1254" s="69" t="s">
        <v>27</v>
      </c>
      <c r="F1254" s="20" t="s">
        <v>533</v>
      </c>
      <c r="G1254" s="15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</row>
    <row r="1255" spans="2:18" ht="13">
      <c r="B1255" s="33"/>
      <c r="C1255" s="34"/>
      <c r="D1255" s="68" t="s">
        <v>17</v>
      </c>
      <c r="E1255" s="69" t="s">
        <v>27</v>
      </c>
      <c r="F1255" s="20" t="s">
        <v>533</v>
      </c>
      <c r="G1255" s="15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</row>
    <row r="1256" spans="2:18" ht="13">
      <c r="B1256" s="33"/>
      <c r="C1256" s="34"/>
      <c r="D1256" s="68" t="s">
        <v>574</v>
      </c>
      <c r="E1256" s="69" t="s">
        <v>575</v>
      </c>
      <c r="F1256" s="20" t="s">
        <v>533</v>
      </c>
      <c r="G1256" s="15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</row>
    <row r="1257" spans="2:18" ht="13">
      <c r="B1257" s="33"/>
      <c r="C1257" s="34"/>
      <c r="D1257" s="68" t="s">
        <v>17</v>
      </c>
      <c r="E1257" s="69" t="s">
        <v>27</v>
      </c>
      <c r="F1257" s="20" t="s">
        <v>533</v>
      </c>
      <c r="G1257" s="15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</row>
    <row r="1258" spans="2:18" ht="13">
      <c r="B1258" s="33"/>
      <c r="C1258" s="34"/>
      <c r="D1258" s="68" t="s">
        <v>569</v>
      </c>
      <c r="E1258" s="69" t="s">
        <v>32</v>
      </c>
      <c r="F1258" s="20" t="s">
        <v>533</v>
      </c>
      <c r="G1258" s="15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</row>
    <row r="1259" spans="2:18" ht="13">
      <c r="B1259" s="33"/>
      <c r="C1259" s="34"/>
      <c r="D1259" s="68" t="s">
        <v>17</v>
      </c>
      <c r="E1259" s="69" t="s">
        <v>27</v>
      </c>
      <c r="F1259" s="20" t="s">
        <v>533</v>
      </c>
      <c r="G1259" s="15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</row>
    <row r="1260" spans="2:18" ht="13">
      <c r="B1260" s="33"/>
      <c r="C1260" s="34"/>
      <c r="D1260" s="68" t="s">
        <v>17</v>
      </c>
      <c r="E1260" s="69" t="s">
        <v>27</v>
      </c>
      <c r="F1260" s="20" t="s">
        <v>533</v>
      </c>
      <c r="G1260" s="15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</row>
    <row r="1261" spans="2:18" ht="13">
      <c r="B1261" s="33"/>
      <c r="C1261" s="34"/>
      <c r="D1261" s="68" t="s">
        <v>17</v>
      </c>
      <c r="E1261" s="69" t="s">
        <v>27</v>
      </c>
      <c r="F1261" s="20" t="s">
        <v>533</v>
      </c>
      <c r="G1261" s="15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</row>
    <row r="1262" spans="2:18" ht="13">
      <c r="B1262" s="33"/>
      <c r="C1262" s="34"/>
      <c r="D1262" s="68" t="s">
        <v>17</v>
      </c>
      <c r="E1262" s="69" t="s">
        <v>27</v>
      </c>
      <c r="F1262" s="20" t="s">
        <v>533</v>
      </c>
      <c r="G1262" s="15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</row>
    <row r="1263" spans="2:18" ht="13">
      <c r="B1263" s="33"/>
      <c r="C1263" s="34"/>
      <c r="D1263" s="68" t="s">
        <v>17</v>
      </c>
      <c r="E1263" s="69" t="s">
        <v>116</v>
      </c>
      <c r="F1263" s="20" t="s">
        <v>533</v>
      </c>
      <c r="G1263" s="15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</row>
    <row r="1264" spans="2:18" ht="13">
      <c r="B1264" s="33"/>
      <c r="C1264" s="34"/>
      <c r="D1264" s="68" t="s">
        <v>556</v>
      </c>
      <c r="E1264" s="69" t="s">
        <v>37</v>
      </c>
      <c r="F1264" s="20" t="s">
        <v>533</v>
      </c>
      <c r="G1264" s="15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</row>
    <row r="1265" spans="2:18" ht="13">
      <c r="B1265" s="33"/>
      <c r="C1265" s="34"/>
      <c r="D1265" s="68" t="s">
        <v>17</v>
      </c>
      <c r="E1265" s="69" t="s">
        <v>27</v>
      </c>
      <c r="F1265" s="20" t="s">
        <v>533</v>
      </c>
      <c r="G1265" s="15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</row>
    <row r="1266" spans="2:18" ht="13">
      <c r="B1266" s="33"/>
      <c r="C1266" s="34"/>
      <c r="D1266" s="68" t="s">
        <v>17</v>
      </c>
      <c r="E1266" s="69" t="s">
        <v>27</v>
      </c>
      <c r="F1266" s="20" t="s">
        <v>533</v>
      </c>
      <c r="G1266" s="15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</row>
    <row r="1267" spans="2:18" ht="13">
      <c r="B1267" s="33"/>
      <c r="C1267" s="34"/>
      <c r="D1267" s="68" t="s">
        <v>638</v>
      </c>
      <c r="E1267" s="69" t="s">
        <v>32</v>
      </c>
      <c r="F1267" s="20" t="s">
        <v>533</v>
      </c>
      <c r="G1267" s="15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</row>
    <row r="1268" spans="2:18" ht="13">
      <c r="B1268" s="33"/>
      <c r="C1268" s="34"/>
      <c r="D1268" s="68" t="s">
        <v>26</v>
      </c>
      <c r="E1268" s="69" t="s">
        <v>27</v>
      </c>
      <c r="F1268" s="20" t="s">
        <v>533</v>
      </c>
      <c r="G1268" s="15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</row>
    <row r="1269" spans="2:18" ht="13">
      <c r="B1269" s="33"/>
      <c r="C1269" s="34"/>
      <c r="D1269" s="68" t="s">
        <v>26</v>
      </c>
      <c r="E1269" s="69" t="s">
        <v>175</v>
      </c>
      <c r="F1269" s="20" t="s">
        <v>533</v>
      </c>
      <c r="G1269" s="15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</row>
    <row r="1270" spans="2:18" ht="13">
      <c r="B1270" s="33"/>
      <c r="C1270" s="34"/>
      <c r="D1270" s="68" t="s">
        <v>17</v>
      </c>
      <c r="E1270" s="69" t="s">
        <v>27</v>
      </c>
      <c r="F1270" s="20" t="s">
        <v>533</v>
      </c>
      <c r="G1270" s="15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</row>
    <row r="1271" spans="2:18" ht="13">
      <c r="B1271" s="33"/>
      <c r="C1271" s="34"/>
      <c r="D1271" s="68" t="s">
        <v>17</v>
      </c>
      <c r="E1271" s="69" t="s">
        <v>27</v>
      </c>
      <c r="F1271" s="20" t="s">
        <v>533</v>
      </c>
      <c r="G1271" s="15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</row>
    <row r="1272" spans="2:18" ht="13">
      <c r="B1272" s="33"/>
      <c r="C1272" s="34"/>
      <c r="D1272" s="68" t="s">
        <v>53</v>
      </c>
      <c r="E1272" s="69" t="s">
        <v>32</v>
      </c>
      <c r="F1272" s="20" t="s">
        <v>533</v>
      </c>
      <c r="G1272" s="15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</row>
    <row r="1273" spans="2:18" ht="13">
      <c r="B1273" s="33"/>
      <c r="C1273" s="34"/>
      <c r="D1273" s="68" t="s">
        <v>17</v>
      </c>
      <c r="E1273" s="69" t="s">
        <v>27</v>
      </c>
      <c r="F1273" s="20" t="s">
        <v>533</v>
      </c>
      <c r="G1273" s="15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</row>
    <row r="1274" spans="2:18" ht="13">
      <c r="B1274" s="33"/>
      <c r="C1274" s="34"/>
      <c r="D1274" s="68" t="s">
        <v>17</v>
      </c>
      <c r="E1274" s="69" t="s">
        <v>27</v>
      </c>
      <c r="F1274" s="20" t="s">
        <v>533</v>
      </c>
      <c r="G1274" s="15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</row>
    <row r="1275" spans="2:18" ht="13">
      <c r="B1275" s="33"/>
      <c r="C1275" s="34"/>
      <c r="D1275" s="68" t="s">
        <v>572</v>
      </c>
      <c r="E1275" s="69" t="s">
        <v>32</v>
      </c>
      <c r="F1275" s="20" t="s">
        <v>533</v>
      </c>
      <c r="G1275" s="15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</row>
    <row r="1276" spans="2:18" ht="13">
      <c r="B1276" s="33"/>
      <c r="C1276" s="34"/>
      <c r="D1276" s="68" t="s">
        <v>17</v>
      </c>
      <c r="E1276" s="69" t="s">
        <v>27</v>
      </c>
      <c r="F1276" s="20" t="s">
        <v>533</v>
      </c>
      <c r="G1276" s="15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</row>
    <row r="1277" spans="2:18" ht="13">
      <c r="B1277" s="33"/>
      <c r="C1277" s="34"/>
      <c r="D1277" s="68" t="s">
        <v>26</v>
      </c>
      <c r="E1277" s="69" t="s">
        <v>27</v>
      </c>
      <c r="F1277" s="20" t="s">
        <v>533</v>
      </c>
      <c r="G1277" s="15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</row>
    <row r="1278" spans="2:18" ht="13">
      <c r="B1278" s="33"/>
      <c r="C1278" s="34"/>
      <c r="D1278" s="68" t="s">
        <v>26</v>
      </c>
      <c r="E1278" s="69" t="s">
        <v>27</v>
      </c>
      <c r="F1278" s="20" t="s">
        <v>533</v>
      </c>
      <c r="G1278" s="15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</row>
    <row r="1279" spans="2:18" ht="13">
      <c r="B1279" s="33"/>
      <c r="C1279" s="34"/>
      <c r="D1279" s="68" t="s">
        <v>36</v>
      </c>
      <c r="E1279" s="69" t="s">
        <v>37</v>
      </c>
      <c r="F1279" s="20" t="s">
        <v>533</v>
      </c>
      <c r="G1279" s="15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</row>
    <row r="1280" spans="2:18" ht="13">
      <c r="B1280" s="33"/>
      <c r="C1280" s="34"/>
      <c r="D1280" s="68" t="s">
        <v>17</v>
      </c>
      <c r="E1280" s="69" t="s">
        <v>27</v>
      </c>
      <c r="F1280" s="20" t="s">
        <v>533</v>
      </c>
      <c r="G1280" s="15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</row>
    <row r="1281" spans="2:18" ht="13">
      <c r="B1281" s="33"/>
      <c r="C1281" s="34"/>
      <c r="D1281" s="68" t="s">
        <v>26</v>
      </c>
      <c r="E1281" s="69" t="s">
        <v>27</v>
      </c>
      <c r="F1281" s="20" t="s">
        <v>533</v>
      </c>
      <c r="G1281" s="15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</row>
    <row r="1282" spans="2:18" ht="13">
      <c r="B1282" s="33"/>
      <c r="C1282" s="34"/>
      <c r="D1282" s="68" t="s">
        <v>568</v>
      </c>
      <c r="E1282" s="69" t="s">
        <v>37</v>
      </c>
      <c r="F1282" s="20" t="s">
        <v>533</v>
      </c>
      <c r="G1282" s="15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</row>
    <row r="1283" spans="2:18" ht="13">
      <c r="B1283" s="33"/>
      <c r="C1283" s="34"/>
      <c r="D1283" s="68" t="s">
        <v>31</v>
      </c>
      <c r="E1283" s="69" t="s">
        <v>32</v>
      </c>
      <c r="F1283" s="20" t="s">
        <v>533</v>
      </c>
      <c r="G1283" s="15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</row>
    <row r="1284" spans="2:18" ht="13">
      <c r="B1284" s="33"/>
      <c r="C1284" s="34"/>
      <c r="D1284" s="68" t="s">
        <v>639</v>
      </c>
      <c r="E1284" s="69" t="s">
        <v>32</v>
      </c>
      <c r="F1284" s="20" t="s">
        <v>533</v>
      </c>
      <c r="G1284" s="15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</row>
    <row r="1285" spans="2:18" ht="13">
      <c r="B1285" s="33"/>
      <c r="C1285" s="34"/>
      <c r="D1285" s="68" t="s">
        <v>26</v>
      </c>
      <c r="E1285" s="69" t="s">
        <v>27</v>
      </c>
      <c r="F1285" s="20" t="s">
        <v>533</v>
      </c>
      <c r="G1285" s="15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</row>
    <row r="1286" spans="2:18" ht="13">
      <c r="B1286" s="33"/>
      <c r="C1286" s="34"/>
      <c r="D1286" s="68" t="s">
        <v>640</v>
      </c>
      <c r="E1286" s="69" t="s">
        <v>32</v>
      </c>
      <c r="F1286" s="20" t="s">
        <v>533</v>
      </c>
      <c r="G1286" s="15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</row>
    <row r="1287" spans="2:18" ht="13">
      <c r="B1287" s="33"/>
      <c r="C1287" s="34"/>
      <c r="D1287" s="68" t="s">
        <v>36</v>
      </c>
      <c r="E1287" s="69" t="s">
        <v>37</v>
      </c>
      <c r="F1287" s="20" t="s">
        <v>533</v>
      </c>
      <c r="G1287" s="15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</row>
    <row r="1288" spans="2:18" ht="13">
      <c r="B1288" s="33"/>
      <c r="C1288" s="34"/>
      <c r="D1288" s="68" t="s">
        <v>17</v>
      </c>
      <c r="E1288" s="69" t="s">
        <v>27</v>
      </c>
      <c r="F1288" s="20" t="s">
        <v>533</v>
      </c>
      <c r="G1288" s="15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</row>
    <row r="1289" spans="2:18" ht="13">
      <c r="B1289" s="33"/>
      <c r="C1289" s="34"/>
      <c r="D1289" s="68" t="s">
        <v>17</v>
      </c>
      <c r="E1289" s="69" t="s">
        <v>27</v>
      </c>
      <c r="F1289" s="20" t="s">
        <v>533</v>
      </c>
      <c r="G1289" s="15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</row>
    <row r="1290" spans="2:18" ht="13">
      <c r="B1290" s="33"/>
      <c r="C1290" s="34"/>
      <c r="D1290" s="68" t="s">
        <v>17</v>
      </c>
      <c r="E1290" s="69" t="s">
        <v>27</v>
      </c>
      <c r="F1290" s="20" t="s">
        <v>533</v>
      </c>
      <c r="G1290" s="15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</row>
    <row r="1291" spans="2:18" ht="13">
      <c r="B1291" s="33"/>
      <c r="C1291" s="34"/>
      <c r="D1291" s="68" t="s">
        <v>17</v>
      </c>
      <c r="E1291" s="69" t="s">
        <v>27</v>
      </c>
      <c r="F1291" s="20" t="s">
        <v>533</v>
      </c>
      <c r="G1291" s="15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</row>
    <row r="1292" spans="2:18" ht="13">
      <c r="B1292" s="33"/>
      <c r="C1292" s="34"/>
      <c r="D1292" s="68" t="s">
        <v>17</v>
      </c>
      <c r="E1292" s="69" t="s">
        <v>27</v>
      </c>
      <c r="F1292" s="20" t="s">
        <v>533</v>
      </c>
      <c r="G1292" s="15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</row>
    <row r="1293" spans="2:18" ht="13">
      <c r="B1293" s="33"/>
      <c r="C1293" s="34"/>
      <c r="D1293" s="68" t="s">
        <v>17</v>
      </c>
      <c r="E1293" s="69" t="s">
        <v>27</v>
      </c>
      <c r="F1293" s="20" t="s">
        <v>533</v>
      </c>
      <c r="G1293" s="15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</row>
    <row r="1294" spans="2:18" ht="13">
      <c r="B1294" s="33"/>
      <c r="C1294" s="34"/>
      <c r="D1294" s="68" t="s">
        <v>26</v>
      </c>
      <c r="E1294" s="69" t="s">
        <v>27</v>
      </c>
      <c r="F1294" s="20" t="s">
        <v>533</v>
      </c>
      <c r="G1294" s="15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</row>
    <row r="1295" spans="2:18" ht="13">
      <c r="B1295" s="33"/>
      <c r="C1295" s="34"/>
      <c r="D1295" s="68" t="s">
        <v>26</v>
      </c>
      <c r="E1295" s="69" t="s">
        <v>27</v>
      </c>
      <c r="F1295" s="20" t="s">
        <v>533</v>
      </c>
      <c r="G1295" s="15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</row>
    <row r="1296" spans="2:18" ht="13">
      <c r="B1296" s="33"/>
      <c r="C1296" s="34"/>
      <c r="D1296" s="68" t="s">
        <v>568</v>
      </c>
      <c r="E1296" s="69" t="s">
        <v>37</v>
      </c>
      <c r="F1296" s="20" t="s">
        <v>533</v>
      </c>
      <c r="G1296" s="15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</row>
    <row r="1297" spans="2:18" ht="13">
      <c r="B1297" s="33"/>
      <c r="C1297" s="34"/>
      <c r="D1297" s="68" t="s">
        <v>17</v>
      </c>
      <c r="E1297" s="69" t="s">
        <v>27</v>
      </c>
      <c r="F1297" s="20" t="s">
        <v>533</v>
      </c>
      <c r="G1297" s="15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</row>
    <row r="1298" spans="2:18" ht="13">
      <c r="B1298" s="33"/>
      <c r="C1298" s="34"/>
      <c r="D1298" s="68" t="s">
        <v>26</v>
      </c>
      <c r="E1298" s="69" t="s">
        <v>27</v>
      </c>
      <c r="F1298" s="20" t="s">
        <v>533</v>
      </c>
      <c r="G1298" s="15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</row>
    <row r="1299" spans="2:18" ht="13">
      <c r="B1299" s="33"/>
      <c r="C1299" s="34"/>
      <c r="D1299" s="68" t="s">
        <v>26</v>
      </c>
      <c r="E1299" s="69" t="s">
        <v>27</v>
      </c>
      <c r="F1299" s="20" t="s">
        <v>533</v>
      </c>
      <c r="G1299" s="15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</row>
    <row r="1300" spans="2:18" ht="13">
      <c r="B1300" s="33"/>
      <c r="C1300" s="34"/>
      <c r="D1300" s="68" t="s">
        <v>17</v>
      </c>
      <c r="E1300" s="69" t="s">
        <v>27</v>
      </c>
      <c r="F1300" s="20" t="s">
        <v>533</v>
      </c>
      <c r="G1300" s="15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</row>
    <row r="1301" spans="2:18" ht="13">
      <c r="B1301" s="33"/>
      <c r="C1301" s="34"/>
      <c r="D1301" s="68" t="s">
        <v>404</v>
      </c>
      <c r="E1301" s="69" t="s">
        <v>32</v>
      </c>
      <c r="F1301" s="20" t="s">
        <v>533</v>
      </c>
      <c r="G1301" s="15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</row>
    <row r="1302" spans="2:18" ht="13">
      <c r="B1302" s="33"/>
      <c r="C1302" s="34"/>
      <c r="D1302" s="68" t="s">
        <v>17</v>
      </c>
      <c r="E1302" s="69" t="s">
        <v>27</v>
      </c>
      <c r="F1302" s="20" t="s">
        <v>533</v>
      </c>
      <c r="G1302" s="15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</row>
    <row r="1303" spans="2:18" ht="13">
      <c r="B1303" s="33"/>
      <c r="C1303" s="34"/>
      <c r="D1303" s="68" t="s">
        <v>26</v>
      </c>
      <c r="E1303" s="69" t="s">
        <v>27</v>
      </c>
      <c r="F1303" s="20" t="s">
        <v>533</v>
      </c>
      <c r="G1303" s="15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</row>
    <row r="1304" spans="2:18" ht="13">
      <c r="B1304" s="33"/>
      <c r="C1304" s="34"/>
      <c r="D1304" s="68" t="s">
        <v>560</v>
      </c>
      <c r="E1304" s="69" t="s">
        <v>121</v>
      </c>
      <c r="F1304" s="20" t="s">
        <v>533</v>
      </c>
      <c r="G1304" s="15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</row>
    <row r="1305" spans="2:18" ht="13">
      <c r="B1305" s="33"/>
      <c r="C1305" s="34"/>
      <c r="D1305" s="68" t="s">
        <v>26</v>
      </c>
      <c r="E1305" s="69" t="s">
        <v>27</v>
      </c>
      <c r="F1305" s="20" t="s">
        <v>533</v>
      </c>
      <c r="G1305" s="15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</row>
    <row r="1306" spans="2:18" ht="13">
      <c r="B1306" s="33"/>
      <c r="C1306" s="34"/>
      <c r="D1306" s="68" t="s">
        <v>26</v>
      </c>
      <c r="E1306" s="69" t="s">
        <v>27</v>
      </c>
      <c r="F1306" s="20" t="s">
        <v>533</v>
      </c>
      <c r="G1306" s="15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</row>
    <row r="1307" spans="2:18" ht="13">
      <c r="B1307" s="33"/>
      <c r="C1307" s="34"/>
      <c r="D1307" s="68" t="s">
        <v>17</v>
      </c>
      <c r="E1307" s="69" t="s">
        <v>27</v>
      </c>
      <c r="F1307" s="20" t="s">
        <v>533</v>
      </c>
      <c r="G1307" s="15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</row>
    <row r="1308" spans="2:18" ht="13">
      <c r="B1308" s="33"/>
      <c r="C1308" s="34"/>
      <c r="D1308" s="68" t="s">
        <v>26</v>
      </c>
      <c r="E1308" s="69" t="s">
        <v>27</v>
      </c>
      <c r="F1308" s="20" t="s">
        <v>533</v>
      </c>
      <c r="G1308" s="15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</row>
    <row r="1309" spans="2:18" ht="13">
      <c r="B1309" s="33"/>
      <c r="C1309" s="34"/>
      <c r="D1309" s="68" t="s">
        <v>26</v>
      </c>
      <c r="E1309" s="69" t="s">
        <v>27</v>
      </c>
      <c r="F1309" s="20" t="s">
        <v>533</v>
      </c>
      <c r="G1309" s="15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</row>
    <row r="1310" spans="2:18" ht="13">
      <c r="B1310" s="33"/>
      <c r="C1310" s="34"/>
      <c r="D1310" s="68" t="s">
        <v>17</v>
      </c>
      <c r="E1310" s="69" t="s">
        <v>27</v>
      </c>
      <c r="F1310" s="20" t="s">
        <v>533</v>
      </c>
      <c r="G1310" s="15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</row>
    <row r="1311" spans="2:18" ht="13">
      <c r="B1311" s="33"/>
      <c r="C1311" s="34"/>
      <c r="D1311" s="68" t="s">
        <v>17</v>
      </c>
      <c r="E1311" s="69" t="s">
        <v>27</v>
      </c>
      <c r="F1311" s="20" t="s">
        <v>533</v>
      </c>
      <c r="G1311" s="15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</row>
    <row r="1312" spans="2:18" ht="13">
      <c r="B1312" s="33"/>
      <c r="C1312" s="34"/>
      <c r="D1312" s="68" t="s">
        <v>17</v>
      </c>
      <c r="E1312" s="69" t="s">
        <v>27</v>
      </c>
      <c r="F1312" s="20" t="s">
        <v>533</v>
      </c>
      <c r="G1312" s="15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</row>
    <row r="1313" spans="2:18" ht="13">
      <c r="B1313" s="33"/>
      <c r="C1313" s="34"/>
      <c r="D1313" s="68" t="s">
        <v>17</v>
      </c>
      <c r="E1313" s="69" t="s">
        <v>27</v>
      </c>
      <c r="F1313" s="20" t="s">
        <v>533</v>
      </c>
      <c r="G1313" s="15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</row>
    <row r="1314" spans="2:18" ht="13">
      <c r="B1314" s="33"/>
      <c r="C1314" s="34"/>
      <c r="D1314" s="68" t="s">
        <v>17</v>
      </c>
      <c r="E1314" s="69" t="s">
        <v>27</v>
      </c>
      <c r="F1314" s="20" t="s">
        <v>533</v>
      </c>
      <c r="G1314" s="15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</row>
    <row r="1315" spans="2:18" ht="13">
      <c r="B1315" s="33"/>
      <c r="C1315" s="34"/>
      <c r="D1315" s="68" t="s">
        <v>607</v>
      </c>
      <c r="E1315" s="69" t="s">
        <v>121</v>
      </c>
      <c r="F1315" s="20" t="s">
        <v>533</v>
      </c>
      <c r="G1315" s="15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</row>
    <row r="1316" spans="2:18" ht="13">
      <c r="B1316" s="33"/>
      <c r="C1316" s="34"/>
      <c r="D1316" s="68" t="s">
        <v>17</v>
      </c>
      <c r="E1316" s="69" t="s">
        <v>27</v>
      </c>
      <c r="F1316" s="20" t="s">
        <v>533</v>
      </c>
      <c r="G1316" s="15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</row>
    <row r="1317" spans="2:18" ht="13">
      <c r="B1317" s="33"/>
      <c r="C1317" s="34"/>
      <c r="D1317" s="68" t="s">
        <v>17</v>
      </c>
      <c r="E1317" s="69" t="s">
        <v>27</v>
      </c>
      <c r="F1317" s="20" t="s">
        <v>533</v>
      </c>
      <c r="G1317" s="15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</row>
    <row r="1318" spans="2:18" ht="13">
      <c r="B1318" s="33"/>
      <c r="C1318" s="34"/>
      <c r="D1318" s="68" t="s">
        <v>17</v>
      </c>
      <c r="E1318" s="69" t="s">
        <v>27</v>
      </c>
      <c r="F1318" s="20" t="s">
        <v>533</v>
      </c>
      <c r="G1318" s="15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</row>
    <row r="1319" spans="2:18" ht="13">
      <c r="B1319" s="33"/>
      <c r="C1319" s="34"/>
      <c r="D1319" s="68" t="s">
        <v>17</v>
      </c>
      <c r="E1319" s="69" t="s">
        <v>27</v>
      </c>
      <c r="F1319" s="20" t="s">
        <v>533</v>
      </c>
      <c r="G1319" s="15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</row>
    <row r="1320" spans="2:18" ht="13">
      <c r="B1320" s="33"/>
      <c r="C1320" s="34"/>
      <c r="D1320" s="68" t="s">
        <v>17</v>
      </c>
      <c r="E1320" s="69" t="s">
        <v>27</v>
      </c>
      <c r="F1320" s="20" t="s">
        <v>533</v>
      </c>
      <c r="G1320" s="15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</row>
    <row r="1321" spans="2:18" ht="13">
      <c r="B1321" s="33"/>
      <c r="C1321" s="34"/>
      <c r="D1321" s="68" t="s">
        <v>26</v>
      </c>
      <c r="E1321" s="69" t="s">
        <v>27</v>
      </c>
      <c r="F1321" s="20" t="s">
        <v>533</v>
      </c>
      <c r="G1321" s="15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</row>
    <row r="1322" spans="2:18" ht="13">
      <c r="B1322" s="33"/>
      <c r="C1322" s="34"/>
      <c r="D1322" s="68" t="s">
        <v>17</v>
      </c>
      <c r="E1322" s="69" t="s">
        <v>27</v>
      </c>
      <c r="F1322" s="20" t="s">
        <v>533</v>
      </c>
      <c r="G1322" s="15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</row>
    <row r="1323" spans="2:18" ht="13">
      <c r="B1323" s="33"/>
      <c r="C1323" s="34"/>
      <c r="D1323" s="68" t="s">
        <v>17</v>
      </c>
      <c r="E1323" s="69" t="s">
        <v>27</v>
      </c>
      <c r="F1323" s="20" t="s">
        <v>533</v>
      </c>
      <c r="G1323" s="15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</row>
    <row r="1324" spans="2:18" ht="13">
      <c r="B1324" s="33"/>
      <c r="C1324" s="34"/>
      <c r="D1324" s="68" t="s">
        <v>17</v>
      </c>
      <c r="E1324" s="69" t="s">
        <v>27</v>
      </c>
      <c r="F1324" s="20" t="s">
        <v>533</v>
      </c>
      <c r="G1324" s="15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</row>
    <row r="1325" spans="2:18" ht="13">
      <c r="B1325" s="33"/>
      <c r="C1325" s="34"/>
      <c r="D1325" s="68" t="s">
        <v>26</v>
      </c>
      <c r="E1325" s="69" t="s">
        <v>27</v>
      </c>
      <c r="F1325" s="20" t="s">
        <v>533</v>
      </c>
      <c r="G1325" s="15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</row>
    <row r="1326" spans="2:18" ht="13">
      <c r="B1326" s="33"/>
      <c r="C1326" s="34"/>
      <c r="D1326" s="68" t="s">
        <v>26</v>
      </c>
      <c r="E1326" s="69" t="s">
        <v>175</v>
      </c>
      <c r="F1326" s="20" t="s">
        <v>533</v>
      </c>
      <c r="G1326" s="15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</row>
    <row r="1327" spans="2:18" ht="13">
      <c r="B1327" s="33"/>
      <c r="C1327" s="34"/>
      <c r="D1327" s="68" t="s">
        <v>26</v>
      </c>
      <c r="E1327" s="69" t="s">
        <v>27</v>
      </c>
      <c r="F1327" s="20" t="s">
        <v>533</v>
      </c>
      <c r="G1327" s="15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</row>
    <row r="1328" spans="2:18" ht="13">
      <c r="B1328" s="33"/>
      <c r="C1328" s="34"/>
      <c r="D1328" s="68" t="s">
        <v>571</v>
      </c>
      <c r="E1328" s="69" t="s">
        <v>163</v>
      </c>
      <c r="F1328" s="20" t="s">
        <v>533</v>
      </c>
      <c r="G1328" s="15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</row>
    <row r="1329" spans="2:18" ht="13">
      <c r="B1329" s="33"/>
      <c r="C1329" s="34"/>
      <c r="D1329" s="68" t="s">
        <v>17</v>
      </c>
      <c r="E1329" s="69" t="s">
        <v>27</v>
      </c>
      <c r="F1329" s="20" t="s">
        <v>533</v>
      </c>
      <c r="G1329" s="15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</row>
    <row r="1330" spans="2:18" ht="13">
      <c r="B1330" s="33"/>
      <c r="C1330" s="34"/>
      <c r="D1330" s="68" t="s">
        <v>53</v>
      </c>
      <c r="E1330" s="69" t="s">
        <v>32</v>
      </c>
      <c r="F1330" s="20" t="s">
        <v>533</v>
      </c>
      <c r="G1330" s="15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</row>
    <row r="1331" spans="2:18" ht="13">
      <c r="B1331" s="33"/>
      <c r="C1331" s="34"/>
      <c r="D1331" s="68" t="s">
        <v>17</v>
      </c>
      <c r="E1331" s="69" t="s">
        <v>27</v>
      </c>
      <c r="F1331" s="20" t="s">
        <v>533</v>
      </c>
      <c r="G1331" s="15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</row>
    <row r="1332" spans="2:18" ht="13">
      <c r="B1332" s="33"/>
      <c r="C1332" s="34"/>
      <c r="D1332" s="68" t="s">
        <v>17</v>
      </c>
      <c r="E1332" s="69" t="s">
        <v>27</v>
      </c>
      <c r="F1332" s="20" t="s">
        <v>533</v>
      </c>
      <c r="G1332" s="15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</row>
    <row r="1333" spans="2:18" ht="13">
      <c r="B1333" s="33"/>
      <c r="C1333" s="34"/>
      <c r="D1333" s="68" t="s">
        <v>17</v>
      </c>
      <c r="E1333" s="69" t="s">
        <v>27</v>
      </c>
      <c r="F1333" s="20" t="s">
        <v>533</v>
      </c>
      <c r="G1333" s="15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</row>
    <row r="1334" spans="2:18" ht="13">
      <c r="B1334" s="33"/>
      <c r="C1334" s="34"/>
      <c r="D1334" s="68" t="s">
        <v>26</v>
      </c>
      <c r="E1334" s="69" t="s">
        <v>27</v>
      </c>
      <c r="F1334" s="20" t="s">
        <v>533</v>
      </c>
      <c r="G1334" s="15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</row>
    <row r="1335" spans="2:18" ht="13">
      <c r="B1335" s="33"/>
      <c r="C1335" s="34"/>
      <c r="D1335" s="68" t="s">
        <v>17</v>
      </c>
      <c r="E1335" s="69" t="s">
        <v>27</v>
      </c>
      <c r="F1335" s="20" t="s">
        <v>533</v>
      </c>
      <c r="G1335" s="15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</row>
    <row r="1336" spans="2:18" ht="13">
      <c r="B1336" s="33"/>
      <c r="C1336" s="34"/>
      <c r="D1336" s="68" t="s">
        <v>17</v>
      </c>
      <c r="E1336" s="69" t="s">
        <v>27</v>
      </c>
      <c r="F1336" s="20" t="s">
        <v>533</v>
      </c>
      <c r="G1336" s="15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</row>
    <row r="1337" spans="2:18" ht="13">
      <c r="B1337" s="33"/>
      <c r="C1337" s="34"/>
      <c r="D1337" s="68" t="s">
        <v>17</v>
      </c>
      <c r="E1337" s="69" t="s">
        <v>27</v>
      </c>
      <c r="F1337" s="20" t="s">
        <v>533</v>
      </c>
      <c r="G1337" s="15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</row>
    <row r="1338" spans="2:18" ht="13">
      <c r="B1338" s="33"/>
      <c r="C1338" s="34"/>
      <c r="D1338" s="68" t="s">
        <v>162</v>
      </c>
      <c r="E1338" s="69" t="s">
        <v>163</v>
      </c>
      <c r="F1338" s="20" t="s">
        <v>533</v>
      </c>
      <c r="G1338" s="15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</row>
    <row r="1339" spans="2:18" ht="13">
      <c r="B1339" s="33"/>
      <c r="C1339" s="34"/>
      <c r="D1339" s="68" t="s">
        <v>17</v>
      </c>
      <c r="E1339" s="69" t="s">
        <v>27</v>
      </c>
      <c r="F1339" s="20" t="s">
        <v>533</v>
      </c>
      <c r="G1339" s="15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</row>
    <row r="1340" spans="2:18" ht="13">
      <c r="B1340" s="33"/>
      <c r="C1340" s="34"/>
      <c r="D1340" s="68" t="s">
        <v>17</v>
      </c>
      <c r="E1340" s="69" t="s">
        <v>27</v>
      </c>
      <c r="F1340" s="20" t="s">
        <v>533</v>
      </c>
      <c r="G1340" s="15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</row>
    <row r="1341" spans="2:18" ht="13">
      <c r="B1341" s="33"/>
      <c r="C1341" s="34"/>
      <c r="D1341" s="68" t="s">
        <v>17</v>
      </c>
      <c r="E1341" s="69" t="s">
        <v>27</v>
      </c>
      <c r="F1341" s="20" t="s">
        <v>533</v>
      </c>
      <c r="G1341" s="15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</row>
    <row r="1342" spans="2:18" ht="13">
      <c r="B1342" s="33"/>
      <c r="C1342" s="34"/>
      <c r="D1342" s="68" t="s">
        <v>17</v>
      </c>
      <c r="E1342" s="69" t="s">
        <v>27</v>
      </c>
      <c r="F1342" s="20" t="s">
        <v>533</v>
      </c>
      <c r="G1342" s="15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</row>
    <row r="1343" spans="2:18" ht="13">
      <c r="B1343" s="33"/>
      <c r="C1343" s="34"/>
      <c r="D1343" s="68" t="s">
        <v>561</v>
      </c>
      <c r="E1343" s="69" t="s">
        <v>32</v>
      </c>
      <c r="F1343" s="20" t="s">
        <v>533</v>
      </c>
      <c r="G1343" s="15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</row>
    <row r="1344" spans="2:18" ht="13">
      <c r="B1344" s="33"/>
      <c r="C1344" s="34"/>
      <c r="D1344" s="68" t="s">
        <v>17</v>
      </c>
      <c r="E1344" s="69" t="s">
        <v>27</v>
      </c>
      <c r="F1344" s="20" t="s">
        <v>533</v>
      </c>
      <c r="G1344" s="15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</row>
    <row r="1345" spans="2:18" ht="13">
      <c r="B1345" s="33"/>
      <c r="C1345" s="34"/>
      <c r="D1345" s="68" t="s">
        <v>17</v>
      </c>
      <c r="E1345" s="69" t="s">
        <v>27</v>
      </c>
      <c r="F1345" s="20" t="s">
        <v>533</v>
      </c>
      <c r="G1345" s="15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</row>
    <row r="1346" spans="2:18" ht="13">
      <c r="B1346" s="33"/>
      <c r="C1346" s="34"/>
      <c r="D1346" s="68" t="s">
        <v>17</v>
      </c>
      <c r="E1346" s="69" t="s">
        <v>27</v>
      </c>
      <c r="F1346" s="20" t="s">
        <v>533</v>
      </c>
      <c r="G1346" s="15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</row>
    <row r="1347" spans="2:18" ht="13">
      <c r="B1347" s="33"/>
      <c r="C1347" s="34"/>
      <c r="D1347" s="68" t="s">
        <v>17</v>
      </c>
      <c r="E1347" s="69" t="s">
        <v>27</v>
      </c>
      <c r="F1347" s="20" t="s">
        <v>533</v>
      </c>
      <c r="G1347" s="15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</row>
    <row r="1348" spans="2:18" ht="13">
      <c r="B1348" s="33"/>
      <c r="C1348" s="34"/>
      <c r="D1348" s="68" t="s">
        <v>17</v>
      </c>
      <c r="E1348" s="69" t="s">
        <v>27</v>
      </c>
      <c r="F1348" s="20" t="s">
        <v>533</v>
      </c>
      <c r="G1348" s="15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</row>
    <row r="1349" spans="2:18" ht="13">
      <c r="B1349" s="33"/>
      <c r="C1349" s="34"/>
      <c r="D1349" s="68" t="s">
        <v>17</v>
      </c>
      <c r="E1349" s="69" t="s">
        <v>27</v>
      </c>
      <c r="F1349" s="20" t="s">
        <v>533</v>
      </c>
      <c r="G1349" s="15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</row>
    <row r="1350" spans="2:18" ht="13">
      <c r="B1350" s="33"/>
      <c r="C1350" s="34"/>
      <c r="D1350" s="68" t="s">
        <v>621</v>
      </c>
      <c r="E1350" s="69" t="s">
        <v>121</v>
      </c>
      <c r="F1350" s="20" t="s">
        <v>533</v>
      </c>
      <c r="G1350" s="15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</row>
    <row r="1351" spans="2:18" ht="13">
      <c r="B1351" s="33"/>
      <c r="C1351" s="34"/>
      <c r="D1351" s="68" t="s">
        <v>557</v>
      </c>
      <c r="E1351" s="69" t="s">
        <v>121</v>
      </c>
      <c r="F1351" s="20" t="s">
        <v>533</v>
      </c>
      <c r="G1351" s="15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</row>
    <row r="1352" spans="2:18" ht="13">
      <c r="B1352" s="33"/>
      <c r="C1352" s="34"/>
      <c r="D1352" s="68" t="s">
        <v>86</v>
      </c>
      <c r="E1352" s="69" t="s">
        <v>124</v>
      </c>
      <c r="F1352" s="20" t="s">
        <v>533</v>
      </c>
      <c r="G1352" s="15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</row>
    <row r="1353" spans="2:18" ht="13">
      <c r="B1353" s="33"/>
      <c r="C1353" s="34"/>
      <c r="D1353" s="68" t="s">
        <v>17</v>
      </c>
      <c r="E1353" s="69" t="s">
        <v>27</v>
      </c>
      <c r="F1353" s="20" t="s">
        <v>533</v>
      </c>
      <c r="G1353" s="15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</row>
    <row r="1354" spans="2:18" ht="13">
      <c r="B1354" s="33"/>
      <c r="C1354" s="34"/>
      <c r="D1354" s="68" t="s">
        <v>570</v>
      </c>
      <c r="E1354" s="69" t="s">
        <v>124</v>
      </c>
      <c r="F1354" s="20" t="s">
        <v>533</v>
      </c>
      <c r="G1354" s="15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</row>
    <row r="1355" spans="2:18" ht="13">
      <c r="B1355" s="33"/>
      <c r="C1355" s="34"/>
      <c r="D1355" s="68" t="s">
        <v>86</v>
      </c>
      <c r="E1355" s="69" t="s">
        <v>163</v>
      </c>
      <c r="F1355" s="20" t="s">
        <v>533</v>
      </c>
      <c r="G1355" s="15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</row>
    <row r="1356" spans="2:18" ht="13">
      <c r="B1356" s="33"/>
      <c r="C1356" s="34"/>
      <c r="D1356" s="68" t="s">
        <v>290</v>
      </c>
      <c r="E1356" s="69" t="s">
        <v>32</v>
      </c>
      <c r="F1356" s="20" t="s">
        <v>533</v>
      </c>
      <c r="G1356" s="15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</row>
    <row r="1357" spans="2:18" ht="13">
      <c r="B1357" s="33"/>
      <c r="C1357" s="34"/>
      <c r="D1357" s="68" t="s">
        <v>17</v>
      </c>
      <c r="E1357" s="69" t="s">
        <v>27</v>
      </c>
      <c r="F1357" s="20" t="s">
        <v>533</v>
      </c>
      <c r="G1357" s="15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</row>
    <row r="1358" spans="2:18" ht="13">
      <c r="B1358" s="33"/>
      <c r="C1358" s="34"/>
      <c r="D1358" s="68" t="s">
        <v>17</v>
      </c>
      <c r="E1358" s="69" t="s">
        <v>27</v>
      </c>
      <c r="F1358" s="20" t="s">
        <v>533</v>
      </c>
      <c r="G1358" s="15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</row>
    <row r="1359" spans="2:18" ht="13">
      <c r="B1359" s="33"/>
      <c r="C1359" s="34"/>
      <c r="D1359" s="68" t="s">
        <v>17</v>
      </c>
      <c r="E1359" s="69" t="s">
        <v>27</v>
      </c>
      <c r="F1359" s="20" t="s">
        <v>533</v>
      </c>
      <c r="G1359" s="15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</row>
    <row r="1360" spans="2:18" ht="13">
      <c r="B1360" s="33"/>
      <c r="C1360" s="34"/>
      <c r="D1360" s="68" t="s">
        <v>26</v>
      </c>
      <c r="E1360" s="69" t="s">
        <v>27</v>
      </c>
      <c r="F1360" s="20" t="s">
        <v>533</v>
      </c>
      <c r="G1360" s="15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</row>
    <row r="1361" spans="2:18" ht="13">
      <c r="B1361" s="33"/>
      <c r="C1361" s="34"/>
      <c r="D1361" s="68" t="s">
        <v>17</v>
      </c>
      <c r="E1361" s="69" t="s">
        <v>27</v>
      </c>
      <c r="F1361" s="20" t="s">
        <v>533</v>
      </c>
      <c r="G1361" s="15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</row>
    <row r="1362" spans="2:18" ht="13">
      <c r="B1362" s="33"/>
      <c r="C1362" s="34"/>
      <c r="D1362" s="68" t="s">
        <v>17</v>
      </c>
      <c r="E1362" s="69" t="s">
        <v>27</v>
      </c>
      <c r="F1362" s="20" t="s">
        <v>533</v>
      </c>
      <c r="G1362" s="15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</row>
    <row r="1363" spans="2:18" ht="13">
      <c r="B1363" s="33"/>
      <c r="C1363" s="34"/>
      <c r="D1363" s="68" t="s">
        <v>17</v>
      </c>
      <c r="E1363" s="69" t="s">
        <v>27</v>
      </c>
      <c r="F1363" s="20" t="s">
        <v>533</v>
      </c>
      <c r="G1363" s="15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</row>
    <row r="1364" spans="2:18" ht="13">
      <c r="B1364" s="33"/>
      <c r="C1364" s="34"/>
      <c r="D1364" s="68" t="s">
        <v>26</v>
      </c>
      <c r="E1364" s="69" t="s">
        <v>27</v>
      </c>
      <c r="F1364" s="20" t="s">
        <v>533</v>
      </c>
      <c r="G1364" s="15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</row>
    <row r="1365" spans="2:18" ht="13">
      <c r="B1365" s="33"/>
      <c r="C1365" s="34"/>
      <c r="D1365" s="68" t="s">
        <v>17</v>
      </c>
      <c r="E1365" s="69" t="s">
        <v>27</v>
      </c>
      <c r="F1365" s="20" t="s">
        <v>533</v>
      </c>
      <c r="G1365" s="15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</row>
    <row r="1366" spans="2:18" ht="13">
      <c r="B1366" s="33"/>
      <c r="C1366" s="34"/>
      <c r="D1366" s="68" t="s">
        <v>26</v>
      </c>
      <c r="E1366" s="69" t="s">
        <v>27</v>
      </c>
      <c r="F1366" s="20" t="s">
        <v>533</v>
      </c>
      <c r="G1366" s="15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</row>
    <row r="1367" spans="2:18" ht="13">
      <c r="B1367" s="33"/>
      <c r="C1367" s="34"/>
      <c r="D1367" s="68" t="s">
        <v>17</v>
      </c>
      <c r="E1367" s="69" t="s">
        <v>27</v>
      </c>
      <c r="F1367" s="20" t="s">
        <v>533</v>
      </c>
      <c r="G1367" s="15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</row>
    <row r="1368" spans="2:18" ht="13">
      <c r="B1368" s="33"/>
      <c r="C1368" s="34"/>
      <c r="D1368" s="68" t="s">
        <v>17</v>
      </c>
      <c r="E1368" s="69" t="s">
        <v>27</v>
      </c>
      <c r="F1368" s="20" t="s">
        <v>533</v>
      </c>
      <c r="G1368" s="15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</row>
    <row r="1369" spans="2:18" ht="13">
      <c r="B1369" s="33"/>
      <c r="C1369" s="34"/>
      <c r="D1369" s="68" t="s">
        <v>31</v>
      </c>
      <c r="E1369" s="69" t="s">
        <v>32</v>
      </c>
      <c r="F1369" s="20" t="s">
        <v>533</v>
      </c>
      <c r="G1369" s="15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</row>
    <row r="1370" spans="2:18" ht="13">
      <c r="B1370" s="33"/>
      <c r="C1370" s="34"/>
      <c r="D1370" s="68" t="s">
        <v>570</v>
      </c>
      <c r="E1370" s="69" t="s">
        <v>124</v>
      </c>
      <c r="F1370" s="20" t="s">
        <v>533</v>
      </c>
      <c r="G1370" s="15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</row>
    <row r="1371" spans="2:18" ht="13">
      <c r="B1371" s="33"/>
      <c r="C1371" s="34"/>
      <c r="D1371" s="68" t="s">
        <v>290</v>
      </c>
      <c r="E1371" s="69" t="s">
        <v>32</v>
      </c>
      <c r="F1371" s="20" t="s">
        <v>533</v>
      </c>
      <c r="G1371" s="15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</row>
    <row r="1372" spans="2:18" ht="13">
      <c r="B1372" s="33"/>
      <c r="C1372" s="34"/>
      <c r="D1372" s="68" t="s">
        <v>17</v>
      </c>
      <c r="E1372" s="69" t="s">
        <v>27</v>
      </c>
      <c r="F1372" s="20" t="s">
        <v>533</v>
      </c>
      <c r="G1372" s="15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</row>
    <row r="1373" spans="2:18" ht="13">
      <c r="B1373" s="33"/>
      <c r="C1373" s="34"/>
      <c r="D1373" s="68" t="s">
        <v>26</v>
      </c>
      <c r="E1373" s="69" t="s">
        <v>27</v>
      </c>
      <c r="F1373" s="20" t="s">
        <v>533</v>
      </c>
      <c r="G1373" s="15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</row>
    <row r="1374" spans="2:18" ht="13">
      <c r="B1374" s="33"/>
      <c r="C1374" s="34"/>
      <c r="D1374" s="68" t="s">
        <v>17</v>
      </c>
      <c r="E1374" s="69" t="s">
        <v>27</v>
      </c>
      <c r="F1374" s="20" t="s">
        <v>533</v>
      </c>
      <c r="G1374" s="15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</row>
    <row r="1375" spans="2:18" ht="13">
      <c r="B1375" s="33"/>
      <c r="C1375" s="34"/>
      <c r="D1375" s="68" t="s">
        <v>17</v>
      </c>
      <c r="E1375" s="69" t="s">
        <v>27</v>
      </c>
      <c r="F1375" s="20" t="s">
        <v>533</v>
      </c>
      <c r="G1375" s="15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</row>
    <row r="1376" spans="2:18" ht="13">
      <c r="B1376" s="33"/>
      <c r="C1376" s="34"/>
      <c r="D1376" s="68" t="s">
        <v>17</v>
      </c>
      <c r="E1376" s="69" t="s">
        <v>27</v>
      </c>
      <c r="F1376" s="20" t="s">
        <v>533</v>
      </c>
      <c r="G1376" s="15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</row>
    <row r="1377" spans="2:18" ht="13">
      <c r="B1377" s="33"/>
      <c r="C1377" s="34"/>
      <c r="D1377" s="68" t="s">
        <v>17</v>
      </c>
      <c r="E1377" s="69" t="s">
        <v>27</v>
      </c>
      <c r="F1377" s="20" t="s">
        <v>533</v>
      </c>
      <c r="G1377" s="15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</row>
    <row r="1378" spans="2:18" ht="13">
      <c r="B1378" s="33"/>
      <c r="C1378" s="34"/>
      <c r="D1378" s="68" t="s">
        <v>17</v>
      </c>
      <c r="E1378" s="69" t="s">
        <v>27</v>
      </c>
      <c r="F1378" s="20" t="s">
        <v>533</v>
      </c>
      <c r="G1378" s="15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</row>
    <row r="1379" spans="2:18" ht="13">
      <c r="B1379" s="33"/>
      <c r="C1379" s="34"/>
      <c r="D1379" s="68" t="s">
        <v>26</v>
      </c>
      <c r="E1379" s="69" t="s">
        <v>27</v>
      </c>
      <c r="F1379" s="20" t="s">
        <v>533</v>
      </c>
      <c r="G1379" s="15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</row>
    <row r="1380" spans="2:18" ht="13">
      <c r="B1380" s="33"/>
      <c r="C1380" s="34"/>
      <c r="D1380" s="68" t="s">
        <v>404</v>
      </c>
      <c r="E1380" s="69" t="s">
        <v>32</v>
      </c>
      <c r="F1380" s="20" t="s">
        <v>533</v>
      </c>
      <c r="G1380" s="15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</row>
    <row r="1381" spans="2:18" ht="13">
      <c r="B1381" s="33"/>
      <c r="C1381" s="34"/>
      <c r="D1381" s="68" t="s">
        <v>590</v>
      </c>
      <c r="E1381" s="69" t="s">
        <v>32</v>
      </c>
      <c r="F1381" s="20" t="s">
        <v>533</v>
      </c>
      <c r="G1381" s="15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</row>
    <row r="1382" spans="2:18" ht="13">
      <c r="B1382" s="33"/>
      <c r="C1382" s="34"/>
      <c r="D1382" s="68" t="s">
        <v>17</v>
      </c>
      <c r="E1382" s="69" t="s">
        <v>27</v>
      </c>
      <c r="F1382" s="20" t="s">
        <v>533</v>
      </c>
      <c r="G1382" s="15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</row>
    <row r="1383" spans="2:18" ht="13">
      <c r="B1383" s="33"/>
      <c r="C1383" s="34"/>
      <c r="D1383" s="68" t="s">
        <v>17</v>
      </c>
      <c r="E1383" s="69" t="s">
        <v>27</v>
      </c>
      <c r="F1383" s="20" t="s">
        <v>533</v>
      </c>
      <c r="G1383" s="15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</row>
    <row r="1384" spans="2:18" ht="13">
      <c r="B1384" s="33"/>
      <c r="C1384" s="34"/>
      <c r="D1384" s="68" t="s">
        <v>17</v>
      </c>
      <c r="E1384" s="69" t="s">
        <v>27</v>
      </c>
      <c r="F1384" s="20" t="s">
        <v>533</v>
      </c>
      <c r="G1384" s="15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</row>
    <row r="1385" spans="2:18" ht="13">
      <c r="B1385" s="33"/>
      <c r="C1385" s="34"/>
      <c r="D1385" s="68" t="s">
        <v>17</v>
      </c>
      <c r="E1385" s="69" t="s">
        <v>27</v>
      </c>
      <c r="F1385" s="20" t="s">
        <v>533</v>
      </c>
      <c r="G1385" s="15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</row>
    <row r="1386" spans="2:18" ht="13">
      <c r="B1386" s="33"/>
      <c r="C1386" s="34"/>
      <c r="D1386" s="68" t="s">
        <v>17</v>
      </c>
      <c r="E1386" s="69" t="s">
        <v>27</v>
      </c>
      <c r="F1386" s="20" t="s">
        <v>533</v>
      </c>
      <c r="G1386" s="15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</row>
    <row r="1387" spans="2:18" ht="13">
      <c r="B1387" s="33"/>
      <c r="C1387" s="34"/>
      <c r="D1387" s="68" t="s">
        <v>17</v>
      </c>
      <c r="E1387" s="69" t="s">
        <v>27</v>
      </c>
      <c r="F1387" s="20" t="s">
        <v>533</v>
      </c>
      <c r="G1387" s="15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</row>
    <row r="1388" spans="2:18" ht="13">
      <c r="B1388" s="33"/>
      <c r="C1388" s="34"/>
      <c r="D1388" s="68" t="s">
        <v>17</v>
      </c>
      <c r="E1388" s="69" t="s">
        <v>27</v>
      </c>
      <c r="F1388" s="20" t="s">
        <v>533</v>
      </c>
      <c r="G1388" s="15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</row>
    <row r="1389" spans="2:18" ht="13">
      <c r="B1389" s="33"/>
      <c r="C1389" s="34"/>
      <c r="D1389" s="68" t="s">
        <v>17</v>
      </c>
      <c r="E1389" s="69" t="s">
        <v>27</v>
      </c>
      <c r="F1389" s="20" t="s">
        <v>533</v>
      </c>
      <c r="G1389" s="15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</row>
    <row r="1390" spans="2:18" ht="13">
      <c r="B1390" s="33"/>
      <c r="C1390" s="34"/>
      <c r="D1390" s="68" t="s">
        <v>26</v>
      </c>
      <c r="E1390" s="69" t="s">
        <v>27</v>
      </c>
      <c r="F1390" s="20" t="s">
        <v>533</v>
      </c>
      <c r="G1390" s="15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</row>
    <row r="1391" spans="2:18" ht="13">
      <c r="B1391" s="33"/>
      <c r="C1391" s="34"/>
      <c r="D1391" s="68" t="s">
        <v>17</v>
      </c>
      <c r="E1391" s="69" t="s">
        <v>27</v>
      </c>
      <c r="F1391" s="20" t="s">
        <v>533</v>
      </c>
      <c r="G1391" s="15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</row>
    <row r="1392" spans="2:18" ht="13">
      <c r="B1392" s="33"/>
      <c r="C1392" s="34"/>
      <c r="D1392" s="68" t="s">
        <v>36</v>
      </c>
      <c r="E1392" s="69" t="s">
        <v>37</v>
      </c>
      <c r="F1392" s="20" t="s">
        <v>533</v>
      </c>
      <c r="G1392" s="15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</row>
    <row r="1393" spans="2:18" ht="13">
      <c r="B1393" s="33"/>
      <c r="C1393" s="34"/>
      <c r="D1393" s="68" t="s">
        <v>26</v>
      </c>
      <c r="E1393" s="69" t="s">
        <v>27</v>
      </c>
      <c r="F1393" s="20" t="s">
        <v>533</v>
      </c>
      <c r="G1393" s="15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</row>
    <row r="1394" spans="2:18" ht="13">
      <c r="B1394" s="33"/>
      <c r="C1394" s="34"/>
      <c r="D1394" s="68" t="s">
        <v>17</v>
      </c>
      <c r="E1394" s="69" t="s">
        <v>27</v>
      </c>
      <c r="F1394" s="20" t="s">
        <v>533</v>
      </c>
      <c r="G1394" s="15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</row>
    <row r="1395" spans="2:18" ht="13">
      <c r="B1395" s="33"/>
      <c r="C1395" s="34"/>
      <c r="D1395" s="68" t="s">
        <v>26</v>
      </c>
      <c r="E1395" s="69" t="s">
        <v>27</v>
      </c>
      <c r="F1395" s="20" t="s">
        <v>533</v>
      </c>
      <c r="G1395" s="15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</row>
    <row r="1396" spans="2:18" ht="13">
      <c r="B1396" s="33"/>
      <c r="C1396" s="34"/>
      <c r="D1396" s="68" t="s">
        <v>17</v>
      </c>
      <c r="E1396" s="69" t="s">
        <v>18</v>
      </c>
      <c r="F1396" s="20" t="s">
        <v>533</v>
      </c>
      <c r="G1396" s="15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</row>
    <row r="1397" spans="2:18" ht="13">
      <c r="B1397" s="33"/>
      <c r="C1397" s="34"/>
      <c r="D1397" s="68" t="s">
        <v>616</v>
      </c>
      <c r="E1397" s="69" t="s">
        <v>27</v>
      </c>
      <c r="F1397" s="20" t="s">
        <v>533</v>
      </c>
      <c r="G1397" s="15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</row>
    <row r="1398" spans="2:18" ht="13">
      <c r="B1398" s="33"/>
      <c r="C1398" s="34"/>
      <c r="D1398" s="68" t="s">
        <v>26</v>
      </c>
      <c r="E1398" s="69" t="s">
        <v>27</v>
      </c>
      <c r="F1398" s="20" t="s">
        <v>533</v>
      </c>
      <c r="G1398" s="15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</row>
    <row r="1399" spans="2:18" ht="13">
      <c r="B1399" s="33"/>
      <c r="C1399" s="34"/>
      <c r="D1399" s="68" t="s">
        <v>17</v>
      </c>
      <c r="E1399" s="69" t="s">
        <v>27</v>
      </c>
      <c r="F1399" s="20" t="s">
        <v>533</v>
      </c>
      <c r="G1399" s="15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</row>
    <row r="1400" spans="2:18" ht="13">
      <c r="B1400" s="33"/>
      <c r="C1400" s="34"/>
      <c r="D1400" s="68" t="s">
        <v>17</v>
      </c>
      <c r="E1400" s="69" t="s">
        <v>27</v>
      </c>
      <c r="F1400" s="20" t="s">
        <v>533</v>
      </c>
      <c r="G1400" s="15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</row>
    <row r="1401" spans="2:18" ht="13">
      <c r="B1401" s="33"/>
      <c r="C1401" s="34"/>
      <c r="D1401" s="68" t="s">
        <v>17</v>
      </c>
      <c r="E1401" s="69" t="s">
        <v>27</v>
      </c>
      <c r="F1401" s="20" t="s">
        <v>533</v>
      </c>
      <c r="G1401" s="15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</row>
    <row r="1402" spans="2:18" ht="13">
      <c r="B1402" s="33"/>
      <c r="C1402" s="34"/>
      <c r="D1402" s="68" t="s">
        <v>17</v>
      </c>
      <c r="E1402" s="69" t="s">
        <v>27</v>
      </c>
      <c r="F1402" s="20" t="s">
        <v>533</v>
      </c>
      <c r="G1402" s="15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</row>
    <row r="1403" spans="2:18" ht="13">
      <c r="B1403" s="33"/>
      <c r="C1403" s="34"/>
      <c r="D1403" s="68" t="s">
        <v>53</v>
      </c>
      <c r="E1403" s="69" t="s">
        <v>32</v>
      </c>
      <c r="F1403" s="20" t="s">
        <v>533</v>
      </c>
      <c r="G1403" s="15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</row>
    <row r="1404" spans="2:18" ht="13">
      <c r="B1404" s="33"/>
      <c r="C1404" s="34"/>
      <c r="D1404" s="68" t="s">
        <v>17</v>
      </c>
      <c r="E1404" s="69" t="s">
        <v>27</v>
      </c>
      <c r="F1404" s="20" t="s">
        <v>533</v>
      </c>
      <c r="G1404" s="15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</row>
    <row r="1405" spans="2:18" ht="13">
      <c r="B1405" s="33"/>
      <c r="C1405" s="34"/>
      <c r="D1405" s="68" t="s">
        <v>17</v>
      </c>
      <c r="E1405" s="69" t="s">
        <v>27</v>
      </c>
      <c r="F1405" s="20" t="s">
        <v>533</v>
      </c>
      <c r="G1405" s="15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</row>
    <row r="1406" spans="2:18" ht="13">
      <c r="B1406" s="33"/>
      <c r="C1406" s="34"/>
      <c r="D1406" s="68" t="s">
        <v>26</v>
      </c>
      <c r="E1406" s="69" t="s">
        <v>27</v>
      </c>
      <c r="F1406" s="20" t="s">
        <v>533</v>
      </c>
      <c r="G1406" s="15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</row>
    <row r="1407" spans="2:18" ht="13">
      <c r="B1407" s="33"/>
      <c r="C1407" s="34"/>
      <c r="D1407" s="68" t="s">
        <v>611</v>
      </c>
      <c r="E1407" s="69" t="s">
        <v>163</v>
      </c>
      <c r="F1407" s="20" t="s">
        <v>533</v>
      </c>
      <c r="G1407" s="15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</row>
    <row r="1408" spans="2:18" ht="13">
      <c r="B1408" s="33"/>
      <c r="C1408" s="34"/>
      <c r="D1408" s="68" t="s">
        <v>17</v>
      </c>
      <c r="E1408" s="69" t="s">
        <v>27</v>
      </c>
      <c r="F1408" s="20" t="s">
        <v>533</v>
      </c>
      <c r="G1408" s="15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</row>
    <row r="1409" spans="2:18" ht="13">
      <c r="B1409" s="33"/>
      <c r="C1409" s="34"/>
      <c r="D1409" s="68" t="s">
        <v>17</v>
      </c>
      <c r="E1409" s="69" t="s">
        <v>27</v>
      </c>
      <c r="F1409" s="20" t="s">
        <v>533</v>
      </c>
      <c r="G1409" s="15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</row>
    <row r="1410" spans="2:18" ht="13">
      <c r="B1410" s="33"/>
      <c r="C1410" s="34"/>
      <c r="D1410" s="68" t="s">
        <v>26</v>
      </c>
      <c r="E1410" s="69" t="s">
        <v>27</v>
      </c>
      <c r="F1410" s="20" t="s">
        <v>533</v>
      </c>
      <c r="G1410" s="15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</row>
    <row r="1411" spans="2:18" ht="13">
      <c r="B1411" s="33"/>
      <c r="C1411" s="34"/>
      <c r="D1411" s="68" t="s">
        <v>17</v>
      </c>
      <c r="E1411" s="69" t="s">
        <v>27</v>
      </c>
      <c r="F1411" s="20" t="s">
        <v>533</v>
      </c>
      <c r="G1411" s="15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</row>
    <row r="1412" spans="2:18" ht="13">
      <c r="B1412" s="33"/>
      <c r="C1412" s="34"/>
      <c r="D1412" s="68" t="s">
        <v>17</v>
      </c>
      <c r="E1412" s="69" t="s">
        <v>27</v>
      </c>
      <c r="F1412" s="20" t="s">
        <v>533</v>
      </c>
      <c r="G1412" s="15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</row>
    <row r="1413" spans="2:18" ht="13">
      <c r="B1413" s="33"/>
      <c r="C1413" s="34"/>
      <c r="D1413" s="68" t="s">
        <v>17</v>
      </c>
      <c r="E1413" s="69" t="s">
        <v>27</v>
      </c>
      <c r="F1413" s="20" t="s">
        <v>533</v>
      </c>
      <c r="G1413" s="15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</row>
    <row r="1414" spans="2:18" ht="13">
      <c r="B1414" s="33"/>
      <c r="C1414" s="34"/>
      <c r="D1414" s="68" t="s">
        <v>26</v>
      </c>
      <c r="E1414" s="69" t="s">
        <v>27</v>
      </c>
      <c r="F1414" s="20" t="s">
        <v>533</v>
      </c>
      <c r="G1414" s="15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</row>
    <row r="1415" spans="2:18" ht="13">
      <c r="B1415" s="33"/>
      <c r="C1415" s="34"/>
      <c r="D1415" s="68" t="s">
        <v>641</v>
      </c>
      <c r="E1415" s="69" t="s">
        <v>121</v>
      </c>
      <c r="F1415" s="20" t="s">
        <v>533</v>
      </c>
      <c r="G1415" s="15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</row>
    <row r="1416" spans="2:18" ht="13">
      <c r="B1416" s="33"/>
      <c r="C1416" s="34"/>
      <c r="D1416" s="68" t="s">
        <v>26</v>
      </c>
      <c r="E1416" s="69" t="s">
        <v>27</v>
      </c>
      <c r="F1416" s="20" t="s">
        <v>533</v>
      </c>
      <c r="G1416" s="15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</row>
    <row r="1417" spans="2:18" ht="13">
      <c r="B1417" s="33"/>
      <c r="C1417" s="34"/>
      <c r="D1417" s="68" t="s">
        <v>290</v>
      </c>
      <c r="E1417" s="69" t="s">
        <v>32</v>
      </c>
      <c r="F1417" s="20" t="s">
        <v>533</v>
      </c>
      <c r="G1417" s="15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</row>
    <row r="1418" spans="2:18" ht="13">
      <c r="B1418" s="33"/>
      <c r="C1418" s="34"/>
      <c r="D1418" s="68" t="s">
        <v>631</v>
      </c>
      <c r="E1418" s="69" t="s">
        <v>124</v>
      </c>
      <c r="F1418" s="20" t="s">
        <v>533</v>
      </c>
      <c r="G1418" s="15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</row>
    <row r="1419" spans="2:18" ht="13">
      <c r="B1419" s="33"/>
      <c r="C1419" s="34"/>
      <c r="D1419" s="68" t="s">
        <v>86</v>
      </c>
      <c r="E1419" s="69" t="s">
        <v>121</v>
      </c>
      <c r="F1419" s="20" t="s">
        <v>533</v>
      </c>
      <c r="G1419" s="15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</row>
    <row r="1420" spans="2:18" ht="13">
      <c r="B1420" s="33"/>
      <c r="C1420" s="34"/>
      <c r="D1420" s="68" t="s">
        <v>17</v>
      </c>
      <c r="E1420" s="69" t="s">
        <v>27</v>
      </c>
      <c r="F1420" s="20" t="s">
        <v>533</v>
      </c>
      <c r="G1420" s="15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</row>
    <row r="1421" spans="2:18" ht="13">
      <c r="B1421" s="33"/>
      <c r="C1421" s="34"/>
      <c r="D1421" s="68" t="s">
        <v>26</v>
      </c>
      <c r="E1421" s="69" t="s">
        <v>27</v>
      </c>
      <c r="F1421" s="20" t="s">
        <v>533</v>
      </c>
      <c r="G1421" s="15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</row>
    <row r="1422" spans="2:18" ht="13">
      <c r="B1422" s="33"/>
      <c r="C1422" s="34"/>
      <c r="D1422" s="68" t="s">
        <v>26</v>
      </c>
      <c r="E1422" s="69" t="s">
        <v>27</v>
      </c>
      <c r="F1422" s="20" t="s">
        <v>533</v>
      </c>
      <c r="G1422" s="15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</row>
    <row r="1423" spans="2:18" ht="13">
      <c r="B1423" s="33"/>
      <c r="C1423" s="34"/>
      <c r="D1423" s="68" t="s">
        <v>17</v>
      </c>
      <c r="E1423" s="69" t="s">
        <v>27</v>
      </c>
      <c r="F1423" s="20" t="s">
        <v>533</v>
      </c>
      <c r="G1423" s="15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</row>
    <row r="1424" spans="2:18" ht="13">
      <c r="B1424" s="33"/>
      <c r="C1424" s="34"/>
      <c r="D1424" s="68" t="s">
        <v>574</v>
      </c>
      <c r="E1424" s="69" t="s">
        <v>575</v>
      </c>
      <c r="F1424" s="20" t="s">
        <v>533</v>
      </c>
      <c r="G1424" s="15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</row>
    <row r="1425" spans="2:18" ht="13">
      <c r="B1425" s="33"/>
      <c r="C1425" s="34"/>
      <c r="D1425" s="68" t="s">
        <v>404</v>
      </c>
      <c r="E1425" s="69" t="s">
        <v>32</v>
      </c>
      <c r="F1425" s="20" t="s">
        <v>533</v>
      </c>
      <c r="G1425" s="15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</row>
    <row r="1426" spans="2:18" ht="13">
      <c r="B1426" s="33"/>
      <c r="C1426" s="34"/>
      <c r="D1426" s="68" t="s">
        <v>86</v>
      </c>
      <c r="E1426" s="69" t="s">
        <v>121</v>
      </c>
      <c r="F1426" s="20" t="s">
        <v>533</v>
      </c>
      <c r="G1426" s="15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</row>
    <row r="1427" spans="2:18" ht="13">
      <c r="B1427" s="33"/>
      <c r="C1427" s="34"/>
      <c r="D1427" s="68" t="s">
        <v>36</v>
      </c>
      <c r="E1427" s="69" t="s">
        <v>37</v>
      </c>
      <c r="F1427" s="20" t="s">
        <v>533</v>
      </c>
      <c r="G1427" s="15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</row>
    <row r="1428" spans="2:18" ht="13">
      <c r="B1428" s="33"/>
      <c r="C1428" s="34"/>
      <c r="D1428" s="68" t="s">
        <v>17</v>
      </c>
      <c r="E1428" s="69" t="s">
        <v>27</v>
      </c>
      <c r="F1428" s="20" t="s">
        <v>533</v>
      </c>
      <c r="G1428" s="15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</row>
    <row r="1429" spans="2:18" ht="13">
      <c r="B1429" s="33"/>
      <c r="C1429" s="34"/>
      <c r="D1429" s="68" t="s">
        <v>26</v>
      </c>
      <c r="E1429" s="69" t="s">
        <v>27</v>
      </c>
      <c r="F1429" s="20" t="s">
        <v>533</v>
      </c>
      <c r="G1429" s="15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</row>
    <row r="1430" spans="2:18" ht="13">
      <c r="B1430" s="33"/>
      <c r="C1430" s="34"/>
      <c r="D1430" s="68" t="s">
        <v>26</v>
      </c>
      <c r="E1430" s="69" t="s">
        <v>27</v>
      </c>
      <c r="F1430" s="20" t="s">
        <v>533</v>
      </c>
      <c r="G1430" s="15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</row>
    <row r="1431" spans="2:18" ht="13">
      <c r="B1431" s="33"/>
      <c r="C1431" s="34"/>
      <c r="D1431" s="68" t="s">
        <v>17</v>
      </c>
      <c r="E1431" s="69" t="s">
        <v>27</v>
      </c>
      <c r="F1431" s="20" t="s">
        <v>533</v>
      </c>
      <c r="G1431" s="15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</row>
    <row r="1432" spans="2:18" ht="13">
      <c r="B1432" s="33"/>
      <c r="C1432" s="34"/>
      <c r="D1432" s="68" t="s">
        <v>26</v>
      </c>
      <c r="E1432" s="69" t="s">
        <v>27</v>
      </c>
      <c r="F1432" s="20" t="s">
        <v>533</v>
      </c>
      <c r="G1432" s="15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</row>
    <row r="1433" spans="2:18" ht="13">
      <c r="B1433" s="33"/>
      <c r="C1433" s="34"/>
      <c r="D1433" s="68" t="s">
        <v>17</v>
      </c>
      <c r="E1433" s="69" t="s">
        <v>116</v>
      </c>
      <c r="F1433" s="20" t="s">
        <v>533</v>
      </c>
      <c r="G1433" s="15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</row>
    <row r="1434" spans="2:18" ht="13">
      <c r="B1434" s="33"/>
      <c r="C1434" s="34"/>
      <c r="D1434" s="68" t="s">
        <v>106</v>
      </c>
      <c r="E1434" s="69" t="s">
        <v>37</v>
      </c>
      <c r="F1434" s="20" t="s">
        <v>533</v>
      </c>
      <c r="G1434" s="15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</row>
    <row r="1435" spans="2:18" ht="13">
      <c r="B1435" s="33"/>
      <c r="C1435" s="34"/>
      <c r="D1435" s="68" t="s">
        <v>17</v>
      </c>
      <c r="E1435" s="69" t="s">
        <v>27</v>
      </c>
      <c r="F1435" s="20" t="s">
        <v>533</v>
      </c>
      <c r="G1435" s="15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</row>
    <row r="1436" spans="2:18" ht="13">
      <c r="B1436" s="33"/>
      <c r="C1436" s="34"/>
      <c r="D1436" s="68" t="s">
        <v>17</v>
      </c>
      <c r="E1436" s="69" t="s">
        <v>27</v>
      </c>
      <c r="F1436" s="20" t="s">
        <v>533</v>
      </c>
      <c r="G1436" s="15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</row>
    <row r="1437" spans="2:18" ht="13">
      <c r="B1437" s="33"/>
      <c r="C1437" s="34"/>
      <c r="D1437" s="68" t="s">
        <v>17</v>
      </c>
      <c r="E1437" s="69" t="s">
        <v>27</v>
      </c>
      <c r="F1437" s="20" t="s">
        <v>533</v>
      </c>
      <c r="G1437" s="15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</row>
    <row r="1438" spans="2:18" ht="13">
      <c r="B1438" s="33"/>
      <c r="C1438" s="34"/>
      <c r="D1438" s="68" t="s">
        <v>615</v>
      </c>
      <c r="E1438" s="69" t="s">
        <v>121</v>
      </c>
      <c r="F1438" s="20" t="s">
        <v>533</v>
      </c>
      <c r="G1438" s="15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</row>
    <row r="1439" spans="2:18" ht="13">
      <c r="B1439" s="33"/>
      <c r="C1439" s="34"/>
      <c r="D1439" s="68" t="s">
        <v>17</v>
      </c>
      <c r="E1439" s="69" t="s">
        <v>27</v>
      </c>
      <c r="F1439" s="20" t="s">
        <v>533</v>
      </c>
      <c r="G1439" s="15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</row>
    <row r="1440" spans="2:18" ht="13">
      <c r="B1440" s="33"/>
      <c r="C1440" s="34"/>
      <c r="D1440" s="68" t="s">
        <v>17</v>
      </c>
      <c r="E1440" s="69" t="s">
        <v>27</v>
      </c>
      <c r="F1440" s="20" t="s">
        <v>533</v>
      </c>
      <c r="G1440" s="15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</row>
    <row r="1441" spans="2:18" ht="13">
      <c r="B1441" s="33"/>
      <c r="C1441" s="34"/>
      <c r="D1441" s="68" t="s">
        <v>26</v>
      </c>
      <c r="E1441" s="69" t="s">
        <v>27</v>
      </c>
      <c r="F1441" s="20" t="s">
        <v>533</v>
      </c>
      <c r="G1441" s="15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</row>
    <row r="1442" spans="2:18" ht="13">
      <c r="B1442" s="33"/>
      <c r="C1442" s="34"/>
      <c r="D1442" s="68" t="s">
        <v>17</v>
      </c>
      <c r="E1442" s="69" t="s">
        <v>27</v>
      </c>
      <c r="F1442" s="20" t="s">
        <v>533</v>
      </c>
      <c r="G1442" s="15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</row>
    <row r="1443" spans="2:18" ht="13">
      <c r="B1443" s="33"/>
      <c r="C1443" s="34"/>
      <c r="D1443" s="68" t="s">
        <v>17</v>
      </c>
      <c r="E1443" s="69" t="s">
        <v>27</v>
      </c>
      <c r="F1443" s="20" t="s">
        <v>533</v>
      </c>
      <c r="G1443" s="15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</row>
    <row r="1444" spans="2:18" ht="13">
      <c r="B1444" s="33"/>
      <c r="C1444" s="34"/>
      <c r="D1444" s="68" t="s">
        <v>573</v>
      </c>
      <c r="E1444" s="69" t="s">
        <v>121</v>
      </c>
      <c r="F1444" s="20" t="s">
        <v>533</v>
      </c>
      <c r="G1444" s="15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</row>
    <row r="1445" spans="2:18" ht="13">
      <c r="B1445" s="33"/>
      <c r="C1445" s="34"/>
      <c r="D1445" s="68" t="s">
        <v>577</v>
      </c>
      <c r="E1445" s="69" t="s">
        <v>124</v>
      </c>
      <c r="F1445" s="20" t="s">
        <v>533</v>
      </c>
      <c r="G1445" s="15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</row>
    <row r="1446" spans="2:18" ht="13">
      <c r="B1446" s="33"/>
      <c r="C1446" s="34"/>
      <c r="D1446" s="68" t="s">
        <v>17</v>
      </c>
      <c r="E1446" s="69" t="s">
        <v>27</v>
      </c>
      <c r="F1446" s="20" t="s">
        <v>533</v>
      </c>
      <c r="G1446" s="15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</row>
    <row r="1447" spans="2:18" ht="13">
      <c r="B1447" s="33"/>
      <c r="C1447" s="34"/>
      <c r="D1447" s="68" t="s">
        <v>544</v>
      </c>
      <c r="E1447" s="69" t="s">
        <v>121</v>
      </c>
      <c r="F1447" s="20" t="s">
        <v>533</v>
      </c>
      <c r="G1447" s="15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</row>
    <row r="1448" spans="2:18" ht="13">
      <c r="B1448" s="33"/>
      <c r="C1448" s="34"/>
      <c r="D1448" s="68" t="s">
        <v>17</v>
      </c>
      <c r="E1448" s="69" t="s">
        <v>27</v>
      </c>
      <c r="F1448" s="20" t="s">
        <v>533</v>
      </c>
      <c r="G1448" s="15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</row>
    <row r="1449" spans="2:18" ht="13">
      <c r="B1449" s="33"/>
      <c r="C1449" s="34"/>
      <c r="D1449" s="68" t="s">
        <v>17</v>
      </c>
      <c r="E1449" s="69" t="s">
        <v>27</v>
      </c>
      <c r="F1449" s="20" t="s">
        <v>533</v>
      </c>
      <c r="G1449" s="15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</row>
    <row r="1450" spans="2:18" ht="13">
      <c r="B1450" s="33"/>
      <c r="C1450" s="34"/>
      <c r="D1450" s="68" t="s">
        <v>17</v>
      </c>
      <c r="E1450" s="69" t="s">
        <v>27</v>
      </c>
      <c r="F1450" s="20" t="s">
        <v>533</v>
      </c>
      <c r="G1450" s="15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</row>
    <row r="1451" spans="2:18" ht="13">
      <c r="B1451" s="33"/>
      <c r="C1451" s="34"/>
      <c r="D1451" s="68" t="s">
        <v>17</v>
      </c>
      <c r="E1451" s="69" t="s">
        <v>27</v>
      </c>
      <c r="F1451" s="20" t="s">
        <v>533</v>
      </c>
      <c r="G1451" s="15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</row>
    <row r="1452" spans="2:18" ht="13">
      <c r="B1452" s="33"/>
      <c r="C1452" s="34"/>
      <c r="D1452" s="68" t="s">
        <v>642</v>
      </c>
      <c r="E1452" s="69" t="s">
        <v>124</v>
      </c>
      <c r="F1452" s="20" t="s">
        <v>533</v>
      </c>
      <c r="G1452" s="15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</row>
    <row r="1453" spans="2:18" ht="13">
      <c r="B1453" s="33"/>
      <c r="C1453" s="34"/>
      <c r="D1453" s="68" t="s">
        <v>404</v>
      </c>
      <c r="E1453" s="69" t="s">
        <v>32</v>
      </c>
      <c r="F1453" s="20" t="s">
        <v>533</v>
      </c>
      <c r="G1453" s="15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</row>
    <row r="1454" spans="2:18" ht="13">
      <c r="B1454" s="33"/>
      <c r="C1454" s="34"/>
      <c r="D1454" s="68" t="s">
        <v>26</v>
      </c>
      <c r="E1454" s="69" t="s">
        <v>27</v>
      </c>
      <c r="F1454" s="20" t="s">
        <v>533</v>
      </c>
      <c r="G1454" s="15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</row>
    <row r="1455" spans="2:18" ht="13">
      <c r="B1455" s="33"/>
      <c r="C1455" s="34"/>
      <c r="D1455" s="68" t="s">
        <v>17</v>
      </c>
      <c r="E1455" s="69" t="s">
        <v>27</v>
      </c>
      <c r="F1455" s="20" t="s">
        <v>533</v>
      </c>
      <c r="G1455" s="15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</row>
    <row r="1456" spans="2:18" ht="13">
      <c r="B1456" s="33"/>
      <c r="C1456" s="34"/>
      <c r="D1456" s="68" t="s">
        <v>17</v>
      </c>
      <c r="E1456" s="69" t="s">
        <v>27</v>
      </c>
      <c r="F1456" s="20" t="s">
        <v>533</v>
      </c>
      <c r="G1456" s="15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</row>
    <row r="1457" spans="2:18" ht="13">
      <c r="B1457" s="33"/>
      <c r="C1457" s="34"/>
      <c r="D1457" s="68" t="s">
        <v>577</v>
      </c>
      <c r="E1457" s="69" t="s">
        <v>124</v>
      </c>
      <c r="F1457" s="20" t="s">
        <v>533</v>
      </c>
      <c r="G1457" s="15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</row>
    <row r="1458" spans="2:18" ht="13">
      <c r="B1458" s="33"/>
      <c r="C1458" s="34"/>
      <c r="D1458" s="68" t="s">
        <v>17</v>
      </c>
      <c r="E1458" s="69" t="s">
        <v>27</v>
      </c>
      <c r="F1458" s="20" t="s">
        <v>533</v>
      </c>
      <c r="G1458" s="15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</row>
    <row r="1459" spans="2:18" ht="13">
      <c r="B1459" s="33"/>
      <c r="C1459" s="34"/>
      <c r="D1459" s="68" t="s">
        <v>174</v>
      </c>
      <c r="E1459" s="69" t="s">
        <v>175</v>
      </c>
      <c r="F1459" s="20" t="s">
        <v>533</v>
      </c>
      <c r="G1459" s="15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</row>
    <row r="1460" spans="2:18" ht="13">
      <c r="B1460" s="33"/>
      <c r="C1460" s="34"/>
      <c r="D1460" s="68" t="s">
        <v>36</v>
      </c>
      <c r="E1460" s="69" t="s">
        <v>37</v>
      </c>
      <c r="F1460" s="20" t="s">
        <v>533</v>
      </c>
      <c r="G1460" s="15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</row>
    <row r="1461" spans="2:18" ht="13">
      <c r="B1461" s="33"/>
      <c r="C1461" s="34"/>
      <c r="D1461" s="68" t="s">
        <v>17</v>
      </c>
      <c r="E1461" s="69" t="s">
        <v>27</v>
      </c>
      <c r="F1461" s="20" t="s">
        <v>533</v>
      </c>
      <c r="G1461" s="15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</row>
    <row r="1462" spans="2:18" ht="13">
      <c r="B1462" s="33"/>
      <c r="C1462" s="34"/>
      <c r="D1462" s="68" t="s">
        <v>17</v>
      </c>
      <c r="E1462" s="69" t="s">
        <v>27</v>
      </c>
      <c r="F1462" s="20" t="s">
        <v>533</v>
      </c>
      <c r="G1462" s="15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</row>
    <row r="1463" spans="2:18" ht="13">
      <c r="B1463" s="33"/>
      <c r="C1463" s="34"/>
      <c r="D1463" s="68" t="s">
        <v>17</v>
      </c>
      <c r="E1463" s="69" t="s">
        <v>27</v>
      </c>
      <c r="F1463" s="20" t="s">
        <v>533</v>
      </c>
      <c r="G1463" s="15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</row>
    <row r="1464" spans="2:18" ht="13">
      <c r="B1464" s="33"/>
      <c r="C1464" s="34"/>
      <c r="D1464" s="68" t="s">
        <v>17</v>
      </c>
      <c r="E1464" s="69" t="s">
        <v>27</v>
      </c>
      <c r="F1464" s="20" t="s">
        <v>533</v>
      </c>
      <c r="G1464" s="15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</row>
    <row r="1465" spans="2:18" ht="13">
      <c r="B1465" s="33"/>
      <c r="C1465" s="34"/>
      <c r="D1465" s="68" t="s">
        <v>562</v>
      </c>
      <c r="E1465" s="69" t="s">
        <v>37</v>
      </c>
      <c r="F1465" s="20" t="s">
        <v>533</v>
      </c>
      <c r="G1465" s="15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</row>
    <row r="1466" spans="2:18" ht="13">
      <c r="B1466" s="33"/>
      <c r="C1466" s="34"/>
      <c r="D1466" s="68" t="s">
        <v>643</v>
      </c>
      <c r="E1466" s="69" t="s">
        <v>626</v>
      </c>
      <c r="F1466" s="20" t="s">
        <v>533</v>
      </c>
      <c r="G1466" s="15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</row>
    <row r="1467" spans="2:18" ht="13">
      <c r="B1467" s="33"/>
      <c r="C1467" s="34"/>
      <c r="D1467" s="68" t="s">
        <v>618</v>
      </c>
      <c r="E1467" s="69" t="s">
        <v>121</v>
      </c>
      <c r="F1467" s="20" t="s">
        <v>533</v>
      </c>
      <c r="G1467" s="15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</row>
    <row r="1468" spans="2:18" ht="13">
      <c r="B1468" s="33"/>
      <c r="C1468" s="34"/>
      <c r="D1468" s="68" t="s">
        <v>26</v>
      </c>
      <c r="E1468" s="69" t="s">
        <v>27</v>
      </c>
      <c r="F1468" s="20" t="s">
        <v>533</v>
      </c>
      <c r="G1468" s="15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</row>
    <row r="1469" spans="2:18" ht="13">
      <c r="B1469" s="33"/>
      <c r="C1469" s="34"/>
      <c r="D1469" s="68" t="s">
        <v>17</v>
      </c>
      <c r="E1469" s="69" t="s">
        <v>27</v>
      </c>
      <c r="F1469" s="20" t="s">
        <v>533</v>
      </c>
      <c r="G1469" s="15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</row>
    <row r="1470" spans="2:18" ht="13">
      <c r="B1470" s="33"/>
      <c r="C1470" s="34"/>
      <c r="D1470" s="68" t="s">
        <v>17</v>
      </c>
      <c r="E1470" s="69" t="s">
        <v>27</v>
      </c>
      <c r="F1470" s="20" t="s">
        <v>533</v>
      </c>
      <c r="G1470" s="15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</row>
    <row r="1471" spans="2:18" ht="13">
      <c r="B1471" s="33"/>
      <c r="C1471" s="34"/>
      <c r="D1471" s="68" t="s">
        <v>17</v>
      </c>
      <c r="E1471" s="69" t="s">
        <v>27</v>
      </c>
      <c r="F1471" s="20" t="s">
        <v>533</v>
      </c>
      <c r="G1471" s="15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</row>
    <row r="1472" spans="2:18" ht="13">
      <c r="B1472" s="33"/>
      <c r="C1472" s="34"/>
      <c r="D1472" s="68" t="s">
        <v>17</v>
      </c>
      <c r="E1472" s="69" t="s">
        <v>27</v>
      </c>
      <c r="F1472" s="20" t="s">
        <v>533</v>
      </c>
      <c r="G1472" s="15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</row>
    <row r="1473" spans="2:18" ht="13">
      <c r="B1473" s="33"/>
      <c r="C1473" s="34"/>
      <c r="D1473" s="68" t="s">
        <v>17</v>
      </c>
      <c r="E1473" s="69" t="s">
        <v>27</v>
      </c>
      <c r="F1473" s="20" t="s">
        <v>533</v>
      </c>
      <c r="G1473" s="15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</row>
    <row r="1474" spans="2:18" ht="13">
      <c r="B1474" s="33"/>
      <c r="C1474" s="34"/>
      <c r="D1474" s="68" t="s">
        <v>17</v>
      </c>
      <c r="E1474" s="69" t="s">
        <v>27</v>
      </c>
      <c r="F1474" s="20" t="s">
        <v>533</v>
      </c>
      <c r="G1474" s="15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</row>
    <row r="1475" spans="2:18" ht="13">
      <c r="B1475" s="33"/>
      <c r="C1475" s="34"/>
      <c r="D1475" s="68" t="s">
        <v>17</v>
      </c>
      <c r="E1475" s="69" t="s">
        <v>27</v>
      </c>
      <c r="F1475" s="20" t="s">
        <v>533</v>
      </c>
      <c r="G1475" s="15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</row>
    <row r="1476" spans="2:18" ht="13">
      <c r="B1476" s="33"/>
      <c r="C1476" s="34"/>
      <c r="D1476" s="68" t="s">
        <v>26</v>
      </c>
      <c r="E1476" s="69" t="s">
        <v>27</v>
      </c>
      <c r="F1476" s="20" t="s">
        <v>533</v>
      </c>
      <c r="G1476" s="15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</row>
    <row r="1477" spans="2:18" ht="13">
      <c r="B1477" s="33"/>
      <c r="C1477" s="34"/>
      <c r="D1477" s="68" t="s">
        <v>326</v>
      </c>
      <c r="E1477" s="69" t="s">
        <v>121</v>
      </c>
      <c r="F1477" s="20" t="s">
        <v>533</v>
      </c>
      <c r="G1477" s="15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</row>
    <row r="1478" spans="2:18" ht="13">
      <c r="B1478" s="33"/>
      <c r="C1478" s="34"/>
      <c r="D1478" s="68" t="s">
        <v>571</v>
      </c>
      <c r="E1478" s="69" t="s">
        <v>27</v>
      </c>
      <c r="F1478" s="20" t="s">
        <v>533</v>
      </c>
      <c r="G1478" s="15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</row>
    <row r="1479" spans="2:18" ht="13">
      <c r="B1479" s="33"/>
      <c r="C1479" s="34"/>
      <c r="D1479" s="68" t="s">
        <v>17</v>
      </c>
      <c r="E1479" s="69" t="s">
        <v>27</v>
      </c>
      <c r="F1479" s="20" t="s">
        <v>533</v>
      </c>
      <c r="G1479" s="15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</row>
    <row r="1480" spans="2:18" ht="13">
      <c r="B1480" s="33"/>
      <c r="C1480" s="34"/>
      <c r="D1480" s="68" t="s">
        <v>26</v>
      </c>
      <c r="E1480" s="69" t="s">
        <v>27</v>
      </c>
      <c r="F1480" s="20" t="s">
        <v>533</v>
      </c>
      <c r="G1480" s="15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</row>
    <row r="1481" spans="2:18" ht="13">
      <c r="B1481" s="33"/>
      <c r="C1481" s="34"/>
      <c r="D1481" s="68" t="s">
        <v>17</v>
      </c>
      <c r="E1481" s="69" t="s">
        <v>27</v>
      </c>
      <c r="F1481" s="20" t="s">
        <v>533</v>
      </c>
      <c r="G1481" s="15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</row>
    <row r="1482" spans="2:18" ht="13">
      <c r="B1482" s="33"/>
      <c r="C1482" s="34"/>
      <c r="D1482" s="68" t="s">
        <v>17</v>
      </c>
      <c r="E1482" s="69" t="s">
        <v>27</v>
      </c>
      <c r="F1482" s="20" t="s">
        <v>533</v>
      </c>
      <c r="G1482" s="15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</row>
    <row r="1483" spans="2:18" ht="13">
      <c r="B1483" s="33"/>
      <c r="C1483" s="34"/>
      <c r="D1483" s="68" t="s">
        <v>17</v>
      </c>
      <c r="E1483" s="69" t="s">
        <v>27</v>
      </c>
      <c r="F1483" s="20" t="s">
        <v>533</v>
      </c>
      <c r="G1483" s="15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</row>
    <row r="1484" spans="2:18" ht="13">
      <c r="B1484" s="33"/>
      <c r="C1484" s="34"/>
      <c r="D1484" s="68" t="s">
        <v>26</v>
      </c>
      <c r="E1484" s="69" t="s">
        <v>27</v>
      </c>
      <c r="F1484" s="20" t="s">
        <v>533</v>
      </c>
      <c r="G1484" s="15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</row>
    <row r="1485" spans="2:18" ht="13">
      <c r="B1485" s="33"/>
      <c r="C1485" s="34"/>
      <c r="D1485" s="68" t="s">
        <v>26</v>
      </c>
      <c r="E1485" s="69" t="s">
        <v>121</v>
      </c>
      <c r="F1485" s="20" t="s">
        <v>533</v>
      </c>
      <c r="G1485" s="15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</row>
    <row r="1486" spans="2:18" ht="13">
      <c r="B1486" s="33"/>
      <c r="C1486" s="34"/>
      <c r="D1486" s="68" t="s">
        <v>17</v>
      </c>
      <c r="E1486" s="69" t="s">
        <v>27</v>
      </c>
      <c r="F1486" s="20" t="s">
        <v>533</v>
      </c>
      <c r="G1486" s="15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</row>
    <row r="1487" spans="2:18" ht="13">
      <c r="B1487" s="33"/>
      <c r="C1487" s="34"/>
      <c r="D1487" s="68" t="s">
        <v>36</v>
      </c>
      <c r="E1487" s="69" t="s">
        <v>37</v>
      </c>
      <c r="F1487" s="20" t="s">
        <v>533</v>
      </c>
      <c r="G1487" s="15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</row>
    <row r="1488" spans="2:18" ht="13">
      <c r="B1488" s="33"/>
      <c r="C1488" s="34"/>
      <c r="D1488" s="68" t="s">
        <v>544</v>
      </c>
      <c r="E1488" s="69" t="s">
        <v>121</v>
      </c>
      <c r="F1488" s="20" t="s">
        <v>533</v>
      </c>
      <c r="G1488" s="15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</row>
    <row r="1489" spans="2:18" ht="13">
      <c r="B1489" s="33"/>
      <c r="C1489" s="34"/>
      <c r="D1489" s="68" t="s">
        <v>26</v>
      </c>
      <c r="E1489" s="69" t="s">
        <v>564</v>
      </c>
      <c r="F1489" s="20" t="s">
        <v>533</v>
      </c>
      <c r="G1489" s="15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</row>
    <row r="1490" spans="2:18" ht="13">
      <c r="B1490" s="33"/>
      <c r="C1490" s="34"/>
      <c r="D1490" s="68" t="s">
        <v>557</v>
      </c>
      <c r="E1490" s="69" t="s">
        <v>121</v>
      </c>
      <c r="F1490" s="20" t="s">
        <v>533</v>
      </c>
      <c r="G1490" s="15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</row>
    <row r="1491" spans="2:18" ht="13">
      <c r="B1491" s="33"/>
      <c r="C1491" s="34"/>
      <c r="D1491" s="68" t="s">
        <v>17</v>
      </c>
      <c r="E1491" s="69" t="s">
        <v>27</v>
      </c>
      <c r="F1491" s="20" t="s">
        <v>533</v>
      </c>
      <c r="G1491" s="15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</row>
    <row r="1492" spans="2:18" ht="13">
      <c r="B1492" s="33"/>
      <c r="C1492" s="34"/>
      <c r="D1492" s="68" t="s">
        <v>17</v>
      </c>
      <c r="E1492" s="69" t="s">
        <v>27</v>
      </c>
      <c r="F1492" s="20" t="s">
        <v>533</v>
      </c>
      <c r="G1492" s="15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</row>
    <row r="1493" spans="2:18" ht="13">
      <c r="B1493" s="33"/>
      <c r="C1493" s="34"/>
      <c r="D1493" s="68" t="s">
        <v>569</v>
      </c>
      <c r="E1493" s="69" t="s">
        <v>32</v>
      </c>
      <c r="F1493" s="20" t="s">
        <v>533</v>
      </c>
      <c r="G1493" s="15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</row>
    <row r="1494" spans="2:18" ht="13">
      <c r="B1494" s="33"/>
      <c r="C1494" s="34"/>
      <c r="D1494" s="68" t="s">
        <v>17</v>
      </c>
      <c r="E1494" s="69" t="s">
        <v>27</v>
      </c>
      <c r="F1494" s="20" t="s">
        <v>533</v>
      </c>
      <c r="G1494" s="15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</row>
    <row r="1495" spans="2:18" ht="13">
      <c r="B1495" s="33"/>
      <c r="C1495" s="34"/>
      <c r="D1495" s="68" t="s">
        <v>17</v>
      </c>
      <c r="E1495" s="69" t="s">
        <v>27</v>
      </c>
      <c r="F1495" s="20" t="s">
        <v>533</v>
      </c>
      <c r="G1495" s="15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</row>
    <row r="1496" spans="2:18" ht="13">
      <c r="B1496" s="33"/>
      <c r="C1496" s="34"/>
      <c r="D1496" s="68" t="s">
        <v>26</v>
      </c>
      <c r="E1496" s="69" t="s">
        <v>27</v>
      </c>
      <c r="F1496" s="20" t="s">
        <v>533</v>
      </c>
      <c r="G1496" s="15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</row>
    <row r="1497" spans="2:18" ht="13">
      <c r="B1497" s="33"/>
      <c r="C1497" s="34"/>
      <c r="D1497" s="68" t="s">
        <v>26</v>
      </c>
      <c r="E1497" s="69" t="s">
        <v>27</v>
      </c>
      <c r="F1497" s="20" t="s">
        <v>533</v>
      </c>
      <c r="G1497" s="15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</row>
    <row r="1498" spans="2:18" ht="13">
      <c r="B1498" s="33"/>
      <c r="C1498" s="34"/>
      <c r="D1498" s="68" t="s">
        <v>607</v>
      </c>
      <c r="E1498" s="69" t="s">
        <v>121</v>
      </c>
      <c r="F1498" s="20" t="s">
        <v>533</v>
      </c>
      <c r="G1498" s="15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</row>
    <row r="1499" spans="2:18" ht="13">
      <c r="B1499" s="33"/>
      <c r="C1499" s="34"/>
      <c r="D1499" s="68" t="s">
        <v>17</v>
      </c>
      <c r="E1499" s="69" t="s">
        <v>27</v>
      </c>
      <c r="F1499" s="20" t="s">
        <v>533</v>
      </c>
      <c r="G1499" s="15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</row>
    <row r="1500" spans="2:18" ht="13">
      <c r="B1500" s="33"/>
      <c r="C1500" s="34"/>
      <c r="D1500" s="68" t="s">
        <v>26</v>
      </c>
      <c r="E1500" s="69" t="s">
        <v>27</v>
      </c>
      <c r="F1500" s="20" t="s">
        <v>533</v>
      </c>
      <c r="G1500" s="15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</row>
    <row r="1501" spans="2:18" ht="13">
      <c r="B1501" s="33"/>
      <c r="C1501" s="34"/>
      <c r="D1501" s="68" t="s">
        <v>17</v>
      </c>
      <c r="E1501" s="69" t="s">
        <v>27</v>
      </c>
      <c r="F1501" s="20" t="s">
        <v>533</v>
      </c>
      <c r="G1501" s="15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</row>
    <row r="1502" spans="2:18" ht="13">
      <c r="B1502" s="33"/>
      <c r="C1502" s="34"/>
      <c r="D1502" s="68" t="s">
        <v>26</v>
      </c>
      <c r="E1502" s="69" t="s">
        <v>27</v>
      </c>
      <c r="F1502" s="20" t="s">
        <v>533</v>
      </c>
      <c r="G1502" s="15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</row>
    <row r="1503" spans="2:18" ht="13">
      <c r="B1503" s="33"/>
      <c r="C1503" s="34"/>
      <c r="D1503" s="68" t="s">
        <v>17</v>
      </c>
      <c r="E1503" s="69" t="s">
        <v>27</v>
      </c>
      <c r="F1503" s="20" t="s">
        <v>533</v>
      </c>
      <c r="G1503" s="15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</row>
    <row r="1504" spans="2:18" ht="13">
      <c r="B1504" s="33"/>
      <c r="C1504" s="34"/>
      <c r="D1504" s="68" t="s">
        <v>608</v>
      </c>
      <c r="E1504" s="69" t="s">
        <v>32</v>
      </c>
      <c r="F1504" s="20" t="s">
        <v>533</v>
      </c>
      <c r="G1504" s="15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</row>
    <row r="1505" spans="2:18" ht="13">
      <c r="B1505" s="33"/>
      <c r="C1505" s="34"/>
      <c r="D1505" s="68" t="s">
        <v>17</v>
      </c>
      <c r="E1505" s="69" t="s">
        <v>27</v>
      </c>
      <c r="F1505" s="20" t="s">
        <v>533</v>
      </c>
      <c r="G1505" s="15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</row>
    <row r="1506" spans="2:18" ht="13">
      <c r="B1506" s="33"/>
      <c r="C1506" s="34"/>
      <c r="D1506" s="68" t="s">
        <v>17</v>
      </c>
      <c r="E1506" s="69" t="s">
        <v>116</v>
      </c>
      <c r="F1506" s="20" t="s">
        <v>533</v>
      </c>
      <c r="G1506" s="15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</row>
    <row r="1507" spans="2:18" ht="13">
      <c r="B1507" s="33"/>
      <c r="C1507" s="34"/>
      <c r="D1507" s="68" t="s">
        <v>613</v>
      </c>
      <c r="E1507" s="69" t="s">
        <v>32</v>
      </c>
      <c r="F1507" s="20" t="s">
        <v>533</v>
      </c>
      <c r="G1507" s="15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</row>
    <row r="1508" spans="2:18" ht="13">
      <c r="B1508" s="33"/>
      <c r="C1508" s="34"/>
      <c r="D1508" s="68" t="s">
        <v>53</v>
      </c>
      <c r="E1508" s="69" t="s">
        <v>32</v>
      </c>
      <c r="F1508" s="20" t="s">
        <v>533</v>
      </c>
      <c r="G1508" s="15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</row>
    <row r="1509" spans="2:18" ht="13">
      <c r="B1509" s="33"/>
      <c r="C1509" s="34"/>
      <c r="D1509" s="68" t="s">
        <v>26</v>
      </c>
      <c r="E1509" s="69" t="s">
        <v>27</v>
      </c>
      <c r="F1509" s="20" t="s">
        <v>533</v>
      </c>
      <c r="G1509" s="15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</row>
    <row r="1510" spans="2:18" ht="13">
      <c r="B1510" s="33"/>
      <c r="C1510" s="34"/>
      <c r="D1510" s="68" t="s">
        <v>17</v>
      </c>
      <c r="E1510" s="69" t="s">
        <v>27</v>
      </c>
      <c r="F1510" s="20" t="s">
        <v>533</v>
      </c>
      <c r="G1510" s="15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</row>
    <row r="1511" spans="2:18" ht="13">
      <c r="B1511" s="33"/>
      <c r="C1511" s="34"/>
      <c r="D1511" s="68" t="s">
        <v>26</v>
      </c>
      <c r="E1511" s="69" t="s">
        <v>27</v>
      </c>
      <c r="F1511" s="20" t="s">
        <v>533</v>
      </c>
      <c r="G1511" s="15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</row>
    <row r="1512" spans="2:18" ht="13">
      <c r="B1512" s="33"/>
      <c r="C1512" s="34"/>
      <c r="D1512" s="68" t="s">
        <v>557</v>
      </c>
      <c r="E1512" s="69" t="s">
        <v>121</v>
      </c>
      <c r="F1512" s="20" t="s">
        <v>533</v>
      </c>
      <c r="G1512" s="15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</row>
    <row r="1513" spans="2:18" ht="13">
      <c r="B1513" s="33"/>
      <c r="C1513" s="34"/>
      <c r="D1513" s="68" t="s">
        <v>168</v>
      </c>
      <c r="E1513" s="69" t="s">
        <v>27</v>
      </c>
      <c r="F1513" s="20" t="s">
        <v>533</v>
      </c>
      <c r="G1513" s="15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</row>
    <row r="1514" spans="2:18" ht="13">
      <c r="B1514" s="33"/>
      <c r="C1514" s="34"/>
      <c r="D1514" s="68" t="s">
        <v>26</v>
      </c>
      <c r="E1514" s="69" t="s">
        <v>27</v>
      </c>
      <c r="F1514" s="20" t="s">
        <v>533</v>
      </c>
      <c r="G1514" s="15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</row>
    <row r="1515" spans="2:18" ht="13">
      <c r="B1515" s="33"/>
      <c r="C1515" s="34"/>
      <c r="D1515" s="68" t="s">
        <v>404</v>
      </c>
      <c r="E1515" s="69" t="s">
        <v>32</v>
      </c>
      <c r="F1515" s="20" t="s">
        <v>533</v>
      </c>
      <c r="G1515" s="15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</row>
    <row r="1516" spans="2:18" ht="13">
      <c r="B1516" s="33"/>
      <c r="C1516" s="34"/>
      <c r="D1516" s="68" t="s">
        <v>17</v>
      </c>
      <c r="E1516" s="69" t="s">
        <v>27</v>
      </c>
      <c r="F1516" s="20" t="s">
        <v>533</v>
      </c>
      <c r="G1516" s="15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</row>
    <row r="1517" spans="2:18" ht="13">
      <c r="B1517" s="33"/>
      <c r="C1517" s="34"/>
      <c r="D1517" s="68" t="s">
        <v>174</v>
      </c>
      <c r="E1517" s="69" t="s">
        <v>175</v>
      </c>
      <c r="F1517" s="20" t="s">
        <v>533</v>
      </c>
      <c r="G1517" s="15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</row>
    <row r="1518" spans="2:18" ht="13">
      <c r="B1518" s="33"/>
      <c r="C1518" s="34"/>
      <c r="D1518" s="68" t="s">
        <v>17</v>
      </c>
      <c r="E1518" s="69" t="s">
        <v>27</v>
      </c>
      <c r="F1518" s="20" t="s">
        <v>533</v>
      </c>
      <c r="G1518" s="15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</row>
    <row r="1519" spans="2:18" ht="13">
      <c r="B1519" s="33"/>
      <c r="C1519" s="34"/>
      <c r="D1519" s="68" t="s">
        <v>17</v>
      </c>
      <c r="E1519" s="69" t="s">
        <v>27</v>
      </c>
      <c r="F1519" s="20" t="s">
        <v>533</v>
      </c>
      <c r="G1519" s="15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</row>
    <row r="1520" spans="2:18" ht="13">
      <c r="B1520" s="33"/>
      <c r="C1520" s="34"/>
      <c r="D1520" s="68" t="s">
        <v>404</v>
      </c>
      <c r="E1520" s="69" t="s">
        <v>32</v>
      </c>
      <c r="F1520" s="20" t="s">
        <v>533</v>
      </c>
      <c r="G1520" s="15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</row>
    <row r="1521" spans="2:18" ht="13">
      <c r="B1521" s="33"/>
      <c r="C1521" s="34"/>
      <c r="D1521" s="68" t="s">
        <v>26</v>
      </c>
      <c r="E1521" s="69" t="s">
        <v>27</v>
      </c>
      <c r="F1521" s="20" t="s">
        <v>533</v>
      </c>
      <c r="G1521" s="15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</row>
    <row r="1522" spans="2:18" ht="13">
      <c r="B1522" s="33"/>
      <c r="C1522" s="34"/>
      <c r="D1522" s="68" t="s">
        <v>17</v>
      </c>
      <c r="E1522" s="69" t="s">
        <v>27</v>
      </c>
      <c r="F1522" s="20" t="s">
        <v>533</v>
      </c>
      <c r="G1522" s="15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</row>
    <row r="1523" spans="2:18" ht="13">
      <c r="B1523" s="33"/>
      <c r="C1523" s="34"/>
      <c r="D1523" s="68" t="s">
        <v>17</v>
      </c>
      <c r="E1523" s="69" t="s">
        <v>27</v>
      </c>
      <c r="F1523" s="20" t="s">
        <v>533</v>
      </c>
      <c r="G1523" s="15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</row>
    <row r="1524" spans="2:18" ht="13">
      <c r="B1524" s="33"/>
      <c r="C1524" s="34"/>
      <c r="D1524" s="68" t="s">
        <v>26</v>
      </c>
      <c r="E1524" s="69" t="s">
        <v>564</v>
      </c>
      <c r="F1524" s="20" t="s">
        <v>533</v>
      </c>
      <c r="G1524" s="15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</row>
    <row r="1525" spans="2:18" ht="13">
      <c r="B1525" s="33"/>
      <c r="C1525" s="34"/>
      <c r="D1525" s="68" t="s">
        <v>36</v>
      </c>
      <c r="E1525" s="69" t="s">
        <v>37</v>
      </c>
      <c r="F1525" s="20" t="s">
        <v>533</v>
      </c>
      <c r="G1525" s="15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</row>
    <row r="1526" spans="2:18" ht="13">
      <c r="B1526" s="33"/>
      <c r="C1526" s="34"/>
      <c r="D1526" s="68" t="s">
        <v>26</v>
      </c>
      <c r="E1526" s="69" t="s">
        <v>27</v>
      </c>
      <c r="F1526" s="20" t="s">
        <v>533</v>
      </c>
      <c r="G1526" s="15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</row>
    <row r="1527" spans="2:18" ht="13">
      <c r="B1527" s="33"/>
      <c r="C1527" s="34"/>
      <c r="D1527" s="68" t="s">
        <v>17</v>
      </c>
      <c r="E1527" s="69" t="s">
        <v>27</v>
      </c>
      <c r="F1527" s="20" t="s">
        <v>533</v>
      </c>
      <c r="G1527" s="15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</row>
    <row r="1528" spans="2:18" ht="13">
      <c r="B1528" s="33"/>
      <c r="C1528" s="34"/>
      <c r="D1528" s="68" t="s">
        <v>17</v>
      </c>
      <c r="E1528" s="69" t="s">
        <v>27</v>
      </c>
      <c r="F1528" s="20" t="s">
        <v>533</v>
      </c>
      <c r="G1528" s="15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</row>
    <row r="1529" spans="2:18" ht="13">
      <c r="B1529" s="33"/>
      <c r="C1529" s="34"/>
      <c r="D1529" s="68" t="s">
        <v>174</v>
      </c>
      <c r="E1529" s="69" t="s">
        <v>379</v>
      </c>
      <c r="F1529" s="20" t="s">
        <v>533</v>
      </c>
      <c r="G1529" s="15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</row>
    <row r="1530" spans="2:18" ht="13">
      <c r="B1530" s="33"/>
      <c r="C1530" s="34"/>
      <c r="D1530" s="68" t="s">
        <v>17</v>
      </c>
      <c r="E1530" s="69" t="s">
        <v>27</v>
      </c>
      <c r="F1530" s="20" t="s">
        <v>533</v>
      </c>
      <c r="G1530" s="15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</row>
    <row r="1531" spans="2:18" ht="13">
      <c r="B1531" s="33"/>
      <c r="C1531" s="34"/>
      <c r="D1531" s="68" t="s">
        <v>17</v>
      </c>
      <c r="E1531" s="69" t="s">
        <v>27</v>
      </c>
      <c r="F1531" s="20" t="s">
        <v>533</v>
      </c>
      <c r="G1531" s="15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</row>
    <row r="1532" spans="2:18" ht="13">
      <c r="B1532" s="33"/>
      <c r="C1532" s="34"/>
      <c r="D1532" s="68" t="s">
        <v>644</v>
      </c>
      <c r="E1532" s="69" t="s">
        <v>124</v>
      </c>
      <c r="F1532" s="20" t="s">
        <v>533</v>
      </c>
      <c r="G1532" s="15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</row>
    <row r="1533" spans="2:18" ht="13">
      <c r="B1533" s="33"/>
      <c r="C1533" s="34"/>
      <c r="D1533" s="68" t="s">
        <v>26</v>
      </c>
      <c r="E1533" s="69" t="s">
        <v>27</v>
      </c>
      <c r="F1533" s="20" t="s">
        <v>533</v>
      </c>
      <c r="G1533" s="15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</row>
    <row r="1534" spans="2:18" ht="13">
      <c r="B1534" s="33"/>
      <c r="C1534" s="34"/>
      <c r="D1534" s="68" t="s">
        <v>404</v>
      </c>
      <c r="E1534" s="69" t="s">
        <v>32</v>
      </c>
      <c r="F1534" s="20" t="s">
        <v>533</v>
      </c>
      <c r="G1534" s="15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</row>
    <row r="1535" spans="2:18" ht="13">
      <c r="B1535" s="33"/>
      <c r="C1535" s="34"/>
      <c r="D1535" s="68" t="s">
        <v>17</v>
      </c>
      <c r="E1535" s="69" t="s">
        <v>27</v>
      </c>
      <c r="F1535" s="20" t="s">
        <v>533</v>
      </c>
      <c r="G1535" s="15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</row>
    <row r="1536" spans="2:18" ht="13">
      <c r="B1536" s="33"/>
      <c r="C1536" s="34"/>
      <c r="D1536" s="68" t="s">
        <v>645</v>
      </c>
      <c r="E1536" s="69" t="s">
        <v>121</v>
      </c>
      <c r="F1536" s="20" t="s">
        <v>533</v>
      </c>
      <c r="G1536" s="15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</row>
    <row r="1537" spans="2:18" ht="13">
      <c r="B1537" s="33"/>
      <c r="C1537" s="34"/>
      <c r="D1537" s="68" t="s">
        <v>326</v>
      </c>
      <c r="E1537" s="69" t="s">
        <v>121</v>
      </c>
      <c r="F1537" s="20" t="s">
        <v>533</v>
      </c>
      <c r="G1537" s="15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</row>
    <row r="1538" spans="2:18" ht="13">
      <c r="B1538" s="33"/>
      <c r="C1538" s="34"/>
      <c r="D1538" s="68" t="s">
        <v>577</v>
      </c>
      <c r="E1538" s="69" t="s">
        <v>124</v>
      </c>
      <c r="F1538" s="20" t="s">
        <v>533</v>
      </c>
      <c r="G1538" s="15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</row>
    <row r="1539" spans="2:18" ht="13">
      <c r="B1539" s="33"/>
      <c r="C1539" s="34"/>
      <c r="D1539" s="68" t="s">
        <v>17</v>
      </c>
      <c r="E1539" s="69" t="s">
        <v>27</v>
      </c>
      <c r="F1539" s="20" t="s">
        <v>533</v>
      </c>
      <c r="G1539" s="15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</row>
    <row r="1540" spans="2:18" ht="13">
      <c r="B1540" s="33"/>
      <c r="C1540" s="34"/>
      <c r="D1540" s="68" t="s">
        <v>26</v>
      </c>
      <c r="E1540" s="69" t="s">
        <v>27</v>
      </c>
      <c r="F1540" s="20" t="s">
        <v>533</v>
      </c>
      <c r="G1540" s="15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</row>
    <row r="1541" spans="2:18" ht="13">
      <c r="B1541" s="33"/>
      <c r="C1541" s="34"/>
      <c r="D1541" s="68" t="s">
        <v>17</v>
      </c>
      <c r="E1541" s="69" t="s">
        <v>27</v>
      </c>
      <c r="F1541" s="20" t="s">
        <v>533</v>
      </c>
      <c r="G1541" s="15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</row>
    <row r="1542" spans="2:18" ht="13">
      <c r="B1542" s="33"/>
      <c r="C1542" s="34"/>
      <c r="D1542" s="68" t="s">
        <v>53</v>
      </c>
      <c r="E1542" s="69" t="s">
        <v>32</v>
      </c>
      <c r="F1542" s="20" t="s">
        <v>533</v>
      </c>
      <c r="G1542" s="15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</row>
    <row r="1543" spans="2:18" ht="13">
      <c r="B1543" s="33"/>
      <c r="C1543" s="34"/>
      <c r="D1543" s="68" t="s">
        <v>26</v>
      </c>
      <c r="E1543" s="69" t="s">
        <v>27</v>
      </c>
      <c r="F1543" s="20" t="s">
        <v>533</v>
      </c>
      <c r="G1543" s="15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</row>
    <row r="1544" spans="2:18" ht="13">
      <c r="B1544" s="33"/>
      <c r="C1544" s="34"/>
      <c r="D1544" s="68" t="s">
        <v>26</v>
      </c>
      <c r="E1544" s="69" t="s">
        <v>27</v>
      </c>
      <c r="F1544" s="20" t="s">
        <v>533</v>
      </c>
      <c r="G1544" s="15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</row>
    <row r="1545" spans="2:18" ht="13">
      <c r="B1545" s="33"/>
      <c r="C1545" s="34"/>
      <c r="D1545" s="68" t="s">
        <v>566</v>
      </c>
      <c r="E1545" s="69" t="s">
        <v>32</v>
      </c>
      <c r="F1545" s="20" t="s">
        <v>533</v>
      </c>
      <c r="G1545" s="15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</row>
    <row r="1546" spans="2:18" ht="13">
      <c r="B1546" s="33"/>
      <c r="C1546" s="34"/>
      <c r="D1546" s="68" t="s">
        <v>17</v>
      </c>
      <c r="E1546" s="69" t="s">
        <v>27</v>
      </c>
      <c r="F1546" s="20" t="s">
        <v>533</v>
      </c>
      <c r="G1546" s="15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</row>
    <row r="1547" spans="2:18" ht="13">
      <c r="B1547" s="33"/>
      <c r="C1547" s="34"/>
      <c r="D1547" s="68" t="s">
        <v>17</v>
      </c>
      <c r="E1547" s="69" t="s">
        <v>27</v>
      </c>
      <c r="F1547" s="20" t="s">
        <v>533</v>
      </c>
      <c r="G1547" s="15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</row>
    <row r="1548" spans="2:18" ht="13">
      <c r="B1548" s="33"/>
      <c r="C1548" s="34"/>
      <c r="D1548" s="68" t="s">
        <v>17</v>
      </c>
      <c r="E1548" s="69" t="s">
        <v>116</v>
      </c>
      <c r="F1548" s="20" t="s">
        <v>533</v>
      </c>
      <c r="G1548" s="15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</row>
    <row r="1549" spans="2:18" ht="13">
      <c r="B1549" s="33"/>
      <c r="C1549" s="34"/>
      <c r="D1549" s="68" t="s">
        <v>17</v>
      </c>
      <c r="E1549" s="69" t="s">
        <v>27</v>
      </c>
      <c r="F1549" s="20" t="s">
        <v>533</v>
      </c>
      <c r="G1549" s="15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</row>
    <row r="1550" spans="2:18" ht="13">
      <c r="B1550" s="33"/>
      <c r="C1550" s="34"/>
      <c r="D1550" s="68" t="s">
        <v>26</v>
      </c>
      <c r="E1550" s="69" t="s">
        <v>27</v>
      </c>
      <c r="F1550" s="20" t="s">
        <v>533</v>
      </c>
      <c r="G1550" s="15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</row>
    <row r="1551" spans="2:18" ht="13">
      <c r="B1551" s="33"/>
      <c r="C1551" s="34"/>
      <c r="D1551" s="68" t="s">
        <v>86</v>
      </c>
      <c r="E1551" s="69" t="s">
        <v>124</v>
      </c>
      <c r="F1551" s="20" t="s">
        <v>533</v>
      </c>
      <c r="G1551" s="15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</row>
    <row r="1552" spans="2:18" ht="13">
      <c r="B1552" s="33"/>
      <c r="C1552" s="34"/>
      <c r="D1552" s="68" t="s">
        <v>86</v>
      </c>
      <c r="E1552" s="69" t="s">
        <v>124</v>
      </c>
      <c r="F1552" s="20" t="s">
        <v>533</v>
      </c>
      <c r="G1552" s="15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</row>
    <row r="1553" spans="2:18" ht="13">
      <c r="B1553" s="33"/>
      <c r="C1553" s="34"/>
      <c r="D1553" s="68" t="s">
        <v>577</v>
      </c>
      <c r="E1553" s="69" t="s">
        <v>124</v>
      </c>
      <c r="F1553" s="20" t="s">
        <v>533</v>
      </c>
      <c r="G1553" s="15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</row>
    <row r="1554" spans="2:18" ht="13">
      <c r="B1554" s="33"/>
      <c r="C1554" s="34"/>
      <c r="D1554" s="68" t="s">
        <v>86</v>
      </c>
      <c r="E1554" s="69" t="s">
        <v>124</v>
      </c>
      <c r="F1554" s="20" t="s">
        <v>533</v>
      </c>
      <c r="G1554" s="15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</row>
    <row r="1555" spans="2:18" ht="13">
      <c r="B1555" s="33"/>
      <c r="C1555" s="34"/>
      <c r="D1555" s="68" t="s">
        <v>17</v>
      </c>
      <c r="E1555" s="69" t="s">
        <v>27</v>
      </c>
      <c r="F1555" s="20" t="s">
        <v>533</v>
      </c>
      <c r="G1555" s="15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</row>
    <row r="1556" spans="2:18" ht="13">
      <c r="B1556" s="33"/>
      <c r="C1556" s="34"/>
      <c r="D1556" s="68" t="s">
        <v>17</v>
      </c>
      <c r="E1556" s="69" t="s">
        <v>27</v>
      </c>
      <c r="F1556" s="20" t="s">
        <v>533</v>
      </c>
      <c r="G1556" s="15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</row>
    <row r="1557" spans="2:18" ht="13">
      <c r="B1557" s="33"/>
      <c r="C1557" s="34"/>
      <c r="D1557" s="68" t="s">
        <v>17</v>
      </c>
      <c r="E1557" s="69" t="s">
        <v>27</v>
      </c>
      <c r="F1557" s="20" t="s">
        <v>533</v>
      </c>
      <c r="G1557" s="15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</row>
    <row r="1558" spans="2:18" ht="13">
      <c r="B1558" s="33"/>
      <c r="C1558" s="34"/>
      <c r="D1558" s="68" t="s">
        <v>26</v>
      </c>
      <c r="E1558" s="69" t="s">
        <v>27</v>
      </c>
      <c r="F1558" s="20" t="s">
        <v>533</v>
      </c>
      <c r="G1558" s="15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</row>
    <row r="1559" spans="2:18" ht="13">
      <c r="B1559" s="33"/>
      <c r="C1559" s="34"/>
      <c r="D1559" s="68" t="s">
        <v>17</v>
      </c>
      <c r="E1559" s="69" t="s">
        <v>27</v>
      </c>
      <c r="F1559" s="20" t="s">
        <v>533</v>
      </c>
      <c r="G1559" s="15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</row>
    <row r="1560" spans="2:18" ht="13">
      <c r="B1560" s="33"/>
      <c r="C1560" s="34"/>
      <c r="D1560" s="68" t="s">
        <v>17</v>
      </c>
      <c r="E1560" s="69" t="s">
        <v>27</v>
      </c>
      <c r="F1560" s="20" t="s">
        <v>533</v>
      </c>
      <c r="G1560" s="15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</row>
    <row r="1561" spans="2:18" ht="13">
      <c r="B1561" s="33"/>
      <c r="C1561" s="34"/>
      <c r="D1561" s="68" t="s">
        <v>26</v>
      </c>
      <c r="E1561" s="69" t="s">
        <v>27</v>
      </c>
      <c r="F1561" s="20" t="s">
        <v>533</v>
      </c>
      <c r="G1561" s="15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</row>
    <row r="1562" spans="2:18" ht="13">
      <c r="B1562" s="33"/>
      <c r="C1562" s="34"/>
      <c r="D1562" s="68" t="s">
        <v>17</v>
      </c>
      <c r="E1562" s="69" t="s">
        <v>27</v>
      </c>
      <c r="F1562" s="20" t="s">
        <v>533</v>
      </c>
      <c r="G1562" s="15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</row>
    <row r="1563" spans="2:18" ht="13">
      <c r="B1563" s="33"/>
      <c r="C1563" s="34"/>
      <c r="D1563" s="68" t="s">
        <v>17</v>
      </c>
      <c r="E1563" s="69" t="s">
        <v>27</v>
      </c>
      <c r="F1563" s="20" t="s">
        <v>533</v>
      </c>
      <c r="G1563" s="15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</row>
    <row r="1564" spans="2:18" ht="13">
      <c r="B1564" s="33"/>
      <c r="C1564" s="34"/>
      <c r="D1564" s="68" t="s">
        <v>646</v>
      </c>
      <c r="E1564" s="69" t="s">
        <v>617</v>
      </c>
      <c r="F1564" s="20" t="s">
        <v>533</v>
      </c>
      <c r="G1564" s="15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</row>
    <row r="1565" spans="2:18" ht="13">
      <c r="B1565" s="33"/>
      <c r="C1565" s="34"/>
      <c r="D1565" s="68" t="s">
        <v>17</v>
      </c>
      <c r="E1565" s="69" t="s">
        <v>27</v>
      </c>
      <c r="F1565" s="20" t="s">
        <v>533</v>
      </c>
      <c r="G1565" s="15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</row>
    <row r="1566" spans="2:18" ht="13">
      <c r="B1566" s="33"/>
      <c r="C1566" s="34"/>
      <c r="D1566" s="68" t="s">
        <v>17</v>
      </c>
      <c r="E1566" s="69" t="s">
        <v>27</v>
      </c>
      <c r="F1566" s="20" t="s">
        <v>533</v>
      </c>
      <c r="G1566" s="15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</row>
    <row r="1567" spans="2:18" ht="13">
      <c r="B1567" s="33"/>
      <c r="C1567" s="34"/>
      <c r="D1567" s="68" t="s">
        <v>17</v>
      </c>
      <c r="E1567" s="69" t="s">
        <v>27</v>
      </c>
      <c r="F1567" s="20" t="s">
        <v>533</v>
      </c>
      <c r="G1567" s="15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</row>
    <row r="1568" spans="2:18" ht="13">
      <c r="B1568" s="33"/>
      <c r="C1568" s="34"/>
      <c r="D1568" s="68" t="s">
        <v>17</v>
      </c>
      <c r="E1568" s="69" t="s">
        <v>27</v>
      </c>
      <c r="F1568" s="20" t="s">
        <v>533</v>
      </c>
      <c r="G1568" s="15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</row>
    <row r="1569" spans="2:18" ht="13">
      <c r="B1569" s="33"/>
      <c r="C1569" s="34"/>
      <c r="D1569" s="68" t="s">
        <v>17</v>
      </c>
      <c r="E1569" s="69" t="s">
        <v>27</v>
      </c>
      <c r="F1569" s="20" t="s">
        <v>533</v>
      </c>
      <c r="G1569" s="15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</row>
    <row r="1570" spans="2:18" ht="13">
      <c r="B1570" s="33"/>
      <c r="C1570" s="34"/>
      <c r="D1570" s="68" t="s">
        <v>17</v>
      </c>
      <c r="E1570" s="69" t="s">
        <v>27</v>
      </c>
      <c r="F1570" s="20" t="s">
        <v>533</v>
      </c>
      <c r="G1570" s="15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</row>
    <row r="1571" spans="2:18" ht="13">
      <c r="B1571" s="33"/>
      <c r="C1571" s="34"/>
      <c r="D1571" s="68" t="s">
        <v>577</v>
      </c>
      <c r="E1571" s="69" t="s">
        <v>124</v>
      </c>
      <c r="F1571" s="20" t="s">
        <v>533</v>
      </c>
      <c r="G1571" s="15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</row>
    <row r="1572" spans="2:18" ht="13">
      <c r="B1572" s="33"/>
      <c r="C1572" s="34"/>
      <c r="D1572" s="68" t="s">
        <v>17</v>
      </c>
      <c r="E1572" s="69" t="s">
        <v>27</v>
      </c>
      <c r="F1572" s="20" t="s">
        <v>533</v>
      </c>
      <c r="G1572" s="15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</row>
    <row r="1573" spans="2:18" ht="13">
      <c r="B1573" s="33"/>
      <c r="C1573" s="34"/>
      <c r="D1573" s="68" t="s">
        <v>162</v>
      </c>
      <c r="E1573" s="69" t="s">
        <v>27</v>
      </c>
      <c r="F1573" s="20" t="s">
        <v>533</v>
      </c>
      <c r="G1573" s="15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</row>
    <row r="1574" spans="2:18" ht="13">
      <c r="B1574" s="33"/>
      <c r="C1574" s="34"/>
      <c r="D1574" s="68" t="s">
        <v>17</v>
      </c>
      <c r="E1574" s="69" t="s">
        <v>27</v>
      </c>
      <c r="F1574" s="20" t="s">
        <v>533</v>
      </c>
      <c r="G1574" s="15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</row>
    <row r="1575" spans="2:18" ht="13">
      <c r="B1575" s="33"/>
      <c r="C1575" s="34"/>
      <c r="D1575" s="68" t="s">
        <v>174</v>
      </c>
      <c r="E1575" s="69" t="s">
        <v>379</v>
      </c>
      <c r="F1575" s="20" t="s">
        <v>533</v>
      </c>
      <c r="G1575" s="15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</row>
    <row r="1576" spans="2:18" ht="13">
      <c r="B1576" s="33"/>
      <c r="C1576" s="34"/>
      <c r="D1576" s="68" t="s">
        <v>17</v>
      </c>
      <c r="E1576" s="69" t="s">
        <v>32</v>
      </c>
      <c r="F1576" s="20" t="s">
        <v>533</v>
      </c>
      <c r="G1576" s="15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</row>
    <row r="1577" spans="2:18" ht="13">
      <c r="B1577" s="33"/>
      <c r="C1577" s="34"/>
      <c r="D1577" s="68" t="s">
        <v>17</v>
      </c>
      <c r="E1577" s="69" t="s">
        <v>27</v>
      </c>
      <c r="F1577" s="20" t="s">
        <v>533</v>
      </c>
      <c r="G1577" s="15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</row>
    <row r="1578" spans="2:18" ht="13">
      <c r="B1578" s="33"/>
      <c r="C1578" s="34"/>
      <c r="D1578" s="68" t="s">
        <v>17</v>
      </c>
      <c r="E1578" s="69" t="s">
        <v>27</v>
      </c>
      <c r="F1578" s="20" t="s">
        <v>533</v>
      </c>
      <c r="G1578" s="15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</row>
    <row r="1579" spans="2:18" ht="13">
      <c r="B1579" s="33"/>
      <c r="C1579" s="34"/>
      <c r="D1579" s="68" t="s">
        <v>17</v>
      </c>
      <c r="E1579" s="69" t="s">
        <v>27</v>
      </c>
      <c r="F1579" s="20" t="s">
        <v>533</v>
      </c>
      <c r="G1579" s="15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</row>
    <row r="1580" spans="2:18" ht="13">
      <c r="B1580" s="33"/>
      <c r="C1580" s="34"/>
      <c r="D1580" s="68" t="s">
        <v>17</v>
      </c>
      <c r="E1580" s="69" t="s">
        <v>27</v>
      </c>
      <c r="F1580" s="20" t="s">
        <v>533</v>
      </c>
      <c r="G1580" s="15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</row>
    <row r="1581" spans="2:18" ht="13">
      <c r="B1581" s="33"/>
      <c r="C1581" s="34"/>
      <c r="D1581" s="68" t="s">
        <v>26</v>
      </c>
      <c r="E1581" s="69" t="s">
        <v>27</v>
      </c>
      <c r="F1581" s="20" t="s">
        <v>533</v>
      </c>
      <c r="G1581" s="15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</row>
    <row r="1582" spans="2:18" ht="13">
      <c r="B1582" s="33"/>
      <c r="C1582" s="34"/>
      <c r="D1582" s="68" t="s">
        <v>17</v>
      </c>
      <c r="E1582" s="69" t="s">
        <v>27</v>
      </c>
      <c r="F1582" s="20" t="s">
        <v>533</v>
      </c>
      <c r="G1582" s="15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</row>
    <row r="1583" spans="2:18" ht="13">
      <c r="B1583" s="33"/>
      <c r="C1583" s="34"/>
      <c r="D1583" s="68" t="s">
        <v>544</v>
      </c>
      <c r="E1583" s="69" t="s">
        <v>121</v>
      </c>
      <c r="F1583" s="20" t="s">
        <v>533</v>
      </c>
      <c r="G1583" s="15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</row>
    <row r="1584" spans="2:18" ht="13">
      <c r="B1584" s="33"/>
      <c r="C1584" s="34"/>
      <c r="D1584" s="68" t="s">
        <v>17</v>
      </c>
      <c r="E1584" s="69" t="s">
        <v>27</v>
      </c>
      <c r="F1584" s="20" t="s">
        <v>533</v>
      </c>
      <c r="G1584" s="15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</row>
    <row r="1585" spans="2:18" ht="13">
      <c r="B1585" s="33"/>
      <c r="C1585" s="34"/>
      <c r="D1585" s="68" t="s">
        <v>17</v>
      </c>
      <c r="E1585" s="69" t="s">
        <v>27</v>
      </c>
      <c r="F1585" s="20" t="s">
        <v>533</v>
      </c>
      <c r="G1585" s="15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</row>
    <row r="1586" spans="2:18" ht="13">
      <c r="B1586" s="33"/>
      <c r="C1586" s="34"/>
      <c r="D1586" s="68" t="s">
        <v>17</v>
      </c>
      <c r="E1586" s="69" t="s">
        <v>27</v>
      </c>
      <c r="F1586" s="20" t="s">
        <v>533</v>
      </c>
      <c r="G1586" s="15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</row>
    <row r="1587" spans="2:18" ht="13">
      <c r="B1587" s="33"/>
      <c r="C1587" s="34"/>
      <c r="D1587" s="68" t="s">
        <v>53</v>
      </c>
      <c r="E1587" s="69" t="s">
        <v>32</v>
      </c>
      <c r="F1587" s="20" t="s">
        <v>533</v>
      </c>
      <c r="G1587" s="15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</row>
    <row r="1588" spans="2:18" ht="13">
      <c r="B1588" s="33"/>
      <c r="C1588" s="34"/>
      <c r="D1588" s="68" t="s">
        <v>17</v>
      </c>
      <c r="E1588" s="69" t="s">
        <v>27</v>
      </c>
      <c r="F1588" s="20" t="s">
        <v>533</v>
      </c>
      <c r="G1588" s="15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</row>
    <row r="1589" spans="2:18" ht="13">
      <c r="B1589" s="33"/>
      <c r="C1589" s="34"/>
      <c r="D1589" s="68" t="s">
        <v>26</v>
      </c>
      <c r="E1589" s="69" t="s">
        <v>27</v>
      </c>
      <c r="F1589" s="20" t="s">
        <v>533</v>
      </c>
      <c r="G1589" s="15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</row>
    <row r="1590" spans="2:18" ht="13">
      <c r="B1590" s="33"/>
      <c r="C1590" s="34"/>
      <c r="D1590" s="68" t="s">
        <v>404</v>
      </c>
      <c r="E1590" s="69" t="s">
        <v>32</v>
      </c>
      <c r="F1590" s="20" t="s">
        <v>533</v>
      </c>
      <c r="G1590" s="15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</row>
    <row r="1591" spans="2:18" ht="13">
      <c r="B1591" s="33"/>
      <c r="C1591" s="34"/>
      <c r="D1591" s="68" t="s">
        <v>577</v>
      </c>
      <c r="E1591" s="69" t="s">
        <v>124</v>
      </c>
      <c r="F1591" s="20" t="s">
        <v>533</v>
      </c>
      <c r="G1591" s="15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</row>
    <row r="1592" spans="2:18" ht="13">
      <c r="B1592" s="33"/>
      <c r="C1592" s="34"/>
      <c r="D1592" s="68" t="s">
        <v>26</v>
      </c>
      <c r="E1592" s="69" t="s">
        <v>27</v>
      </c>
      <c r="F1592" s="20" t="s">
        <v>533</v>
      </c>
      <c r="G1592" s="15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</row>
    <row r="1593" spans="2:18" ht="13">
      <c r="B1593" s="33"/>
      <c r="C1593" s="34"/>
      <c r="D1593" s="68" t="s">
        <v>17</v>
      </c>
      <c r="E1593" s="69" t="s">
        <v>27</v>
      </c>
      <c r="F1593" s="20" t="s">
        <v>533</v>
      </c>
      <c r="G1593" s="15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</row>
    <row r="1594" spans="2:18" ht="13">
      <c r="B1594" s="33"/>
      <c r="C1594" s="34"/>
      <c r="D1594" s="68" t="s">
        <v>577</v>
      </c>
      <c r="E1594" s="69" t="s">
        <v>124</v>
      </c>
      <c r="F1594" s="20" t="s">
        <v>533</v>
      </c>
      <c r="G1594" s="15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</row>
    <row r="1595" spans="2:18" ht="13">
      <c r="B1595" s="33"/>
      <c r="C1595" s="34"/>
      <c r="D1595" s="68" t="s">
        <v>26</v>
      </c>
      <c r="E1595" s="69" t="s">
        <v>175</v>
      </c>
      <c r="F1595" s="20" t="s">
        <v>533</v>
      </c>
      <c r="G1595" s="15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</row>
    <row r="1596" spans="2:18" ht="13">
      <c r="B1596" s="33"/>
      <c r="C1596" s="34"/>
      <c r="D1596" s="68" t="s">
        <v>26</v>
      </c>
      <c r="E1596" s="69" t="s">
        <v>27</v>
      </c>
      <c r="F1596" s="20" t="s">
        <v>533</v>
      </c>
      <c r="G1596" s="15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</row>
    <row r="1597" spans="2:18" ht="13">
      <c r="B1597" s="33"/>
      <c r="C1597" s="34"/>
      <c r="D1597" s="68" t="s">
        <v>17</v>
      </c>
      <c r="E1597" s="69" t="s">
        <v>27</v>
      </c>
      <c r="F1597" s="20" t="s">
        <v>533</v>
      </c>
      <c r="G1597" s="15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</row>
    <row r="1598" spans="2:18" ht="13">
      <c r="B1598" s="33"/>
      <c r="C1598" s="34"/>
      <c r="D1598" s="68" t="s">
        <v>17</v>
      </c>
      <c r="E1598" s="69" t="s">
        <v>27</v>
      </c>
      <c r="F1598" s="20" t="s">
        <v>533</v>
      </c>
      <c r="G1598" s="15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</row>
    <row r="1599" spans="2:18" ht="13">
      <c r="B1599" s="33"/>
      <c r="C1599" s="34"/>
      <c r="D1599" s="68" t="s">
        <v>17</v>
      </c>
      <c r="E1599" s="69" t="s">
        <v>27</v>
      </c>
      <c r="F1599" s="20" t="s">
        <v>533</v>
      </c>
      <c r="G1599" s="15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</row>
    <row r="1600" spans="2:18" ht="13">
      <c r="B1600" s="33"/>
      <c r="C1600" s="34"/>
      <c r="D1600" s="68" t="s">
        <v>17</v>
      </c>
      <c r="E1600" s="69" t="s">
        <v>27</v>
      </c>
      <c r="F1600" s="20" t="s">
        <v>533</v>
      </c>
      <c r="G1600" s="15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</row>
    <row r="1601" spans="2:18" ht="13">
      <c r="B1601" s="33"/>
      <c r="C1601" s="34"/>
      <c r="D1601" s="68" t="s">
        <v>17</v>
      </c>
      <c r="E1601" s="69" t="s">
        <v>27</v>
      </c>
      <c r="F1601" s="20" t="s">
        <v>533</v>
      </c>
      <c r="G1601" s="15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</row>
    <row r="1602" spans="2:18" ht="13">
      <c r="B1602" s="33"/>
      <c r="C1602" s="34"/>
      <c r="D1602" s="68" t="s">
        <v>26</v>
      </c>
      <c r="E1602" s="69" t="s">
        <v>27</v>
      </c>
      <c r="F1602" s="20" t="s">
        <v>533</v>
      </c>
      <c r="G1602" s="15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</row>
    <row r="1603" spans="2:18" ht="13">
      <c r="B1603" s="33"/>
      <c r="C1603" s="34"/>
      <c r="D1603" s="68" t="s">
        <v>26</v>
      </c>
      <c r="E1603" s="69" t="s">
        <v>27</v>
      </c>
      <c r="F1603" s="20" t="s">
        <v>533</v>
      </c>
      <c r="G1603" s="15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</row>
    <row r="1604" spans="2:18" ht="13">
      <c r="B1604" s="33"/>
      <c r="C1604" s="34"/>
      <c r="D1604" s="68" t="s">
        <v>26</v>
      </c>
      <c r="E1604" s="69" t="s">
        <v>27</v>
      </c>
      <c r="F1604" s="20" t="s">
        <v>533</v>
      </c>
      <c r="G1604" s="15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</row>
    <row r="1605" spans="2:18" ht="13">
      <c r="B1605" s="33"/>
      <c r="C1605" s="34"/>
      <c r="D1605" s="68" t="s">
        <v>17</v>
      </c>
      <c r="E1605" s="69" t="s">
        <v>27</v>
      </c>
      <c r="F1605" s="20" t="s">
        <v>533</v>
      </c>
      <c r="G1605" s="15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</row>
    <row r="1606" spans="2:18" ht="13">
      <c r="B1606" s="33"/>
      <c r="C1606" s="34"/>
      <c r="D1606" s="68" t="s">
        <v>579</v>
      </c>
      <c r="E1606" s="69" t="s">
        <v>37</v>
      </c>
      <c r="F1606" s="20" t="s">
        <v>533</v>
      </c>
      <c r="G1606" s="15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</row>
    <row r="1607" spans="2:18" ht="13">
      <c r="B1607" s="33"/>
      <c r="C1607" s="34"/>
      <c r="D1607" s="68" t="s">
        <v>17</v>
      </c>
      <c r="E1607" s="69" t="s">
        <v>27</v>
      </c>
      <c r="F1607" s="20" t="s">
        <v>533</v>
      </c>
      <c r="G1607" s="15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</row>
    <row r="1608" spans="2:18" ht="13">
      <c r="B1608" s="33"/>
      <c r="C1608" s="34"/>
      <c r="D1608" s="68" t="s">
        <v>570</v>
      </c>
      <c r="E1608" s="69" t="s">
        <v>124</v>
      </c>
      <c r="F1608" s="20" t="s">
        <v>533</v>
      </c>
      <c r="G1608" s="15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</row>
    <row r="1609" spans="2:18" ht="13">
      <c r="B1609" s="33"/>
      <c r="C1609" s="34"/>
      <c r="D1609" s="68" t="s">
        <v>17</v>
      </c>
      <c r="E1609" s="69" t="s">
        <v>27</v>
      </c>
      <c r="F1609" s="20" t="s">
        <v>533</v>
      </c>
      <c r="G1609" s="15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</row>
    <row r="1610" spans="2:18" ht="13">
      <c r="B1610" s="33"/>
      <c r="C1610" s="34"/>
      <c r="D1610" s="68" t="s">
        <v>404</v>
      </c>
      <c r="E1610" s="69" t="s">
        <v>32</v>
      </c>
      <c r="F1610" s="20" t="s">
        <v>533</v>
      </c>
      <c r="G1610" s="15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</row>
    <row r="1611" spans="2:18" ht="13">
      <c r="B1611" s="33"/>
      <c r="C1611" s="34"/>
      <c r="D1611" s="68" t="s">
        <v>17</v>
      </c>
      <c r="E1611" s="69" t="s">
        <v>27</v>
      </c>
      <c r="F1611" s="20" t="s">
        <v>533</v>
      </c>
      <c r="G1611" s="15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</row>
    <row r="1612" spans="2:18" ht="13">
      <c r="B1612" s="33"/>
      <c r="C1612" s="34"/>
      <c r="D1612" s="68" t="s">
        <v>17</v>
      </c>
      <c r="E1612" s="69" t="s">
        <v>27</v>
      </c>
      <c r="F1612" s="20" t="s">
        <v>533</v>
      </c>
      <c r="G1612" s="15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</row>
    <row r="1613" spans="2:18" ht="13">
      <c r="B1613" s="33"/>
      <c r="C1613" s="34"/>
      <c r="D1613" s="68" t="s">
        <v>17</v>
      </c>
      <c r="E1613" s="69" t="s">
        <v>27</v>
      </c>
      <c r="F1613" s="20" t="s">
        <v>533</v>
      </c>
      <c r="G1613" s="15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</row>
    <row r="1614" spans="2:18" ht="13">
      <c r="B1614" s="33"/>
      <c r="C1614" s="34"/>
      <c r="D1614" s="68" t="s">
        <v>17</v>
      </c>
      <c r="E1614" s="69" t="s">
        <v>27</v>
      </c>
      <c r="F1614" s="20" t="s">
        <v>533</v>
      </c>
      <c r="G1614" s="15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</row>
    <row r="1615" spans="2:18" ht="13">
      <c r="B1615" s="33"/>
      <c r="C1615" s="34"/>
      <c r="D1615" s="68" t="s">
        <v>17</v>
      </c>
      <c r="E1615" s="69" t="s">
        <v>27</v>
      </c>
      <c r="F1615" s="20" t="s">
        <v>533</v>
      </c>
      <c r="G1615" s="15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</row>
    <row r="1616" spans="2:18" ht="13">
      <c r="B1616" s="33"/>
      <c r="C1616" s="34"/>
      <c r="D1616" s="68" t="s">
        <v>17</v>
      </c>
      <c r="E1616" s="69" t="s">
        <v>27</v>
      </c>
      <c r="F1616" s="20" t="s">
        <v>533</v>
      </c>
      <c r="G1616" s="15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</row>
    <row r="1617" spans="2:18" ht="13">
      <c r="B1617" s="33"/>
      <c r="C1617" s="34"/>
      <c r="D1617" s="68" t="s">
        <v>404</v>
      </c>
      <c r="E1617" s="69" t="s">
        <v>32</v>
      </c>
      <c r="F1617" s="20" t="s">
        <v>533</v>
      </c>
      <c r="G1617" s="15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</row>
    <row r="1618" spans="2:18" ht="13">
      <c r="B1618" s="33"/>
      <c r="C1618" s="34"/>
      <c r="D1618" s="68" t="s">
        <v>17</v>
      </c>
      <c r="E1618" s="69" t="s">
        <v>27</v>
      </c>
      <c r="F1618" s="20" t="s">
        <v>533</v>
      </c>
      <c r="G1618" s="15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</row>
    <row r="1619" spans="2:18" ht="13">
      <c r="B1619" s="33"/>
      <c r="C1619" s="34"/>
      <c r="D1619" s="68" t="s">
        <v>168</v>
      </c>
      <c r="E1619" s="69" t="s">
        <v>27</v>
      </c>
      <c r="F1619" s="20" t="s">
        <v>533</v>
      </c>
      <c r="G1619" s="15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</row>
    <row r="1620" spans="2:18" ht="13">
      <c r="B1620" s="33"/>
      <c r="C1620" s="34"/>
      <c r="D1620" s="68" t="s">
        <v>17</v>
      </c>
      <c r="E1620" s="69" t="s">
        <v>27</v>
      </c>
      <c r="F1620" s="20" t="s">
        <v>533</v>
      </c>
      <c r="G1620" s="15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</row>
    <row r="1621" spans="2:18" ht="13">
      <c r="B1621" s="33"/>
      <c r="C1621" s="34"/>
      <c r="D1621" s="68" t="s">
        <v>26</v>
      </c>
      <c r="E1621" s="69" t="s">
        <v>27</v>
      </c>
      <c r="F1621" s="20" t="s">
        <v>533</v>
      </c>
      <c r="G1621" s="15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</row>
    <row r="1622" spans="2:18" ht="13">
      <c r="B1622" s="33"/>
      <c r="C1622" s="34"/>
      <c r="D1622" s="68" t="s">
        <v>26</v>
      </c>
      <c r="E1622" s="69" t="s">
        <v>27</v>
      </c>
      <c r="F1622" s="20" t="s">
        <v>533</v>
      </c>
      <c r="G1622" s="15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</row>
    <row r="1623" spans="2:18" ht="13">
      <c r="B1623" s="33"/>
      <c r="C1623" s="34"/>
      <c r="D1623" s="68" t="s">
        <v>17</v>
      </c>
      <c r="E1623" s="69" t="s">
        <v>27</v>
      </c>
      <c r="F1623" s="20" t="s">
        <v>533</v>
      </c>
      <c r="G1623" s="15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</row>
    <row r="1624" spans="2:18" ht="13">
      <c r="B1624" s="33"/>
      <c r="C1624" s="34"/>
      <c r="D1624" s="68" t="s">
        <v>31</v>
      </c>
      <c r="E1624" s="69" t="s">
        <v>32</v>
      </c>
      <c r="F1624" s="20" t="s">
        <v>533</v>
      </c>
      <c r="G1624" s="15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</row>
    <row r="1625" spans="2:18" ht="13">
      <c r="B1625" s="33"/>
      <c r="C1625" s="34"/>
      <c r="D1625" s="68" t="s">
        <v>31</v>
      </c>
      <c r="E1625" s="69" t="s">
        <v>32</v>
      </c>
      <c r="F1625" s="20" t="s">
        <v>533</v>
      </c>
      <c r="G1625" s="15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</row>
    <row r="1626" spans="2:18" ht="13">
      <c r="B1626" s="33"/>
      <c r="C1626" s="34"/>
      <c r="D1626" s="68" t="s">
        <v>17</v>
      </c>
      <c r="E1626" s="69" t="s">
        <v>27</v>
      </c>
      <c r="F1626" s="20" t="s">
        <v>533</v>
      </c>
      <c r="G1626" s="15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</row>
    <row r="1627" spans="2:18" ht="13">
      <c r="B1627" s="33"/>
      <c r="C1627" s="34"/>
      <c r="D1627" s="68" t="s">
        <v>36</v>
      </c>
      <c r="E1627" s="69" t="s">
        <v>37</v>
      </c>
      <c r="F1627" s="20" t="s">
        <v>533</v>
      </c>
      <c r="G1627" s="15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</row>
    <row r="1628" spans="2:18" ht="13">
      <c r="B1628" s="33"/>
      <c r="C1628" s="34"/>
      <c r="D1628" s="68" t="s">
        <v>17</v>
      </c>
      <c r="E1628" s="69" t="s">
        <v>27</v>
      </c>
      <c r="F1628" s="20" t="s">
        <v>533</v>
      </c>
      <c r="G1628" s="15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</row>
    <row r="1629" spans="2:18" ht="13">
      <c r="B1629" s="33"/>
      <c r="C1629" s="34"/>
      <c r="D1629" s="68" t="s">
        <v>17</v>
      </c>
      <c r="E1629" s="69" t="s">
        <v>27</v>
      </c>
      <c r="F1629" s="20" t="s">
        <v>533</v>
      </c>
      <c r="G1629" s="15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</row>
    <row r="1630" spans="2:18" ht="13">
      <c r="B1630" s="33"/>
      <c r="C1630" s="34"/>
      <c r="D1630" s="68" t="s">
        <v>17</v>
      </c>
      <c r="E1630" s="69" t="s">
        <v>27</v>
      </c>
      <c r="F1630" s="20" t="s">
        <v>533</v>
      </c>
      <c r="G1630" s="15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</row>
    <row r="1631" spans="2:18" ht="13">
      <c r="B1631" s="33"/>
      <c r="C1631" s="34"/>
      <c r="D1631" s="68" t="s">
        <v>17</v>
      </c>
      <c r="E1631" s="69" t="s">
        <v>27</v>
      </c>
      <c r="F1631" s="20" t="s">
        <v>533</v>
      </c>
      <c r="G1631" s="15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</row>
    <row r="1632" spans="2:18" ht="13">
      <c r="B1632" s="33"/>
      <c r="C1632" s="34"/>
      <c r="D1632" s="68" t="s">
        <v>17</v>
      </c>
      <c r="E1632" s="69" t="s">
        <v>27</v>
      </c>
      <c r="F1632" s="20" t="s">
        <v>533</v>
      </c>
      <c r="G1632" s="15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</row>
    <row r="1633" spans="2:18" ht="13">
      <c r="B1633" s="33"/>
      <c r="C1633" s="34"/>
      <c r="D1633" s="68" t="s">
        <v>17</v>
      </c>
      <c r="E1633" s="69" t="s">
        <v>27</v>
      </c>
      <c r="F1633" s="20" t="s">
        <v>533</v>
      </c>
      <c r="G1633" s="15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</row>
    <row r="1634" spans="2:18" ht="13">
      <c r="B1634" s="33"/>
      <c r="C1634" s="34"/>
      <c r="D1634" s="68" t="s">
        <v>26</v>
      </c>
      <c r="E1634" s="69" t="s">
        <v>27</v>
      </c>
      <c r="F1634" s="20" t="s">
        <v>533</v>
      </c>
      <c r="G1634" s="15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</row>
    <row r="1635" spans="2:18" ht="13">
      <c r="B1635" s="33"/>
      <c r="C1635" s="34"/>
      <c r="D1635" s="68" t="s">
        <v>17</v>
      </c>
      <c r="E1635" s="69" t="s">
        <v>27</v>
      </c>
      <c r="F1635" s="20" t="s">
        <v>533</v>
      </c>
      <c r="G1635" s="15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</row>
    <row r="1636" spans="2:18" ht="13">
      <c r="B1636" s="33"/>
      <c r="C1636" s="34"/>
      <c r="D1636" s="68" t="s">
        <v>17</v>
      </c>
      <c r="E1636" s="69" t="s">
        <v>27</v>
      </c>
      <c r="F1636" s="20" t="s">
        <v>533</v>
      </c>
      <c r="G1636" s="15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</row>
    <row r="1637" spans="2:18" ht="13">
      <c r="B1637" s="33"/>
      <c r="C1637" s="34"/>
      <c r="D1637" s="68" t="s">
        <v>17</v>
      </c>
      <c r="E1637" s="69" t="s">
        <v>27</v>
      </c>
      <c r="F1637" s="20" t="s">
        <v>533</v>
      </c>
      <c r="G1637" s="15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</row>
    <row r="1638" spans="2:18" ht="13">
      <c r="B1638" s="33"/>
      <c r="C1638" s="34"/>
      <c r="D1638" s="68" t="s">
        <v>17</v>
      </c>
      <c r="E1638" s="69" t="s">
        <v>27</v>
      </c>
      <c r="F1638" s="20" t="s">
        <v>533</v>
      </c>
      <c r="G1638" s="15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</row>
    <row r="1639" spans="2:18" ht="13">
      <c r="B1639" s="33"/>
      <c r="C1639" s="34"/>
      <c r="D1639" s="68" t="s">
        <v>86</v>
      </c>
      <c r="E1639" s="69" t="s">
        <v>163</v>
      </c>
      <c r="F1639" s="20" t="s">
        <v>533</v>
      </c>
      <c r="G1639" s="15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</row>
    <row r="1640" spans="2:18" ht="13">
      <c r="B1640" s="33"/>
      <c r="C1640" s="34"/>
      <c r="D1640" s="68" t="s">
        <v>17</v>
      </c>
      <c r="E1640" s="69" t="s">
        <v>27</v>
      </c>
      <c r="F1640" s="20" t="s">
        <v>533</v>
      </c>
      <c r="G1640" s="15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</row>
    <row r="1641" spans="2:18" ht="13">
      <c r="B1641" s="33"/>
      <c r="C1641" s="34"/>
      <c r="D1641" s="68" t="s">
        <v>17</v>
      </c>
      <c r="E1641" s="69" t="s">
        <v>27</v>
      </c>
      <c r="F1641" s="20" t="s">
        <v>533</v>
      </c>
      <c r="G1641" s="15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</row>
    <row r="1642" spans="2:18" ht="13">
      <c r="B1642" s="33"/>
      <c r="C1642" s="34"/>
      <c r="D1642" s="68" t="s">
        <v>17</v>
      </c>
      <c r="E1642" s="69" t="s">
        <v>27</v>
      </c>
      <c r="F1642" s="20" t="s">
        <v>533</v>
      </c>
      <c r="G1642" s="15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</row>
    <row r="1643" spans="2:18" ht="13">
      <c r="B1643" s="33"/>
      <c r="C1643" s="34"/>
      <c r="D1643" s="68" t="s">
        <v>26</v>
      </c>
      <c r="E1643" s="69" t="s">
        <v>27</v>
      </c>
      <c r="F1643" s="20" t="s">
        <v>533</v>
      </c>
      <c r="G1643" s="15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</row>
    <row r="1644" spans="2:18" ht="13">
      <c r="B1644" s="33"/>
      <c r="C1644" s="34"/>
      <c r="D1644" s="68" t="s">
        <v>26</v>
      </c>
      <c r="E1644" s="69" t="s">
        <v>27</v>
      </c>
      <c r="F1644" s="20" t="s">
        <v>533</v>
      </c>
      <c r="G1644" s="15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</row>
    <row r="1645" spans="2:18" ht="13">
      <c r="B1645" s="33"/>
      <c r="C1645" s="34"/>
      <c r="D1645" s="68" t="s">
        <v>17</v>
      </c>
      <c r="E1645" s="69" t="s">
        <v>27</v>
      </c>
      <c r="F1645" s="20" t="s">
        <v>533</v>
      </c>
      <c r="G1645" s="15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</row>
    <row r="1646" spans="2:18" ht="13">
      <c r="B1646" s="33"/>
      <c r="C1646" s="34"/>
      <c r="D1646" s="68" t="s">
        <v>326</v>
      </c>
      <c r="E1646" s="69" t="s">
        <v>121</v>
      </c>
      <c r="F1646" s="20" t="s">
        <v>533</v>
      </c>
      <c r="G1646" s="15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</row>
    <row r="1647" spans="2:18" ht="13">
      <c r="B1647" s="33"/>
      <c r="C1647" s="34"/>
      <c r="D1647" s="68" t="s">
        <v>17</v>
      </c>
      <c r="E1647" s="69" t="s">
        <v>27</v>
      </c>
      <c r="F1647" s="20" t="s">
        <v>533</v>
      </c>
      <c r="G1647" s="15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</row>
    <row r="1648" spans="2:18" ht="13">
      <c r="B1648" s="33"/>
      <c r="C1648" s="34"/>
      <c r="D1648" s="68" t="s">
        <v>26</v>
      </c>
      <c r="E1648" s="69" t="s">
        <v>27</v>
      </c>
      <c r="F1648" s="20" t="s">
        <v>533</v>
      </c>
      <c r="G1648" s="15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</row>
    <row r="1649" spans="2:18" ht="13">
      <c r="B1649" s="33"/>
      <c r="C1649" s="34"/>
      <c r="D1649" s="68" t="s">
        <v>26</v>
      </c>
      <c r="E1649" s="69" t="s">
        <v>27</v>
      </c>
      <c r="F1649" s="20" t="s">
        <v>533</v>
      </c>
      <c r="G1649" s="15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</row>
    <row r="1650" spans="2:18" ht="13">
      <c r="B1650" s="33"/>
      <c r="C1650" s="34"/>
      <c r="D1650" s="68" t="s">
        <v>17</v>
      </c>
      <c r="E1650" s="69" t="s">
        <v>27</v>
      </c>
      <c r="F1650" s="20" t="s">
        <v>533</v>
      </c>
      <c r="G1650" s="15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</row>
    <row r="1651" spans="2:18" ht="13">
      <c r="B1651" s="33"/>
      <c r="C1651" s="34"/>
      <c r="D1651" s="68" t="s">
        <v>26</v>
      </c>
      <c r="E1651" s="69" t="s">
        <v>27</v>
      </c>
      <c r="F1651" s="20" t="s">
        <v>533</v>
      </c>
      <c r="G1651" s="15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</row>
    <row r="1652" spans="2:18" ht="13">
      <c r="B1652" s="33"/>
      <c r="C1652" s="34"/>
      <c r="D1652" s="68" t="s">
        <v>17</v>
      </c>
      <c r="E1652" s="69" t="s">
        <v>27</v>
      </c>
      <c r="F1652" s="20" t="s">
        <v>533</v>
      </c>
      <c r="G1652" s="15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</row>
    <row r="1653" spans="2:18" ht="13">
      <c r="B1653" s="33"/>
      <c r="C1653" s="34"/>
      <c r="D1653" s="68" t="s">
        <v>168</v>
      </c>
      <c r="E1653" s="69" t="s">
        <v>27</v>
      </c>
      <c r="F1653" s="20" t="s">
        <v>533</v>
      </c>
      <c r="G1653" s="15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</row>
    <row r="1654" spans="2:18" ht="13">
      <c r="B1654" s="33"/>
      <c r="C1654" s="34"/>
      <c r="D1654" s="68" t="s">
        <v>17</v>
      </c>
      <c r="E1654" s="69" t="s">
        <v>27</v>
      </c>
      <c r="F1654" s="20" t="s">
        <v>533</v>
      </c>
      <c r="G1654" s="15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</row>
    <row r="1655" spans="2:18" ht="13">
      <c r="B1655" s="33"/>
      <c r="C1655" s="34"/>
      <c r="D1655" s="68" t="s">
        <v>647</v>
      </c>
      <c r="E1655" s="69" t="s">
        <v>617</v>
      </c>
      <c r="F1655" s="20" t="s">
        <v>533</v>
      </c>
      <c r="G1655" s="15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</row>
    <row r="1656" spans="2:18" ht="13">
      <c r="B1656" s="33"/>
      <c r="C1656" s="34"/>
      <c r="D1656" s="68" t="s">
        <v>17</v>
      </c>
      <c r="E1656" s="69" t="s">
        <v>27</v>
      </c>
      <c r="F1656" s="20" t="s">
        <v>533</v>
      </c>
      <c r="G1656" s="15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</row>
    <row r="1657" spans="2:18" ht="13">
      <c r="B1657" s="33"/>
      <c r="C1657" s="34"/>
      <c r="D1657" s="68" t="s">
        <v>17</v>
      </c>
      <c r="E1657" s="69" t="s">
        <v>27</v>
      </c>
      <c r="F1657" s="20" t="s">
        <v>533</v>
      </c>
      <c r="G1657" s="15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</row>
    <row r="1658" spans="2:18" ht="13">
      <c r="B1658" s="33"/>
      <c r="C1658" s="34"/>
      <c r="D1658" s="68" t="s">
        <v>17</v>
      </c>
      <c r="E1658" s="69" t="s">
        <v>27</v>
      </c>
      <c r="F1658" s="20" t="s">
        <v>533</v>
      </c>
      <c r="G1658" s="15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</row>
    <row r="1659" spans="2:18" ht="13">
      <c r="B1659" s="33"/>
      <c r="C1659" s="34"/>
      <c r="D1659" s="68" t="s">
        <v>17</v>
      </c>
      <c r="E1659" s="69" t="s">
        <v>27</v>
      </c>
      <c r="F1659" s="20" t="s">
        <v>533</v>
      </c>
      <c r="G1659" s="15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</row>
    <row r="1660" spans="2:18" ht="13">
      <c r="B1660" s="33"/>
      <c r="C1660" s="34"/>
      <c r="D1660" s="68" t="s">
        <v>17</v>
      </c>
      <c r="E1660" s="69" t="s">
        <v>27</v>
      </c>
      <c r="F1660" s="20" t="s">
        <v>533</v>
      </c>
      <c r="G1660" s="15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</row>
    <row r="1661" spans="2:18" ht="13">
      <c r="B1661" s="33"/>
      <c r="C1661" s="34"/>
      <c r="D1661" s="68" t="s">
        <v>17</v>
      </c>
      <c r="E1661" s="69" t="s">
        <v>27</v>
      </c>
      <c r="F1661" s="20" t="s">
        <v>533</v>
      </c>
      <c r="G1661" s="15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</row>
    <row r="1662" spans="2:18" ht="13">
      <c r="B1662" s="33"/>
      <c r="C1662" s="34"/>
      <c r="D1662" s="68" t="s">
        <v>17</v>
      </c>
      <c r="E1662" s="69" t="s">
        <v>27</v>
      </c>
      <c r="F1662" s="20" t="s">
        <v>533</v>
      </c>
      <c r="G1662" s="15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</row>
    <row r="1663" spans="2:18" ht="13">
      <c r="B1663" s="33"/>
      <c r="C1663" s="34"/>
      <c r="D1663" s="68" t="s">
        <v>648</v>
      </c>
      <c r="E1663" s="69" t="s">
        <v>37</v>
      </c>
      <c r="F1663" s="20" t="s">
        <v>533</v>
      </c>
      <c r="G1663" s="15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</row>
    <row r="1664" spans="2:18" ht="13">
      <c r="B1664" s="33"/>
      <c r="C1664" s="34"/>
      <c r="D1664" s="68" t="s">
        <v>17</v>
      </c>
      <c r="E1664" s="69" t="s">
        <v>27</v>
      </c>
      <c r="F1664" s="20" t="s">
        <v>533</v>
      </c>
      <c r="G1664" s="15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</row>
    <row r="1665" spans="2:18" ht="13">
      <c r="B1665" s="33"/>
      <c r="C1665" s="34"/>
      <c r="D1665" s="68" t="s">
        <v>17</v>
      </c>
      <c r="E1665" s="69" t="s">
        <v>27</v>
      </c>
      <c r="F1665" s="20" t="s">
        <v>533</v>
      </c>
      <c r="G1665" s="15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</row>
    <row r="1666" spans="2:18" ht="13">
      <c r="B1666" s="33"/>
      <c r="C1666" s="34"/>
      <c r="D1666" s="68" t="s">
        <v>17</v>
      </c>
      <c r="E1666" s="69" t="s">
        <v>27</v>
      </c>
      <c r="F1666" s="20" t="s">
        <v>533</v>
      </c>
      <c r="G1666" s="15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</row>
    <row r="1667" spans="2:18" ht="13">
      <c r="B1667" s="33"/>
      <c r="C1667" s="34"/>
      <c r="D1667" s="68" t="s">
        <v>26</v>
      </c>
      <c r="E1667" s="69" t="s">
        <v>27</v>
      </c>
      <c r="F1667" s="20" t="s">
        <v>533</v>
      </c>
      <c r="G1667" s="15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</row>
    <row r="1668" spans="2:18" ht="13">
      <c r="B1668" s="33"/>
      <c r="C1668" s="34"/>
      <c r="D1668" s="68" t="s">
        <v>17</v>
      </c>
      <c r="E1668" s="69" t="s">
        <v>27</v>
      </c>
      <c r="F1668" s="20" t="s">
        <v>533</v>
      </c>
      <c r="G1668" s="15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</row>
    <row r="1669" spans="2:18" ht="13">
      <c r="B1669" s="33"/>
      <c r="C1669" s="34"/>
      <c r="D1669" s="68" t="s">
        <v>26</v>
      </c>
      <c r="E1669" s="69" t="s">
        <v>27</v>
      </c>
      <c r="F1669" s="20" t="s">
        <v>533</v>
      </c>
      <c r="G1669" s="15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</row>
    <row r="1670" spans="2:18" ht="13">
      <c r="B1670" s="33"/>
      <c r="C1670" s="34"/>
      <c r="D1670" s="68" t="s">
        <v>649</v>
      </c>
      <c r="E1670" s="69" t="s">
        <v>37</v>
      </c>
      <c r="F1670" s="20" t="s">
        <v>533</v>
      </c>
      <c r="G1670" s="15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</row>
    <row r="1671" spans="2:18" ht="13">
      <c r="B1671" s="33"/>
      <c r="C1671" s="34"/>
      <c r="D1671" s="68" t="s">
        <v>17</v>
      </c>
      <c r="E1671" s="69" t="s">
        <v>27</v>
      </c>
      <c r="F1671" s="20" t="s">
        <v>533</v>
      </c>
      <c r="G1671" s="15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</row>
    <row r="1672" spans="2:18" ht="13">
      <c r="B1672" s="33"/>
      <c r="C1672" s="34"/>
      <c r="D1672" s="68" t="s">
        <v>17</v>
      </c>
      <c r="E1672" s="69" t="s">
        <v>27</v>
      </c>
      <c r="F1672" s="20" t="s">
        <v>533</v>
      </c>
      <c r="G1672" s="15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</row>
    <row r="1673" spans="2:18" ht="13">
      <c r="B1673" s="33"/>
      <c r="C1673" s="34"/>
      <c r="D1673" s="68" t="s">
        <v>17</v>
      </c>
      <c r="E1673" s="69" t="s">
        <v>27</v>
      </c>
      <c r="F1673" s="20" t="s">
        <v>533</v>
      </c>
      <c r="G1673" s="15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</row>
    <row r="1674" spans="2:18" ht="13">
      <c r="B1674" s="33"/>
      <c r="C1674" s="34"/>
      <c r="D1674" s="68" t="s">
        <v>17</v>
      </c>
      <c r="E1674" s="69" t="s">
        <v>27</v>
      </c>
      <c r="F1674" s="20" t="s">
        <v>533</v>
      </c>
      <c r="G1674" s="15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</row>
    <row r="1675" spans="2:18" ht="13">
      <c r="B1675" s="33"/>
      <c r="C1675" s="34"/>
      <c r="D1675" s="68" t="s">
        <v>26</v>
      </c>
      <c r="E1675" s="69" t="s">
        <v>27</v>
      </c>
      <c r="F1675" s="20" t="s">
        <v>533</v>
      </c>
      <c r="G1675" s="15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</row>
    <row r="1676" spans="2:18" ht="13">
      <c r="B1676" s="33"/>
      <c r="C1676" s="34"/>
      <c r="D1676" s="68" t="s">
        <v>17</v>
      </c>
      <c r="E1676" s="69" t="s">
        <v>27</v>
      </c>
      <c r="F1676" s="20" t="s">
        <v>533</v>
      </c>
      <c r="G1676" s="15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</row>
    <row r="1677" spans="2:18" ht="13">
      <c r="B1677" s="33"/>
      <c r="C1677" s="34"/>
      <c r="D1677" s="68" t="s">
        <v>17</v>
      </c>
      <c r="E1677" s="69" t="s">
        <v>27</v>
      </c>
      <c r="F1677" s="20" t="s">
        <v>533</v>
      </c>
      <c r="G1677" s="15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</row>
    <row r="1678" spans="2:18" ht="13">
      <c r="B1678" s="33"/>
      <c r="C1678" s="34"/>
      <c r="D1678" s="68" t="s">
        <v>17</v>
      </c>
      <c r="E1678" s="69" t="s">
        <v>27</v>
      </c>
      <c r="F1678" s="20" t="s">
        <v>533</v>
      </c>
      <c r="G1678" s="15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</row>
    <row r="1679" spans="2:18" ht="13">
      <c r="B1679" s="33"/>
      <c r="C1679" s="34"/>
      <c r="D1679" s="68" t="s">
        <v>290</v>
      </c>
      <c r="E1679" s="69" t="s">
        <v>32</v>
      </c>
      <c r="F1679" s="20" t="s">
        <v>533</v>
      </c>
      <c r="G1679" s="15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</row>
    <row r="1680" spans="2:18" ht="13">
      <c r="B1680" s="33"/>
      <c r="C1680" s="34"/>
      <c r="D1680" s="68" t="s">
        <v>641</v>
      </c>
      <c r="E1680" s="69" t="s">
        <v>121</v>
      </c>
      <c r="F1680" s="20" t="s">
        <v>533</v>
      </c>
      <c r="G1680" s="15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</row>
    <row r="1681" spans="2:18" ht="13">
      <c r="B1681" s="33"/>
      <c r="C1681" s="34"/>
      <c r="D1681" s="68" t="s">
        <v>26</v>
      </c>
      <c r="E1681" s="69" t="s">
        <v>27</v>
      </c>
      <c r="F1681" s="20" t="s">
        <v>533</v>
      </c>
      <c r="G1681" s="15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</row>
    <row r="1682" spans="2:18" ht="13">
      <c r="B1682" s="33"/>
      <c r="C1682" s="34"/>
      <c r="D1682" s="68" t="s">
        <v>17</v>
      </c>
      <c r="E1682" s="69" t="s">
        <v>27</v>
      </c>
      <c r="F1682" s="20" t="s">
        <v>533</v>
      </c>
      <c r="G1682" s="15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</row>
    <row r="1683" spans="2:18" ht="13">
      <c r="B1683" s="33"/>
      <c r="C1683" s="34"/>
      <c r="D1683" s="68" t="s">
        <v>26</v>
      </c>
      <c r="E1683" s="69" t="s">
        <v>27</v>
      </c>
      <c r="F1683" s="20" t="s">
        <v>533</v>
      </c>
      <c r="G1683" s="15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</row>
    <row r="1684" spans="2:18" ht="13">
      <c r="B1684" s="33"/>
      <c r="C1684" s="34"/>
      <c r="D1684" s="68" t="s">
        <v>17</v>
      </c>
      <c r="E1684" s="69" t="s">
        <v>27</v>
      </c>
      <c r="F1684" s="20" t="s">
        <v>533</v>
      </c>
      <c r="G1684" s="15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</row>
    <row r="1685" spans="2:18" ht="13">
      <c r="B1685" s="33"/>
      <c r="C1685" s="34"/>
      <c r="D1685" s="68" t="s">
        <v>26</v>
      </c>
      <c r="E1685" s="69" t="s">
        <v>27</v>
      </c>
      <c r="F1685" s="20" t="s">
        <v>533</v>
      </c>
      <c r="G1685" s="15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</row>
    <row r="1686" spans="2:18" ht="13">
      <c r="B1686" s="33"/>
      <c r="C1686" s="34"/>
      <c r="D1686" s="68" t="s">
        <v>17</v>
      </c>
      <c r="E1686" s="69" t="s">
        <v>27</v>
      </c>
      <c r="F1686" s="20" t="s">
        <v>533</v>
      </c>
      <c r="G1686" s="15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</row>
    <row r="1687" spans="2:18" ht="13">
      <c r="B1687" s="33"/>
      <c r="C1687" s="34"/>
      <c r="D1687" s="68" t="s">
        <v>17</v>
      </c>
      <c r="E1687" s="69" t="s">
        <v>27</v>
      </c>
      <c r="F1687" s="20" t="s">
        <v>533</v>
      </c>
      <c r="G1687" s="15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</row>
    <row r="1688" spans="2:18" ht="13">
      <c r="B1688" s="33"/>
      <c r="C1688" s="34"/>
      <c r="D1688" s="68" t="s">
        <v>618</v>
      </c>
      <c r="E1688" s="69" t="s">
        <v>121</v>
      </c>
      <c r="F1688" s="20" t="s">
        <v>533</v>
      </c>
      <c r="G1688" s="15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</row>
    <row r="1689" spans="2:18" ht="13">
      <c r="B1689" s="33"/>
      <c r="C1689" s="34"/>
      <c r="D1689" s="68" t="s">
        <v>17</v>
      </c>
      <c r="E1689" s="69" t="s">
        <v>27</v>
      </c>
      <c r="F1689" s="20" t="s">
        <v>533</v>
      </c>
      <c r="G1689" s="15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</row>
    <row r="1690" spans="2:18" ht="13">
      <c r="B1690" s="33"/>
      <c r="C1690" s="34"/>
      <c r="D1690" s="68" t="s">
        <v>17</v>
      </c>
      <c r="E1690" s="69" t="s">
        <v>27</v>
      </c>
      <c r="F1690" s="20" t="s">
        <v>533</v>
      </c>
      <c r="G1690" s="15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</row>
    <row r="1691" spans="2:18" ht="13">
      <c r="B1691" s="33"/>
      <c r="C1691" s="34"/>
      <c r="D1691" s="68" t="s">
        <v>17</v>
      </c>
      <c r="E1691" s="69" t="s">
        <v>27</v>
      </c>
      <c r="F1691" s="20" t="s">
        <v>533</v>
      </c>
      <c r="G1691" s="15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</row>
    <row r="1692" spans="2:18" ht="13">
      <c r="B1692" s="33"/>
      <c r="C1692" s="34"/>
      <c r="D1692" s="68" t="s">
        <v>17</v>
      </c>
      <c r="E1692" s="69" t="s">
        <v>27</v>
      </c>
      <c r="F1692" s="20" t="s">
        <v>533</v>
      </c>
      <c r="G1692" s="15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</row>
    <row r="1693" spans="2:18" ht="13">
      <c r="B1693" s="33"/>
      <c r="C1693" s="34"/>
      <c r="D1693" s="68" t="s">
        <v>17</v>
      </c>
      <c r="E1693" s="69" t="s">
        <v>27</v>
      </c>
      <c r="F1693" s="20" t="s">
        <v>533</v>
      </c>
      <c r="G1693" s="15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</row>
    <row r="1694" spans="2:18" ht="13">
      <c r="B1694" s="33"/>
      <c r="C1694" s="34"/>
      <c r="D1694" s="68" t="s">
        <v>17</v>
      </c>
      <c r="E1694" s="69" t="s">
        <v>27</v>
      </c>
      <c r="F1694" s="20" t="s">
        <v>533</v>
      </c>
      <c r="G1694" s="15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</row>
    <row r="1695" spans="2:18" ht="13">
      <c r="B1695" s="33"/>
      <c r="C1695" s="34"/>
      <c r="D1695" s="68" t="s">
        <v>17</v>
      </c>
      <c r="E1695" s="69" t="s">
        <v>27</v>
      </c>
      <c r="F1695" s="20" t="s">
        <v>533</v>
      </c>
      <c r="G1695" s="15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</row>
    <row r="1696" spans="2:18" ht="13">
      <c r="B1696" s="33"/>
      <c r="C1696" s="34"/>
      <c r="D1696" s="68" t="s">
        <v>577</v>
      </c>
      <c r="E1696" s="69" t="s">
        <v>124</v>
      </c>
      <c r="F1696" s="20" t="s">
        <v>533</v>
      </c>
      <c r="G1696" s="15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</row>
    <row r="1697" spans="2:18" ht="13">
      <c r="B1697" s="33"/>
      <c r="C1697" s="34"/>
      <c r="D1697" s="68" t="s">
        <v>557</v>
      </c>
      <c r="E1697" s="69" t="s">
        <v>121</v>
      </c>
      <c r="F1697" s="20" t="s">
        <v>533</v>
      </c>
      <c r="G1697" s="15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</row>
    <row r="1698" spans="2:18" ht="13">
      <c r="B1698" s="33"/>
      <c r="C1698" s="34"/>
      <c r="D1698" s="68" t="s">
        <v>650</v>
      </c>
      <c r="E1698" s="69" t="s">
        <v>121</v>
      </c>
      <c r="F1698" s="20" t="s">
        <v>533</v>
      </c>
      <c r="G1698" s="15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</row>
    <row r="1699" spans="2:18" ht="13">
      <c r="B1699" s="33"/>
      <c r="C1699" s="34"/>
      <c r="D1699" s="68" t="s">
        <v>17</v>
      </c>
      <c r="E1699" s="69" t="s">
        <v>379</v>
      </c>
      <c r="F1699" s="20" t="s">
        <v>533</v>
      </c>
      <c r="G1699" s="15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</row>
    <row r="1700" spans="2:18" ht="13">
      <c r="B1700" s="33"/>
      <c r="C1700" s="34"/>
      <c r="D1700" s="68" t="s">
        <v>17</v>
      </c>
      <c r="E1700" s="69" t="s">
        <v>27</v>
      </c>
      <c r="F1700" s="20" t="s">
        <v>533</v>
      </c>
      <c r="G1700" s="15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</row>
    <row r="1701" spans="2:18" ht="13">
      <c r="B1701" s="33"/>
      <c r="C1701" s="34"/>
      <c r="D1701" s="68" t="s">
        <v>17</v>
      </c>
      <c r="E1701" s="69" t="s">
        <v>27</v>
      </c>
      <c r="F1701" s="20" t="s">
        <v>533</v>
      </c>
      <c r="G1701" s="15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</row>
    <row r="1702" spans="2:18" ht="13">
      <c r="B1702" s="33"/>
      <c r="C1702" s="34"/>
      <c r="D1702" s="68" t="s">
        <v>36</v>
      </c>
      <c r="E1702" s="69" t="s">
        <v>37</v>
      </c>
      <c r="F1702" s="20" t="s">
        <v>533</v>
      </c>
      <c r="G1702" s="15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</row>
    <row r="1703" spans="2:18" ht="13">
      <c r="B1703" s="33"/>
      <c r="C1703" s="34"/>
      <c r="D1703" s="68" t="s">
        <v>17</v>
      </c>
      <c r="E1703" s="69" t="s">
        <v>27</v>
      </c>
      <c r="F1703" s="20" t="s">
        <v>533</v>
      </c>
      <c r="G1703" s="15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</row>
    <row r="1704" spans="2:18" ht="13">
      <c r="B1704" s="33"/>
      <c r="C1704" s="34"/>
      <c r="D1704" s="68" t="s">
        <v>17</v>
      </c>
      <c r="E1704" s="69" t="s">
        <v>27</v>
      </c>
      <c r="F1704" s="20" t="s">
        <v>533</v>
      </c>
      <c r="G1704" s="15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</row>
    <row r="1705" spans="2:18" ht="13">
      <c r="B1705" s="33"/>
      <c r="C1705" s="34"/>
      <c r="D1705" s="68" t="s">
        <v>17</v>
      </c>
      <c r="E1705" s="69" t="s">
        <v>27</v>
      </c>
      <c r="F1705" s="20" t="s">
        <v>533</v>
      </c>
      <c r="G1705" s="15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</row>
    <row r="1706" spans="2:18" ht="13">
      <c r="B1706" s="33"/>
      <c r="C1706" s="34"/>
      <c r="D1706" s="68" t="s">
        <v>17</v>
      </c>
      <c r="E1706" s="69" t="s">
        <v>27</v>
      </c>
      <c r="F1706" s="20" t="s">
        <v>533</v>
      </c>
      <c r="G1706" s="15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</row>
    <row r="1707" spans="2:18" ht="13">
      <c r="B1707" s="33"/>
      <c r="C1707" s="34"/>
      <c r="D1707" s="68" t="s">
        <v>174</v>
      </c>
      <c r="E1707" s="69" t="s">
        <v>175</v>
      </c>
      <c r="F1707" s="20" t="s">
        <v>533</v>
      </c>
      <c r="G1707" s="15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</row>
    <row r="1708" spans="2:18" ht="13">
      <c r="B1708" s="33"/>
      <c r="C1708" s="34"/>
      <c r="D1708" s="68" t="s">
        <v>17</v>
      </c>
      <c r="E1708" s="69" t="s">
        <v>27</v>
      </c>
      <c r="F1708" s="20" t="s">
        <v>533</v>
      </c>
      <c r="G1708" s="15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</row>
    <row r="1709" spans="2:18" ht="13">
      <c r="B1709" s="33"/>
      <c r="C1709" s="34"/>
      <c r="D1709" s="68" t="s">
        <v>17</v>
      </c>
      <c r="E1709" s="69" t="s">
        <v>27</v>
      </c>
      <c r="F1709" s="20" t="s">
        <v>533</v>
      </c>
      <c r="G1709" s="15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</row>
    <row r="1710" spans="2:18" ht="13">
      <c r="B1710" s="33"/>
      <c r="C1710" s="34"/>
      <c r="D1710" s="68" t="s">
        <v>17</v>
      </c>
      <c r="E1710" s="69" t="s">
        <v>27</v>
      </c>
      <c r="F1710" s="20" t="s">
        <v>533</v>
      </c>
      <c r="G1710" s="15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</row>
    <row r="1711" spans="2:18" ht="13">
      <c r="B1711" s="33"/>
      <c r="C1711" s="34"/>
      <c r="D1711" s="68" t="s">
        <v>17</v>
      </c>
      <c r="E1711" s="69" t="s">
        <v>27</v>
      </c>
      <c r="F1711" s="20" t="s">
        <v>533</v>
      </c>
      <c r="G1711" s="15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</row>
    <row r="1712" spans="2:18" ht="13">
      <c r="B1712" s="33"/>
      <c r="C1712" s="34"/>
      <c r="D1712" s="68" t="s">
        <v>17</v>
      </c>
      <c r="E1712" s="69" t="s">
        <v>27</v>
      </c>
      <c r="F1712" s="20" t="s">
        <v>533</v>
      </c>
      <c r="G1712" s="15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</row>
    <row r="1713" spans="2:18" ht="13">
      <c r="B1713" s="33"/>
      <c r="C1713" s="34"/>
      <c r="D1713" s="68" t="s">
        <v>17</v>
      </c>
      <c r="E1713" s="69" t="s">
        <v>27</v>
      </c>
      <c r="F1713" s="20" t="s">
        <v>533</v>
      </c>
      <c r="G1713" s="15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</row>
    <row r="1714" spans="2:18" ht="13">
      <c r="B1714" s="33"/>
      <c r="C1714" s="34"/>
      <c r="D1714" s="68" t="s">
        <v>17</v>
      </c>
      <c r="E1714" s="69" t="s">
        <v>27</v>
      </c>
      <c r="F1714" s="20" t="s">
        <v>533</v>
      </c>
      <c r="G1714" s="15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</row>
    <row r="1715" spans="2:18" ht="13">
      <c r="B1715" s="33"/>
      <c r="C1715" s="34"/>
      <c r="D1715" s="68" t="s">
        <v>17</v>
      </c>
      <c r="E1715" s="69" t="s">
        <v>27</v>
      </c>
      <c r="F1715" s="20" t="s">
        <v>533</v>
      </c>
      <c r="G1715" s="15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</row>
    <row r="1716" spans="2:18" ht="13">
      <c r="B1716" s="33"/>
      <c r="C1716" s="34"/>
      <c r="D1716" s="68" t="s">
        <v>17</v>
      </c>
      <c r="E1716" s="69" t="s">
        <v>27</v>
      </c>
      <c r="F1716" s="20" t="s">
        <v>533</v>
      </c>
      <c r="G1716" s="15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</row>
    <row r="1717" spans="2:18" ht="13">
      <c r="B1717" s="33"/>
      <c r="C1717" s="34"/>
      <c r="D1717" s="68" t="s">
        <v>17</v>
      </c>
      <c r="E1717" s="69" t="s">
        <v>27</v>
      </c>
      <c r="F1717" s="20" t="s">
        <v>533</v>
      </c>
      <c r="G1717" s="15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</row>
    <row r="1718" spans="2:18" ht="13">
      <c r="B1718" s="33"/>
      <c r="C1718" s="34"/>
      <c r="D1718" s="68" t="s">
        <v>17</v>
      </c>
      <c r="E1718" s="69" t="s">
        <v>27</v>
      </c>
      <c r="F1718" s="20" t="s">
        <v>533</v>
      </c>
      <c r="G1718" s="15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</row>
    <row r="1719" spans="2:18" ht="13">
      <c r="B1719" s="33"/>
      <c r="C1719" s="34"/>
      <c r="D1719" s="68" t="s">
        <v>17</v>
      </c>
      <c r="E1719" s="69" t="s">
        <v>27</v>
      </c>
      <c r="F1719" s="20" t="s">
        <v>533</v>
      </c>
      <c r="G1719" s="15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</row>
    <row r="1720" spans="2:18" ht="13">
      <c r="B1720" s="33"/>
      <c r="C1720" s="34"/>
      <c r="D1720" s="68" t="s">
        <v>17</v>
      </c>
      <c r="E1720" s="69" t="s">
        <v>27</v>
      </c>
      <c r="F1720" s="20" t="s">
        <v>533</v>
      </c>
      <c r="G1720" s="15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</row>
    <row r="1721" spans="2:18" ht="13">
      <c r="B1721" s="33"/>
      <c r="C1721" s="34"/>
      <c r="D1721" s="68" t="s">
        <v>17</v>
      </c>
      <c r="E1721" s="69" t="s">
        <v>27</v>
      </c>
      <c r="F1721" s="20" t="s">
        <v>533</v>
      </c>
      <c r="G1721" s="15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</row>
    <row r="1722" spans="2:18" ht="13">
      <c r="B1722" s="33"/>
      <c r="C1722" s="34"/>
      <c r="D1722" s="68" t="s">
        <v>17</v>
      </c>
      <c r="E1722" s="69" t="s">
        <v>27</v>
      </c>
      <c r="F1722" s="20" t="s">
        <v>533</v>
      </c>
      <c r="G1722" s="15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</row>
    <row r="1723" spans="2:18" ht="13">
      <c r="B1723" s="33"/>
      <c r="C1723" s="34"/>
      <c r="D1723" s="68" t="s">
        <v>404</v>
      </c>
      <c r="E1723" s="69" t="s">
        <v>32</v>
      </c>
      <c r="F1723" s="20" t="s">
        <v>533</v>
      </c>
      <c r="G1723" s="15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</row>
    <row r="1724" spans="2:18" ht="13">
      <c r="B1724" s="33"/>
      <c r="C1724" s="34"/>
      <c r="D1724" s="68" t="s">
        <v>26</v>
      </c>
      <c r="E1724" s="69" t="s">
        <v>27</v>
      </c>
      <c r="F1724" s="20" t="s">
        <v>533</v>
      </c>
      <c r="G1724" s="15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</row>
    <row r="1725" spans="2:18" ht="13">
      <c r="B1725" s="33"/>
      <c r="C1725" s="34"/>
      <c r="D1725" s="68" t="s">
        <v>17</v>
      </c>
      <c r="E1725" s="69" t="s">
        <v>27</v>
      </c>
      <c r="F1725" s="20" t="s">
        <v>533</v>
      </c>
      <c r="G1725" s="15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</row>
    <row r="1726" spans="2:18" ht="13">
      <c r="B1726" s="33"/>
      <c r="C1726" s="34"/>
      <c r="D1726" s="68" t="s">
        <v>26</v>
      </c>
      <c r="E1726" s="69" t="s">
        <v>27</v>
      </c>
      <c r="F1726" s="20" t="s">
        <v>533</v>
      </c>
      <c r="G1726" s="15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</row>
    <row r="1727" spans="2:18" ht="13">
      <c r="B1727" s="33"/>
      <c r="C1727" s="34"/>
      <c r="D1727" s="68" t="s">
        <v>17</v>
      </c>
      <c r="E1727" s="69" t="s">
        <v>27</v>
      </c>
      <c r="F1727" s="20" t="s">
        <v>533</v>
      </c>
      <c r="G1727" s="15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</row>
    <row r="1728" spans="2:18" ht="13">
      <c r="B1728" s="33"/>
      <c r="C1728" s="34"/>
      <c r="D1728" s="68" t="s">
        <v>544</v>
      </c>
      <c r="E1728" s="69" t="s">
        <v>121</v>
      </c>
      <c r="F1728" s="20" t="s">
        <v>533</v>
      </c>
      <c r="G1728" s="15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</row>
    <row r="1729" spans="2:18" ht="13">
      <c r="B1729" s="33"/>
      <c r="C1729" s="34"/>
      <c r="D1729" s="68" t="s">
        <v>17</v>
      </c>
      <c r="E1729" s="69" t="s">
        <v>27</v>
      </c>
      <c r="F1729" s="20" t="s">
        <v>533</v>
      </c>
      <c r="G1729" s="15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</row>
    <row r="1730" spans="2:18" ht="13">
      <c r="B1730" s="33"/>
      <c r="C1730" s="34"/>
      <c r="D1730" s="68" t="s">
        <v>17</v>
      </c>
      <c r="E1730" s="69" t="s">
        <v>27</v>
      </c>
      <c r="F1730" s="20" t="s">
        <v>533</v>
      </c>
      <c r="G1730" s="15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</row>
    <row r="1731" spans="2:18" ht="13">
      <c r="B1731" s="33"/>
      <c r="C1731" s="34"/>
      <c r="D1731" s="68" t="s">
        <v>586</v>
      </c>
      <c r="E1731" s="69" t="s">
        <v>37</v>
      </c>
      <c r="F1731" s="20" t="s">
        <v>533</v>
      </c>
      <c r="G1731" s="15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</row>
    <row r="1732" spans="2:18" ht="13">
      <c r="B1732" s="33"/>
      <c r="C1732" s="34"/>
      <c r="D1732" s="68" t="s">
        <v>86</v>
      </c>
      <c r="E1732" s="69" t="s">
        <v>124</v>
      </c>
      <c r="F1732" s="20" t="s">
        <v>533</v>
      </c>
      <c r="G1732" s="15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</row>
    <row r="1733" spans="2:18" ht="13">
      <c r="B1733" s="33"/>
      <c r="C1733" s="34"/>
      <c r="D1733" s="68" t="s">
        <v>86</v>
      </c>
      <c r="E1733" s="69" t="s">
        <v>124</v>
      </c>
      <c r="F1733" s="20" t="s">
        <v>533</v>
      </c>
      <c r="G1733" s="15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</row>
    <row r="1734" spans="2:18" ht="13">
      <c r="B1734" s="33"/>
      <c r="C1734" s="34"/>
      <c r="D1734" s="68" t="s">
        <v>262</v>
      </c>
      <c r="E1734" s="69" t="s">
        <v>175</v>
      </c>
      <c r="F1734" s="20" t="s">
        <v>533</v>
      </c>
      <c r="G1734" s="15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</row>
    <row r="1735" spans="2:18" ht="13">
      <c r="B1735" s="33"/>
      <c r="C1735" s="34"/>
      <c r="D1735" s="68" t="s">
        <v>598</v>
      </c>
      <c r="E1735" s="69" t="s">
        <v>121</v>
      </c>
      <c r="F1735" s="20" t="s">
        <v>533</v>
      </c>
      <c r="G1735" s="15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</row>
    <row r="1736" spans="2:18" ht="13">
      <c r="B1736" s="33"/>
      <c r="C1736" s="34"/>
      <c r="D1736" s="68" t="s">
        <v>86</v>
      </c>
      <c r="E1736" s="69" t="s">
        <v>32</v>
      </c>
      <c r="F1736" s="20" t="s">
        <v>533</v>
      </c>
      <c r="G1736" s="15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</row>
    <row r="1737" spans="2:18" ht="13">
      <c r="B1737" s="33"/>
      <c r="C1737" s="34"/>
      <c r="D1737" s="68" t="s">
        <v>17</v>
      </c>
      <c r="E1737" s="69" t="s">
        <v>27</v>
      </c>
      <c r="F1737" s="20" t="s">
        <v>533</v>
      </c>
      <c r="G1737" s="15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</row>
    <row r="1738" spans="2:18" ht="13">
      <c r="B1738" s="33"/>
      <c r="C1738" s="34"/>
      <c r="D1738" s="68" t="s">
        <v>556</v>
      </c>
      <c r="E1738" s="69" t="s">
        <v>37</v>
      </c>
      <c r="F1738" s="20" t="s">
        <v>533</v>
      </c>
      <c r="G1738" s="15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</row>
    <row r="1739" spans="2:18" ht="13">
      <c r="B1739" s="33"/>
      <c r="C1739" s="34"/>
      <c r="D1739" s="68" t="s">
        <v>17</v>
      </c>
      <c r="E1739" s="69" t="s">
        <v>27</v>
      </c>
      <c r="F1739" s="20" t="s">
        <v>533</v>
      </c>
      <c r="G1739" s="15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</row>
    <row r="1740" spans="2:18" ht="13">
      <c r="B1740" s="33"/>
      <c r="C1740" s="34"/>
      <c r="D1740" s="68" t="s">
        <v>646</v>
      </c>
      <c r="E1740" s="69" t="s">
        <v>27</v>
      </c>
      <c r="F1740" s="20" t="s">
        <v>533</v>
      </c>
      <c r="G1740" s="15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</row>
    <row r="1741" spans="2:18" ht="13">
      <c r="B1741" s="33"/>
      <c r="C1741" s="34"/>
      <c r="D1741" s="68" t="s">
        <v>641</v>
      </c>
      <c r="E1741" s="69" t="s">
        <v>121</v>
      </c>
      <c r="F1741" s="20" t="s">
        <v>533</v>
      </c>
      <c r="G1741" s="15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</row>
    <row r="1742" spans="2:18" ht="13">
      <c r="B1742" s="33"/>
      <c r="C1742" s="34"/>
      <c r="D1742" s="68" t="s">
        <v>26</v>
      </c>
      <c r="E1742" s="69" t="s">
        <v>27</v>
      </c>
      <c r="F1742" s="20" t="s">
        <v>533</v>
      </c>
      <c r="G1742" s="15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</row>
    <row r="1743" spans="2:18" ht="13">
      <c r="B1743" s="33"/>
      <c r="C1743" s="34"/>
      <c r="D1743" s="68" t="s">
        <v>26</v>
      </c>
      <c r="E1743" s="69" t="s">
        <v>27</v>
      </c>
      <c r="F1743" s="20" t="s">
        <v>533</v>
      </c>
      <c r="G1743" s="15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</row>
    <row r="1744" spans="2:18" ht="13">
      <c r="B1744" s="33"/>
      <c r="C1744" s="34"/>
      <c r="D1744" s="68" t="s">
        <v>547</v>
      </c>
      <c r="E1744" s="69" t="s">
        <v>124</v>
      </c>
      <c r="F1744" s="20" t="s">
        <v>533</v>
      </c>
      <c r="G1744" s="15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</row>
    <row r="1745" spans="2:18" ht="13">
      <c r="B1745" s="33"/>
      <c r="C1745" s="34"/>
      <c r="D1745" s="68" t="s">
        <v>577</v>
      </c>
      <c r="E1745" s="69" t="s">
        <v>124</v>
      </c>
      <c r="F1745" s="20" t="s">
        <v>533</v>
      </c>
      <c r="G1745" s="15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</row>
    <row r="1746" spans="2:18" ht="13">
      <c r="B1746" s="33"/>
      <c r="C1746" s="34"/>
      <c r="D1746" s="68" t="s">
        <v>17</v>
      </c>
      <c r="E1746" s="69" t="s">
        <v>27</v>
      </c>
      <c r="F1746" s="20" t="s">
        <v>533</v>
      </c>
      <c r="G1746" s="15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</row>
    <row r="1747" spans="2:18" ht="13">
      <c r="B1747" s="33"/>
      <c r="C1747" s="34"/>
      <c r="D1747" s="68" t="s">
        <v>36</v>
      </c>
      <c r="E1747" s="69" t="s">
        <v>37</v>
      </c>
      <c r="F1747" s="20" t="s">
        <v>533</v>
      </c>
      <c r="G1747" s="15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</row>
    <row r="1748" spans="2:18" ht="13">
      <c r="B1748" s="33"/>
      <c r="C1748" s="34"/>
      <c r="D1748" s="68" t="s">
        <v>17</v>
      </c>
      <c r="E1748" s="69" t="s">
        <v>27</v>
      </c>
      <c r="F1748" s="20" t="s">
        <v>533</v>
      </c>
      <c r="G1748" s="15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</row>
    <row r="1749" spans="2:18" ht="13">
      <c r="B1749" s="33"/>
      <c r="C1749" s="34"/>
      <c r="D1749" s="68" t="s">
        <v>26</v>
      </c>
      <c r="E1749" s="69" t="s">
        <v>27</v>
      </c>
      <c r="F1749" s="20" t="s">
        <v>533</v>
      </c>
      <c r="G1749" s="15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</row>
    <row r="1750" spans="2:18" ht="13">
      <c r="B1750" s="33"/>
      <c r="C1750" s="34"/>
      <c r="D1750" s="68" t="s">
        <v>17</v>
      </c>
      <c r="E1750" s="69" t="s">
        <v>27</v>
      </c>
      <c r="F1750" s="20" t="s">
        <v>533</v>
      </c>
      <c r="G1750" s="15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</row>
    <row r="1751" spans="2:18" ht="13">
      <c r="B1751" s="33"/>
      <c r="C1751" s="34"/>
      <c r="D1751" s="68" t="s">
        <v>17</v>
      </c>
      <c r="E1751" s="69" t="s">
        <v>27</v>
      </c>
      <c r="F1751" s="20" t="s">
        <v>533</v>
      </c>
      <c r="G1751" s="15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</row>
    <row r="1752" spans="2:18" ht="13">
      <c r="B1752" s="33"/>
      <c r="C1752" s="34"/>
      <c r="D1752" s="68" t="s">
        <v>26</v>
      </c>
      <c r="E1752" s="69" t="s">
        <v>27</v>
      </c>
      <c r="F1752" s="20" t="s">
        <v>533</v>
      </c>
      <c r="G1752" s="15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</row>
    <row r="1753" spans="2:18" ht="13">
      <c r="B1753" s="33"/>
      <c r="C1753" s="34"/>
      <c r="D1753" s="68" t="s">
        <v>26</v>
      </c>
      <c r="E1753" s="69" t="s">
        <v>27</v>
      </c>
      <c r="F1753" s="20" t="s">
        <v>533</v>
      </c>
      <c r="G1753" s="15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</row>
    <row r="1754" spans="2:18" ht="13">
      <c r="B1754" s="33"/>
      <c r="C1754" s="34"/>
      <c r="D1754" s="68" t="s">
        <v>651</v>
      </c>
      <c r="E1754" s="69" t="s">
        <v>27</v>
      </c>
      <c r="F1754" s="20" t="s">
        <v>533</v>
      </c>
      <c r="G1754" s="15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</row>
    <row r="1755" spans="2:18" ht="13">
      <c r="B1755" s="33"/>
      <c r="C1755" s="34"/>
      <c r="D1755" s="68" t="s">
        <v>404</v>
      </c>
      <c r="E1755" s="69" t="s">
        <v>32</v>
      </c>
      <c r="F1755" s="20" t="s">
        <v>533</v>
      </c>
      <c r="G1755" s="15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</row>
    <row r="1756" spans="2:18" ht="13">
      <c r="B1756" s="33"/>
      <c r="C1756" s="34"/>
      <c r="D1756" s="68" t="s">
        <v>17</v>
      </c>
      <c r="E1756" s="69" t="s">
        <v>27</v>
      </c>
      <c r="F1756" s="20" t="s">
        <v>533</v>
      </c>
      <c r="G1756" s="15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</row>
    <row r="1757" spans="2:18" ht="13">
      <c r="B1757" s="33"/>
      <c r="C1757" s="34"/>
      <c r="D1757" s="68" t="s">
        <v>17</v>
      </c>
      <c r="E1757" s="69" t="s">
        <v>27</v>
      </c>
      <c r="F1757" s="20" t="s">
        <v>533</v>
      </c>
      <c r="G1757" s="15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</row>
    <row r="1758" spans="2:18" ht="13">
      <c r="B1758" s="33"/>
      <c r="C1758" s="34"/>
      <c r="D1758" s="68" t="s">
        <v>607</v>
      </c>
      <c r="E1758" s="69" t="s">
        <v>121</v>
      </c>
      <c r="F1758" s="20" t="s">
        <v>533</v>
      </c>
      <c r="G1758" s="15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</row>
    <row r="1759" spans="2:18" ht="13">
      <c r="B1759" s="33"/>
      <c r="C1759" s="34"/>
      <c r="D1759" s="68" t="s">
        <v>17</v>
      </c>
      <c r="E1759" s="69" t="s">
        <v>27</v>
      </c>
      <c r="F1759" s="20" t="s">
        <v>533</v>
      </c>
      <c r="G1759" s="15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</row>
    <row r="1760" spans="2:18" ht="13">
      <c r="B1760" s="33"/>
      <c r="C1760" s="34"/>
      <c r="D1760" s="68" t="s">
        <v>583</v>
      </c>
      <c r="E1760" s="69" t="s">
        <v>124</v>
      </c>
      <c r="F1760" s="20" t="s">
        <v>533</v>
      </c>
      <c r="G1760" s="15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</row>
    <row r="1761" spans="2:18" ht="13">
      <c r="B1761" s="33"/>
      <c r="C1761" s="34"/>
      <c r="D1761" s="68" t="s">
        <v>17</v>
      </c>
      <c r="E1761" s="69" t="s">
        <v>564</v>
      </c>
      <c r="F1761" s="20" t="s">
        <v>533</v>
      </c>
      <c r="G1761" s="15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</row>
    <row r="1762" spans="2:18" ht="13">
      <c r="B1762" s="33"/>
      <c r="C1762" s="34"/>
      <c r="D1762" s="68" t="s">
        <v>404</v>
      </c>
      <c r="E1762" s="69" t="s">
        <v>32</v>
      </c>
      <c r="F1762" s="20" t="s">
        <v>533</v>
      </c>
      <c r="G1762" s="15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</row>
    <row r="1763" spans="2:18" ht="13">
      <c r="B1763" s="33"/>
      <c r="C1763" s="34"/>
      <c r="D1763" s="68" t="s">
        <v>26</v>
      </c>
      <c r="E1763" s="69" t="s">
        <v>27</v>
      </c>
      <c r="F1763" s="20" t="s">
        <v>533</v>
      </c>
      <c r="G1763" s="15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</row>
    <row r="1764" spans="2:18" ht="13">
      <c r="B1764" s="33"/>
      <c r="C1764" s="34"/>
      <c r="D1764" s="68" t="s">
        <v>583</v>
      </c>
      <c r="E1764" s="69" t="s">
        <v>124</v>
      </c>
      <c r="F1764" s="20" t="s">
        <v>533</v>
      </c>
      <c r="G1764" s="15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</row>
    <row r="1765" spans="2:18" ht="13">
      <c r="B1765" s="33"/>
      <c r="C1765" s="34"/>
      <c r="D1765" s="68" t="s">
        <v>36</v>
      </c>
      <c r="E1765" s="69" t="s">
        <v>37</v>
      </c>
      <c r="F1765" s="20" t="s">
        <v>533</v>
      </c>
      <c r="G1765" s="15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</row>
    <row r="1766" spans="2:18" ht="13">
      <c r="B1766" s="33"/>
      <c r="C1766" s="34"/>
      <c r="D1766" s="68" t="s">
        <v>290</v>
      </c>
      <c r="E1766" s="69" t="s">
        <v>32</v>
      </c>
      <c r="F1766" s="20" t="s">
        <v>533</v>
      </c>
      <c r="G1766" s="15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</row>
    <row r="1767" spans="2:18" ht="13">
      <c r="B1767" s="33"/>
      <c r="C1767" s="34"/>
      <c r="D1767" s="68" t="s">
        <v>17</v>
      </c>
      <c r="E1767" s="69" t="s">
        <v>27</v>
      </c>
      <c r="F1767" s="20" t="s">
        <v>533</v>
      </c>
      <c r="G1767" s="15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</row>
    <row r="1768" spans="2:18" ht="13">
      <c r="B1768" s="33"/>
      <c r="C1768" s="34"/>
      <c r="D1768" s="68" t="s">
        <v>17</v>
      </c>
      <c r="E1768" s="69" t="s">
        <v>27</v>
      </c>
      <c r="F1768" s="20" t="s">
        <v>533</v>
      </c>
      <c r="G1768" s="15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</row>
    <row r="1769" spans="2:18" ht="13">
      <c r="B1769" s="33"/>
      <c r="C1769" s="34"/>
      <c r="D1769" s="68" t="s">
        <v>17</v>
      </c>
      <c r="E1769" s="69" t="s">
        <v>27</v>
      </c>
      <c r="F1769" s="20" t="s">
        <v>533</v>
      </c>
      <c r="G1769" s="15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</row>
    <row r="1770" spans="2:18" ht="13">
      <c r="B1770" s="33"/>
      <c r="C1770" s="34"/>
      <c r="D1770" s="68" t="s">
        <v>17</v>
      </c>
      <c r="E1770" s="69" t="s">
        <v>27</v>
      </c>
      <c r="F1770" s="20" t="s">
        <v>533</v>
      </c>
      <c r="G1770" s="15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</row>
    <row r="1771" spans="2:18" ht="13">
      <c r="B1771" s="33"/>
      <c r="C1771" s="34"/>
      <c r="D1771" s="68" t="s">
        <v>26</v>
      </c>
      <c r="E1771" s="69" t="s">
        <v>27</v>
      </c>
      <c r="F1771" s="20" t="s">
        <v>533</v>
      </c>
      <c r="G1771" s="15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</row>
    <row r="1772" spans="2:18" ht="13">
      <c r="B1772" s="33"/>
      <c r="C1772" s="34"/>
      <c r="D1772" s="68" t="s">
        <v>17</v>
      </c>
      <c r="E1772" s="69" t="s">
        <v>628</v>
      </c>
      <c r="F1772" s="20" t="s">
        <v>533</v>
      </c>
      <c r="G1772" s="15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</row>
    <row r="1773" spans="2:18" ht="13">
      <c r="B1773" s="33"/>
      <c r="C1773" s="34"/>
      <c r="D1773" s="68" t="s">
        <v>17</v>
      </c>
      <c r="E1773" s="69" t="s">
        <v>628</v>
      </c>
      <c r="F1773" s="20" t="s">
        <v>533</v>
      </c>
      <c r="G1773" s="15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</row>
    <row r="1774" spans="2:18" ht="13">
      <c r="B1774" s="33"/>
      <c r="C1774" s="34"/>
      <c r="D1774" s="68" t="s">
        <v>618</v>
      </c>
      <c r="E1774" s="69" t="s">
        <v>121</v>
      </c>
      <c r="F1774" s="20" t="s">
        <v>533</v>
      </c>
      <c r="G1774" s="15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</row>
    <row r="1775" spans="2:18" ht="13">
      <c r="B1775" s="33"/>
      <c r="C1775" s="34"/>
      <c r="D1775" s="68" t="s">
        <v>26</v>
      </c>
      <c r="E1775" s="69" t="s">
        <v>564</v>
      </c>
      <c r="F1775" s="20" t="s">
        <v>533</v>
      </c>
      <c r="G1775" s="15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</row>
    <row r="1776" spans="2:18" ht="13">
      <c r="B1776" s="33"/>
      <c r="C1776" s="34"/>
      <c r="D1776" s="68" t="s">
        <v>26</v>
      </c>
      <c r="E1776" s="69" t="s">
        <v>27</v>
      </c>
      <c r="F1776" s="20" t="s">
        <v>533</v>
      </c>
      <c r="G1776" s="15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</row>
    <row r="1777" spans="2:18" ht="13">
      <c r="B1777" s="33"/>
      <c r="C1777" s="34"/>
      <c r="D1777" s="68" t="s">
        <v>26</v>
      </c>
      <c r="E1777" s="69" t="s">
        <v>27</v>
      </c>
      <c r="F1777" s="20" t="s">
        <v>533</v>
      </c>
      <c r="G1777" s="15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</row>
    <row r="1778" spans="2:18" ht="13">
      <c r="B1778" s="33"/>
      <c r="C1778" s="34"/>
      <c r="D1778" s="68" t="s">
        <v>17</v>
      </c>
      <c r="E1778" s="69" t="s">
        <v>27</v>
      </c>
      <c r="F1778" s="20" t="s">
        <v>533</v>
      </c>
      <c r="G1778" s="15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</row>
    <row r="1779" spans="2:18" ht="13">
      <c r="B1779" s="33"/>
      <c r="C1779" s="34"/>
      <c r="D1779" s="68" t="s">
        <v>26</v>
      </c>
      <c r="E1779" s="69" t="s">
        <v>27</v>
      </c>
      <c r="F1779" s="20" t="s">
        <v>533</v>
      </c>
      <c r="G1779" s="15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</row>
    <row r="1780" spans="2:18" ht="13">
      <c r="B1780" s="33"/>
      <c r="C1780" s="34"/>
      <c r="D1780" s="68" t="s">
        <v>17</v>
      </c>
      <c r="E1780" s="69" t="s">
        <v>27</v>
      </c>
      <c r="F1780" s="20" t="s">
        <v>533</v>
      </c>
      <c r="G1780" s="15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</row>
    <row r="1781" spans="2:18" ht="13">
      <c r="B1781" s="33"/>
      <c r="C1781" s="34"/>
      <c r="D1781" s="68" t="s">
        <v>640</v>
      </c>
      <c r="E1781" s="69" t="s">
        <v>32</v>
      </c>
      <c r="F1781" s="20" t="s">
        <v>533</v>
      </c>
      <c r="G1781" s="15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</row>
    <row r="1782" spans="2:18" ht="13">
      <c r="B1782" s="33"/>
      <c r="C1782" s="34"/>
      <c r="D1782" s="68" t="s">
        <v>17</v>
      </c>
      <c r="E1782" s="69" t="s">
        <v>27</v>
      </c>
      <c r="F1782" s="20" t="s">
        <v>533</v>
      </c>
      <c r="G1782" s="15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</row>
    <row r="1783" spans="2:18" ht="13">
      <c r="B1783" s="33"/>
      <c r="C1783" s="34"/>
      <c r="D1783" s="68" t="s">
        <v>17</v>
      </c>
      <c r="E1783" s="69" t="s">
        <v>27</v>
      </c>
      <c r="F1783" s="20" t="s">
        <v>533</v>
      </c>
      <c r="G1783" s="15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</row>
    <row r="1784" spans="2:18" ht="13">
      <c r="B1784" s="33"/>
      <c r="C1784" s="34"/>
      <c r="D1784" s="68" t="s">
        <v>17</v>
      </c>
      <c r="E1784" s="69" t="s">
        <v>628</v>
      </c>
      <c r="F1784" s="20" t="s">
        <v>533</v>
      </c>
      <c r="G1784" s="15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</row>
    <row r="1785" spans="2:18" ht="13">
      <c r="B1785" s="33"/>
      <c r="C1785" s="34"/>
      <c r="D1785" s="68" t="s">
        <v>26</v>
      </c>
      <c r="E1785" s="69" t="s">
        <v>27</v>
      </c>
      <c r="F1785" s="20" t="s">
        <v>533</v>
      </c>
      <c r="G1785" s="15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</row>
    <row r="1786" spans="2:18" ht="13">
      <c r="B1786" s="33"/>
      <c r="C1786" s="34"/>
      <c r="D1786" s="68" t="s">
        <v>574</v>
      </c>
      <c r="E1786" s="69" t="s">
        <v>575</v>
      </c>
      <c r="F1786" s="20" t="s">
        <v>533</v>
      </c>
      <c r="G1786" s="15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</row>
    <row r="1787" spans="2:18" ht="13">
      <c r="B1787" s="33"/>
      <c r="C1787" s="34"/>
      <c r="D1787" s="68" t="s">
        <v>17</v>
      </c>
      <c r="E1787" s="69" t="s">
        <v>27</v>
      </c>
      <c r="F1787" s="20" t="s">
        <v>533</v>
      </c>
      <c r="G1787" s="15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</row>
    <row r="1788" spans="2:18" ht="13">
      <c r="B1788" s="33"/>
      <c r="C1788" s="34"/>
      <c r="D1788" s="68" t="s">
        <v>26</v>
      </c>
      <c r="E1788" s="69" t="s">
        <v>27</v>
      </c>
      <c r="F1788" s="20" t="s">
        <v>533</v>
      </c>
      <c r="G1788" s="15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</row>
    <row r="1789" spans="2:18" ht="13">
      <c r="B1789" s="33"/>
      <c r="C1789" s="34"/>
      <c r="D1789" s="68" t="s">
        <v>571</v>
      </c>
      <c r="E1789" s="69" t="s">
        <v>163</v>
      </c>
      <c r="F1789" s="20" t="s">
        <v>533</v>
      </c>
      <c r="G1789" s="15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</row>
    <row r="1790" spans="2:18" ht="13">
      <c r="B1790" s="33"/>
      <c r="C1790" s="34"/>
      <c r="D1790" s="68" t="s">
        <v>17</v>
      </c>
      <c r="E1790" s="69" t="s">
        <v>27</v>
      </c>
      <c r="F1790" s="20" t="s">
        <v>533</v>
      </c>
      <c r="G1790" s="15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</row>
    <row r="1791" spans="2:18" ht="13">
      <c r="B1791" s="33"/>
      <c r="C1791" s="34"/>
      <c r="D1791" s="68" t="s">
        <v>26</v>
      </c>
      <c r="E1791" s="69" t="s">
        <v>121</v>
      </c>
      <c r="F1791" s="20" t="s">
        <v>533</v>
      </c>
      <c r="G1791" s="15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</row>
    <row r="1792" spans="2:18" ht="13">
      <c r="B1792" s="33"/>
      <c r="C1792" s="34"/>
      <c r="D1792" s="68" t="s">
        <v>17</v>
      </c>
      <c r="E1792" s="69" t="s">
        <v>27</v>
      </c>
      <c r="F1792" s="20" t="s">
        <v>533</v>
      </c>
      <c r="G1792" s="15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</row>
    <row r="1793" spans="2:18" ht="13">
      <c r="B1793" s="33"/>
      <c r="C1793" s="34"/>
      <c r="D1793" s="68" t="s">
        <v>26</v>
      </c>
      <c r="E1793" s="69" t="s">
        <v>27</v>
      </c>
      <c r="F1793" s="20" t="s">
        <v>533</v>
      </c>
      <c r="G1793" s="15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</row>
    <row r="1794" spans="2:18" ht="13">
      <c r="B1794" s="33"/>
      <c r="C1794" s="34"/>
      <c r="D1794" s="68" t="s">
        <v>26</v>
      </c>
      <c r="E1794" s="69" t="s">
        <v>27</v>
      </c>
      <c r="F1794" s="20" t="s">
        <v>533</v>
      </c>
      <c r="G1794" s="15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</row>
    <row r="1795" spans="2:18" ht="13">
      <c r="B1795" s="33"/>
      <c r="C1795" s="34"/>
      <c r="D1795" s="68" t="s">
        <v>26</v>
      </c>
      <c r="E1795" s="69" t="s">
        <v>27</v>
      </c>
      <c r="F1795" s="20" t="s">
        <v>533</v>
      </c>
      <c r="G1795" s="15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</row>
    <row r="1796" spans="2:18" ht="13">
      <c r="B1796" s="33"/>
      <c r="C1796" s="34"/>
      <c r="D1796" s="68" t="s">
        <v>26</v>
      </c>
      <c r="E1796" s="69" t="s">
        <v>27</v>
      </c>
      <c r="F1796" s="20" t="s">
        <v>533</v>
      </c>
      <c r="G1796" s="15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</row>
    <row r="1797" spans="2:18" ht="13">
      <c r="B1797" s="33"/>
      <c r="C1797" s="34"/>
      <c r="D1797" s="68" t="s">
        <v>17</v>
      </c>
      <c r="E1797" s="69" t="s">
        <v>27</v>
      </c>
      <c r="F1797" s="20" t="s">
        <v>533</v>
      </c>
      <c r="G1797" s="15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</row>
    <row r="1798" spans="2:18" ht="13">
      <c r="B1798" s="33"/>
      <c r="C1798" s="34"/>
      <c r="D1798" s="68" t="s">
        <v>17</v>
      </c>
      <c r="E1798" s="69" t="s">
        <v>27</v>
      </c>
      <c r="F1798" s="20" t="s">
        <v>533</v>
      </c>
      <c r="G1798" s="15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</row>
    <row r="1799" spans="2:18" ht="13">
      <c r="B1799" s="33"/>
      <c r="C1799" s="34"/>
      <c r="D1799" s="68" t="s">
        <v>17</v>
      </c>
      <c r="E1799" s="69" t="s">
        <v>27</v>
      </c>
      <c r="F1799" s="20" t="s">
        <v>533</v>
      </c>
      <c r="G1799" s="15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</row>
    <row r="1800" spans="2:18" ht="13">
      <c r="B1800" s="33"/>
      <c r="C1800" s="34"/>
      <c r="D1800" s="68" t="s">
        <v>26</v>
      </c>
      <c r="E1800" s="69" t="s">
        <v>27</v>
      </c>
      <c r="F1800" s="20" t="s">
        <v>533</v>
      </c>
      <c r="G1800" s="15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</row>
    <row r="1801" spans="2:18" ht="13">
      <c r="B1801" s="33"/>
      <c r="C1801" s="34"/>
      <c r="D1801" s="68" t="s">
        <v>17</v>
      </c>
      <c r="E1801" s="69" t="s">
        <v>27</v>
      </c>
      <c r="F1801" s="20" t="s">
        <v>533</v>
      </c>
      <c r="G1801" s="15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</row>
    <row r="1802" spans="2:18" ht="13">
      <c r="B1802" s="33"/>
      <c r="C1802" s="34"/>
      <c r="D1802" s="68" t="s">
        <v>17</v>
      </c>
      <c r="E1802" s="69" t="s">
        <v>27</v>
      </c>
      <c r="F1802" s="20" t="s">
        <v>533</v>
      </c>
      <c r="G1802" s="15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</row>
    <row r="1803" spans="2:18" ht="13">
      <c r="B1803" s="33"/>
      <c r="C1803" s="34"/>
      <c r="D1803" s="68" t="s">
        <v>26</v>
      </c>
      <c r="E1803" s="69" t="s">
        <v>27</v>
      </c>
      <c r="F1803" s="20" t="s">
        <v>533</v>
      </c>
      <c r="G1803" s="15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</row>
    <row r="1804" spans="2:18" ht="13">
      <c r="B1804" s="33"/>
      <c r="C1804" s="34"/>
      <c r="D1804" s="68" t="s">
        <v>17</v>
      </c>
      <c r="E1804" s="69" t="s">
        <v>27</v>
      </c>
      <c r="F1804" s="20" t="s">
        <v>533</v>
      </c>
      <c r="G1804" s="15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</row>
    <row r="1805" spans="2:18" ht="13">
      <c r="B1805" s="33"/>
      <c r="C1805" s="34"/>
      <c r="D1805" s="68" t="s">
        <v>17</v>
      </c>
      <c r="E1805" s="69" t="s">
        <v>27</v>
      </c>
      <c r="F1805" s="20" t="s">
        <v>533</v>
      </c>
      <c r="G1805" s="15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</row>
    <row r="1806" spans="2:18" ht="13">
      <c r="B1806" s="33"/>
      <c r="C1806" s="34"/>
      <c r="D1806" s="68" t="s">
        <v>404</v>
      </c>
      <c r="E1806" s="69" t="s">
        <v>32</v>
      </c>
      <c r="F1806" s="20" t="s">
        <v>533</v>
      </c>
      <c r="G1806" s="15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</row>
    <row r="1807" spans="2:18" ht="13">
      <c r="B1807" s="33"/>
      <c r="C1807" s="34"/>
      <c r="D1807" s="68" t="s">
        <v>17</v>
      </c>
      <c r="E1807" s="69" t="s">
        <v>27</v>
      </c>
      <c r="F1807" s="20" t="s">
        <v>533</v>
      </c>
      <c r="G1807" s="15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</row>
    <row r="1808" spans="2:18" ht="13">
      <c r="B1808" s="33"/>
      <c r="C1808" s="34"/>
      <c r="D1808" s="68" t="s">
        <v>17</v>
      </c>
      <c r="E1808" s="69" t="s">
        <v>27</v>
      </c>
      <c r="F1808" s="20" t="s">
        <v>533</v>
      </c>
      <c r="G1808" s="15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</row>
    <row r="1809" spans="2:18" ht="13">
      <c r="B1809" s="33"/>
      <c r="C1809" s="34"/>
      <c r="D1809" s="68" t="s">
        <v>36</v>
      </c>
      <c r="E1809" s="69" t="s">
        <v>37</v>
      </c>
      <c r="F1809" s="20" t="s">
        <v>533</v>
      </c>
      <c r="G1809" s="15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</row>
    <row r="1810" spans="2:18" ht="13">
      <c r="B1810" s="33"/>
      <c r="C1810" s="34"/>
      <c r="D1810" s="68" t="s">
        <v>26</v>
      </c>
      <c r="E1810" s="69" t="s">
        <v>27</v>
      </c>
      <c r="F1810" s="20" t="s">
        <v>533</v>
      </c>
      <c r="G1810" s="15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</row>
    <row r="1811" spans="2:18" ht="13">
      <c r="B1811" s="33"/>
      <c r="C1811" s="34"/>
      <c r="D1811" s="68" t="s">
        <v>17</v>
      </c>
      <c r="E1811" s="69" t="s">
        <v>27</v>
      </c>
      <c r="F1811" s="20" t="s">
        <v>533</v>
      </c>
      <c r="G1811" s="15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</row>
    <row r="1812" spans="2:18" ht="13">
      <c r="B1812" s="33"/>
      <c r="C1812" s="34"/>
      <c r="D1812" s="68" t="s">
        <v>17</v>
      </c>
      <c r="E1812" s="69" t="s">
        <v>27</v>
      </c>
      <c r="F1812" s="20" t="s">
        <v>533</v>
      </c>
      <c r="G1812" s="15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</row>
    <row r="1813" spans="2:18" ht="13">
      <c r="B1813" s="33"/>
      <c r="C1813" s="34"/>
      <c r="D1813" s="68" t="s">
        <v>26</v>
      </c>
      <c r="E1813" s="69" t="s">
        <v>27</v>
      </c>
      <c r="F1813" s="20" t="s">
        <v>533</v>
      </c>
      <c r="G1813" s="15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</row>
    <row r="1814" spans="2:18" ht="13">
      <c r="B1814" s="33"/>
      <c r="C1814" s="34"/>
      <c r="D1814" s="68" t="s">
        <v>26</v>
      </c>
      <c r="E1814" s="69" t="s">
        <v>27</v>
      </c>
      <c r="F1814" s="20" t="s">
        <v>533</v>
      </c>
      <c r="G1814" s="15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</row>
    <row r="1815" spans="2:18" ht="13">
      <c r="B1815" s="33"/>
      <c r="C1815" s="34"/>
      <c r="D1815" s="68" t="s">
        <v>17</v>
      </c>
      <c r="E1815" s="69" t="s">
        <v>27</v>
      </c>
      <c r="F1815" s="20" t="s">
        <v>533</v>
      </c>
      <c r="G1815" s="15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</row>
    <row r="1816" spans="2:18" ht="13">
      <c r="B1816" s="33"/>
      <c r="C1816" s="34"/>
      <c r="D1816" s="68" t="s">
        <v>613</v>
      </c>
      <c r="E1816" s="69" t="s">
        <v>32</v>
      </c>
      <c r="F1816" s="20" t="s">
        <v>533</v>
      </c>
      <c r="G1816" s="15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</row>
    <row r="1817" spans="2:18" ht="13">
      <c r="B1817" s="33"/>
      <c r="C1817" s="34"/>
      <c r="D1817" s="68" t="s">
        <v>17</v>
      </c>
      <c r="E1817" s="69" t="s">
        <v>27</v>
      </c>
      <c r="F1817" s="20" t="s">
        <v>533</v>
      </c>
      <c r="G1817" s="15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</row>
    <row r="1818" spans="2:18" ht="13">
      <c r="B1818" s="33"/>
      <c r="C1818" s="34"/>
      <c r="D1818" s="68" t="s">
        <v>17</v>
      </c>
      <c r="E1818" s="69" t="s">
        <v>27</v>
      </c>
      <c r="F1818" s="20" t="s">
        <v>533</v>
      </c>
      <c r="G1818" s="15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</row>
    <row r="1819" spans="2:18" ht="13">
      <c r="B1819" s="33"/>
      <c r="C1819" s="34"/>
      <c r="D1819" s="68" t="s">
        <v>17</v>
      </c>
      <c r="E1819" s="69" t="s">
        <v>27</v>
      </c>
      <c r="F1819" s="20" t="s">
        <v>533</v>
      </c>
      <c r="G1819" s="15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</row>
    <row r="1820" spans="2:18" ht="13">
      <c r="B1820" s="33"/>
      <c r="C1820" s="34"/>
      <c r="D1820" s="68" t="s">
        <v>174</v>
      </c>
      <c r="E1820" s="69" t="s">
        <v>175</v>
      </c>
      <c r="F1820" s="20" t="s">
        <v>533</v>
      </c>
      <c r="G1820" s="15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</row>
    <row r="1821" spans="2:18" ht="13">
      <c r="B1821" s="33"/>
      <c r="C1821" s="34"/>
      <c r="D1821" s="68" t="s">
        <v>618</v>
      </c>
      <c r="E1821" s="69" t="s">
        <v>121</v>
      </c>
      <c r="F1821" s="20" t="s">
        <v>533</v>
      </c>
      <c r="G1821" s="15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</row>
    <row r="1822" spans="2:18" ht="13">
      <c r="B1822" s="33"/>
      <c r="C1822" s="34"/>
      <c r="D1822" s="68" t="s">
        <v>26</v>
      </c>
      <c r="E1822" s="69" t="s">
        <v>27</v>
      </c>
      <c r="F1822" s="20" t="s">
        <v>533</v>
      </c>
      <c r="G1822" s="15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</row>
    <row r="1823" spans="2:18" ht="13">
      <c r="B1823" s="33"/>
      <c r="C1823" s="34"/>
      <c r="D1823" s="68" t="s">
        <v>17</v>
      </c>
      <c r="E1823" s="69" t="s">
        <v>27</v>
      </c>
      <c r="F1823" s="20" t="s">
        <v>533</v>
      </c>
      <c r="G1823" s="15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</row>
    <row r="1824" spans="2:18" ht="13">
      <c r="B1824" s="33"/>
      <c r="C1824" s="34"/>
      <c r="D1824" s="68" t="s">
        <v>17</v>
      </c>
      <c r="E1824" s="69" t="s">
        <v>27</v>
      </c>
      <c r="F1824" s="20" t="s">
        <v>533</v>
      </c>
      <c r="G1824" s="15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</row>
    <row r="1825" spans="2:18" ht="13">
      <c r="B1825" s="33"/>
      <c r="C1825" s="34"/>
      <c r="D1825" s="68" t="s">
        <v>168</v>
      </c>
      <c r="E1825" s="69" t="s">
        <v>27</v>
      </c>
      <c r="F1825" s="20" t="s">
        <v>533</v>
      </c>
      <c r="G1825" s="15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</row>
    <row r="1826" spans="2:18" ht="13">
      <c r="B1826" s="33"/>
      <c r="C1826" s="34"/>
      <c r="D1826" s="68" t="s">
        <v>17</v>
      </c>
      <c r="E1826" s="69" t="s">
        <v>27</v>
      </c>
      <c r="F1826" s="20" t="s">
        <v>533</v>
      </c>
      <c r="G1826" s="15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</row>
    <row r="1827" spans="2:18" ht="13">
      <c r="B1827" s="33"/>
      <c r="C1827" s="34"/>
      <c r="D1827" s="68" t="s">
        <v>17</v>
      </c>
      <c r="E1827" s="69" t="s">
        <v>27</v>
      </c>
      <c r="F1827" s="20" t="s">
        <v>533</v>
      </c>
      <c r="G1827" s="15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</row>
    <row r="1828" spans="2:18" ht="13">
      <c r="B1828" s="33"/>
      <c r="C1828" s="34"/>
      <c r="D1828" s="68" t="s">
        <v>36</v>
      </c>
      <c r="E1828" s="69" t="s">
        <v>37</v>
      </c>
      <c r="F1828" s="20" t="s">
        <v>533</v>
      </c>
      <c r="G1828" s="15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</row>
    <row r="1829" spans="2:18" ht="13">
      <c r="B1829" s="33"/>
      <c r="C1829" s="34"/>
      <c r="D1829" s="68" t="s">
        <v>17</v>
      </c>
      <c r="E1829" s="69" t="s">
        <v>27</v>
      </c>
      <c r="F1829" s="20" t="s">
        <v>533</v>
      </c>
      <c r="G1829" s="15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</row>
    <row r="1830" spans="2:18" ht="13">
      <c r="B1830" s="33"/>
      <c r="C1830" s="34"/>
      <c r="D1830" s="68" t="s">
        <v>17</v>
      </c>
      <c r="E1830" s="69" t="s">
        <v>27</v>
      </c>
      <c r="F1830" s="20" t="s">
        <v>533</v>
      </c>
      <c r="G1830" s="15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</row>
    <row r="1831" spans="2:18" ht="13">
      <c r="B1831" s="33"/>
      <c r="C1831" s="34"/>
      <c r="D1831" s="68" t="s">
        <v>17</v>
      </c>
      <c r="E1831" s="69" t="s">
        <v>27</v>
      </c>
      <c r="F1831" s="20" t="s">
        <v>533</v>
      </c>
      <c r="G1831" s="15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</row>
    <row r="1832" spans="2:18" ht="13">
      <c r="B1832" s="33"/>
      <c r="C1832" s="34"/>
      <c r="D1832" s="68" t="s">
        <v>17</v>
      </c>
      <c r="E1832" s="69" t="s">
        <v>27</v>
      </c>
      <c r="F1832" s="20" t="s">
        <v>533</v>
      </c>
      <c r="G1832" s="15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</row>
    <row r="1833" spans="2:18" ht="13">
      <c r="B1833" s="33"/>
      <c r="C1833" s="34"/>
      <c r="D1833" s="68" t="s">
        <v>26</v>
      </c>
      <c r="E1833" s="69" t="s">
        <v>27</v>
      </c>
      <c r="F1833" s="20" t="s">
        <v>533</v>
      </c>
      <c r="G1833" s="15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</row>
    <row r="1834" spans="2:18" ht="13">
      <c r="B1834" s="33"/>
      <c r="C1834" s="34"/>
      <c r="D1834" s="68" t="s">
        <v>17</v>
      </c>
      <c r="E1834" s="69" t="s">
        <v>27</v>
      </c>
      <c r="F1834" s="20" t="s">
        <v>533</v>
      </c>
      <c r="G1834" s="15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</row>
    <row r="1835" spans="2:18" ht="13">
      <c r="B1835" s="33"/>
      <c r="C1835" s="34"/>
      <c r="D1835" s="68" t="s">
        <v>26</v>
      </c>
      <c r="E1835" s="69" t="s">
        <v>27</v>
      </c>
      <c r="F1835" s="20" t="s">
        <v>533</v>
      </c>
      <c r="G1835" s="15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</row>
    <row r="1836" spans="2:18" ht="13">
      <c r="B1836" s="33"/>
      <c r="C1836" s="34"/>
      <c r="D1836" s="68" t="s">
        <v>17</v>
      </c>
      <c r="E1836" s="69" t="s">
        <v>27</v>
      </c>
      <c r="F1836" s="20" t="s">
        <v>533</v>
      </c>
      <c r="G1836" s="15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</row>
    <row r="1837" spans="2:18" ht="13">
      <c r="B1837" s="33"/>
      <c r="C1837" s="34"/>
      <c r="D1837" s="68" t="s">
        <v>36</v>
      </c>
      <c r="E1837" s="69" t="s">
        <v>37</v>
      </c>
      <c r="F1837" s="20" t="s">
        <v>533</v>
      </c>
      <c r="G1837" s="15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</row>
    <row r="1838" spans="2:18" ht="13">
      <c r="B1838" s="33"/>
      <c r="C1838" s="34"/>
      <c r="D1838" s="68" t="s">
        <v>17</v>
      </c>
      <c r="E1838" s="69" t="s">
        <v>27</v>
      </c>
      <c r="F1838" s="20" t="s">
        <v>533</v>
      </c>
      <c r="G1838" s="15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</row>
    <row r="1839" spans="2:18" ht="13">
      <c r="B1839" s="33"/>
      <c r="C1839" s="34"/>
      <c r="D1839" s="68" t="s">
        <v>17</v>
      </c>
      <c r="E1839" s="69" t="s">
        <v>27</v>
      </c>
      <c r="F1839" s="20" t="s">
        <v>533</v>
      </c>
      <c r="G1839" s="15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</row>
    <row r="1840" spans="2:18" ht="13">
      <c r="B1840" s="33"/>
      <c r="C1840" s="34"/>
      <c r="D1840" s="68" t="s">
        <v>17</v>
      </c>
      <c r="E1840" s="69" t="s">
        <v>27</v>
      </c>
      <c r="F1840" s="20" t="s">
        <v>533</v>
      </c>
      <c r="G1840" s="15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</row>
    <row r="1841" spans="2:18" ht="13">
      <c r="B1841" s="33"/>
      <c r="C1841" s="34"/>
      <c r="D1841" s="68" t="s">
        <v>17</v>
      </c>
      <c r="E1841" s="69" t="s">
        <v>27</v>
      </c>
      <c r="F1841" s="20" t="s">
        <v>533</v>
      </c>
      <c r="G1841" s="15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</row>
    <row r="1842" spans="2:18" ht="13">
      <c r="B1842" s="33"/>
      <c r="C1842" s="34"/>
      <c r="D1842" s="68" t="s">
        <v>17</v>
      </c>
      <c r="E1842" s="69" t="s">
        <v>27</v>
      </c>
      <c r="F1842" s="20" t="s">
        <v>533</v>
      </c>
      <c r="G1842" s="15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</row>
    <row r="1843" spans="2:18" ht="13">
      <c r="B1843" s="33"/>
      <c r="C1843" s="34"/>
      <c r="D1843" s="68" t="s">
        <v>574</v>
      </c>
      <c r="E1843" s="69" t="s">
        <v>575</v>
      </c>
      <c r="F1843" s="20" t="s">
        <v>533</v>
      </c>
      <c r="G1843" s="15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</row>
    <row r="1844" spans="2:18" ht="13">
      <c r="B1844" s="33"/>
      <c r="C1844" s="34"/>
      <c r="D1844" s="68" t="s">
        <v>613</v>
      </c>
      <c r="E1844" s="69" t="s">
        <v>32</v>
      </c>
      <c r="F1844" s="20" t="s">
        <v>533</v>
      </c>
      <c r="G1844" s="15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</row>
    <row r="1845" spans="2:18" ht="13">
      <c r="B1845" s="33"/>
      <c r="C1845" s="34"/>
      <c r="D1845" s="68" t="s">
        <v>290</v>
      </c>
      <c r="E1845" s="69" t="s">
        <v>32</v>
      </c>
      <c r="F1845" s="20" t="s">
        <v>533</v>
      </c>
      <c r="G1845" s="15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</row>
    <row r="1846" spans="2:18" ht="13">
      <c r="B1846" s="33"/>
      <c r="C1846" s="34"/>
      <c r="D1846" s="68" t="s">
        <v>17</v>
      </c>
      <c r="E1846" s="69" t="s">
        <v>27</v>
      </c>
      <c r="F1846" s="20" t="s">
        <v>533</v>
      </c>
      <c r="G1846" s="15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</row>
    <row r="1847" spans="2:18" ht="13">
      <c r="B1847" s="33"/>
      <c r="C1847" s="34"/>
      <c r="D1847" s="68" t="s">
        <v>590</v>
      </c>
      <c r="E1847" s="69" t="s">
        <v>32</v>
      </c>
      <c r="F1847" s="20" t="s">
        <v>533</v>
      </c>
      <c r="G1847" s="15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</row>
    <row r="1848" spans="2:18" ht="13">
      <c r="B1848" s="33"/>
      <c r="C1848" s="34"/>
      <c r="D1848" s="68" t="s">
        <v>17</v>
      </c>
      <c r="E1848" s="69" t="s">
        <v>27</v>
      </c>
      <c r="F1848" s="20" t="s">
        <v>533</v>
      </c>
      <c r="G1848" s="15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</row>
    <row r="1849" spans="2:18" ht="13">
      <c r="B1849" s="33"/>
      <c r="C1849" s="34"/>
      <c r="D1849" s="68" t="s">
        <v>17</v>
      </c>
      <c r="E1849" s="69" t="s">
        <v>27</v>
      </c>
      <c r="F1849" s="20" t="s">
        <v>533</v>
      </c>
      <c r="G1849" s="15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</row>
    <row r="1850" spans="2:18" ht="13">
      <c r="B1850" s="33"/>
      <c r="C1850" s="34"/>
      <c r="D1850" s="68" t="s">
        <v>17</v>
      </c>
      <c r="E1850" s="69" t="s">
        <v>27</v>
      </c>
      <c r="F1850" s="20" t="s">
        <v>533</v>
      </c>
      <c r="G1850" s="15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</row>
    <row r="1851" spans="2:18" ht="13">
      <c r="B1851" s="33"/>
      <c r="C1851" s="34"/>
      <c r="D1851" s="68" t="s">
        <v>36</v>
      </c>
      <c r="E1851" s="69" t="s">
        <v>37</v>
      </c>
      <c r="F1851" s="20" t="s">
        <v>533</v>
      </c>
      <c r="G1851" s="15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</row>
    <row r="1852" spans="2:18" ht="13">
      <c r="B1852" s="33"/>
      <c r="C1852" s="34"/>
      <c r="D1852" s="68" t="s">
        <v>17</v>
      </c>
      <c r="E1852" s="69" t="s">
        <v>27</v>
      </c>
      <c r="F1852" s="20" t="s">
        <v>533</v>
      </c>
      <c r="G1852" s="15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</row>
    <row r="1853" spans="2:18" ht="13">
      <c r="B1853" s="33"/>
      <c r="C1853" s="34"/>
      <c r="D1853" s="68" t="s">
        <v>17</v>
      </c>
      <c r="E1853" s="69" t="s">
        <v>27</v>
      </c>
      <c r="F1853" s="20" t="s">
        <v>533</v>
      </c>
      <c r="G1853" s="15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</row>
    <row r="1854" spans="2:18" ht="13">
      <c r="B1854" s="33"/>
      <c r="C1854" s="34"/>
      <c r="D1854" s="68" t="s">
        <v>17</v>
      </c>
      <c r="E1854" s="69" t="s">
        <v>27</v>
      </c>
      <c r="F1854" s="20" t="s">
        <v>533</v>
      </c>
      <c r="G1854" s="15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</row>
    <row r="1855" spans="2:18" ht="13">
      <c r="B1855" s="33"/>
      <c r="C1855" s="34"/>
      <c r="D1855" s="68" t="s">
        <v>174</v>
      </c>
      <c r="E1855" s="69" t="s">
        <v>175</v>
      </c>
      <c r="F1855" s="20" t="s">
        <v>533</v>
      </c>
      <c r="G1855" s="15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</row>
    <row r="1856" spans="2:18" ht="13">
      <c r="B1856" s="33"/>
      <c r="C1856" s="34"/>
      <c r="D1856" s="68" t="s">
        <v>590</v>
      </c>
      <c r="E1856" s="69" t="s">
        <v>32</v>
      </c>
      <c r="F1856" s="20" t="s">
        <v>533</v>
      </c>
      <c r="G1856" s="15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</row>
    <row r="1857" spans="2:18" ht="13">
      <c r="B1857" s="33"/>
      <c r="C1857" s="34"/>
      <c r="D1857" s="68" t="s">
        <v>17</v>
      </c>
      <c r="E1857" s="69" t="s">
        <v>27</v>
      </c>
      <c r="F1857" s="20" t="s">
        <v>533</v>
      </c>
      <c r="G1857" s="15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</row>
    <row r="1858" spans="2:18" ht="13">
      <c r="B1858" s="33"/>
      <c r="C1858" s="34"/>
      <c r="D1858" s="68" t="s">
        <v>17</v>
      </c>
      <c r="E1858" s="69" t="s">
        <v>27</v>
      </c>
      <c r="F1858" s="20" t="s">
        <v>533</v>
      </c>
      <c r="G1858" s="15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</row>
    <row r="1859" spans="2:18" ht="13">
      <c r="B1859" s="33"/>
      <c r="C1859" s="34"/>
      <c r="D1859" s="68" t="s">
        <v>17</v>
      </c>
      <c r="E1859" s="69" t="s">
        <v>27</v>
      </c>
      <c r="F1859" s="20" t="s">
        <v>533</v>
      </c>
      <c r="G1859" s="15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</row>
    <row r="1860" spans="2:18" ht="13">
      <c r="B1860" s="33"/>
      <c r="C1860" s="34"/>
      <c r="D1860" s="68" t="s">
        <v>17</v>
      </c>
      <c r="E1860" s="69" t="s">
        <v>27</v>
      </c>
      <c r="F1860" s="20" t="s">
        <v>533</v>
      </c>
      <c r="G1860" s="15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</row>
    <row r="1861" spans="2:18" ht="13">
      <c r="B1861" s="33"/>
      <c r="C1861" s="34"/>
      <c r="D1861" s="68" t="s">
        <v>26</v>
      </c>
      <c r="E1861" s="69" t="s">
        <v>27</v>
      </c>
      <c r="F1861" s="20" t="s">
        <v>533</v>
      </c>
      <c r="G1861" s="15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</row>
    <row r="1862" spans="2:18" ht="13">
      <c r="B1862" s="33"/>
      <c r="C1862" s="34"/>
      <c r="D1862" s="68" t="s">
        <v>17</v>
      </c>
      <c r="E1862" s="69" t="s">
        <v>27</v>
      </c>
      <c r="F1862" s="20" t="s">
        <v>533</v>
      </c>
      <c r="G1862" s="15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</row>
    <row r="1863" spans="2:18" ht="13">
      <c r="B1863" s="33"/>
      <c r="C1863" s="34"/>
      <c r="D1863" s="68" t="s">
        <v>17</v>
      </c>
      <c r="E1863" s="69" t="s">
        <v>27</v>
      </c>
      <c r="F1863" s="20" t="s">
        <v>533</v>
      </c>
      <c r="G1863" s="15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</row>
    <row r="1864" spans="2:18" ht="13">
      <c r="B1864" s="33"/>
      <c r="C1864" s="34"/>
      <c r="D1864" s="68" t="s">
        <v>17</v>
      </c>
      <c r="E1864" s="69" t="s">
        <v>27</v>
      </c>
      <c r="F1864" s="20" t="s">
        <v>533</v>
      </c>
      <c r="G1864" s="15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</row>
    <row r="1865" spans="2:18" ht="13">
      <c r="B1865" s="33"/>
      <c r="C1865" s="34"/>
      <c r="D1865" s="68" t="s">
        <v>17</v>
      </c>
      <c r="E1865" s="69" t="s">
        <v>27</v>
      </c>
      <c r="F1865" s="20" t="s">
        <v>533</v>
      </c>
      <c r="G1865" s="15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</row>
    <row r="1866" spans="2:18" ht="13">
      <c r="B1866" s="33"/>
      <c r="C1866" s="34"/>
      <c r="D1866" s="68" t="s">
        <v>17</v>
      </c>
      <c r="E1866" s="69" t="s">
        <v>27</v>
      </c>
      <c r="F1866" s="20" t="s">
        <v>533</v>
      </c>
      <c r="G1866" s="15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</row>
    <row r="1867" spans="2:18" ht="13">
      <c r="B1867" s="33"/>
      <c r="C1867" s="34"/>
      <c r="D1867" s="68" t="s">
        <v>17</v>
      </c>
      <c r="E1867" s="69" t="s">
        <v>27</v>
      </c>
      <c r="F1867" s="20" t="s">
        <v>533</v>
      </c>
      <c r="G1867" s="15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</row>
    <row r="1868" spans="2:18" ht="13">
      <c r="B1868" s="33"/>
      <c r="C1868" s="34"/>
      <c r="D1868" s="68" t="s">
        <v>86</v>
      </c>
      <c r="E1868" s="69" t="s">
        <v>124</v>
      </c>
      <c r="F1868" s="20" t="s">
        <v>533</v>
      </c>
      <c r="G1868" s="15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</row>
    <row r="1869" spans="2:18" ht="13">
      <c r="B1869" s="33"/>
      <c r="C1869" s="34"/>
      <c r="D1869" s="68" t="s">
        <v>17</v>
      </c>
      <c r="E1869" s="69" t="s">
        <v>27</v>
      </c>
      <c r="F1869" s="20" t="s">
        <v>533</v>
      </c>
      <c r="G1869" s="15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</row>
    <row r="1870" spans="2:18" ht="13">
      <c r="B1870" s="33"/>
      <c r="C1870" s="34"/>
      <c r="D1870" s="68" t="s">
        <v>17</v>
      </c>
      <c r="E1870" s="69" t="s">
        <v>27</v>
      </c>
      <c r="F1870" s="20" t="s">
        <v>533</v>
      </c>
      <c r="G1870" s="15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</row>
    <row r="1871" spans="2:18" ht="13">
      <c r="B1871" s="33"/>
      <c r="C1871" s="34"/>
      <c r="D1871" s="68" t="s">
        <v>17</v>
      </c>
      <c r="E1871" s="69" t="s">
        <v>27</v>
      </c>
      <c r="F1871" s="20" t="s">
        <v>533</v>
      </c>
      <c r="G1871" s="15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</row>
    <row r="1872" spans="2:18" ht="13">
      <c r="B1872" s="33"/>
      <c r="C1872" s="34"/>
      <c r="D1872" s="68" t="s">
        <v>571</v>
      </c>
      <c r="E1872" s="69" t="s">
        <v>27</v>
      </c>
      <c r="F1872" s="20" t="s">
        <v>533</v>
      </c>
      <c r="G1872" s="15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</row>
    <row r="1873" spans="2:18" ht="13">
      <c r="B1873" s="33"/>
      <c r="C1873" s="34"/>
      <c r="D1873" s="68" t="s">
        <v>26</v>
      </c>
      <c r="E1873" s="69" t="s">
        <v>27</v>
      </c>
      <c r="F1873" s="20" t="s">
        <v>533</v>
      </c>
      <c r="G1873" s="15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</row>
    <row r="1874" spans="2:18" ht="13">
      <c r="B1874" s="33"/>
      <c r="C1874" s="34"/>
      <c r="D1874" s="68" t="s">
        <v>17</v>
      </c>
      <c r="E1874" s="69" t="s">
        <v>27</v>
      </c>
      <c r="F1874" s="20" t="s">
        <v>533</v>
      </c>
      <c r="G1874" s="15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</row>
    <row r="1875" spans="2:18" ht="13">
      <c r="B1875" s="33"/>
      <c r="C1875" s="34"/>
      <c r="D1875" s="68" t="s">
        <v>36</v>
      </c>
      <c r="E1875" s="69" t="s">
        <v>37</v>
      </c>
      <c r="F1875" s="20" t="s">
        <v>533</v>
      </c>
      <c r="G1875" s="15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</row>
    <row r="1876" spans="2:18" ht="13">
      <c r="B1876" s="33"/>
      <c r="C1876" s="34"/>
      <c r="D1876" s="68" t="s">
        <v>652</v>
      </c>
      <c r="E1876" s="69" t="s">
        <v>121</v>
      </c>
      <c r="F1876" s="20" t="s">
        <v>533</v>
      </c>
      <c r="G1876" s="15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</row>
    <row r="1877" spans="2:18" ht="13">
      <c r="B1877" s="33"/>
      <c r="C1877" s="34"/>
      <c r="D1877" s="68" t="s">
        <v>17</v>
      </c>
      <c r="E1877" s="69" t="s">
        <v>27</v>
      </c>
      <c r="F1877" s="20" t="s">
        <v>533</v>
      </c>
      <c r="G1877" s="15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</row>
    <row r="1878" spans="2:18" ht="13">
      <c r="B1878" s="33"/>
      <c r="C1878" s="34"/>
      <c r="D1878" s="68" t="s">
        <v>26</v>
      </c>
      <c r="E1878" s="69" t="s">
        <v>27</v>
      </c>
      <c r="F1878" s="20" t="s">
        <v>533</v>
      </c>
      <c r="G1878" s="15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</row>
    <row r="1879" spans="2:18" ht="13">
      <c r="B1879" s="33"/>
      <c r="C1879" s="34"/>
      <c r="D1879" s="68" t="s">
        <v>26</v>
      </c>
      <c r="E1879" s="69" t="s">
        <v>27</v>
      </c>
      <c r="F1879" s="20" t="s">
        <v>533</v>
      </c>
      <c r="G1879" s="15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</row>
    <row r="1880" spans="2:18" ht="13">
      <c r="B1880" s="33"/>
      <c r="C1880" s="34"/>
      <c r="D1880" s="68" t="s">
        <v>653</v>
      </c>
      <c r="E1880" s="69" t="s">
        <v>379</v>
      </c>
      <c r="F1880" s="20" t="s">
        <v>533</v>
      </c>
      <c r="G1880" s="15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</row>
    <row r="1881" spans="2:18" ht="13">
      <c r="B1881" s="33"/>
      <c r="C1881" s="34"/>
      <c r="D1881" s="68" t="s">
        <v>17</v>
      </c>
      <c r="E1881" s="69" t="s">
        <v>27</v>
      </c>
      <c r="F1881" s="20" t="s">
        <v>533</v>
      </c>
      <c r="G1881" s="15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</row>
    <row r="1882" spans="2:18" ht="13">
      <c r="B1882" s="33"/>
      <c r="C1882" s="34"/>
      <c r="D1882" s="68" t="s">
        <v>17</v>
      </c>
      <c r="E1882" s="69" t="s">
        <v>27</v>
      </c>
      <c r="F1882" s="20" t="s">
        <v>533</v>
      </c>
      <c r="G1882" s="15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</row>
    <row r="1883" spans="2:18" ht="13">
      <c r="B1883" s="33"/>
      <c r="C1883" s="34"/>
      <c r="D1883" s="68" t="s">
        <v>635</v>
      </c>
      <c r="E1883" s="69" t="s">
        <v>37</v>
      </c>
      <c r="F1883" s="20" t="s">
        <v>533</v>
      </c>
      <c r="G1883" s="15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</row>
    <row r="1884" spans="2:18" ht="13">
      <c r="B1884" s="33"/>
      <c r="C1884" s="34"/>
      <c r="D1884" s="68" t="s">
        <v>17</v>
      </c>
      <c r="E1884" s="69" t="s">
        <v>27</v>
      </c>
      <c r="F1884" s="20" t="s">
        <v>533</v>
      </c>
      <c r="G1884" s="15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</row>
    <row r="1885" spans="2:18" ht="13">
      <c r="B1885" s="33"/>
      <c r="C1885" s="34"/>
      <c r="D1885" s="68" t="s">
        <v>17</v>
      </c>
      <c r="E1885" s="69" t="s">
        <v>27</v>
      </c>
      <c r="F1885" s="20" t="s">
        <v>533</v>
      </c>
      <c r="G1885" s="15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</row>
    <row r="1886" spans="2:18" ht="13">
      <c r="B1886" s="33"/>
      <c r="C1886" s="34"/>
      <c r="D1886" s="68" t="s">
        <v>17</v>
      </c>
      <c r="E1886" s="69" t="s">
        <v>27</v>
      </c>
      <c r="F1886" s="20" t="s">
        <v>533</v>
      </c>
      <c r="G1886" s="15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</row>
    <row r="1887" spans="2:18" ht="13">
      <c r="B1887" s="33"/>
      <c r="C1887" s="34"/>
      <c r="D1887" s="68" t="s">
        <v>174</v>
      </c>
      <c r="E1887" s="69" t="s">
        <v>379</v>
      </c>
      <c r="F1887" s="20" t="s">
        <v>533</v>
      </c>
      <c r="G1887" s="15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</row>
    <row r="1888" spans="2:18" ht="13">
      <c r="B1888" s="33"/>
      <c r="C1888" s="34"/>
      <c r="D1888" s="68" t="s">
        <v>17</v>
      </c>
      <c r="E1888" s="69" t="s">
        <v>27</v>
      </c>
      <c r="F1888" s="20" t="s">
        <v>533</v>
      </c>
      <c r="G1888" s="15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</row>
    <row r="1889" spans="2:18" ht="13">
      <c r="B1889" s="33"/>
      <c r="C1889" s="34"/>
      <c r="D1889" s="68" t="s">
        <v>17</v>
      </c>
      <c r="E1889" s="69" t="s">
        <v>27</v>
      </c>
      <c r="F1889" s="20" t="s">
        <v>533</v>
      </c>
      <c r="G1889" s="15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</row>
    <row r="1890" spans="2:18" ht="13">
      <c r="B1890" s="33"/>
      <c r="C1890" s="34"/>
      <c r="D1890" s="68" t="s">
        <v>630</v>
      </c>
      <c r="E1890" s="69" t="s">
        <v>163</v>
      </c>
      <c r="F1890" s="20" t="s">
        <v>533</v>
      </c>
      <c r="G1890" s="15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</row>
    <row r="1891" spans="2:18" ht="13">
      <c r="B1891" s="33"/>
      <c r="C1891" s="34"/>
      <c r="D1891" s="68" t="s">
        <v>26</v>
      </c>
      <c r="E1891" s="69" t="s">
        <v>27</v>
      </c>
      <c r="F1891" s="20" t="s">
        <v>533</v>
      </c>
      <c r="G1891" s="15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</row>
    <row r="1892" spans="2:18" ht="13">
      <c r="B1892" s="33"/>
      <c r="C1892" s="34"/>
      <c r="D1892" s="68" t="s">
        <v>26</v>
      </c>
      <c r="E1892" s="69" t="s">
        <v>27</v>
      </c>
      <c r="F1892" s="20" t="s">
        <v>533</v>
      </c>
      <c r="G1892" s="15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</row>
    <row r="1893" spans="2:18" ht="13">
      <c r="B1893" s="33"/>
      <c r="C1893" s="34"/>
      <c r="D1893" s="68" t="s">
        <v>618</v>
      </c>
      <c r="E1893" s="69" t="s">
        <v>121</v>
      </c>
      <c r="F1893" s="20" t="s">
        <v>533</v>
      </c>
      <c r="G1893" s="15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</row>
    <row r="1894" spans="2:18" ht="13">
      <c r="B1894" s="33"/>
      <c r="C1894" s="34"/>
      <c r="D1894" s="68" t="s">
        <v>26</v>
      </c>
      <c r="E1894" s="69" t="s">
        <v>27</v>
      </c>
      <c r="F1894" s="20" t="s">
        <v>533</v>
      </c>
      <c r="G1894" s="15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</row>
    <row r="1895" spans="2:18" ht="13">
      <c r="B1895" s="33"/>
      <c r="C1895" s="34"/>
      <c r="D1895" s="68" t="s">
        <v>17</v>
      </c>
      <c r="E1895" s="69" t="s">
        <v>27</v>
      </c>
      <c r="F1895" s="20" t="s">
        <v>533</v>
      </c>
      <c r="G1895" s="15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</row>
    <row r="1896" spans="2:18" ht="13">
      <c r="B1896" s="33"/>
      <c r="C1896" s="34"/>
      <c r="D1896" s="68" t="s">
        <v>26</v>
      </c>
      <c r="E1896" s="69" t="s">
        <v>27</v>
      </c>
      <c r="F1896" s="20" t="s">
        <v>533</v>
      </c>
      <c r="G1896" s="15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</row>
    <row r="1897" spans="2:18" ht="13">
      <c r="B1897" s="33"/>
      <c r="C1897" s="34"/>
      <c r="D1897" s="68" t="s">
        <v>584</v>
      </c>
      <c r="E1897" s="69" t="s">
        <v>32</v>
      </c>
      <c r="F1897" s="20" t="s">
        <v>533</v>
      </c>
      <c r="G1897" s="15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</row>
    <row r="1898" spans="2:18" ht="13">
      <c r="B1898" s="33"/>
      <c r="C1898" s="34"/>
      <c r="D1898" s="68" t="s">
        <v>17</v>
      </c>
      <c r="E1898" s="69" t="s">
        <v>27</v>
      </c>
      <c r="F1898" s="20" t="s">
        <v>533</v>
      </c>
      <c r="G1898" s="15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</row>
    <row r="1899" spans="2:18" ht="13">
      <c r="B1899" s="33"/>
      <c r="C1899" s="34"/>
      <c r="D1899" s="68" t="s">
        <v>17</v>
      </c>
      <c r="E1899" s="69" t="s">
        <v>27</v>
      </c>
      <c r="F1899" s="20" t="s">
        <v>533</v>
      </c>
      <c r="G1899" s="15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</row>
    <row r="1900" spans="2:18" ht="13">
      <c r="B1900" s="33"/>
      <c r="C1900" s="34"/>
      <c r="D1900" s="68" t="s">
        <v>574</v>
      </c>
      <c r="E1900" s="69" t="s">
        <v>575</v>
      </c>
      <c r="F1900" s="20" t="s">
        <v>533</v>
      </c>
      <c r="G1900" s="15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</row>
    <row r="1901" spans="2:18" ht="13">
      <c r="B1901" s="33"/>
      <c r="C1901" s="34"/>
      <c r="D1901" s="68" t="s">
        <v>26</v>
      </c>
      <c r="E1901" s="69" t="s">
        <v>564</v>
      </c>
      <c r="F1901" s="20" t="s">
        <v>533</v>
      </c>
      <c r="G1901" s="15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</row>
    <row r="1902" spans="2:18" ht="13">
      <c r="B1902" s="33"/>
      <c r="C1902" s="34"/>
      <c r="D1902" s="68" t="s">
        <v>17</v>
      </c>
      <c r="E1902" s="69" t="s">
        <v>27</v>
      </c>
      <c r="F1902" s="20" t="s">
        <v>533</v>
      </c>
      <c r="G1902" s="15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</row>
    <row r="1903" spans="2:18" ht="13">
      <c r="B1903" s="33"/>
      <c r="C1903" s="34"/>
      <c r="D1903" s="68" t="s">
        <v>36</v>
      </c>
      <c r="E1903" s="69" t="s">
        <v>37</v>
      </c>
      <c r="F1903" s="20" t="s">
        <v>533</v>
      </c>
      <c r="G1903" s="15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</row>
    <row r="1904" spans="2:18" ht="13">
      <c r="B1904" s="33"/>
      <c r="C1904" s="34"/>
      <c r="D1904" s="68" t="s">
        <v>26</v>
      </c>
      <c r="E1904" s="69" t="s">
        <v>27</v>
      </c>
      <c r="F1904" s="20" t="s">
        <v>533</v>
      </c>
      <c r="G1904" s="15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</row>
    <row r="1905" spans="2:18" ht="13">
      <c r="B1905" s="33"/>
      <c r="C1905" s="34"/>
      <c r="D1905" s="68" t="s">
        <v>17</v>
      </c>
      <c r="E1905" s="69" t="s">
        <v>27</v>
      </c>
      <c r="F1905" s="20" t="s">
        <v>533</v>
      </c>
      <c r="G1905" s="15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</row>
    <row r="1906" spans="2:18" ht="13">
      <c r="B1906" s="33"/>
      <c r="C1906" s="34"/>
      <c r="D1906" s="68" t="s">
        <v>17</v>
      </c>
      <c r="E1906" s="69" t="s">
        <v>27</v>
      </c>
      <c r="F1906" s="20" t="s">
        <v>533</v>
      </c>
      <c r="G1906" s="15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</row>
    <row r="1907" spans="2:18" ht="13">
      <c r="B1907" s="33"/>
      <c r="C1907" s="34"/>
      <c r="D1907" s="68" t="s">
        <v>17</v>
      </c>
      <c r="E1907" s="69" t="s">
        <v>18</v>
      </c>
      <c r="F1907" s="20" t="s">
        <v>533</v>
      </c>
      <c r="G1907" s="15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</row>
    <row r="1908" spans="2:18" ht="13">
      <c r="B1908" s="33"/>
      <c r="C1908" s="34"/>
      <c r="D1908" s="68" t="s">
        <v>17</v>
      </c>
      <c r="E1908" s="69" t="s">
        <v>27</v>
      </c>
      <c r="F1908" s="20" t="s">
        <v>533</v>
      </c>
      <c r="G1908" s="15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</row>
    <row r="1909" spans="2:18" ht="13">
      <c r="B1909" s="33"/>
      <c r="C1909" s="34"/>
      <c r="D1909" s="68" t="s">
        <v>17</v>
      </c>
      <c r="E1909" s="69" t="s">
        <v>27</v>
      </c>
      <c r="F1909" s="20" t="s">
        <v>533</v>
      </c>
      <c r="G1909" s="15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</row>
    <row r="1910" spans="2:18" ht="13">
      <c r="B1910" s="33"/>
      <c r="C1910" s="34"/>
      <c r="D1910" s="68" t="s">
        <v>17</v>
      </c>
      <c r="E1910" s="69" t="s">
        <v>564</v>
      </c>
      <c r="F1910" s="20" t="s">
        <v>533</v>
      </c>
      <c r="G1910" s="15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</row>
    <row r="1911" spans="2:18" ht="13">
      <c r="B1911" s="33"/>
      <c r="C1911" s="34"/>
      <c r="D1911" s="68" t="s">
        <v>605</v>
      </c>
      <c r="E1911" s="69" t="s">
        <v>32</v>
      </c>
      <c r="F1911" s="20" t="s">
        <v>533</v>
      </c>
      <c r="G1911" s="15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</row>
    <row r="1912" spans="2:18" ht="13">
      <c r="B1912" s="33"/>
      <c r="C1912" s="34"/>
      <c r="D1912" s="68" t="s">
        <v>17</v>
      </c>
      <c r="E1912" s="69" t="s">
        <v>27</v>
      </c>
      <c r="F1912" s="20" t="s">
        <v>533</v>
      </c>
      <c r="G1912" s="15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</row>
    <row r="1913" spans="2:18" ht="13">
      <c r="B1913" s="33"/>
      <c r="C1913" s="34"/>
      <c r="D1913" s="68" t="s">
        <v>17</v>
      </c>
      <c r="E1913" s="69" t="s">
        <v>27</v>
      </c>
      <c r="F1913" s="20" t="s">
        <v>533</v>
      </c>
      <c r="G1913" s="15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</row>
    <row r="1914" spans="2:18" ht="13">
      <c r="B1914" s="33"/>
      <c r="C1914" s="34"/>
      <c r="D1914" s="68" t="s">
        <v>17</v>
      </c>
      <c r="E1914" s="69" t="s">
        <v>27</v>
      </c>
      <c r="F1914" s="20" t="s">
        <v>533</v>
      </c>
      <c r="G1914" s="15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</row>
    <row r="1915" spans="2:18" ht="13">
      <c r="B1915" s="33"/>
      <c r="C1915" s="34"/>
      <c r="D1915" s="68" t="s">
        <v>17</v>
      </c>
      <c r="E1915" s="69" t="s">
        <v>27</v>
      </c>
      <c r="F1915" s="20" t="s">
        <v>533</v>
      </c>
      <c r="G1915" s="15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</row>
    <row r="1916" spans="2:18" ht="13">
      <c r="B1916" s="33"/>
      <c r="C1916" s="34"/>
      <c r="D1916" s="68" t="s">
        <v>17</v>
      </c>
      <c r="E1916" s="69" t="s">
        <v>27</v>
      </c>
      <c r="F1916" s="20" t="s">
        <v>533</v>
      </c>
      <c r="G1916" s="15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</row>
    <row r="1917" spans="2:18" ht="13">
      <c r="B1917" s="33"/>
      <c r="C1917" s="34"/>
      <c r="D1917" s="68" t="s">
        <v>17</v>
      </c>
      <c r="E1917" s="69" t="s">
        <v>27</v>
      </c>
      <c r="F1917" s="20" t="s">
        <v>533</v>
      </c>
      <c r="G1917" s="15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</row>
    <row r="1918" spans="2:18" ht="13">
      <c r="B1918" s="33"/>
      <c r="C1918" s="34"/>
      <c r="D1918" s="68" t="s">
        <v>17</v>
      </c>
      <c r="E1918" s="69" t="s">
        <v>27</v>
      </c>
      <c r="F1918" s="20" t="s">
        <v>533</v>
      </c>
      <c r="G1918" s="15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</row>
    <row r="1919" spans="2:18" ht="13">
      <c r="B1919" s="33"/>
      <c r="C1919" s="34"/>
      <c r="D1919" s="68" t="s">
        <v>26</v>
      </c>
      <c r="E1919" s="69" t="s">
        <v>27</v>
      </c>
      <c r="F1919" s="20" t="s">
        <v>533</v>
      </c>
      <c r="G1919" s="15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</row>
    <row r="1920" spans="2:18" ht="13">
      <c r="B1920" s="33"/>
      <c r="C1920" s="34"/>
      <c r="D1920" s="68" t="s">
        <v>168</v>
      </c>
      <c r="E1920" s="69" t="s">
        <v>27</v>
      </c>
      <c r="F1920" s="20" t="s">
        <v>533</v>
      </c>
      <c r="G1920" s="15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</row>
    <row r="1921" spans="2:18" ht="13">
      <c r="B1921" s="33"/>
      <c r="C1921" s="34"/>
      <c r="D1921" s="68" t="s">
        <v>17</v>
      </c>
      <c r="E1921" s="69" t="s">
        <v>27</v>
      </c>
      <c r="F1921" s="20" t="s">
        <v>533</v>
      </c>
      <c r="G1921" s="15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</row>
    <row r="1922" spans="2:18" ht="13">
      <c r="B1922" s="33"/>
      <c r="C1922" s="34"/>
      <c r="D1922" s="68" t="s">
        <v>17</v>
      </c>
      <c r="E1922" s="69" t="s">
        <v>27</v>
      </c>
      <c r="F1922" s="20" t="s">
        <v>533</v>
      </c>
      <c r="G1922" s="15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</row>
    <row r="1923" spans="2:18" ht="13">
      <c r="B1923" s="33"/>
      <c r="C1923" s="34"/>
      <c r="D1923" s="68" t="s">
        <v>17</v>
      </c>
      <c r="E1923" s="69" t="s">
        <v>27</v>
      </c>
      <c r="F1923" s="20" t="s">
        <v>533</v>
      </c>
      <c r="G1923" s="15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</row>
    <row r="1924" spans="2:18" ht="13">
      <c r="B1924" s="33"/>
      <c r="C1924" s="34"/>
      <c r="D1924" s="68" t="s">
        <v>26</v>
      </c>
      <c r="E1924" s="69" t="s">
        <v>27</v>
      </c>
      <c r="F1924" s="20" t="s">
        <v>533</v>
      </c>
      <c r="G1924" s="15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</row>
    <row r="1925" spans="2:18" ht="13">
      <c r="B1925" s="33"/>
      <c r="C1925" s="34"/>
      <c r="D1925" s="68" t="s">
        <v>17</v>
      </c>
      <c r="E1925" s="69" t="s">
        <v>27</v>
      </c>
      <c r="F1925" s="20" t="s">
        <v>533</v>
      </c>
      <c r="G1925" s="15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</row>
    <row r="1926" spans="2:18" ht="13">
      <c r="B1926" s="33"/>
      <c r="C1926" s="34"/>
      <c r="D1926" s="68" t="s">
        <v>17</v>
      </c>
      <c r="E1926" s="69" t="s">
        <v>27</v>
      </c>
      <c r="F1926" s="20" t="s">
        <v>533</v>
      </c>
      <c r="G1926" s="15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</row>
    <row r="1927" spans="2:18" ht="13">
      <c r="B1927" s="33"/>
      <c r="C1927" s="34"/>
      <c r="D1927" s="68" t="s">
        <v>654</v>
      </c>
      <c r="E1927" s="69" t="s">
        <v>32</v>
      </c>
      <c r="F1927" s="20" t="s">
        <v>533</v>
      </c>
      <c r="G1927" s="15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</row>
    <row r="1928" spans="2:18" ht="13">
      <c r="B1928" s="33"/>
      <c r="C1928" s="34"/>
      <c r="D1928" s="68" t="s">
        <v>17</v>
      </c>
      <c r="E1928" s="69" t="s">
        <v>27</v>
      </c>
      <c r="F1928" s="20" t="s">
        <v>533</v>
      </c>
      <c r="G1928" s="15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</row>
    <row r="1929" spans="2:18" ht="13">
      <c r="B1929" s="33"/>
      <c r="C1929" s="34"/>
      <c r="D1929" s="68" t="s">
        <v>17</v>
      </c>
      <c r="E1929" s="69" t="s">
        <v>27</v>
      </c>
      <c r="F1929" s="20" t="s">
        <v>533</v>
      </c>
      <c r="G1929" s="15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</row>
    <row r="1930" spans="2:18" ht="13">
      <c r="B1930" s="33"/>
      <c r="C1930" s="34"/>
      <c r="D1930" s="68" t="s">
        <v>26</v>
      </c>
      <c r="E1930" s="69" t="s">
        <v>27</v>
      </c>
      <c r="F1930" s="20" t="s">
        <v>533</v>
      </c>
      <c r="G1930" s="15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</row>
    <row r="1931" spans="2:18" ht="13">
      <c r="B1931" s="33"/>
      <c r="C1931" s="34"/>
      <c r="D1931" s="68" t="s">
        <v>17</v>
      </c>
      <c r="E1931" s="69" t="s">
        <v>27</v>
      </c>
      <c r="F1931" s="20" t="s">
        <v>533</v>
      </c>
      <c r="G1931" s="15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</row>
    <row r="1932" spans="2:18" ht="13">
      <c r="B1932" s="33"/>
      <c r="C1932" s="34"/>
      <c r="D1932" s="68" t="s">
        <v>17</v>
      </c>
      <c r="E1932" s="69" t="s">
        <v>27</v>
      </c>
      <c r="F1932" s="20" t="s">
        <v>533</v>
      </c>
      <c r="G1932" s="15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</row>
    <row r="1933" spans="2:18" ht="13">
      <c r="B1933" s="33"/>
      <c r="C1933" s="34"/>
      <c r="D1933" s="68" t="s">
        <v>36</v>
      </c>
      <c r="E1933" s="69" t="s">
        <v>37</v>
      </c>
      <c r="F1933" s="20" t="s">
        <v>533</v>
      </c>
      <c r="G1933" s="15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</row>
    <row r="1934" spans="2:18" ht="13">
      <c r="B1934" s="33"/>
      <c r="C1934" s="34"/>
      <c r="D1934" s="68" t="s">
        <v>26</v>
      </c>
      <c r="E1934" s="69" t="s">
        <v>27</v>
      </c>
      <c r="F1934" s="20" t="s">
        <v>533</v>
      </c>
      <c r="G1934" s="15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</row>
    <row r="1935" spans="2:18" ht="13">
      <c r="B1935" s="33"/>
      <c r="C1935" s="34"/>
      <c r="D1935" s="68" t="s">
        <v>17</v>
      </c>
      <c r="E1935" s="69" t="s">
        <v>27</v>
      </c>
      <c r="F1935" s="20" t="s">
        <v>533</v>
      </c>
      <c r="G1935" s="15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</row>
    <row r="1936" spans="2:18" ht="13">
      <c r="B1936" s="33"/>
      <c r="C1936" s="34"/>
      <c r="D1936" s="68" t="s">
        <v>556</v>
      </c>
      <c r="E1936" s="69" t="s">
        <v>121</v>
      </c>
      <c r="F1936" s="20" t="s">
        <v>533</v>
      </c>
      <c r="G1936" s="15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</row>
    <row r="1937" spans="2:18" ht="13">
      <c r="B1937" s="33"/>
      <c r="C1937" s="34"/>
      <c r="D1937" s="68" t="s">
        <v>556</v>
      </c>
      <c r="E1937" s="69" t="s">
        <v>121</v>
      </c>
      <c r="F1937" s="20" t="s">
        <v>533</v>
      </c>
      <c r="G1937" s="15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</row>
    <row r="1938" spans="2:18" ht="13">
      <c r="B1938" s="33"/>
      <c r="C1938" s="34"/>
      <c r="D1938" s="68" t="s">
        <v>17</v>
      </c>
      <c r="E1938" s="69" t="s">
        <v>27</v>
      </c>
      <c r="F1938" s="20" t="s">
        <v>533</v>
      </c>
      <c r="G1938" s="15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</row>
    <row r="1939" spans="2:18" ht="13">
      <c r="B1939" s="33"/>
      <c r="C1939" s="34"/>
      <c r="D1939" s="68" t="s">
        <v>590</v>
      </c>
      <c r="E1939" s="69" t="s">
        <v>32</v>
      </c>
      <c r="F1939" s="20" t="s">
        <v>533</v>
      </c>
      <c r="G1939" s="15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</row>
    <row r="1940" spans="2:18" ht="13">
      <c r="B1940" s="33"/>
      <c r="C1940" s="34"/>
      <c r="D1940" s="68" t="s">
        <v>26</v>
      </c>
      <c r="E1940" s="69" t="s">
        <v>27</v>
      </c>
      <c r="F1940" s="20" t="s">
        <v>533</v>
      </c>
      <c r="G1940" s="15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</row>
    <row r="1941" spans="2:18" ht="13">
      <c r="B1941" s="33"/>
      <c r="C1941" s="34"/>
      <c r="D1941" s="68" t="s">
        <v>26</v>
      </c>
      <c r="E1941" s="69" t="s">
        <v>27</v>
      </c>
      <c r="F1941" s="20" t="s">
        <v>533</v>
      </c>
      <c r="G1941" s="15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</row>
    <row r="1942" spans="2:18" ht="13">
      <c r="B1942" s="33"/>
      <c r="C1942" s="34"/>
      <c r="D1942" s="68" t="s">
        <v>17</v>
      </c>
      <c r="E1942" s="69" t="s">
        <v>27</v>
      </c>
      <c r="F1942" s="20" t="s">
        <v>533</v>
      </c>
      <c r="G1942" s="15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</row>
    <row r="1943" spans="2:18" ht="13">
      <c r="B1943" s="33"/>
      <c r="C1943" s="34"/>
      <c r="D1943" s="68" t="s">
        <v>17</v>
      </c>
      <c r="E1943" s="69" t="s">
        <v>27</v>
      </c>
      <c r="F1943" s="20" t="s">
        <v>533</v>
      </c>
      <c r="G1943" s="15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</row>
    <row r="1944" spans="2:18" ht="13">
      <c r="B1944" s="33"/>
      <c r="C1944" s="34"/>
      <c r="D1944" s="68" t="s">
        <v>17</v>
      </c>
      <c r="E1944" s="69" t="s">
        <v>27</v>
      </c>
      <c r="F1944" s="20" t="s">
        <v>533</v>
      </c>
      <c r="G1944" s="15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</row>
    <row r="1945" spans="2:18" ht="13">
      <c r="B1945" s="33"/>
      <c r="C1945" s="34"/>
      <c r="D1945" s="68" t="s">
        <v>17</v>
      </c>
      <c r="E1945" s="69" t="s">
        <v>27</v>
      </c>
      <c r="F1945" s="20" t="s">
        <v>533</v>
      </c>
      <c r="G1945" s="15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</row>
    <row r="1946" spans="2:18" ht="13">
      <c r="B1946" s="33"/>
      <c r="C1946" s="34"/>
      <c r="D1946" s="68" t="s">
        <v>26</v>
      </c>
      <c r="E1946" s="69" t="s">
        <v>27</v>
      </c>
      <c r="F1946" s="20" t="s">
        <v>533</v>
      </c>
      <c r="G1946" s="15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</row>
    <row r="1947" spans="2:18" ht="13">
      <c r="B1947" s="33"/>
      <c r="C1947" s="34"/>
      <c r="D1947" s="68" t="s">
        <v>36</v>
      </c>
      <c r="E1947" s="69" t="s">
        <v>37</v>
      </c>
      <c r="F1947" s="20" t="s">
        <v>533</v>
      </c>
      <c r="G1947" s="15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</row>
    <row r="1948" spans="2:18" ht="13">
      <c r="B1948" s="33"/>
      <c r="C1948" s="34"/>
      <c r="D1948" s="68" t="s">
        <v>26</v>
      </c>
      <c r="E1948" s="69" t="s">
        <v>27</v>
      </c>
      <c r="F1948" s="20" t="s">
        <v>533</v>
      </c>
      <c r="G1948" s="15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</row>
    <row r="1949" spans="2:18" ht="13">
      <c r="B1949" s="33"/>
      <c r="C1949" s="34"/>
      <c r="D1949" s="68" t="s">
        <v>17</v>
      </c>
      <c r="E1949" s="69" t="s">
        <v>27</v>
      </c>
      <c r="F1949" s="20" t="s">
        <v>533</v>
      </c>
      <c r="G1949" s="15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</row>
    <row r="1950" spans="2:18" ht="13">
      <c r="B1950" s="33"/>
      <c r="C1950" s="34"/>
      <c r="D1950" s="68" t="s">
        <v>17</v>
      </c>
      <c r="E1950" s="69" t="s">
        <v>27</v>
      </c>
      <c r="F1950" s="20" t="s">
        <v>533</v>
      </c>
      <c r="G1950" s="15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</row>
    <row r="1951" spans="2:18" ht="13">
      <c r="B1951" s="33"/>
      <c r="C1951" s="34"/>
      <c r="D1951" s="68" t="s">
        <v>17</v>
      </c>
      <c r="E1951" s="69" t="s">
        <v>27</v>
      </c>
      <c r="F1951" s="20" t="s">
        <v>533</v>
      </c>
      <c r="G1951" s="15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</row>
    <row r="1952" spans="2:18" ht="13">
      <c r="B1952" s="33"/>
      <c r="C1952" s="34"/>
      <c r="D1952" s="68" t="s">
        <v>17</v>
      </c>
      <c r="E1952" s="69" t="s">
        <v>27</v>
      </c>
      <c r="F1952" s="20" t="s">
        <v>533</v>
      </c>
      <c r="G1952" s="15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</row>
    <row r="1953" spans="2:18" ht="13">
      <c r="B1953" s="33"/>
      <c r="C1953" s="34"/>
      <c r="D1953" s="68" t="s">
        <v>17</v>
      </c>
      <c r="E1953" s="69" t="s">
        <v>27</v>
      </c>
      <c r="F1953" s="20" t="s">
        <v>533</v>
      </c>
      <c r="G1953" s="15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</row>
    <row r="1954" spans="2:18" ht="13">
      <c r="B1954" s="33"/>
      <c r="C1954" s="34"/>
      <c r="D1954" s="68" t="s">
        <v>17</v>
      </c>
      <c r="E1954" s="69" t="s">
        <v>27</v>
      </c>
      <c r="F1954" s="20" t="s">
        <v>533</v>
      </c>
      <c r="G1954" s="15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</row>
    <row r="1955" spans="2:18" ht="13">
      <c r="B1955" s="33"/>
      <c r="C1955" s="34"/>
      <c r="D1955" s="68" t="s">
        <v>574</v>
      </c>
      <c r="E1955" s="69" t="s">
        <v>575</v>
      </c>
      <c r="F1955" s="20" t="s">
        <v>533</v>
      </c>
      <c r="G1955" s="15"/>
      <c r="H1955" s="15"/>
      <c r="I1955" s="15"/>
      <c r="J1955" s="15"/>
      <c r="K1955" s="15"/>
      <c r="L1955" s="15"/>
      <c r="M1955" s="15"/>
      <c r="N1955" s="15"/>
      <c r="O1955" s="15"/>
      <c r="P1955" s="15"/>
      <c r="Q1955" s="15"/>
      <c r="R1955" s="15"/>
    </row>
    <row r="1956" spans="2:18" ht="13">
      <c r="B1956" s="33"/>
      <c r="C1956" s="34"/>
      <c r="D1956" s="68" t="s">
        <v>17</v>
      </c>
      <c r="E1956" s="69" t="s">
        <v>27</v>
      </c>
      <c r="F1956" s="20" t="s">
        <v>533</v>
      </c>
      <c r="G1956" s="15"/>
      <c r="H1956" s="15"/>
      <c r="I1956" s="15"/>
      <c r="J1956" s="15"/>
      <c r="K1956" s="15"/>
      <c r="L1956" s="15"/>
      <c r="M1956" s="15"/>
      <c r="N1956" s="15"/>
      <c r="O1956" s="15"/>
      <c r="P1956" s="15"/>
      <c r="Q1956" s="15"/>
      <c r="R1956" s="15"/>
    </row>
    <row r="1957" spans="2:18" ht="13">
      <c r="B1957" s="33"/>
      <c r="C1957" s="34"/>
      <c r="D1957" s="68" t="s">
        <v>36</v>
      </c>
      <c r="E1957" s="69" t="s">
        <v>27</v>
      </c>
      <c r="F1957" s="20" t="s">
        <v>533</v>
      </c>
      <c r="G1957" s="15"/>
      <c r="H1957" s="15"/>
      <c r="I1957" s="15"/>
      <c r="J1957" s="15"/>
      <c r="K1957" s="15"/>
      <c r="L1957" s="15"/>
      <c r="M1957" s="15"/>
      <c r="N1957" s="15"/>
      <c r="O1957" s="15"/>
      <c r="P1957" s="15"/>
      <c r="Q1957" s="15"/>
      <c r="R1957" s="15"/>
    </row>
    <row r="1958" spans="2:18" ht="13">
      <c r="B1958" s="33"/>
      <c r="C1958" s="34"/>
      <c r="D1958" s="68" t="s">
        <v>26</v>
      </c>
      <c r="E1958" s="69" t="s">
        <v>27</v>
      </c>
      <c r="F1958" s="20" t="s">
        <v>533</v>
      </c>
      <c r="G1958" s="15"/>
      <c r="H1958" s="15"/>
      <c r="I1958" s="15"/>
      <c r="J1958" s="15"/>
      <c r="K1958" s="15"/>
      <c r="L1958" s="15"/>
      <c r="M1958" s="15"/>
      <c r="N1958" s="15"/>
      <c r="O1958" s="15"/>
      <c r="P1958" s="15"/>
      <c r="Q1958" s="15"/>
      <c r="R1958" s="15"/>
    </row>
    <row r="1959" spans="2:18" ht="13">
      <c r="B1959" s="33"/>
      <c r="C1959" s="34"/>
      <c r="D1959" s="68" t="s">
        <v>17</v>
      </c>
      <c r="E1959" s="69" t="s">
        <v>27</v>
      </c>
      <c r="F1959" s="20" t="s">
        <v>533</v>
      </c>
      <c r="G1959" s="15"/>
      <c r="H1959" s="15"/>
      <c r="I1959" s="15"/>
      <c r="J1959" s="15"/>
      <c r="K1959" s="15"/>
      <c r="L1959" s="15"/>
      <c r="M1959" s="15"/>
      <c r="N1959" s="15"/>
      <c r="O1959" s="15"/>
      <c r="P1959" s="15"/>
      <c r="Q1959" s="15"/>
      <c r="R1959" s="15"/>
    </row>
    <row r="1960" spans="2:18" ht="13">
      <c r="B1960" s="33"/>
      <c r="C1960" s="34"/>
      <c r="D1960" s="68" t="s">
        <v>31</v>
      </c>
      <c r="E1960" s="69" t="s">
        <v>32</v>
      </c>
      <c r="F1960" s="20" t="s">
        <v>533</v>
      </c>
      <c r="G1960" s="15"/>
      <c r="H1960" s="15"/>
      <c r="I1960" s="15"/>
      <c r="J1960" s="15"/>
      <c r="K1960" s="15"/>
      <c r="L1960" s="15"/>
      <c r="M1960" s="15"/>
      <c r="N1960" s="15"/>
      <c r="O1960" s="15"/>
      <c r="P1960" s="15"/>
      <c r="Q1960" s="15"/>
      <c r="R1960" s="15"/>
    </row>
    <row r="1961" spans="2:18" ht="13">
      <c r="B1961" s="33"/>
      <c r="C1961" s="34"/>
      <c r="D1961" s="68" t="s">
        <v>17</v>
      </c>
      <c r="E1961" s="69" t="s">
        <v>27</v>
      </c>
      <c r="F1961" s="20" t="s">
        <v>533</v>
      </c>
      <c r="G1961" s="15"/>
      <c r="H1961" s="15"/>
      <c r="I1961" s="15"/>
      <c r="J1961" s="15"/>
      <c r="K1961" s="15"/>
      <c r="L1961" s="15"/>
      <c r="M1961" s="15"/>
      <c r="N1961" s="15"/>
      <c r="O1961" s="15"/>
      <c r="P1961" s="15"/>
      <c r="Q1961" s="15"/>
      <c r="R1961" s="15"/>
    </row>
    <row r="1962" spans="2:18" ht="13">
      <c r="B1962" s="33"/>
      <c r="C1962" s="34"/>
      <c r="D1962" s="68" t="s">
        <v>577</v>
      </c>
      <c r="E1962" s="69" t="s">
        <v>124</v>
      </c>
      <c r="F1962" s="20" t="s">
        <v>533</v>
      </c>
      <c r="G1962" s="15"/>
      <c r="H1962" s="15"/>
      <c r="I1962" s="15"/>
      <c r="J1962" s="15"/>
      <c r="K1962" s="15"/>
      <c r="L1962" s="15"/>
      <c r="M1962" s="15"/>
      <c r="N1962" s="15"/>
      <c r="O1962" s="15"/>
      <c r="P1962" s="15"/>
      <c r="Q1962" s="15"/>
      <c r="R1962" s="15"/>
    </row>
    <row r="1963" spans="2:18" ht="13">
      <c r="B1963" s="33"/>
      <c r="C1963" s="34"/>
      <c r="D1963" s="68" t="s">
        <v>17</v>
      </c>
      <c r="E1963" s="69" t="s">
        <v>614</v>
      </c>
      <c r="F1963" s="20" t="s">
        <v>533</v>
      </c>
      <c r="G1963" s="15"/>
      <c r="H1963" s="15"/>
      <c r="I1963" s="15"/>
      <c r="J1963" s="15"/>
      <c r="K1963" s="15"/>
      <c r="L1963" s="15"/>
      <c r="M1963" s="15"/>
      <c r="N1963" s="15"/>
      <c r="O1963" s="15"/>
      <c r="P1963" s="15"/>
      <c r="Q1963" s="15"/>
      <c r="R1963" s="15"/>
    </row>
    <row r="1964" spans="2:18" ht="13">
      <c r="B1964" s="33"/>
      <c r="C1964" s="34"/>
      <c r="D1964" s="68" t="s">
        <v>17</v>
      </c>
      <c r="E1964" s="69" t="s">
        <v>614</v>
      </c>
      <c r="F1964" s="20" t="s">
        <v>533</v>
      </c>
      <c r="G1964" s="15"/>
      <c r="H1964" s="15"/>
      <c r="I1964" s="15"/>
      <c r="J1964" s="15"/>
      <c r="K1964" s="15"/>
      <c r="L1964" s="15"/>
      <c r="M1964" s="15"/>
      <c r="N1964" s="15"/>
      <c r="O1964" s="15"/>
      <c r="P1964" s="15"/>
      <c r="Q1964" s="15"/>
      <c r="R1964" s="15"/>
    </row>
    <row r="1965" spans="2:18" ht="13">
      <c r="B1965" s="33"/>
      <c r="C1965" s="34"/>
      <c r="D1965" s="68" t="s">
        <v>290</v>
      </c>
      <c r="E1965" s="69" t="s">
        <v>32</v>
      </c>
      <c r="F1965" s="20" t="s">
        <v>533</v>
      </c>
      <c r="G1965" s="15"/>
      <c r="H1965" s="15"/>
      <c r="I1965" s="15"/>
      <c r="J1965" s="15"/>
      <c r="K1965" s="15"/>
      <c r="L1965" s="15"/>
      <c r="M1965" s="15"/>
      <c r="N1965" s="15"/>
      <c r="O1965" s="15"/>
      <c r="P1965" s="15"/>
      <c r="Q1965" s="15"/>
      <c r="R1965" s="15"/>
    </row>
    <row r="1966" spans="2:18" ht="13">
      <c r="B1966" s="33"/>
      <c r="C1966" s="34"/>
      <c r="D1966" s="68" t="s">
        <v>573</v>
      </c>
      <c r="E1966" s="69" t="s">
        <v>121</v>
      </c>
      <c r="F1966" s="20" t="s">
        <v>533</v>
      </c>
      <c r="G1966" s="15"/>
      <c r="H1966" s="15"/>
      <c r="I1966" s="15"/>
      <c r="J1966" s="15"/>
      <c r="K1966" s="15"/>
      <c r="L1966" s="15"/>
      <c r="M1966" s="15"/>
      <c r="N1966" s="15"/>
      <c r="O1966" s="15"/>
      <c r="P1966" s="15"/>
      <c r="Q1966" s="15"/>
      <c r="R1966" s="15"/>
    </row>
    <row r="1967" spans="2:18" ht="13">
      <c r="B1967" s="33"/>
      <c r="C1967" s="34"/>
      <c r="D1967" s="68" t="s">
        <v>26</v>
      </c>
      <c r="E1967" s="69" t="s">
        <v>27</v>
      </c>
      <c r="F1967" s="20" t="s">
        <v>533</v>
      </c>
      <c r="G1967" s="15"/>
      <c r="H1967" s="15"/>
      <c r="I1967" s="15"/>
      <c r="J1967" s="15"/>
      <c r="K1967" s="15"/>
      <c r="L1967" s="15"/>
      <c r="M1967" s="15"/>
      <c r="N1967" s="15"/>
      <c r="O1967" s="15"/>
      <c r="P1967" s="15"/>
      <c r="Q1967" s="15"/>
      <c r="R1967" s="15"/>
    </row>
    <row r="1968" spans="2:18" ht="13">
      <c r="B1968" s="33"/>
      <c r="C1968" s="34"/>
      <c r="D1968" s="68" t="s">
        <v>595</v>
      </c>
      <c r="E1968" s="69" t="s">
        <v>121</v>
      </c>
      <c r="F1968" s="20" t="s">
        <v>533</v>
      </c>
      <c r="G1968" s="15"/>
      <c r="H1968" s="15"/>
      <c r="I1968" s="15"/>
      <c r="J1968" s="15"/>
      <c r="K1968" s="15"/>
      <c r="L1968" s="15"/>
      <c r="M1968" s="15"/>
      <c r="N1968" s="15"/>
      <c r="O1968" s="15"/>
      <c r="P1968" s="15"/>
      <c r="Q1968" s="15"/>
      <c r="R1968" s="15"/>
    </row>
    <row r="1969" spans="2:18" ht="13">
      <c r="B1969" s="33"/>
      <c r="C1969" s="34"/>
      <c r="D1969" s="68" t="s">
        <v>544</v>
      </c>
      <c r="E1969" s="69" t="s">
        <v>121</v>
      </c>
      <c r="F1969" s="20" t="s">
        <v>533</v>
      </c>
      <c r="G1969" s="15"/>
      <c r="H1969" s="15"/>
      <c r="I1969" s="15"/>
      <c r="J1969" s="15"/>
      <c r="K1969" s="15"/>
      <c r="L1969" s="15"/>
      <c r="M1969" s="15"/>
      <c r="N1969" s="15"/>
      <c r="O1969" s="15"/>
      <c r="P1969" s="15"/>
      <c r="Q1969" s="15"/>
      <c r="R1969" s="15"/>
    </row>
    <row r="1970" spans="2:18" ht="13">
      <c r="B1970" s="33"/>
      <c r="C1970" s="34"/>
      <c r="D1970" s="68" t="s">
        <v>17</v>
      </c>
      <c r="E1970" s="69" t="s">
        <v>27</v>
      </c>
      <c r="F1970" s="20" t="s">
        <v>533</v>
      </c>
      <c r="G1970" s="15"/>
      <c r="H1970" s="15"/>
      <c r="I1970" s="15"/>
      <c r="J1970" s="15"/>
      <c r="K1970" s="15"/>
      <c r="L1970" s="15"/>
      <c r="M1970" s="15"/>
      <c r="N1970" s="15"/>
      <c r="O1970" s="15"/>
      <c r="P1970" s="15"/>
      <c r="Q1970" s="15"/>
      <c r="R1970" s="15"/>
    </row>
    <row r="1971" spans="2:18" ht="13">
      <c r="B1971" s="33"/>
      <c r="C1971" s="34"/>
      <c r="D1971" s="68" t="s">
        <v>26</v>
      </c>
      <c r="E1971" s="69" t="s">
        <v>27</v>
      </c>
      <c r="F1971" s="20" t="s">
        <v>533</v>
      </c>
      <c r="G1971" s="15"/>
      <c r="H1971" s="15"/>
      <c r="I1971" s="15"/>
      <c r="J1971" s="15"/>
      <c r="K1971" s="15"/>
      <c r="L1971" s="15"/>
      <c r="M1971" s="15"/>
      <c r="N1971" s="15"/>
      <c r="O1971" s="15"/>
      <c r="P1971" s="15"/>
      <c r="Q1971" s="15"/>
      <c r="R1971" s="15"/>
    </row>
    <row r="1972" spans="2:18" ht="13">
      <c r="B1972" s="33"/>
      <c r="C1972" s="34"/>
      <c r="D1972" s="68" t="s">
        <v>556</v>
      </c>
      <c r="E1972" s="69" t="s">
        <v>121</v>
      </c>
      <c r="F1972" s="20" t="s">
        <v>533</v>
      </c>
      <c r="G1972" s="15"/>
      <c r="H1972" s="15"/>
      <c r="I1972" s="15"/>
      <c r="J1972" s="15"/>
      <c r="K1972" s="15"/>
      <c r="L1972" s="15"/>
      <c r="M1972" s="15"/>
      <c r="N1972" s="15"/>
      <c r="O1972" s="15"/>
      <c r="P1972" s="15"/>
      <c r="Q1972" s="15"/>
      <c r="R1972" s="15"/>
    </row>
    <row r="1973" spans="2:18" ht="13">
      <c r="B1973" s="33"/>
      <c r="C1973" s="34"/>
      <c r="D1973" s="68" t="s">
        <v>17</v>
      </c>
      <c r="E1973" s="69" t="s">
        <v>27</v>
      </c>
      <c r="F1973" s="20" t="s">
        <v>533</v>
      </c>
      <c r="G1973" s="15"/>
      <c r="H1973" s="15"/>
      <c r="I1973" s="15"/>
      <c r="J1973" s="15"/>
      <c r="K1973" s="15"/>
      <c r="L1973" s="15"/>
      <c r="M1973" s="15"/>
      <c r="N1973" s="15"/>
      <c r="O1973" s="15"/>
      <c r="P1973" s="15"/>
      <c r="Q1973" s="15"/>
      <c r="R1973" s="15"/>
    </row>
    <row r="1974" spans="2:18" ht="13">
      <c r="B1974" s="33"/>
      <c r="C1974" s="34"/>
      <c r="D1974" s="68" t="s">
        <v>17</v>
      </c>
      <c r="E1974" s="69" t="s">
        <v>27</v>
      </c>
      <c r="F1974" s="20" t="s">
        <v>533</v>
      </c>
      <c r="G1974" s="15"/>
      <c r="H1974" s="15"/>
      <c r="I1974" s="15"/>
      <c r="J1974" s="15"/>
      <c r="K1974" s="15"/>
      <c r="L1974" s="15"/>
      <c r="M1974" s="15"/>
      <c r="N1974" s="15"/>
      <c r="O1974" s="15"/>
      <c r="P1974" s="15"/>
      <c r="Q1974" s="15"/>
      <c r="R1974" s="15"/>
    </row>
    <row r="1975" spans="2:18" ht="13">
      <c r="B1975" s="33"/>
      <c r="C1975" s="34"/>
      <c r="D1975" s="68" t="s">
        <v>26</v>
      </c>
      <c r="E1975" s="69" t="s">
        <v>27</v>
      </c>
      <c r="F1975" s="20" t="s">
        <v>533</v>
      </c>
      <c r="G1975" s="15"/>
      <c r="H1975" s="15"/>
      <c r="I1975" s="15"/>
      <c r="J1975" s="15"/>
      <c r="K1975" s="15"/>
      <c r="L1975" s="15"/>
      <c r="M1975" s="15"/>
      <c r="N1975" s="15"/>
      <c r="O1975" s="15"/>
      <c r="P1975" s="15"/>
      <c r="Q1975" s="15"/>
      <c r="R1975" s="15"/>
    </row>
    <row r="1976" spans="2:18" ht="13">
      <c r="B1976" s="33"/>
      <c r="C1976" s="34"/>
      <c r="D1976" s="68" t="s">
        <v>26</v>
      </c>
      <c r="E1976" s="69" t="s">
        <v>27</v>
      </c>
      <c r="F1976" s="20" t="s">
        <v>533</v>
      </c>
      <c r="G1976" s="15"/>
      <c r="H1976" s="15"/>
      <c r="I1976" s="15"/>
      <c r="J1976" s="15"/>
      <c r="K1976" s="15"/>
      <c r="L1976" s="15"/>
      <c r="M1976" s="15"/>
      <c r="N1976" s="15"/>
      <c r="O1976" s="15"/>
      <c r="P1976" s="15"/>
      <c r="Q1976" s="15"/>
      <c r="R1976" s="15"/>
    </row>
    <row r="1977" spans="2:18" ht="13">
      <c r="B1977" s="33"/>
      <c r="C1977" s="34"/>
      <c r="D1977" s="68" t="s">
        <v>26</v>
      </c>
      <c r="E1977" s="69" t="s">
        <v>27</v>
      </c>
      <c r="F1977" s="20" t="s">
        <v>533</v>
      </c>
      <c r="G1977" s="15"/>
      <c r="H1977" s="15"/>
      <c r="I1977" s="15"/>
      <c r="J1977" s="15"/>
      <c r="K1977" s="15"/>
      <c r="L1977" s="15"/>
      <c r="M1977" s="15"/>
      <c r="N1977" s="15"/>
      <c r="O1977" s="15"/>
      <c r="P1977" s="15"/>
      <c r="Q1977" s="15"/>
      <c r="R1977" s="15"/>
    </row>
    <row r="1978" spans="2:18" ht="13">
      <c r="B1978" s="33"/>
      <c r="C1978" s="34"/>
      <c r="D1978" s="68" t="s">
        <v>26</v>
      </c>
      <c r="E1978" s="69" t="s">
        <v>27</v>
      </c>
      <c r="F1978" s="20" t="s">
        <v>533</v>
      </c>
      <c r="G1978" s="15"/>
      <c r="H1978" s="15"/>
      <c r="I1978" s="15"/>
      <c r="J1978" s="15"/>
      <c r="K1978" s="15"/>
      <c r="L1978" s="15"/>
      <c r="M1978" s="15"/>
      <c r="N1978" s="15"/>
      <c r="O1978" s="15"/>
      <c r="P1978" s="15"/>
      <c r="Q1978" s="15"/>
      <c r="R1978" s="15"/>
    </row>
    <row r="1979" spans="2:18" ht="13">
      <c r="B1979" s="33"/>
      <c r="C1979" s="34"/>
      <c r="D1979" s="68" t="s">
        <v>26</v>
      </c>
      <c r="E1979" s="69" t="s">
        <v>27</v>
      </c>
      <c r="F1979" s="20" t="s">
        <v>533</v>
      </c>
      <c r="G1979" s="15"/>
      <c r="H1979" s="15"/>
      <c r="I1979" s="15"/>
      <c r="J1979" s="15"/>
      <c r="K1979" s="15"/>
      <c r="L1979" s="15"/>
      <c r="M1979" s="15"/>
      <c r="N1979" s="15"/>
      <c r="O1979" s="15"/>
      <c r="P1979" s="15"/>
      <c r="Q1979" s="15"/>
      <c r="R1979" s="15"/>
    </row>
    <row r="1980" spans="2:18" ht="13">
      <c r="B1980" s="33"/>
      <c r="C1980" s="34"/>
      <c r="D1980" s="68" t="s">
        <v>17</v>
      </c>
      <c r="E1980" s="69" t="s">
        <v>27</v>
      </c>
      <c r="F1980" s="20" t="s">
        <v>533</v>
      </c>
      <c r="G1980" s="15"/>
      <c r="H1980" s="15"/>
      <c r="I1980" s="15"/>
      <c r="J1980" s="15"/>
      <c r="K1980" s="15"/>
      <c r="L1980" s="15"/>
      <c r="M1980" s="15"/>
      <c r="N1980" s="15"/>
      <c r="O1980" s="15"/>
      <c r="P1980" s="15"/>
      <c r="Q1980" s="15"/>
      <c r="R1980" s="15"/>
    </row>
    <row r="1981" spans="2:18" ht="13">
      <c r="B1981" s="33"/>
      <c r="C1981" s="34"/>
      <c r="D1981" s="68" t="s">
        <v>17</v>
      </c>
      <c r="E1981" s="69" t="s">
        <v>27</v>
      </c>
      <c r="F1981" s="20" t="s">
        <v>533</v>
      </c>
      <c r="G1981" s="15"/>
      <c r="H1981" s="15"/>
      <c r="I1981" s="15"/>
      <c r="J1981" s="15"/>
      <c r="K1981" s="15"/>
      <c r="L1981" s="15"/>
      <c r="M1981" s="15"/>
      <c r="N1981" s="15"/>
      <c r="O1981" s="15"/>
      <c r="P1981" s="15"/>
      <c r="Q1981" s="15"/>
      <c r="R1981" s="15"/>
    </row>
    <row r="1982" spans="2:18" ht="13">
      <c r="B1982" s="33"/>
      <c r="C1982" s="34"/>
      <c r="D1982" s="68" t="s">
        <v>26</v>
      </c>
      <c r="E1982" s="69" t="s">
        <v>27</v>
      </c>
      <c r="F1982" s="20" t="s">
        <v>533</v>
      </c>
      <c r="G1982" s="15"/>
      <c r="H1982" s="15"/>
      <c r="I1982" s="15"/>
      <c r="J1982" s="15"/>
      <c r="K1982" s="15"/>
      <c r="L1982" s="15"/>
      <c r="M1982" s="15"/>
      <c r="N1982" s="15"/>
      <c r="O1982" s="15"/>
      <c r="P1982" s="15"/>
      <c r="Q1982" s="15"/>
      <c r="R1982" s="15"/>
    </row>
    <row r="1983" spans="2:18" ht="13">
      <c r="B1983" s="33"/>
      <c r="C1983" s="34"/>
      <c r="D1983" s="68" t="s">
        <v>26</v>
      </c>
      <c r="E1983" s="69" t="s">
        <v>27</v>
      </c>
      <c r="F1983" s="20" t="s">
        <v>533</v>
      </c>
      <c r="G1983" s="15"/>
      <c r="H1983" s="15"/>
      <c r="I1983" s="15"/>
      <c r="J1983" s="15"/>
      <c r="K1983" s="15"/>
      <c r="L1983" s="15"/>
      <c r="M1983" s="15"/>
      <c r="N1983" s="15"/>
      <c r="O1983" s="15"/>
      <c r="P1983" s="15"/>
      <c r="Q1983" s="15"/>
      <c r="R1983" s="15"/>
    </row>
    <row r="1984" spans="2:18" ht="13">
      <c r="B1984" s="33"/>
      <c r="C1984" s="34"/>
      <c r="D1984" s="68" t="s">
        <v>17</v>
      </c>
      <c r="E1984" s="69" t="s">
        <v>27</v>
      </c>
      <c r="F1984" s="20" t="s">
        <v>533</v>
      </c>
      <c r="G1984" s="15"/>
      <c r="H1984" s="15"/>
      <c r="I1984" s="15"/>
      <c r="J1984" s="15"/>
      <c r="K1984" s="15"/>
      <c r="L1984" s="15"/>
      <c r="M1984" s="15"/>
      <c r="N1984" s="15"/>
      <c r="O1984" s="15"/>
      <c r="P1984" s="15"/>
      <c r="Q1984" s="15"/>
      <c r="R1984" s="15"/>
    </row>
    <row r="1985" spans="2:18" ht="13">
      <c r="B1985" s="33"/>
      <c r="C1985" s="34"/>
      <c r="D1985" s="68" t="s">
        <v>17</v>
      </c>
      <c r="E1985" s="69" t="s">
        <v>27</v>
      </c>
      <c r="F1985" s="20" t="s">
        <v>533</v>
      </c>
      <c r="G1985" s="15"/>
      <c r="H1985" s="15"/>
      <c r="I1985" s="15"/>
      <c r="J1985" s="15"/>
      <c r="K1985" s="15"/>
      <c r="L1985" s="15"/>
      <c r="M1985" s="15"/>
      <c r="N1985" s="15"/>
      <c r="O1985" s="15"/>
      <c r="P1985" s="15"/>
      <c r="Q1985" s="15"/>
      <c r="R1985" s="15"/>
    </row>
    <row r="1986" spans="2:18" ht="13">
      <c r="B1986" s="33"/>
      <c r="C1986" s="34"/>
      <c r="D1986" s="68" t="s">
        <v>17</v>
      </c>
      <c r="E1986" s="69" t="s">
        <v>27</v>
      </c>
      <c r="F1986" s="20" t="s">
        <v>533</v>
      </c>
      <c r="G1986" s="15"/>
      <c r="H1986" s="15"/>
      <c r="I1986" s="15"/>
      <c r="J1986" s="15"/>
      <c r="K1986" s="15"/>
      <c r="L1986" s="15"/>
      <c r="M1986" s="15"/>
      <c r="N1986" s="15"/>
      <c r="O1986" s="15"/>
      <c r="P1986" s="15"/>
      <c r="Q1986" s="15"/>
      <c r="R1986" s="15"/>
    </row>
    <row r="1987" spans="2:18" ht="13">
      <c r="B1987" s="33"/>
      <c r="C1987" s="34"/>
      <c r="D1987" s="68" t="s">
        <v>17</v>
      </c>
      <c r="E1987" s="69" t="s">
        <v>27</v>
      </c>
      <c r="F1987" s="20" t="s">
        <v>533</v>
      </c>
      <c r="G1987" s="15"/>
      <c r="H1987" s="15"/>
      <c r="I1987" s="15"/>
      <c r="J1987" s="15"/>
      <c r="K1987" s="15"/>
      <c r="L1987" s="15"/>
      <c r="M1987" s="15"/>
      <c r="N1987" s="15"/>
      <c r="O1987" s="15"/>
      <c r="P1987" s="15"/>
      <c r="Q1987" s="15"/>
      <c r="R1987" s="15"/>
    </row>
    <row r="1988" spans="2:18" ht="13">
      <c r="B1988" s="33"/>
      <c r="C1988" s="34"/>
      <c r="D1988" s="68" t="s">
        <v>26</v>
      </c>
      <c r="E1988" s="69" t="s">
        <v>27</v>
      </c>
      <c r="F1988" s="20" t="s">
        <v>533</v>
      </c>
      <c r="G1988" s="15"/>
      <c r="H1988" s="15"/>
      <c r="I1988" s="15"/>
      <c r="J1988" s="15"/>
      <c r="K1988" s="15"/>
      <c r="L1988" s="15"/>
      <c r="M1988" s="15"/>
      <c r="N1988" s="15"/>
      <c r="O1988" s="15"/>
      <c r="P1988" s="15"/>
      <c r="Q1988" s="15"/>
      <c r="R1988" s="15"/>
    </row>
    <row r="1989" spans="2:18" ht="13">
      <c r="B1989" s="33"/>
      <c r="C1989" s="34"/>
      <c r="D1989" s="68" t="s">
        <v>26</v>
      </c>
      <c r="E1989" s="69" t="s">
        <v>27</v>
      </c>
      <c r="F1989" s="20" t="s">
        <v>533</v>
      </c>
      <c r="G1989" s="15"/>
      <c r="H1989" s="15"/>
      <c r="I1989" s="15"/>
      <c r="J1989" s="15"/>
      <c r="K1989" s="15"/>
      <c r="L1989" s="15"/>
      <c r="M1989" s="15"/>
      <c r="N1989" s="15"/>
      <c r="O1989" s="15"/>
      <c r="P1989" s="15"/>
      <c r="Q1989" s="15"/>
      <c r="R1989" s="15"/>
    </row>
    <row r="1990" spans="2:18" ht="13">
      <c r="B1990" s="33"/>
      <c r="C1990" s="34"/>
      <c r="D1990" s="68" t="s">
        <v>26</v>
      </c>
      <c r="E1990" s="69" t="s">
        <v>27</v>
      </c>
      <c r="F1990" s="20" t="s">
        <v>533</v>
      </c>
      <c r="G1990" s="15"/>
      <c r="H1990" s="15"/>
      <c r="I1990" s="15"/>
      <c r="J1990" s="15"/>
      <c r="K1990" s="15"/>
      <c r="L1990" s="15"/>
      <c r="M1990" s="15"/>
      <c r="N1990" s="15"/>
      <c r="O1990" s="15"/>
      <c r="P1990" s="15"/>
      <c r="Q1990" s="15"/>
      <c r="R1990" s="15"/>
    </row>
    <row r="1991" spans="2:18" ht="13">
      <c r="B1991" s="33"/>
      <c r="C1991" s="34"/>
      <c r="D1991" s="68" t="s">
        <v>26</v>
      </c>
      <c r="E1991" s="69" t="s">
        <v>27</v>
      </c>
      <c r="F1991" s="20" t="s">
        <v>533</v>
      </c>
      <c r="G1991" s="15"/>
      <c r="H1991" s="15"/>
      <c r="I1991" s="15"/>
      <c r="J1991" s="15"/>
      <c r="K1991" s="15"/>
      <c r="L1991" s="15"/>
      <c r="M1991" s="15"/>
      <c r="N1991" s="15"/>
      <c r="O1991" s="15"/>
      <c r="P1991" s="15"/>
      <c r="Q1991" s="15"/>
      <c r="R1991" s="15"/>
    </row>
    <row r="1992" spans="2:18" ht="13">
      <c r="B1992" s="33"/>
      <c r="C1992" s="34"/>
      <c r="D1992" s="68" t="s">
        <v>544</v>
      </c>
      <c r="E1992" s="69" t="s">
        <v>121</v>
      </c>
      <c r="F1992" s="20" t="s">
        <v>533</v>
      </c>
      <c r="G1992" s="15"/>
      <c r="H1992" s="15"/>
      <c r="I1992" s="15"/>
      <c r="J1992" s="15"/>
      <c r="K1992" s="15"/>
      <c r="L1992" s="15"/>
      <c r="M1992" s="15"/>
      <c r="N1992" s="15"/>
      <c r="O1992" s="15"/>
      <c r="P1992" s="15"/>
      <c r="Q1992" s="15"/>
      <c r="R1992" s="15"/>
    </row>
    <row r="1993" spans="2:18" ht="13">
      <c r="B1993" s="33"/>
      <c r="C1993" s="34"/>
      <c r="D1993" s="68" t="s">
        <v>17</v>
      </c>
      <c r="E1993" s="69" t="s">
        <v>18</v>
      </c>
      <c r="F1993" s="20" t="s">
        <v>533</v>
      </c>
      <c r="G1993" s="15"/>
      <c r="H1993" s="15"/>
      <c r="I1993" s="15"/>
      <c r="J1993" s="15"/>
      <c r="K1993" s="15"/>
      <c r="L1993" s="15"/>
      <c r="M1993" s="15"/>
      <c r="N1993" s="15"/>
      <c r="O1993" s="15"/>
      <c r="P1993" s="15"/>
      <c r="Q1993" s="15"/>
      <c r="R1993" s="15"/>
    </row>
    <row r="1994" spans="2:18" ht="13">
      <c r="B1994" s="33"/>
      <c r="C1994" s="34"/>
      <c r="D1994" s="68" t="s">
        <v>26</v>
      </c>
      <c r="E1994" s="69" t="s">
        <v>27</v>
      </c>
      <c r="F1994" s="20" t="s">
        <v>533</v>
      </c>
      <c r="G1994" s="15"/>
      <c r="H1994" s="15"/>
      <c r="I1994" s="15"/>
      <c r="J1994" s="15"/>
      <c r="K1994" s="15"/>
      <c r="L1994" s="15"/>
      <c r="M1994" s="15"/>
      <c r="N1994" s="15"/>
      <c r="O1994" s="15"/>
      <c r="P1994" s="15"/>
      <c r="Q1994" s="15"/>
      <c r="R1994" s="15"/>
    </row>
    <row r="1995" spans="2:18" ht="13">
      <c r="B1995" s="33"/>
      <c r="C1995" s="34"/>
      <c r="D1995" s="68" t="s">
        <v>17</v>
      </c>
      <c r="E1995" s="69" t="s">
        <v>27</v>
      </c>
      <c r="F1995" s="20" t="s">
        <v>533</v>
      </c>
      <c r="G1995" s="15"/>
      <c r="H1995" s="15"/>
      <c r="I1995" s="15"/>
      <c r="J1995" s="15"/>
      <c r="K1995" s="15"/>
      <c r="L1995" s="15"/>
      <c r="M1995" s="15"/>
      <c r="N1995" s="15"/>
      <c r="O1995" s="15"/>
      <c r="P1995" s="15"/>
      <c r="Q1995" s="15"/>
      <c r="R1995" s="15"/>
    </row>
    <row r="1996" spans="2:18" ht="13">
      <c r="B1996" s="33"/>
      <c r="C1996" s="34"/>
      <c r="D1996" s="68" t="s">
        <v>36</v>
      </c>
      <c r="E1996" s="69" t="s">
        <v>37</v>
      </c>
      <c r="F1996" s="20" t="s">
        <v>533</v>
      </c>
      <c r="G1996" s="15"/>
      <c r="H1996" s="15"/>
      <c r="I1996" s="15"/>
      <c r="J1996" s="15"/>
      <c r="K1996" s="15"/>
      <c r="L1996" s="15"/>
      <c r="M1996" s="15"/>
      <c r="N1996" s="15"/>
      <c r="O1996" s="15"/>
      <c r="P1996" s="15"/>
      <c r="Q1996" s="15"/>
      <c r="R1996" s="15"/>
    </row>
    <row r="1997" spans="2:18" ht="13">
      <c r="B1997" s="33"/>
      <c r="C1997" s="34"/>
      <c r="D1997" s="68" t="s">
        <v>17</v>
      </c>
      <c r="E1997" s="69" t="s">
        <v>27</v>
      </c>
      <c r="F1997" s="20" t="s">
        <v>533</v>
      </c>
      <c r="G1997" s="15"/>
      <c r="H1997" s="15"/>
      <c r="I1997" s="15"/>
      <c r="J1997" s="15"/>
      <c r="K1997" s="15"/>
      <c r="L1997" s="15"/>
      <c r="M1997" s="15"/>
      <c r="N1997" s="15"/>
      <c r="O1997" s="15"/>
      <c r="P1997" s="15"/>
      <c r="Q1997" s="15"/>
      <c r="R1997" s="15"/>
    </row>
    <row r="1998" spans="2:18" ht="13">
      <c r="B1998" s="33"/>
      <c r="C1998" s="34"/>
      <c r="D1998" s="68" t="s">
        <v>607</v>
      </c>
      <c r="E1998" s="69" t="s">
        <v>121</v>
      </c>
      <c r="F1998" s="20" t="s">
        <v>533</v>
      </c>
      <c r="G1998" s="15"/>
      <c r="H1998" s="15"/>
      <c r="I1998" s="15"/>
      <c r="J1998" s="15"/>
      <c r="K1998" s="15"/>
      <c r="L1998" s="15"/>
      <c r="M1998" s="15"/>
      <c r="N1998" s="15"/>
      <c r="O1998" s="15"/>
      <c r="P1998" s="15"/>
      <c r="Q1998" s="15"/>
      <c r="R1998" s="15"/>
    </row>
    <row r="1999" spans="2:18" ht="13">
      <c r="B1999" s="33"/>
      <c r="C1999" s="34"/>
      <c r="D1999" s="68" t="s">
        <v>562</v>
      </c>
      <c r="E1999" s="69" t="s">
        <v>37</v>
      </c>
      <c r="F1999" s="20" t="s">
        <v>533</v>
      </c>
      <c r="G1999" s="15"/>
      <c r="H1999" s="15"/>
      <c r="I1999" s="15"/>
      <c r="J1999" s="15"/>
      <c r="K1999" s="15"/>
      <c r="L1999" s="15"/>
      <c r="M1999" s="15"/>
      <c r="N1999" s="15"/>
      <c r="O1999" s="15"/>
      <c r="P1999" s="15"/>
      <c r="Q1999" s="15"/>
      <c r="R1999" s="15"/>
    </row>
    <row r="2000" spans="2:18" ht="13">
      <c r="B2000" s="33"/>
      <c r="C2000" s="34"/>
      <c r="D2000" s="68" t="s">
        <v>17</v>
      </c>
      <c r="E2000" s="69" t="s">
        <v>27</v>
      </c>
      <c r="F2000" s="20" t="s">
        <v>533</v>
      </c>
      <c r="G2000" s="15"/>
      <c r="H2000" s="15"/>
      <c r="I2000" s="15"/>
      <c r="J2000" s="15"/>
      <c r="K2000" s="15"/>
      <c r="L2000" s="15"/>
      <c r="M2000" s="15"/>
      <c r="N2000" s="15"/>
      <c r="O2000" s="15"/>
      <c r="P2000" s="15"/>
      <c r="Q2000" s="15"/>
      <c r="R2000" s="15"/>
    </row>
    <row r="2001" spans="2:18" ht="13">
      <c r="B2001" s="33"/>
      <c r="C2001" s="34"/>
      <c r="D2001" s="68" t="s">
        <v>571</v>
      </c>
      <c r="E2001" s="69" t="s">
        <v>163</v>
      </c>
      <c r="F2001" s="20" t="s">
        <v>533</v>
      </c>
      <c r="G2001" s="15"/>
      <c r="H2001" s="15"/>
      <c r="I2001" s="15"/>
      <c r="J2001" s="15"/>
      <c r="K2001" s="15"/>
      <c r="L2001" s="15"/>
      <c r="M2001" s="15"/>
      <c r="N2001" s="15"/>
      <c r="O2001" s="15"/>
      <c r="P2001" s="15"/>
      <c r="Q2001" s="15"/>
      <c r="R2001" s="15"/>
    </row>
    <row r="2002" spans="2:18" ht="13">
      <c r="B2002" s="33"/>
      <c r="C2002" s="34"/>
      <c r="D2002" s="68" t="s">
        <v>17</v>
      </c>
      <c r="E2002" s="69" t="s">
        <v>27</v>
      </c>
      <c r="F2002" s="20" t="s">
        <v>533</v>
      </c>
      <c r="G2002" s="15"/>
      <c r="H2002" s="15"/>
      <c r="I2002" s="15"/>
      <c r="J2002" s="15"/>
      <c r="K2002" s="15"/>
      <c r="L2002" s="15"/>
      <c r="M2002" s="15"/>
      <c r="N2002" s="15"/>
      <c r="O2002" s="15"/>
      <c r="P2002" s="15"/>
      <c r="Q2002" s="15"/>
      <c r="R2002" s="15"/>
    </row>
    <row r="2003" spans="2:18" ht="13">
      <c r="B2003" s="33"/>
      <c r="C2003" s="34"/>
      <c r="D2003" s="68" t="s">
        <v>17</v>
      </c>
      <c r="E2003" s="69" t="s">
        <v>27</v>
      </c>
      <c r="F2003" s="20" t="s">
        <v>533</v>
      </c>
      <c r="G2003" s="15"/>
      <c r="H2003" s="15"/>
      <c r="I2003" s="15"/>
      <c r="J2003" s="15"/>
      <c r="K2003" s="15"/>
      <c r="L2003" s="15"/>
      <c r="M2003" s="15"/>
      <c r="N2003" s="15"/>
      <c r="O2003" s="15"/>
      <c r="P2003" s="15"/>
      <c r="Q2003" s="15"/>
      <c r="R2003" s="15"/>
    </row>
    <row r="2004" spans="2:18" ht="13">
      <c r="B2004" s="33"/>
      <c r="C2004" s="34"/>
      <c r="D2004" s="68" t="s">
        <v>17</v>
      </c>
      <c r="E2004" s="69" t="s">
        <v>27</v>
      </c>
      <c r="F2004" s="20" t="s">
        <v>533</v>
      </c>
      <c r="G2004" s="15"/>
      <c r="H2004" s="15"/>
      <c r="I2004" s="15"/>
      <c r="J2004" s="15"/>
      <c r="K2004" s="15"/>
      <c r="L2004" s="15"/>
      <c r="M2004" s="15"/>
      <c r="N2004" s="15"/>
      <c r="O2004" s="15"/>
      <c r="P2004" s="15"/>
      <c r="Q2004" s="15"/>
      <c r="R2004" s="15"/>
    </row>
    <row r="2005" spans="2:18" ht="13">
      <c r="B2005" s="33"/>
      <c r="C2005" s="34"/>
      <c r="D2005" s="68" t="s">
        <v>17</v>
      </c>
      <c r="E2005" s="69" t="s">
        <v>27</v>
      </c>
      <c r="F2005" s="20" t="s">
        <v>533</v>
      </c>
      <c r="G2005" s="15"/>
      <c r="H2005" s="15"/>
      <c r="I2005" s="15"/>
      <c r="J2005" s="15"/>
      <c r="K2005" s="15"/>
      <c r="L2005" s="15"/>
      <c r="M2005" s="15"/>
      <c r="N2005" s="15"/>
      <c r="O2005" s="15"/>
      <c r="P2005" s="15"/>
      <c r="Q2005" s="15"/>
      <c r="R2005" s="15"/>
    </row>
    <row r="2006" spans="2:18" ht="13">
      <c r="B2006" s="33"/>
      <c r="C2006" s="34"/>
      <c r="D2006" s="68" t="s">
        <v>17</v>
      </c>
      <c r="E2006" s="69" t="s">
        <v>27</v>
      </c>
      <c r="F2006" s="20" t="s">
        <v>533</v>
      </c>
      <c r="G2006" s="15"/>
      <c r="H2006" s="15"/>
      <c r="I2006" s="15"/>
      <c r="J2006" s="15"/>
      <c r="K2006" s="15"/>
      <c r="L2006" s="15"/>
      <c r="M2006" s="15"/>
      <c r="N2006" s="15"/>
      <c r="O2006" s="15"/>
      <c r="P2006" s="15"/>
      <c r="Q2006" s="15"/>
      <c r="R2006" s="15"/>
    </row>
    <row r="2007" spans="2:18" ht="13">
      <c r="B2007" s="33"/>
      <c r="C2007" s="34"/>
      <c r="D2007" s="68" t="s">
        <v>17</v>
      </c>
      <c r="E2007" s="69" t="s">
        <v>27</v>
      </c>
      <c r="F2007" s="20" t="s">
        <v>533</v>
      </c>
      <c r="G2007" s="15"/>
      <c r="H2007" s="15"/>
      <c r="I2007" s="15"/>
      <c r="J2007" s="15"/>
      <c r="K2007" s="15"/>
      <c r="L2007" s="15"/>
      <c r="M2007" s="15"/>
      <c r="N2007" s="15"/>
      <c r="O2007" s="15"/>
      <c r="P2007" s="15"/>
      <c r="Q2007" s="15"/>
      <c r="R2007" s="15"/>
    </row>
    <row r="2008" spans="2:18" ht="13">
      <c r="B2008" s="33"/>
      <c r="C2008" s="34"/>
      <c r="D2008" s="68" t="s">
        <v>566</v>
      </c>
      <c r="E2008" s="69" t="s">
        <v>32</v>
      </c>
      <c r="F2008" s="20" t="s">
        <v>533</v>
      </c>
      <c r="G2008" s="15"/>
      <c r="H2008" s="15"/>
      <c r="I2008" s="15"/>
      <c r="J2008" s="15"/>
      <c r="K2008" s="15"/>
      <c r="L2008" s="15"/>
      <c r="M2008" s="15"/>
      <c r="N2008" s="15"/>
      <c r="O2008" s="15"/>
      <c r="P2008" s="15"/>
      <c r="Q2008" s="15"/>
      <c r="R2008" s="15"/>
    </row>
    <row r="2009" spans="2:18" ht="13">
      <c r="B2009" s="33"/>
      <c r="C2009" s="34"/>
      <c r="D2009" s="68" t="s">
        <v>17</v>
      </c>
      <c r="E2009" s="69" t="s">
        <v>27</v>
      </c>
      <c r="F2009" s="20" t="s">
        <v>533</v>
      </c>
      <c r="G2009" s="15"/>
      <c r="H2009" s="15"/>
      <c r="I2009" s="15"/>
      <c r="J2009" s="15"/>
      <c r="K2009" s="15"/>
      <c r="L2009" s="15"/>
      <c r="M2009" s="15"/>
      <c r="N2009" s="15"/>
      <c r="O2009" s="15"/>
      <c r="P2009" s="15"/>
      <c r="Q2009" s="15"/>
      <c r="R2009" s="15"/>
    </row>
    <row r="2010" spans="2:18" ht="13">
      <c r="B2010" s="33"/>
      <c r="C2010" s="34"/>
      <c r="D2010" s="68" t="s">
        <v>17</v>
      </c>
      <c r="E2010" s="69" t="s">
        <v>27</v>
      </c>
      <c r="F2010" s="20" t="s">
        <v>533</v>
      </c>
      <c r="G2010" s="15"/>
      <c r="H2010" s="15"/>
      <c r="I2010" s="15"/>
      <c r="J2010" s="15"/>
      <c r="K2010" s="15"/>
      <c r="L2010" s="15"/>
      <c r="M2010" s="15"/>
      <c r="N2010" s="15"/>
      <c r="O2010" s="15"/>
      <c r="P2010" s="15"/>
      <c r="Q2010" s="15"/>
      <c r="R2010" s="15"/>
    </row>
    <row r="2011" spans="2:18" ht="13">
      <c r="B2011" s="33"/>
      <c r="C2011" s="34"/>
      <c r="D2011" s="68" t="s">
        <v>17</v>
      </c>
      <c r="E2011" s="69" t="s">
        <v>27</v>
      </c>
      <c r="F2011" s="20" t="s">
        <v>533</v>
      </c>
      <c r="G2011" s="15"/>
      <c r="H2011" s="15"/>
      <c r="I2011" s="15"/>
      <c r="J2011" s="15"/>
      <c r="K2011" s="15"/>
      <c r="L2011" s="15"/>
      <c r="M2011" s="15"/>
      <c r="N2011" s="15"/>
      <c r="O2011" s="15"/>
      <c r="P2011" s="15"/>
      <c r="Q2011" s="15"/>
      <c r="R2011" s="15"/>
    </row>
    <row r="2012" spans="2:18" ht="13">
      <c r="B2012" s="33"/>
      <c r="C2012" s="34"/>
      <c r="D2012" s="68" t="s">
        <v>17</v>
      </c>
      <c r="E2012" s="69" t="s">
        <v>27</v>
      </c>
      <c r="F2012" s="20" t="s">
        <v>533</v>
      </c>
      <c r="G2012" s="15"/>
      <c r="H2012" s="15"/>
      <c r="I2012" s="15"/>
      <c r="J2012" s="15"/>
      <c r="K2012" s="15"/>
      <c r="L2012" s="15"/>
      <c r="M2012" s="15"/>
      <c r="N2012" s="15"/>
      <c r="O2012" s="15"/>
      <c r="P2012" s="15"/>
      <c r="Q2012" s="15"/>
      <c r="R2012" s="15"/>
    </row>
    <row r="2013" spans="2:18" ht="13">
      <c r="B2013" s="33"/>
      <c r="C2013" s="34"/>
      <c r="D2013" s="68" t="s">
        <v>26</v>
      </c>
      <c r="E2013" s="69" t="s">
        <v>27</v>
      </c>
      <c r="F2013" s="20" t="s">
        <v>533</v>
      </c>
      <c r="G2013" s="15"/>
      <c r="H2013" s="15"/>
      <c r="I2013" s="15"/>
      <c r="J2013" s="15"/>
      <c r="K2013" s="15"/>
      <c r="L2013" s="15"/>
      <c r="M2013" s="15"/>
      <c r="N2013" s="15"/>
      <c r="O2013" s="15"/>
      <c r="P2013" s="15"/>
      <c r="Q2013" s="15"/>
      <c r="R2013" s="15"/>
    </row>
    <row r="2014" spans="2:18" ht="13">
      <c r="B2014" s="33"/>
      <c r="C2014" s="34"/>
      <c r="D2014" s="68" t="s">
        <v>26</v>
      </c>
      <c r="E2014" s="69" t="s">
        <v>121</v>
      </c>
      <c r="F2014" s="20" t="s">
        <v>533</v>
      </c>
      <c r="G2014" s="15"/>
      <c r="H2014" s="15"/>
      <c r="I2014" s="15"/>
      <c r="J2014" s="15"/>
      <c r="K2014" s="15"/>
      <c r="L2014" s="15"/>
      <c r="M2014" s="15"/>
      <c r="N2014" s="15"/>
      <c r="O2014" s="15"/>
      <c r="P2014" s="15"/>
      <c r="Q2014" s="15"/>
      <c r="R2014" s="15"/>
    </row>
    <row r="2015" spans="2:18" ht="13">
      <c r="B2015" s="33"/>
      <c r="C2015" s="34"/>
      <c r="D2015" s="68" t="s">
        <v>26</v>
      </c>
      <c r="E2015" s="69" t="s">
        <v>27</v>
      </c>
      <c r="F2015" s="20" t="s">
        <v>533</v>
      </c>
      <c r="G2015" s="15"/>
      <c r="H2015" s="15"/>
      <c r="I2015" s="15"/>
      <c r="J2015" s="15"/>
      <c r="K2015" s="15"/>
      <c r="L2015" s="15"/>
      <c r="M2015" s="15"/>
      <c r="N2015" s="15"/>
      <c r="O2015" s="15"/>
      <c r="P2015" s="15"/>
      <c r="Q2015" s="15"/>
      <c r="R2015" s="15"/>
    </row>
    <row r="2016" spans="2:18" ht="13">
      <c r="B2016" s="33"/>
      <c r="C2016" s="34"/>
      <c r="D2016" s="68" t="s">
        <v>17</v>
      </c>
      <c r="E2016" s="69" t="s">
        <v>27</v>
      </c>
      <c r="F2016" s="20" t="s">
        <v>533</v>
      </c>
      <c r="G2016" s="15"/>
      <c r="H2016" s="15"/>
      <c r="I2016" s="15"/>
      <c r="J2016" s="15"/>
      <c r="K2016" s="15"/>
      <c r="L2016" s="15"/>
      <c r="M2016" s="15"/>
      <c r="N2016" s="15"/>
      <c r="O2016" s="15"/>
      <c r="P2016" s="15"/>
      <c r="Q2016" s="15"/>
      <c r="R2016" s="15"/>
    </row>
    <row r="2017" spans="2:18" ht="13">
      <c r="B2017" s="33"/>
      <c r="C2017" s="34"/>
      <c r="D2017" s="68" t="s">
        <v>168</v>
      </c>
      <c r="E2017" s="69" t="s">
        <v>27</v>
      </c>
      <c r="F2017" s="20" t="s">
        <v>533</v>
      </c>
      <c r="G2017" s="15"/>
      <c r="H2017" s="15"/>
      <c r="I2017" s="15"/>
      <c r="J2017" s="15"/>
      <c r="K2017" s="15"/>
      <c r="L2017" s="15"/>
      <c r="M2017" s="15"/>
      <c r="N2017" s="15"/>
      <c r="O2017" s="15"/>
      <c r="P2017" s="15"/>
      <c r="Q2017" s="15"/>
      <c r="R2017" s="15"/>
    </row>
    <row r="2018" spans="2:18" ht="13">
      <c r="B2018" s="33"/>
      <c r="C2018" s="34"/>
      <c r="D2018" s="68" t="s">
        <v>174</v>
      </c>
      <c r="E2018" s="69" t="s">
        <v>379</v>
      </c>
      <c r="F2018" s="20" t="s">
        <v>533</v>
      </c>
      <c r="G2018" s="15"/>
      <c r="H2018" s="15"/>
      <c r="I2018" s="15"/>
      <c r="J2018" s="15"/>
      <c r="K2018" s="15"/>
      <c r="L2018" s="15"/>
      <c r="M2018" s="15"/>
      <c r="N2018" s="15"/>
      <c r="O2018" s="15"/>
      <c r="P2018" s="15"/>
      <c r="Q2018" s="15"/>
      <c r="R2018" s="15"/>
    </row>
    <row r="2019" spans="2:18" ht="13">
      <c r="B2019" s="33"/>
      <c r="C2019" s="34"/>
      <c r="D2019" s="68" t="s">
        <v>574</v>
      </c>
      <c r="E2019" s="69" t="s">
        <v>575</v>
      </c>
      <c r="F2019" s="20" t="s">
        <v>533</v>
      </c>
      <c r="G2019" s="15"/>
      <c r="H2019" s="15"/>
      <c r="I2019" s="15"/>
      <c r="J2019" s="15"/>
      <c r="K2019" s="15"/>
      <c r="L2019" s="15"/>
      <c r="M2019" s="15"/>
      <c r="N2019" s="15"/>
      <c r="O2019" s="15"/>
      <c r="P2019" s="15"/>
      <c r="Q2019" s="15"/>
      <c r="R2019" s="15"/>
    </row>
    <row r="2020" spans="2:18" ht="13">
      <c r="B2020" s="33"/>
      <c r="C2020" s="34"/>
      <c r="D2020" s="68" t="s">
        <v>17</v>
      </c>
      <c r="E2020" s="69" t="s">
        <v>27</v>
      </c>
      <c r="F2020" s="20" t="s">
        <v>533</v>
      </c>
      <c r="G2020" s="15"/>
      <c r="H2020" s="15"/>
      <c r="I2020" s="15"/>
      <c r="J2020" s="15"/>
      <c r="K2020" s="15"/>
      <c r="L2020" s="15"/>
      <c r="M2020" s="15"/>
      <c r="N2020" s="15"/>
      <c r="O2020" s="15"/>
      <c r="P2020" s="15"/>
      <c r="Q2020" s="15"/>
      <c r="R2020" s="15"/>
    </row>
    <row r="2021" spans="2:18" ht="13">
      <c r="B2021" s="33"/>
      <c r="C2021" s="34"/>
      <c r="D2021" s="68" t="s">
        <v>17</v>
      </c>
      <c r="E2021" s="69" t="s">
        <v>27</v>
      </c>
      <c r="F2021" s="20" t="s">
        <v>533</v>
      </c>
      <c r="G2021" s="15"/>
      <c r="H2021" s="15"/>
      <c r="I2021" s="15"/>
      <c r="J2021" s="15"/>
      <c r="K2021" s="15"/>
      <c r="L2021" s="15"/>
      <c r="M2021" s="15"/>
      <c r="N2021" s="15"/>
      <c r="O2021" s="15"/>
      <c r="P2021" s="15"/>
      <c r="Q2021" s="15"/>
      <c r="R2021" s="15"/>
    </row>
    <row r="2022" spans="2:18" ht="13">
      <c r="B2022" s="33"/>
      <c r="C2022" s="34"/>
      <c r="D2022" s="68" t="s">
        <v>17</v>
      </c>
      <c r="E2022" s="69" t="s">
        <v>27</v>
      </c>
      <c r="F2022" s="20" t="s">
        <v>533</v>
      </c>
      <c r="G2022" s="15"/>
      <c r="H2022" s="15"/>
      <c r="I2022" s="15"/>
      <c r="J2022" s="15"/>
      <c r="K2022" s="15"/>
      <c r="L2022" s="15"/>
      <c r="M2022" s="15"/>
      <c r="N2022" s="15"/>
      <c r="O2022" s="15"/>
      <c r="P2022" s="15"/>
      <c r="Q2022" s="15"/>
      <c r="R2022" s="15"/>
    </row>
    <row r="2023" spans="2:18" ht="13">
      <c r="B2023" s="33"/>
      <c r="C2023" s="34"/>
      <c r="D2023" s="68" t="s">
        <v>17</v>
      </c>
      <c r="E2023" s="69" t="s">
        <v>27</v>
      </c>
      <c r="F2023" s="20" t="s">
        <v>533</v>
      </c>
      <c r="G2023" s="15"/>
      <c r="H2023" s="15"/>
      <c r="I2023" s="15"/>
      <c r="J2023" s="15"/>
      <c r="K2023" s="15"/>
      <c r="L2023" s="15"/>
      <c r="M2023" s="15"/>
      <c r="N2023" s="15"/>
      <c r="O2023" s="15"/>
      <c r="P2023" s="15"/>
      <c r="Q2023" s="15"/>
      <c r="R2023" s="15"/>
    </row>
    <row r="2024" spans="2:18" ht="13">
      <c r="B2024" s="33"/>
      <c r="C2024" s="34"/>
      <c r="D2024" s="68" t="s">
        <v>17</v>
      </c>
      <c r="E2024" s="69" t="s">
        <v>27</v>
      </c>
      <c r="F2024" s="20" t="s">
        <v>533</v>
      </c>
      <c r="G2024" s="15"/>
      <c r="H2024" s="15"/>
      <c r="I2024" s="15"/>
      <c r="J2024" s="15"/>
      <c r="K2024" s="15"/>
      <c r="L2024" s="15"/>
      <c r="M2024" s="15"/>
      <c r="N2024" s="15"/>
      <c r="O2024" s="15"/>
      <c r="P2024" s="15"/>
      <c r="Q2024" s="15"/>
      <c r="R2024" s="15"/>
    </row>
    <row r="2025" spans="2:18" ht="13">
      <c r="B2025" s="33"/>
      <c r="C2025" s="34"/>
      <c r="D2025" s="68" t="s">
        <v>26</v>
      </c>
      <c r="E2025" s="69" t="s">
        <v>27</v>
      </c>
      <c r="F2025" s="20" t="s">
        <v>533</v>
      </c>
      <c r="G2025" s="15"/>
      <c r="H2025" s="15"/>
      <c r="I2025" s="15"/>
      <c r="J2025" s="15"/>
      <c r="K2025" s="15"/>
      <c r="L2025" s="15"/>
      <c r="M2025" s="15"/>
      <c r="N2025" s="15"/>
      <c r="O2025" s="15"/>
      <c r="P2025" s="15"/>
      <c r="Q2025" s="15"/>
      <c r="R2025" s="15"/>
    </row>
    <row r="2026" spans="2:18" ht="13">
      <c r="B2026" s="33"/>
      <c r="C2026" s="34"/>
      <c r="D2026" s="68" t="s">
        <v>17</v>
      </c>
      <c r="E2026" s="69" t="s">
        <v>27</v>
      </c>
      <c r="F2026" s="20" t="s">
        <v>533</v>
      </c>
      <c r="G2026" s="15"/>
      <c r="H2026" s="15"/>
      <c r="I2026" s="15"/>
      <c r="J2026" s="15"/>
      <c r="K2026" s="15"/>
      <c r="L2026" s="15"/>
      <c r="M2026" s="15"/>
      <c r="N2026" s="15"/>
      <c r="O2026" s="15"/>
      <c r="P2026" s="15"/>
      <c r="Q2026" s="15"/>
      <c r="R2026" s="15"/>
    </row>
    <row r="2027" spans="2:18" ht="13">
      <c r="B2027" s="33"/>
      <c r="C2027" s="34"/>
      <c r="D2027" s="68" t="s">
        <v>17</v>
      </c>
      <c r="E2027" s="69" t="s">
        <v>27</v>
      </c>
      <c r="F2027" s="20" t="s">
        <v>533</v>
      </c>
      <c r="G2027" s="15"/>
      <c r="H2027" s="15"/>
      <c r="I2027" s="15"/>
      <c r="J2027" s="15"/>
      <c r="K2027" s="15"/>
      <c r="L2027" s="15"/>
      <c r="M2027" s="15"/>
      <c r="N2027" s="15"/>
      <c r="O2027" s="15"/>
      <c r="P2027" s="15"/>
      <c r="Q2027" s="15"/>
      <c r="R2027" s="15"/>
    </row>
    <row r="2028" spans="2:18" ht="13">
      <c r="B2028" s="33"/>
      <c r="C2028" s="34"/>
      <c r="D2028" s="68" t="s">
        <v>17</v>
      </c>
      <c r="E2028" s="69" t="s">
        <v>27</v>
      </c>
      <c r="F2028" s="20" t="s">
        <v>533</v>
      </c>
      <c r="G2028" s="15"/>
      <c r="H2028" s="15"/>
      <c r="I2028" s="15"/>
      <c r="J2028" s="15"/>
      <c r="K2028" s="15"/>
      <c r="L2028" s="15"/>
      <c r="M2028" s="15"/>
      <c r="N2028" s="15"/>
      <c r="O2028" s="15"/>
      <c r="P2028" s="15"/>
      <c r="Q2028" s="15"/>
      <c r="R2028" s="15"/>
    </row>
    <row r="2029" spans="2:18" ht="13">
      <c r="B2029" s="33"/>
      <c r="C2029" s="34"/>
      <c r="D2029" s="68" t="s">
        <v>17</v>
      </c>
      <c r="E2029" s="69" t="s">
        <v>27</v>
      </c>
      <c r="F2029" s="20" t="s">
        <v>533</v>
      </c>
      <c r="G2029" s="15"/>
      <c r="H2029" s="15"/>
      <c r="I2029" s="15"/>
      <c r="J2029" s="15"/>
      <c r="K2029" s="15"/>
      <c r="L2029" s="15"/>
      <c r="M2029" s="15"/>
      <c r="N2029" s="15"/>
      <c r="O2029" s="15"/>
      <c r="P2029" s="15"/>
      <c r="Q2029" s="15"/>
      <c r="R2029" s="15"/>
    </row>
    <row r="2030" spans="2:18" ht="13">
      <c r="B2030" s="33"/>
      <c r="C2030" s="34"/>
      <c r="D2030" s="68" t="s">
        <v>17</v>
      </c>
      <c r="E2030" s="69" t="s">
        <v>27</v>
      </c>
      <c r="F2030" s="20" t="s">
        <v>533</v>
      </c>
      <c r="G2030" s="15"/>
      <c r="H2030" s="15"/>
      <c r="I2030" s="15"/>
      <c r="J2030" s="15"/>
      <c r="K2030" s="15"/>
      <c r="L2030" s="15"/>
      <c r="M2030" s="15"/>
      <c r="N2030" s="15"/>
      <c r="O2030" s="15"/>
      <c r="P2030" s="15"/>
      <c r="Q2030" s="15"/>
      <c r="R2030" s="15"/>
    </row>
    <row r="2031" spans="2:18" ht="13">
      <c r="B2031" s="33"/>
      <c r="C2031" s="34"/>
      <c r="D2031" s="68" t="s">
        <v>17</v>
      </c>
      <c r="E2031" s="69" t="s">
        <v>27</v>
      </c>
      <c r="F2031" s="20" t="s">
        <v>533</v>
      </c>
      <c r="G2031" s="15"/>
      <c r="H2031" s="15"/>
      <c r="I2031" s="15"/>
      <c r="J2031" s="15"/>
      <c r="K2031" s="15"/>
      <c r="L2031" s="15"/>
      <c r="M2031" s="15"/>
      <c r="N2031" s="15"/>
      <c r="O2031" s="15"/>
      <c r="P2031" s="15"/>
      <c r="Q2031" s="15"/>
      <c r="R2031" s="15"/>
    </row>
    <row r="2032" spans="2:18" ht="13">
      <c r="B2032" s="33"/>
      <c r="C2032" s="34"/>
      <c r="D2032" s="68" t="s">
        <v>17</v>
      </c>
      <c r="E2032" s="69" t="s">
        <v>27</v>
      </c>
      <c r="F2032" s="20" t="s">
        <v>533</v>
      </c>
      <c r="G2032" s="15"/>
      <c r="H2032" s="15"/>
      <c r="I2032" s="15"/>
      <c r="J2032" s="15"/>
      <c r="K2032" s="15"/>
      <c r="L2032" s="15"/>
      <c r="M2032" s="15"/>
      <c r="N2032" s="15"/>
      <c r="O2032" s="15"/>
      <c r="P2032" s="15"/>
      <c r="Q2032" s="15"/>
      <c r="R2032" s="15"/>
    </row>
    <row r="2033" spans="2:18" ht="13">
      <c r="B2033" s="33"/>
      <c r="C2033" s="34"/>
      <c r="D2033" s="68" t="s">
        <v>168</v>
      </c>
      <c r="E2033" s="69" t="s">
        <v>27</v>
      </c>
      <c r="F2033" s="20" t="s">
        <v>533</v>
      </c>
      <c r="G2033" s="15"/>
      <c r="H2033" s="15"/>
      <c r="I2033" s="15"/>
      <c r="J2033" s="15"/>
      <c r="K2033" s="15"/>
      <c r="L2033" s="15"/>
      <c r="M2033" s="15"/>
      <c r="N2033" s="15"/>
      <c r="O2033" s="15"/>
      <c r="P2033" s="15"/>
      <c r="Q2033" s="15"/>
      <c r="R2033" s="15"/>
    </row>
    <row r="2034" spans="2:18" ht="13">
      <c r="B2034" s="33"/>
      <c r="C2034" s="34"/>
      <c r="D2034" s="68" t="s">
        <v>26</v>
      </c>
      <c r="E2034" s="69" t="s">
        <v>27</v>
      </c>
      <c r="F2034" s="20" t="s">
        <v>533</v>
      </c>
      <c r="G2034" s="15"/>
      <c r="H2034" s="15"/>
      <c r="I2034" s="15"/>
      <c r="J2034" s="15"/>
      <c r="K2034" s="15"/>
      <c r="L2034" s="15"/>
      <c r="M2034" s="15"/>
      <c r="N2034" s="15"/>
      <c r="O2034" s="15"/>
      <c r="P2034" s="15"/>
      <c r="Q2034" s="15"/>
      <c r="R2034" s="15"/>
    </row>
    <row r="2035" spans="2:18" ht="13">
      <c r="B2035" s="33"/>
      <c r="C2035" s="34"/>
      <c r="D2035" s="68" t="s">
        <v>17</v>
      </c>
      <c r="E2035" s="69" t="s">
        <v>27</v>
      </c>
      <c r="F2035" s="20" t="s">
        <v>533</v>
      </c>
      <c r="G2035" s="15"/>
      <c r="H2035" s="15"/>
      <c r="I2035" s="15"/>
      <c r="J2035" s="15"/>
      <c r="K2035" s="15"/>
      <c r="L2035" s="15"/>
      <c r="M2035" s="15"/>
      <c r="N2035" s="15"/>
      <c r="O2035" s="15"/>
      <c r="P2035" s="15"/>
      <c r="Q2035" s="15"/>
      <c r="R2035" s="15"/>
    </row>
    <row r="2036" spans="2:18" ht="13">
      <c r="B2036" s="33"/>
      <c r="C2036" s="34"/>
      <c r="D2036" s="68" t="s">
        <v>17</v>
      </c>
      <c r="E2036" s="69" t="s">
        <v>27</v>
      </c>
      <c r="F2036" s="20" t="s">
        <v>533</v>
      </c>
      <c r="G2036" s="15"/>
      <c r="H2036" s="15"/>
      <c r="I2036" s="15"/>
      <c r="J2036" s="15"/>
      <c r="K2036" s="15"/>
      <c r="L2036" s="15"/>
      <c r="M2036" s="15"/>
      <c r="N2036" s="15"/>
      <c r="O2036" s="15"/>
      <c r="P2036" s="15"/>
      <c r="Q2036" s="15"/>
      <c r="R2036" s="15"/>
    </row>
    <row r="2037" spans="2:18" ht="13">
      <c r="B2037" s="33"/>
      <c r="C2037" s="34"/>
      <c r="D2037" s="68" t="s">
        <v>17</v>
      </c>
      <c r="E2037" s="69" t="s">
        <v>27</v>
      </c>
      <c r="F2037" s="20" t="s">
        <v>533</v>
      </c>
      <c r="G2037" s="15"/>
      <c r="H2037" s="15"/>
      <c r="I2037" s="15"/>
      <c r="J2037" s="15"/>
      <c r="K2037" s="15"/>
      <c r="L2037" s="15"/>
      <c r="M2037" s="15"/>
      <c r="N2037" s="15"/>
      <c r="O2037" s="15"/>
      <c r="P2037" s="15"/>
      <c r="Q2037" s="15"/>
      <c r="R2037" s="15"/>
    </row>
    <row r="2038" spans="2:18" ht="13">
      <c r="B2038" s="33"/>
      <c r="C2038" s="34"/>
      <c r="D2038" s="68" t="s">
        <v>17</v>
      </c>
      <c r="E2038" s="69" t="s">
        <v>27</v>
      </c>
      <c r="F2038" s="20" t="s">
        <v>533</v>
      </c>
      <c r="G2038" s="15"/>
      <c r="H2038" s="15"/>
      <c r="I2038" s="15"/>
      <c r="J2038" s="15"/>
      <c r="K2038" s="15"/>
      <c r="L2038" s="15"/>
      <c r="M2038" s="15"/>
      <c r="N2038" s="15"/>
      <c r="O2038" s="15"/>
      <c r="P2038" s="15"/>
      <c r="Q2038" s="15"/>
      <c r="R2038" s="15"/>
    </row>
    <row r="2039" spans="2:18" ht="13">
      <c r="B2039" s="33"/>
      <c r="C2039" s="34"/>
      <c r="D2039" s="68" t="s">
        <v>36</v>
      </c>
      <c r="E2039" s="69" t="s">
        <v>37</v>
      </c>
      <c r="F2039" s="20" t="s">
        <v>533</v>
      </c>
      <c r="G2039" s="15"/>
      <c r="H2039" s="15"/>
      <c r="I2039" s="15"/>
      <c r="J2039" s="15"/>
      <c r="K2039" s="15"/>
      <c r="L2039" s="15"/>
      <c r="M2039" s="15"/>
      <c r="N2039" s="15"/>
      <c r="O2039" s="15"/>
      <c r="P2039" s="15"/>
      <c r="Q2039" s="15"/>
      <c r="R2039" s="15"/>
    </row>
    <row r="2040" spans="2:18" ht="13">
      <c r="B2040" s="33"/>
      <c r="C2040" s="34"/>
      <c r="D2040" s="68" t="s">
        <v>17</v>
      </c>
      <c r="E2040" s="69" t="s">
        <v>27</v>
      </c>
      <c r="F2040" s="20" t="s">
        <v>533</v>
      </c>
      <c r="G2040" s="15"/>
      <c r="H2040" s="15"/>
      <c r="I2040" s="15"/>
      <c r="J2040" s="15"/>
      <c r="K2040" s="15"/>
      <c r="L2040" s="15"/>
      <c r="M2040" s="15"/>
      <c r="N2040" s="15"/>
      <c r="O2040" s="15"/>
      <c r="P2040" s="15"/>
      <c r="Q2040" s="15"/>
      <c r="R2040" s="15"/>
    </row>
    <row r="2041" spans="2:18" ht="13">
      <c r="B2041" s="33"/>
      <c r="C2041" s="34"/>
      <c r="D2041" s="68" t="s">
        <v>586</v>
      </c>
      <c r="E2041" s="69" t="s">
        <v>37</v>
      </c>
      <c r="F2041" s="20" t="s">
        <v>533</v>
      </c>
      <c r="G2041" s="15"/>
      <c r="H2041" s="15"/>
      <c r="I2041" s="15"/>
      <c r="J2041" s="15"/>
      <c r="K2041" s="15"/>
      <c r="L2041" s="15"/>
      <c r="M2041" s="15"/>
      <c r="N2041" s="15"/>
      <c r="O2041" s="15"/>
      <c r="P2041" s="15"/>
      <c r="Q2041" s="15"/>
      <c r="R2041" s="15"/>
    </row>
    <row r="2042" spans="2:18" ht="13">
      <c r="B2042" s="33"/>
      <c r="C2042" s="34"/>
      <c r="D2042" s="68" t="s">
        <v>17</v>
      </c>
      <c r="E2042" s="69" t="s">
        <v>27</v>
      </c>
      <c r="F2042" s="20" t="s">
        <v>533</v>
      </c>
      <c r="G2042" s="15"/>
      <c r="H2042" s="15"/>
      <c r="I2042" s="15"/>
      <c r="J2042" s="15"/>
      <c r="K2042" s="15"/>
      <c r="L2042" s="15"/>
      <c r="M2042" s="15"/>
      <c r="N2042" s="15"/>
      <c r="O2042" s="15"/>
      <c r="P2042" s="15"/>
      <c r="Q2042" s="15"/>
      <c r="R2042" s="15"/>
    </row>
    <row r="2043" spans="2:18" ht="13">
      <c r="B2043" s="33"/>
      <c r="C2043" s="34"/>
      <c r="D2043" s="68" t="s">
        <v>17</v>
      </c>
      <c r="E2043" s="69" t="s">
        <v>27</v>
      </c>
      <c r="F2043" s="20" t="s">
        <v>533</v>
      </c>
      <c r="G2043" s="15"/>
      <c r="H2043" s="15"/>
      <c r="I2043" s="15"/>
      <c r="J2043" s="15"/>
      <c r="K2043" s="15"/>
      <c r="L2043" s="15"/>
      <c r="M2043" s="15"/>
      <c r="N2043" s="15"/>
      <c r="O2043" s="15"/>
      <c r="P2043" s="15"/>
      <c r="Q2043" s="15"/>
      <c r="R2043" s="15"/>
    </row>
    <row r="2044" spans="2:18" ht="13">
      <c r="B2044" s="33"/>
      <c r="C2044" s="34"/>
      <c r="D2044" s="68" t="s">
        <v>17</v>
      </c>
      <c r="E2044" s="69" t="s">
        <v>27</v>
      </c>
      <c r="F2044" s="20" t="s">
        <v>533</v>
      </c>
      <c r="G2044" s="15"/>
      <c r="H2044" s="15"/>
      <c r="I2044" s="15"/>
      <c r="J2044" s="15"/>
      <c r="K2044" s="15"/>
      <c r="L2044" s="15"/>
      <c r="M2044" s="15"/>
      <c r="N2044" s="15"/>
      <c r="O2044" s="15"/>
      <c r="P2044" s="15"/>
      <c r="Q2044" s="15"/>
      <c r="R2044" s="15"/>
    </row>
    <row r="2045" spans="2:18" ht="13">
      <c r="B2045" s="33"/>
      <c r="C2045" s="34"/>
      <c r="D2045" s="68" t="s">
        <v>262</v>
      </c>
      <c r="E2045" s="69" t="s">
        <v>175</v>
      </c>
      <c r="F2045" s="20" t="s">
        <v>533</v>
      </c>
      <c r="G2045" s="15"/>
      <c r="H2045" s="15"/>
      <c r="I2045" s="15"/>
      <c r="J2045" s="15"/>
      <c r="K2045" s="15"/>
      <c r="L2045" s="15"/>
      <c r="M2045" s="15"/>
      <c r="N2045" s="15"/>
      <c r="O2045" s="15"/>
      <c r="P2045" s="15"/>
      <c r="Q2045" s="15"/>
      <c r="R2045" s="15"/>
    </row>
    <row r="2046" spans="2:18" ht="13">
      <c r="B2046" s="33"/>
      <c r="C2046" s="34"/>
      <c r="D2046" s="68" t="s">
        <v>86</v>
      </c>
      <c r="E2046" s="69" t="s">
        <v>121</v>
      </c>
      <c r="F2046" s="20" t="s">
        <v>533</v>
      </c>
      <c r="G2046" s="15"/>
      <c r="H2046" s="15"/>
      <c r="I2046" s="15"/>
      <c r="J2046" s="15"/>
      <c r="K2046" s="15"/>
      <c r="L2046" s="15"/>
      <c r="M2046" s="15"/>
      <c r="N2046" s="15"/>
      <c r="O2046" s="15"/>
      <c r="P2046" s="15"/>
      <c r="Q2046" s="15"/>
      <c r="R2046" s="15"/>
    </row>
    <row r="2047" spans="2:18" ht="13">
      <c r="B2047" s="33"/>
      <c r="C2047" s="34"/>
      <c r="D2047" s="68" t="s">
        <v>17</v>
      </c>
      <c r="E2047" s="69" t="s">
        <v>27</v>
      </c>
      <c r="F2047" s="20" t="s">
        <v>533</v>
      </c>
      <c r="G2047" s="15"/>
      <c r="H2047" s="15"/>
      <c r="I2047" s="15"/>
      <c r="J2047" s="15"/>
      <c r="K2047" s="15"/>
      <c r="L2047" s="15"/>
      <c r="M2047" s="15"/>
      <c r="N2047" s="15"/>
      <c r="O2047" s="15"/>
      <c r="P2047" s="15"/>
      <c r="Q2047" s="15"/>
      <c r="R2047" s="15"/>
    </row>
    <row r="2048" spans="2:18" ht="13">
      <c r="B2048" s="33"/>
      <c r="C2048" s="34"/>
      <c r="D2048" s="68" t="s">
        <v>569</v>
      </c>
      <c r="E2048" s="69" t="s">
        <v>32</v>
      </c>
      <c r="F2048" s="20" t="s">
        <v>533</v>
      </c>
      <c r="G2048" s="15"/>
      <c r="H2048" s="15"/>
      <c r="I2048" s="15"/>
      <c r="J2048" s="15"/>
      <c r="K2048" s="15"/>
      <c r="L2048" s="15"/>
      <c r="M2048" s="15"/>
      <c r="N2048" s="15"/>
      <c r="O2048" s="15"/>
      <c r="P2048" s="15"/>
      <c r="Q2048" s="15"/>
      <c r="R2048" s="15"/>
    </row>
    <row r="2049" spans="2:18" ht="13">
      <c r="B2049" s="33"/>
      <c r="C2049" s="34"/>
      <c r="D2049" s="68" t="s">
        <v>26</v>
      </c>
      <c r="E2049" s="69" t="s">
        <v>27</v>
      </c>
      <c r="F2049" s="20" t="s">
        <v>533</v>
      </c>
      <c r="G2049" s="15"/>
      <c r="H2049" s="15"/>
      <c r="I2049" s="15"/>
      <c r="J2049" s="15"/>
      <c r="K2049" s="15"/>
      <c r="L2049" s="15"/>
      <c r="M2049" s="15"/>
      <c r="N2049" s="15"/>
      <c r="O2049" s="15"/>
      <c r="P2049" s="15"/>
      <c r="Q2049" s="15"/>
      <c r="R2049" s="15"/>
    </row>
    <row r="2050" spans="2:18" ht="13">
      <c r="B2050" s="33"/>
      <c r="C2050" s="34"/>
      <c r="D2050" s="68" t="s">
        <v>404</v>
      </c>
      <c r="E2050" s="69" t="s">
        <v>32</v>
      </c>
      <c r="F2050" s="20" t="s">
        <v>533</v>
      </c>
      <c r="G2050" s="15"/>
      <c r="H2050" s="15"/>
      <c r="I2050" s="15"/>
      <c r="J2050" s="15"/>
      <c r="K2050" s="15"/>
      <c r="L2050" s="15"/>
      <c r="M2050" s="15"/>
      <c r="N2050" s="15"/>
      <c r="O2050" s="15"/>
      <c r="P2050" s="15"/>
      <c r="Q2050" s="15"/>
      <c r="R2050" s="15"/>
    </row>
    <row r="2051" spans="2:18" ht="13">
      <c r="B2051" s="33"/>
      <c r="C2051" s="34"/>
      <c r="D2051" s="68" t="s">
        <v>86</v>
      </c>
      <c r="E2051" s="69" t="s">
        <v>121</v>
      </c>
      <c r="F2051" s="20" t="s">
        <v>533</v>
      </c>
      <c r="G2051" s="15"/>
      <c r="H2051" s="15"/>
      <c r="I2051" s="15"/>
      <c r="J2051" s="15"/>
      <c r="K2051" s="15"/>
      <c r="L2051" s="15"/>
      <c r="M2051" s="15"/>
      <c r="N2051" s="15"/>
      <c r="O2051" s="15"/>
      <c r="P2051" s="15"/>
      <c r="Q2051" s="15"/>
      <c r="R2051" s="15"/>
    </row>
    <row r="2052" spans="2:18" ht="13">
      <c r="B2052" s="33"/>
      <c r="C2052" s="34"/>
      <c r="D2052" s="68" t="s">
        <v>86</v>
      </c>
      <c r="E2052" s="69" t="s">
        <v>32</v>
      </c>
      <c r="F2052" s="20" t="s">
        <v>533</v>
      </c>
      <c r="G2052" s="15"/>
      <c r="H2052" s="15"/>
      <c r="I2052" s="15"/>
      <c r="J2052" s="15"/>
      <c r="K2052" s="15"/>
      <c r="L2052" s="15"/>
      <c r="M2052" s="15"/>
      <c r="N2052" s="15"/>
      <c r="O2052" s="15"/>
      <c r="P2052" s="15"/>
      <c r="Q2052" s="15"/>
      <c r="R2052" s="15"/>
    </row>
    <row r="2053" spans="2:18" ht="13">
      <c r="B2053" s="33"/>
      <c r="C2053" s="34"/>
      <c r="D2053" s="68" t="s">
        <v>591</v>
      </c>
      <c r="E2053" s="69" t="s">
        <v>121</v>
      </c>
      <c r="F2053" s="20" t="s">
        <v>533</v>
      </c>
      <c r="G2053" s="15"/>
      <c r="H2053" s="15"/>
      <c r="I2053" s="15"/>
      <c r="J2053" s="15"/>
      <c r="K2053" s="15"/>
      <c r="L2053" s="15"/>
      <c r="M2053" s="15"/>
      <c r="N2053" s="15"/>
      <c r="O2053" s="15"/>
      <c r="P2053" s="15"/>
      <c r="Q2053" s="15"/>
      <c r="R2053" s="15"/>
    </row>
    <row r="2054" spans="2:18" ht="13">
      <c r="B2054" s="33"/>
      <c r="C2054" s="34"/>
      <c r="D2054" s="68" t="s">
        <v>591</v>
      </c>
      <c r="E2054" s="69" t="s">
        <v>121</v>
      </c>
      <c r="F2054" s="20" t="s">
        <v>533</v>
      </c>
      <c r="G2054" s="15"/>
      <c r="H2054" s="15"/>
      <c r="I2054" s="15"/>
      <c r="J2054" s="15"/>
      <c r="K2054" s="15"/>
      <c r="L2054" s="15"/>
      <c r="M2054" s="15"/>
      <c r="N2054" s="15"/>
      <c r="O2054" s="15"/>
      <c r="P2054" s="15"/>
      <c r="Q2054" s="15"/>
      <c r="R2054" s="15"/>
    </row>
    <row r="2055" spans="2:18" ht="13">
      <c r="B2055" s="33"/>
      <c r="C2055" s="34"/>
      <c r="D2055" s="68" t="s">
        <v>86</v>
      </c>
      <c r="E2055" s="69" t="s">
        <v>121</v>
      </c>
      <c r="F2055" s="20" t="s">
        <v>533</v>
      </c>
      <c r="G2055" s="15"/>
      <c r="H2055" s="15"/>
      <c r="I2055" s="15"/>
      <c r="J2055" s="15"/>
      <c r="K2055" s="15"/>
      <c r="L2055" s="15"/>
      <c r="M2055" s="15"/>
      <c r="N2055" s="15"/>
      <c r="O2055" s="15"/>
      <c r="P2055" s="15"/>
      <c r="Q2055" s="15"/>
      <c r="R2055" s="15"/>
    </row>
    <row r="2056" spans="2:18" ht="13">
      <c r="B2056" s="33"/>
      <c r="C2056" s="34"/>
      <c r="D2056" s="68" t="s">
        <v>174</v>
      </c>
      <c r="E2056" s="69" t="s">
        <v>175</v>
      </c>
      <c r="F2056" s="20" t="s">
        <v>533</v>
      </c>
      <c r="G2056" s="15"/>
      <c r="H2056" s="15"/>
      <c r="I2056" s="15"/>
      <c r="J2056" s="15"/>
      <c r="K2056" s="15"/>
      <c r="L2056" s="15"/>
      <c r="M2056" s="15"/>
      <c r="N2056" s="15"/>
      <c r="O2056" s="15"/>
      <c r="P2056" s="15"/>
      <c r="Q2056" s="15"/>
      <c r="R2056" s="15"/>
    </row>
    <row r="2057" spans="2:18" ht="13">
      <c r="B2057" s="33"/>
      <c r="C2057" s="34"/>
      <c r="D2057" s="68" t="s">
        <v>17</v>
      </c>
      <c r="E2057" s="69" t="s">
        <v>27</v>
      </c>
      <c r="F2057" s="20" t="s">
        <v>533</v>
      </c>
      <c r="G2057" s="15"/>
      <c r="H2057" s="15"/>
      <c r="I2057" s="15"/>
      <c r="J2057" s="15"/>
      <c r="K2057" s="15"/>
      <c r="L2057" s="15"/>
      <c r="M2057" s="15"/>
      <c r="N2057" s="15"/>
      <c r="O2057" s="15"/>
      <c r="P2057" s="15"/>
      <c r="Q2057" s="15"/>
      <c r="R2057" s="15"/>
    </row>
    <row r="2058" spans="2:18" ht="13">
      <c r="B2058" s="33"/>
      <c r="C2058" s="34"/>
      <c r="D2058" s="68" t="s">
        <v>17</v>
      </c>
      <c r="E2058" s="69" t="s">
        <v>27</v>
      </c>
      <c r="F2058" s="20" t="s">
        <v>533</v>
      </c>
      <c r="G2058" s="15"/>
      <c r="H2058" s="15"/>
      <c r="I2058" s="15"/>
      <c r="J2058" s="15"/>
      <c r="K2058" s="15"/>
      <c r="L2058" s="15"/>
      <c r="M2058" s="15"/>
      <c r="N2058" s="15"/>
      <c r="O2058" s="15"/>
      <c r="P2058" s="15"/>
      <c r="Q2058" s="15"/>
      <c r="R2058" s="15"/>
    </row>
    <row r="2059" spans="2:18" ht="13">
      <c r="B2059" s="33"/>
      <c r="C2059" s="34"/>
      <c r="D2059" s="68" t="s">
        <v>404</v>
      </c>
      <c r="E2059" s="69" t="s">
        <v>32</v>
      </c>
      <c r="F2059" s="20" t="s">
        <v>533</v>
      </c>
      <c r="G2059" s="15"/>
      <c r="H2059" s="15"/>
      <c r="I2059" s="15"/>
      <c r="J2059" s="15"/>
      <c r="K2059" s="15"/>
      <c r="L2059" s="15"/>
      <c r="M2059" s="15"/>
      <c r="N2059" s="15"/>
      <c r="O2059" s="15"/>
      <c r="P2059" s="15"/>
      <c r="Q2059" s="15"/>
      <c r="R2059" s="15"/>
    </row>
    <row r="2060" spans="2:18" ht="13">
      <c r="B2060" s="33"/>
      <c r="C2060" s="34"/>
      <c r="D2060" s="68" t="s">
        <v>17</v>
      </c>
      <c r="E2060" s="69" t="s">
        <v>27</v>
      </c>
      <c r="F2060" s="20" t="s">
        <v>533</v>
      </c>
      <c r="G2060" s="15"/>
      <c r="H2060" s="15"/>
      <c r="I2060" s="15"/>
      <c r="J2060" s="15"/>
      <c r="K2060" s="15"/>
      <c r="L2060" s="15"/>
      <c r="M2060" s="15"/>
      <c r="N2060" s="15"/>
      <c r="O2060" s="15"/>
      <c r="P2060" s="15"/>
      <c r="Q2060" s="15"/>
      <c r="R2060" s="15"/>
    </row>
    <row r="2061" spans="2:18" ht="13">
      <c r="B2061" s="33"/>
      <c r="C2061" s="34"/>
      <c r="D2061" s="68" t="s">
        <v>26</v>
      </c>
      <c r="E2061" s="69" t="s">
        <v>27</v>
      </c>
      <c r="F2061" s="20" t="s">
        <v>533</v>
      </c>
      <c r="G2061" s="15"/>
      <c r="H2061" s="15"/>
      <c r="I2061" s="15"/>
      <c r="J2061" s="15"/>
      <c r="K2061" s="15"/>
      <c r="L2061" s="15"/>
      <c r="M2061" s="15"/>
      <c r="N2061" s="15"/>
      <c r="O2061" s="15"/>
      <c r="P2061" s="15"/>
      <c r="Q2061" s="15"/>
      <c r="R2061" s="15"/>
    </row>
    <row r="2062" spans="2:18" ht="13">
      <c r="B2062" s="33"/>
      <c r="C2062" s="34"/>
      <c r="D2062" s="68" t="s">
        <v>168</v>
      </c>
      <c r="E2062" s="69" t="s">
        <v>27</v>
      </c>
      <c r="F2062" s="20" t="s">
        <v>533</v>
      </c>
      <c r="G2062" s="15"/>
      <c r="H2062" s="15"/>
      <c r="I2062" s="15"/>
      <c r="J2062" s="15"/>
      <c r="K2062" s="15"/>
      <c r="L2062" s="15"/>
      <c r="M2062" s="15"/>
      <c r="N2062" s="15"/>
      <c r="O2062" s="15"/>
      <c r="P2062" s="15"/>
      <c r="Q2062" s="15"/>
      <c r="R2062" s="15"/>
    </row>
    <row r="2063" spans="2:18" ht="13">
      <c r="B2063" s="33"/>
      <c r="C2063" s="34"/>
      <c r="D2063" s="68" t="s">
        <v>17</v>
      </c>
      <c r="E2063" s="69" t="s">
        <v>27</v>
      </c>
      <c r="F2063" s="20" t="s">
        <v>533</v>
      </c>
      <c r="G2063" s="15"/>
      <c r="H2063" s="15"/>
      <c r="I2063" s="15"/>
      <c r="J2063" s="15"/>
      <c r="K2063" s="15"/>
      <c r="L2063" s="15"/>
      <c r="M2063" s="15"/>
      <c r="N2063" s="15"/>
      <c r="O2063" s="15"/>
      <c r="P2063" s="15"/>
      <c r="Q2063" s="15"/>
      <c r="R2063" s="15"/>
    </row>
    <row r="2064" spans="2:18" ht="13">
      <c r="B2064" s="33"/>
      <c r="C2064" s="34"/>
      <c r="D2064" s="68" t="s">
        <v>26</v>
      </c>
      <c r="E2064" s="69" t="s">
        <v>27</v>
      </c>
      <c r="F2064" s="20" t="s">
        <v>533</v>
      </c>
      <c r="G2064" s="15"/>
      <c r="H2064" s="15"/>
      <c r="I2064" s="15"/>
      <c r="J2064" s="15"/>
      <c r="K2064" s="15"/>
      <c r="L2064" s="15"/>
      <c r="M2064" s="15"/>
      <c r="N2064" s="15"/>
      <c r="O2064" s="15"/>
      <c r="P2064" s="15"/>
      <c r="Q2064" s="15"/>
      <c r="R2064" s="15"/>
    </row>
    <row r="2065" spans="2:18" ht="13">
      <c r="B2065" s="33"/>
      <c r="C2065" s="34"/>
      <c r="D2065" s="68" t="s">
        <v>17</v>
      </c>
      <c r="E2065" s="69" t="s">
        <v>628</v>
      </c>
      <c r="F2065" s="20" t="s">
        <v>533</v>
      </c>
      <c r="G2065" s="15"/>
      <c r="H2065" s="15"/>
      <c r="I2065" s="15"/>
      <c r="J2065" s="15"/>
      <c r="K2065" s="15"/>
      <c r="L2065" s="15"/>
      <c r="M2065" s="15"/>
      <c r="N2065" s="15"/>
      <c r="O2065" s="15"/>
      <c r="P2065" s="15"/>
      <c r="Q2065" s="15"/>
      <c r="R2065" s="15"/>
    </row>
    <row r="2066" spans="2:18" ht="13">
      <c r="B2066" s="33"/>
      <c r="C2066" s="34"/>
      <c r="D2066" s="68" t="s">
        <v>26</v>
      </c>
      <c r="E2066" s="69" t="s">
        <v>27</v>
      </c>
      <c r="F2066" s="20" t="s">
        <v>533</v>
      </c>
      <c r="G2066" s="15"/>
      <c r="H2066" s="15"/>
      <c r="I2066" s="15"/>
      <c r="J2066" s="15"/>
      <c r="K2066" s="15"/>
      <c r="L2066" s="15"/>
      <c r="M2066" s="15"/>
      <c r="N2066" s="15"/>
      <c r="O2066" s="15"/>
      <c r="P2066" s="15"/>
      <c r="Q2066" s="15"/>
      <c r="R2066" s="15"/>
    </row>
    <row r="2067" spans="2:18" ht="13">
      <c r="B2067" s="33"/>
      <c r="C2067" s="34"/>
      <c r="D2067" s="68" t="s">
        <v>36</v>
      </c>
      <c r="E2067" s="69" t="s">
        <v>37</v>
      </c>
      <c r="F2067" s="20" t="s">
        <v>533</v>
      </c>
      <c r="G2067" s="15"/>
      <c r="H2067" s="15"/>
      <c r="I2067" s="15"/>
      <c r="J2067" s="15"/>
      <c r="K2067" s="15"/>
      <c r="L2067" s="15"/>
      <c r="M2067" s="15"/>
      <c r="N2067" s="15"/>
      <c r="O2067" s="15"/>
      <c r="P2067" s="15"/>
      <c r="Q2067" s="15"/>
      <c r="R2067" s="15"/>
    </row>
    <row r="2068" spans="2:18" ht="13">
      <c r="B2068" s="33"/>
      <c r="C2068" s="34"/>
      <c r="D2068" s="68" t="s">
        <v>17</v>
      </c>
      <c r="E2068" s="69" t="s">
        <v>27</v>
      </c>
      <c r="F2068" s="20" t="s">
        <v>533</v>
      </c>
      <c r="G2068" s="15"/>
      <c r="H2068" s="15"/>
      <c r="I2068" s="15"/>
      <c r="J2068" s="15"/>
      <c r="K2068" s="15"/>
      <c r="L2068" s="15"/>
      <c r="M2068" s="15"/>
      <c r="N2068" s="15"/>
      <c r="O2068" s="15"/>
      <c r="P2068" s="15"/>
      <c r="Q2068" s="15"/>
      <c r="R2068" s="15"/>
    </row>
    <row r="2069" spans="2:18" ht="13">
      <c r="B2069" s="33"/>
      <c r="C2069" s="34"/>
      <c r="D2069" s="68" t="s">
        <v>26</v>
      </c>
      <c r="E2069" s="69" t="s">
        <v>27</v>
      </c>
      <c r="F2069" s="20" t="s">
        <v>533</v>
      </c>
      <c r="G2069" s="15"/>
      <c r="H2069" s="15"/>
      <c r="I2069" s="15"/>
      <c r="J2069" s="15"/>
      <c r="K2069" s="15"/>
      <c r="L2069" s="15"/>
      <c r="M2069" s="15"/>
      <c r="N2069" s="15"/>
      <c r="O2069" s="15"/>
      <c r="P2069" s="15"/>
      <c r="Q2069" s="15"/>
      <c r="R2069" s="15"/>
    </row>
    <row r="2070" spans="2:18" ht="13">
      <c r="B2070" s="33"/>
      <c r="C2070" s="34"/>
      <c r="D2070" s="68" t="s">
        <v>17</v>
      </c>
      <c r="E2070" s="69" t="s">
        <v>27</v>
      </c>
      <c r="F2070" s="20" t="s">
        <v>533</v>
      </c>
      <c r="G2070" s="15"/>
      <c r="H2070" s="15"/>
      <c r="I2070" s="15"/>
      <c r="J2070" s="15"/>
      <c r="K2070" s="15"/>
      <c r="L2070" s="15"/>
      <c r="M2070" s="15"/>
      <c r="N2070" s="15"/>
      <c r="O2070" s="15"/>
      <c r="P2070" s="15"/>
      <c r="Q2070" s="15"/>
      <c r="R2070" s="15"/>
    </row>
    <row r="2071" spans="2:18" ht="13">
      <c r="B2071" s="33"/>
      <c r="C2071" s="34"/>
      <c r="D2071" s="68" t="s">
        <v>26</v>
      </c>
      <c r="E2071" s="69" t="s">
        <v>27</v>
      </c>
      <c r="F2071" s="20" t="s">
        <v>533</v>
      </c>
      <c r="G2071" s="15"/>
      <c r="H2071" s="15"/>
      <c r="I2071" s="15"/>
      <c r="J2071" s="15"/>
      <c r="K2071" s="15"/>
      <c r="L2071" s="15"/>
      <c r="M2071" s="15"/>
      <c r="N2071" s="15"/>
      <c r="O2071" s="15"/>
      <c r="P2071" s="15"/>
      <c r="Q2071" s="15"/>
      <c r="R2071" s="15"/>
    </row>
    <row r="2072" spans="2:18" ht="13">
      <c r="B2072" s="33"/>
      <c r="C2072" s="34"/>
      <c r="D2072" s="68" t="s">
        <v>17</v>
      </c>
      <c r="E2072" s="69" t="s">
        <v>27</v>
      </c>
      <c r="F2072" s="20" t="s">
        <v>533</v>
      </c>
      <c r="G2072" s="15"/>
      <c r="H2072" s="15"/>
      <c r="I2072" s="15"/>
      <c r="J2072" s="15"/>
      <c r="K2072" s="15"/>
      <c r="L2072" s="15"/>
      <c r="M2072" s="15"/>
      <c r="N2072" s="15"/>
      <c r="O2072" s="15"/>
      <c r="P2072" s="15"/>
      <c r="Q2072" s="15"/>
      <c r="R2072" s="15"/>
    </row>
    <row r="2073" spans="2:18" ht="13">
      <c r="B2073" s="33"/>
      <c r="C2073" s="34"/>
      <c r="D2073" s="68" t="s">
        <v>655</v>
      </c>
      <c r="E2073" s="69" t="s">
        <v>656</v>
      </c>
      <c r="F2073" s="20" t="s">
        <v>533</v>
      </c>
      <c r="G2073" s="15"/>
      <c r="H2073" s="15"/>
      <c r="I2073" s="15"/>
      <c r="J2073" s="15"/>
      <c r="K2073" s="15"/>
      <c r="L2073" s="15"/>
      <c r="M2073" s="15"/>
      <c r="N2073" s="15"/>
      <c r="O2073" s="15"/>
      <c r="P2073" s="15"/>
      <c r="Q2073" s="15"/>
      <c r="R2073" s="15"/>
    </row>
    <row r="2074" spans="2:18" ht="13">
      <c r="B2074" s="33"/>
      <c r="C2074" s="34"/>
      <c r="D2074" s="68" t="s">
        <v>577</v>
      </c>
      <c r="E2074" s="69" t="s">
        <v>124</v>
      </c>
      <c r="F2074" s="20" t="s">
        <v>533</v>
      </c>
      <c r="G2074" s="15"/>
      <c r="H2074" s="15"/>
      <c r="I2074" s="15"/>
      <c r="J2074" s="15"/>
      <c r="K2074" s="15"/>
      <c r="L2074" s="15"/>
      <c r="M2074" s="15"/>
      <c r="N2074" s="15"/>
      <c r="O2074" s="15"/>
      <c r="P2074" s="15"/>
      <c r="Q2074" s="15"/>
      <c r="R2074" s="15"/>
    </row>
    <row r="2075" spans="2:18" ht="13">
      <c r="B2075" s="33"/>
      <c r="C2075" s="34"/>
      <c r="D2075" s="68" t="s">
        <v>17</v>
      </c>
      <c r="E2075" s="69" t="s">
        <v>564</v>
      </c>
      <c r="F2075" s="20" t="s">
        <v>533</v>
      </c>
      <c r="G2075" s="15"/>
      <c r="H2075" s="15"/>
      <c r="I2075" s="15"/>
      <c r="J2075" s="15"/>
      <c r="K2075" s="15"/>
      <c r="L2075" s="15"/>
      <c r="M2075" s="15"/>
      <c r="N2075" s="15"/>
      <c r="O2075" s="15"/>
      <c r="P2075" s="15"/>
      <c r="Q2075" s="15"/>
      <c r="R2075" s="15"/>
    </row>
    <row r="2076" spans="2:18" ht="13">
      <c r="B2076" s="33"/>
      <c r="C2076" s="34"/>
      <c r="D2076" s="68" t="s">
        <v>36</v>
      </c>
      <c r="E2076" s="69" t="s">
        <v>37</v>
      </c>
      <c r="F2076" s="20" t="s">
        <v>533</v>
      </c>
      <c r="G2076" s="15"/>
      <c r="H2076" s="15"/>
      <c r="I2076" s="15"/>
      <c r="J2076" s="15"/>
      <c r="K2076" s="15"/>
      <c r="L2076" s="15"/>
      <c r="M2076" s="15"/>
      <c r="N2076" s="15"/>
      <c r="O2076" s="15"/>
      <c r="P2076" s="15"/>
      <c r="Q2076" s="15"/>
      <c r="R2076" s="15"/>
    </row>
    <row r="2077" spans="2:18" ht="13">
      <c r="B2077" s="33"/>
      <c r="C2077" s="34"/>
      <c r="D2077" s="68" t="s">
        <v>17</v>
      </c>
      <c r="E2077" s="69" t="s">
        <v>27</v>
      </c>
      <c r="F2077" s="20" t="s">
        <v>533</v>
      </c>
      <c r="G2077" s="15"/>
      <c r="H2077" s="15"/>
      <c r="I2077" s="15"/>
      <c r="J2077" s="15"/>
      <c r="K2077" s="15"/>
      <c r="L2077" s="15"/>
      <c r="M2077" s="15"/>
      <c r="N2077" s="15"/>
      <c r="O2077" s="15"/>
      <c r="P2077" s="15"/>
      <c r="Q2077" s="15"/>
      <c r="R2077" s="15"/>
    </row>
    <row r="2078" spans="2:18" ht="13">
      <c r="B2078" s="33"/>
      <c r="C2078" s="34"/>
      <c r="D2078" s="68" t="s">
        <v>262</v>
      </c>
      <c r="E2078" s="69" t="s">
        <v>175</v>
      </c>
      <c r="F2078" s="20" t="s">
        <v>533</v>
      </c>
      <c r="G2078" s="15"/>
      <c r="H2078" s="15"/>
      <c r="I2078" s="15"/>
      <c r="J2078" s="15"/>
      <c r="K2078" s="15"/>
      <c r="L2078" s="15"/>
      <c r="M2078" s="15"/>
      <c r="N2078" s="15"/>
      <c r="O2078" s="15"/>
      <c r="P2078" s="15"/>
      <c r="Q2078" s="15"/>
      <c r="R2078" s="15"/>
    </row>
    <row r="2079" spans="2:18" ht="13">
      <c r="B2079" s="33"/>
      <c r="C2079" s="34"/>
      <c r="D2079" s="68" t="s">
        <v>86</v>
      </c>
      <c r="E2079" s="69" t="s">
        <v>163</v>
      </c>
      <c r="F2079" s="20" t="s">
        <v>533</v>
      </c>
      <c r="G2079" s="15"/>
      <c r="H2079" s="15"/>
      <c r="I2079" s="15"/>
      <c r="J2079" s="15"/>
      <c r="K2079" s="15"/>
      <c r="L2079" s="15"/>
      <c r="M2079" s="15"/>
      <c r="N2079" s="15"/>
      <c r="O2079" s="15"/>
      <c r="P2079" s="15"/>
      <c r="Q2079" s="15"/>
      <c r="R2079" s="15"/>
    </row>
    <row r="2080" spans="2:18" ht="13">
      <c r="B2080" s="33"/>
      <c r="C2080" s="34"/>
      <c r="D2080" s="68" t="s">
        <v>17</v>
      </c>
      <c r="E2080" s="69" t="s">
        <v>27</v>
      </c>
      <c r="F2080" s="20" t="s">
        <v>533</v>
      </c>
      <c r="G2080" s="15"/>
      <c r="H2080" s="15"/>
      <c r="I2080" s="15"/>
      <c r="J2080" s="15"/>
      <c r="K2080" s="15"/>
      <c r="L2080" s="15"/>
      <c r="M2080" s="15"/>
      <c r="N2080" s="15"/>
      <c r="O2080" s="15"/>
      <c r="P2080" s="15"/>
      <c r="Q2080" s="15"/>
      <c r="R2080" s="15"/>
    </row>
    <row r="2081" spans="2:18" ht="13">
      <c r="B2081" s="33"/>
      <c r="C2081" s="34"/>
      <c r="D2081" s="68" t="s">
        <v>17</v>
      </c>
      <c r="E2081" s="69" t="s">
        <v>27</v>
      </c>
      <c r="F2081" s="20" t="s">
        <v>533</v>
      </c>
      <c r="G2081" s="15"/>
      <c r="H2081" s="15"/>
      <c r="I2081" s="15"/>
      <c r="J2081" s="15"/>
      <c r="K2081" s="15"/>
      <c r="L2081" s="15"/>
      <c r="M2081" s="15"/>
      <c r="N2081" s="15"/>
      <c r="O2081" s="15"/>
      <c r="P2081" s="15"/>
      <c r="Q2081" s="15"/>
      <c r="R2081" s="15"/>
    </row>
    <row r="2082" spans="2:18" ht="13">
      <c r="B2082" s="33"/>
      <c r="C2082" s="34"/>
      <c r="D2082" s="68" t="s">
        <v>26</v>
      </c>
      <c r="E2082" s="69" t="s">
        <v>27</v>
      </c>
      <c r="F2082" s="20" t="s">
        <v>533</v>
      </c>
      <c r="G2082" s="15"/>
      <c r="H2082" s="15"/>
      <c r="I2082" s="15"/>
      <c r="J2082" s="15"/>
      <c r="K2082" s="15"/>
      <c r="L2082" s="15"/>
      <c r="M2082" s="15"/>
      <c r="N2082" s="15"/>
      <c r="O2082" s="15"/>
      <c r="P2082" s="15"/>
      <c r="Q2082" s="15"/>
      <c r="R2082" s="15"/>
    </row>
    <row r="2083" spans="2:18" ht="13">
      <c r="B2083" s="33"/>
      <c r="C2083" s="34"/>
      <c r="D2083" s="68" t="s">
        <v>17</v>
      </c>
      <c r="E2083" s="69" t="s">
        <v>27</v>
      </c>
      <c r="F2083" s="20" t="s">
        <v>533</v>
      </c>
      <c r="G2083" s="15"/>
      <c r="H2083" s="15"/>
      <c r="I2083" s="15"/>
      <c r="J2083" s="15"/>
      <c r="K2083" s="15"/>
      <c r="L2083" s="15"/>
      <c r="M2083" s="15"/>
      <c r="N2083" s="15"/>
      <c r="O2083" s="15"/>
      <c r="P2083" s="15"/>
      <c r="Q2083" s="15"/>
      <c r="R2083" s="15"/>
    </row>
    <row r="2084" spans="2:18" ht="13">
      <c r="B2084" s="33"/>
      <c r="C2084" s="34"/>
      <c r="D2084" s="68" t="s">
        <v>17</v>
      </c>
      <c r="E2084" s="69" t="s">
        <v>27</v>
      </c>
      <c r="F2084" s="20" t="s">
        <v>533</v>
      </c>
      <c r="G2084" s="15"/>
      <c r="H2084" s="15"/>
      <c r="I2084" s="15"/>
      <c r="J2084" s="15"/>
      <c r="K2084" s="15"/>
      <c r="L2084" s="15"/>
      <c r="M2084" s="15"/>
      <c r="N2084" s="15"/>
      <c r="O2084" s="15"/>
      <c r="P2084" s="15"/>
      <c r="Q2084" s="15"/>
      <c r="R2084" s="15"/>
    </row>
    <row r="2085" spans="2:18" ht="13">
      <c r="B2085" s="33"/>
      <c r="C2085" s="34"/>
      <c r="D2085" s="68" t="s">
        <v>577</v>
      </c>
      <c r="E2085" s="69" t="s">
        <v>124</v>
      </c>
      <c r="F2085" s="20" t="s">
        <v>533</v>
      </c>
      <c r="G2085" s="15"/>
      <c r="H2085" s="15"/>
      <c r="I2085" s="15"/>
      <c r="J2085" s="15"/>
      <c r="K2085" s="15"/>
      <c r="L2085" s="15"/>
      <c r="M2085" s="15"/>
      <c r="N2085" s="15"/>
      <c r="O2085" s="15"/>
      <c r="P2085" s="15"/>
      <c r="Q2085" s="15"/>
      <c r="R2085" s="15"/>
    </row>
    <row r="2086" spans="2:18" ht="13">
      <c r="B2086" s="33"/>
      <c r="C2086" s="34"/>
      <c r="D2086" s="68" t="s">
        <v>86</v>
      </c>
      <c r="E2086" s="69" t="s">
        <v>121</v>
      </c>
      <c r="F2086" s="20" t="s">
        <v>533</v>
      </c>
      <c r="G2086" s="15"/>
      <c r="H2086" s="15"/>
      <c r="I2086" s="15"/>
      <c r="J2086" s="15"/>
      <c r="K2086" s="15"/>
      <c r="L2086" s="15"/>
      <c r="M2086" s="15"/>
      <c r="N2086" s="15"/>
      <c r="O2086" s="15"/>
      <c r="P2086" s="15"/>
      <c r="Q2086" s="15"/>
      <c r="R2086" s="15"/>
    </row>
    <row r="2087" spans="2:18" ht="13">
      <c r="B2087" s="33"/>
      <c r="C2087" s="34"/>
      <c r="D2087" s="68" t="s">
        <v>583</v>
      </c>
      <c r="E2087" s="69" t="s">
        <v>124</v>
      </c>
      <c r="F2087" s="20" t="s">
        <v>533</v>
      </c>
      <c r="G2087" s="15"/>
      <c r="H2087" s="15"/>
      <c r="I2087" s="15"/>
      <c r="J2087" s="15"/>
      <c r="K2087" s="15"/>
      <c r="L2087" s="15"/>
      <c r="M2087" s="15"/>
      <c r="N2087" s="15"/>
      <c r="O2087" s="15"/>
      <c r="P2087" s="15"/>
      <c r="Q2087" s="15"/>
      <c r="R2087" s="15"/>
    </row>
    <row r="2088" spans="2:18" ht="13">
      <c r="B2088" s="33"/>
      <c r="C2088" s="34"/>
      <c r="D2088" s="68" t="s">
        <v>577</v>
      </c>
      <c r="E2088" s="69" t="s">
        <v>124</v>
      </c>
      <c r="F2088" s="20" t="s">
        <v>533</v>
      </c>
      <c r="G2088" s="15"/>
      <c r="H2088" s="15"/>
      <c r="I2088" s="15"/>
      <c r="J2088" s="15"/>
      <c r="K2088" s="15"/>
      <c r="L2088" s="15"/>
      <c r="M2088" s="15"/>
      <c r="N2088" s="15"/>
      <c r="O2088" s="15"/>
      <c r="P2088" s="15"/>
      <c r="Q2088" s="15"/>
      <c r="R2088" s="15"/>
    </row>
    <row r="2089" spans="2:18" ht="13">
      <c r="B2089" s="33"/>
      <c r="C2089" s="34"/>
      <c r="D2089" s="68" t="s">
        <v>590</v>
      </c>
      <c r="E2089" s="69" t="s">
        <v>32</v>
      </c>
      <c r="F2089" s="20" t="s">
        <v>533</v>
      </c>
      <c r="G2089" s="15"/>
      <c r="H2089" s="15"/>
      <c r="I2089" s="15"/>
      <c r="J2089" s="15"/>
      <c r="K2089" s="15"/>
      <c r="L2089" s="15"/>
      <c r="M2089" s="15"/>
      <c r="N2089" s="15"/>
      <c r="O2089" s="15"/>
      <c r="P2089" s="15"/>
      <c r="Q2089" s="15"/>
      <c r="R2089" s="15"/>
    </row>
    <row r="2090" spans="2:18" ht="13">
      <c r="B2090" s="33"/>
      <c r="C2090" s="34"/>
      <c r="D2090" s="68" t="s">
        <v>86</v>
      </c>
      <c r="E2090" s="69" t="s">
        <v>32</v>
      </c>
      <c r="F2090" s="20" t="s">
        <v>533</v>
      </c>
      <c r="G2090" s="15"/>
      <c r="H2090" s="15"/>
      <c r="I2090" s="15"/>
      <c r="J2090" s="15"/>
      <c r="K2090" s="15"/>
      <c r="L2090" s="15"/>
      <c r="M2090" s="15"/>
      <c r="N2090" s="15"/>
      <c r="O2090" s="15"/>
      <c r="P2090" s="15"/>
      <c r="Q2090" s="15"/>
      <c r="R2090" s="15"/>
    </row>
    <row r="2091" spans="2:18" ht="13">
      <c r="B2091" s="33"/>
      <c r="C2091" s="34"/>
      <c r="D2091" s="68" t="s">
        <v>583</v>
      </c>
      <c r="E2091" s="69" t="s">
        <v>124</v>
      </c>
      <c r="F2091" s="20" t="s">
        <v>533</v>
      </c>
      <c r="G2091" s="15"/>
      <c r="H2091" s="15"/>
      <c r="I2091" s="15"/>
      <c r="J2091" s="15"/>
      <c r="K2091" s="15"/>
      <c r="L2091" s="15"/>
      <c r="M2091" s="15"/>
      <c r="N2091" s="15"/>
      <c r="O2091" s="15"/>
      <c r="P2091" s="15"/>
      <c r="Q2091" s="15"/>
      <c r="R2091" s="15"/>
    </row>
    <row r="2092" spans="2:18" ht="13">
      <c r="B2092" s="33"/>
      <c r="C2092" s="34"/>
      <c r="D2092" s="68" t="s">
        <v>653</v>
      </c>
      <c r="E2092" s="69" t="s">
        <v>163</v>
      </c>
      <c r="F2092" s="20" t="s">
        <v>533</v>
      </c>
      <c r="G2092" s="15"/>
      <c r="H2092" s="15"/>
      <c r="I2092" s="15"/>
      <c r="J2092" s="15"/>
      <c r="K2092" s="15"/>
      <c r="L2092" s="15"/>
      <c r="M2092" s="15"/>
      <c r="N2092" s="15"/>
      <c r="O2092" s="15"/>
      <c r="P2092" s="15"/>
      <c r="Q2092" s="15"/>
      <c r="R2092" s="15"/>
    </row>
    <row r="2093" spans="2:18" ht="13">
      <c r="B2093" s="33"/>
      <c r="C2093" s="34"/>
      <c r="D2093" s="68" t="s">
        <v>587</v>
      </c>
      <c r="E2093" s="69" t="s">
        <v>121</v>
      </c>
      <c r="F2093" s="20" t="s">
        <v>533</v>
      </c>
      <c r="G2093" s="15"/>
      <c r="H2093" s="15"/>
      <c r="I2093" s="15"/>
      <c r="J2093" s="15"/>
      <c r="K2093" s="15"/>
      <c r="L2093" s="15"/>
      <c r="M2093" s="15"/>
      <c r="N2093" s="15"/>
      <c r="O2093" s="15"/>
      <c r="P2093" s="15"/>
      <c r="Q2093" s="15"/>
      <c r="R2093" s="15"/>
    </row>
    <row r="2094" spans="2:18" ht="13">
      <c r="B2094" s="33"/>
      <c r="C2094" s="34"/>
      <c r="D2094" s="68" t="s">
        <v>17</v>
      </c>
      <c r="E2094" s="69" t="s">
        <v>27</v>
      </c>
      <c r="F2094" s="20" t="s">
        <v>533</v>
      </c>
      <c r="G2094" s="15"/>
      <c r="H2094" s="15"/>
      <c r="I2094" s="15"/>
      <c r="J2094" s="15"/>
      <c r="K2094" s="15"/>
      <c r="L2094" s="15"/>
      <c r="M2094" s="15"/>
      <c r="N2094" s="15"/>
      <c r="O2094" s="15"/>
      <c r="P2094" s="15"/>
      <c r="Q2094" s="15"/>
      <c r="R2094" s="15"/>
    </row>
    <row r="2095" spans="2:18" ht="13">
      <c r="B2095" s="33"/>
      <c r="C2095" s="34"/>
      <c r="D2095" s="68" t="s">
        <v>17</v>
      </c>
      <c r="E2095" s="69" t="s">
        <v>27</v>
      </c>
      <c r="F2095" s="20" t="s">
        <v>533</v>
      </c>
      <c r="G2095" s="15"/>
      <c r="H2095" s="15"/>
      <c r="I2095" s="15"/>
      <c r="J2095" s="15"/>
      <c r="K2095" s="15"/>
      <c r="L2095" s="15"/>
      <c r="M2095" s="15"/>
      <c r="N2095" s="15"/>
      <c r="O2095" s="15"/>
      <c r="P2095" s="15"/>
      <c r="Q2095" s="15"/>
      <c r="R2095" s="15"/>
    </row>
    <row r="2096" spans="2:18" ht="13">
      <c r="B2096" s="33"/>
      <c r="C2096" s="34"/>
      <c r="D2096" s="68" t="s">
        <v>641</v>
      </c>
      <c r="E2096" s="69" t="s">
        <v>121</v>
      </c>
      <c r="F2096" s="20" t="s">
        <v>533</v>
      </c>
      <c r="G2096" s="15"/>
      <c r="H2096" s="15"/>
      <c r="I2096" s="15"/>
      <c r="J2096" s="15"/>
      <c r="K2096" s="15"/>
      <c r="L2096" s="15"/>
      <c r="M2096" s="15"/>
      <c r="N2096" s="15"/>
      <c r="O2096" s="15"/>
      <c r="P2096" s="15"/>
      <c r="Q2096" s="15"/>
      <c r="R2096" s="15"/>
    </row>
    <row r="2097" spans="2:18" ht="13">
      <c r="B2097" s="33"/>
      <c r="C2097" s="34"/>
      <c r="D2097" s="68" t="s">
        <v>17</v>
      </c>
      <c r="E2097" s="69" t="s">
        <v>27</v>
      </c>
      <c r="F2097" s="20" t="s">
        <v>533</v>
      </c>
      <c r="G2097" s="15"/>
      <c r="H2097" s="15"/>
      <c r="I2097" s="15"/>
      <c r="J2097" s="15"/>
      <c r="K2097" s="15"/>
      <c r="L2097" s="15"/>
      <c r="M2097" s="15"/>
      <c r="N2097" s="15"/>
      <c r="O2097" s="15"/>
      <c r="P2097" s="15"/>
      <c r="Q2097" s="15"/>
      <c r="R2097" s="15"/>
    </row>
    <row r="2098" spans="2:18" ht="13">
      <c r="B2098" s="33"/>
      <c r="C2098" s="34"/>
      <c r="D2098" s="68" t="s">
        <v>17</v>
      </c>
      <c r="E2098" s="69" t="s">
        <v>27</v>
      </c>
      <c r="F2098" s="20" t="s">
        <v>533</v>
      </c>
      <c r="G2098" s="15"/>
      <c r="H2098" s="15"/>
      <c r="I2098" s="15"/>
      <c r="J2098" s="15"/>
      <c r="K2098" s="15"/>
      <c r="L2098" s="15"/>
      <c r="M2098" s="15"/>
      <c r="N2098" s="15"/>
      <c r="O2098" s="15"/>
      <c r="P2098" s="15"/>
      <c r="Q2098" s="15"/>
      <c r="R2098" s="15"/>
    </row>
    <row r="2099" spans="2:18" ht="13">
      <c r="B2099" s="33"/>
      <c r="C2099" s="34"/>
      <c r="D2099" s="68" t="s">
        <v>26</v>
      </c>
      <c r="E2099" s="69" t="s">
        <v>27</v>
      </c>
      <c r="F2099" s="20" t="s">
        <v>533</v>
      </c>
      <c r="G2099" s="15"/>
      <c r="H2099" s="15"/>
      <c r="I2099" s="15"/>
      <c r="J2099" s="15"/>
      <c r="K2099" s="15"/>
      <c r="L2099" s="15"/>
      <c r="M2099" s="15"/>
      <c r="N2099" s="15"/>
      <c r="O2099" s="15"/>
      <c r="P2099" s="15"/>
      <c r="Q2099" s="15"/>
      <c r="R2099" s="15"/>
    </row>
    <row r="2100" spans="2:18" ht="13">
      <c r="B2100" s="33"/>
      <c r="C2100" s="34"/>
      <c r="D2100" s="68" t="s">
        <v>17</v>
      </c>
      <c r="E2100" s="69" t="s">
        <v>27</v>
      </c>
      <c r="F2100" s="20" t="s">
        <v>533</v>
      </c>
      <c r="G2100" s="15"/>
      <c r="H2100" s="15"/>
      <c r="I2100" s="15"/>
      <c r="J2100" s="15"/>
      <c r="K2100" s="15"/>
      <c r="L2100" s="15"/>
      <c r="M2100" s="15"/>
      <c r="N2100" s="15"/>
      <c r="O2100" s="15"/>
      <c r="P2100" s="15"/>
      <c r="Q2100" s="15"/>
      <c r="R2100" s="15"/>
    </row>
    <row r="2101" spans="2:18" ht="13">
      <c r="B2101" s="33"/>
      <c r="C2101" s="34"/>
      <c r="D2101" s="68" t="s">
        <v>17</v>
      </c>
      <c r="E2101" s="69" t="s">
        <v>27</v>
      </c>
      <c r="F2101" s="20" t="s">
        <v>533</v>
      </c>
      <c r="G2101" s="15"/>
      <c r="H2101" s="15"/>
      <c r="I2101" s="15"/>
      <c r="J2101" s="15"/>
      <c r="K2101" s="15"/>
      <c r="L2101" s="15"/>
      <c r="M2101" s="15"/>
      <c r="N2101" s="15"/>
      <c r="O2101" s="15"/>
      <c r="P2101" s="15"/>
      <c r="Q2101" s="15"/>
      <c r="R2101" s="15"/>
    </row>
    <row r="2102" spans="2:18" ht="13">
      <c r="B2102" s="33"/>
      <c r="C2102" s="34"/>
      <c r="D2102" s="68" t="s">
        <v>17</v>
      </c>
      <c r="E2102" s="69" t="s">
        <v>27</v>
      </c>
      <c r="F2102" s="20" t="s">
        <v>533</v>
      </c>
      <c r="G2102" s="15"/>
      <c r="H2102" s="15"/>
      <c r="I2102" s="15"/>
      <c r="J2102" s="15"/>
      <c r="K2102" s="15"/>
      <c r="L2102" s="15"/>
      <c r="M2102" s="15"/>
      <c r="N2102" s="15"/>
      <c r="O2102" s="15"/>
      <c r="P2102" s="15"/>
      <c r="Q2102" s="15"/>
      <c r="R2102" s="15"/>
    </row>
    <row r="2103" spans="2:18" ht="13">
      <c r="B2103" s="33"/>
      <c r="C2103" s="34"/>
      <c r="D2103" s="68" t="s">
        <v>17</v>
      </c>
      <c r="E2103" s="69" t="s">
        <v>27</v>
      </c>
      <c r="F2103" s="20" t="s">
        <v>533</v>
      </c>
      <c r="G2103" s="15"/>
      <c r="H2103" s="15"/>
      <c r="I2103" s="15"/>
      <c r="J2103" s="15"/>
      <c r="K2103" s="15"/>
      <c r="L2103" s="15"/>
      <c r="M2103" s="15"/>
      <c r="N2103" s="15"/>
      <c r="O2103" s="15"/>
      <c r="P2103" s="15"/>
      <c r="Q2103" s="15"/>
      <c r="R2103" s="15"/>
    </row>
    <row r="2104" spans="2:18" ht="13">
      <c r="B2104" s="33"/>
      <c r="C2104" s="34"/>
      <c r="D2104" s="68" t="s">
        <v>26</v>
      </c>
      <c r="E2104" s="69" t="s">
        <v>27</v>
      </c>
      <c r="F2104" s="20" t="s">
        <v>533</v>
      </c>
      <c r="G2104" s="15"/>
      <c r="H2104" s="15"/>
      <c r="I2104" s="15"/>
      <c r="J2104" s="15"/>
      <c r="K2104" s="15"/>
      <c r="L2104" s="15"/>
      <c r="M2104" s="15"/>
      <c r="N2104" s="15"/>
      <c r="O2104" s="15"/>
      <c r="P2104" s="15"/>
      <c r="Q2104" s="15"/>
      <c r="R2104" s="15"/>
    </row>
    <row r="2105" spans="2:18" ht="13">
      <c r="B2105" s="33"/>
      <c r="C2105" s="34"/>
      <c r="D2105" s="68" t="s">
        <v>17</v>
      </c>
      <c r="E2105" s="69" t="s">
        <v>27</v>
      </c>
      <c r="F2105" s="20" t="s">
        <v>533</v>
      </c>
      <c r="G2105" s="15"/>
      <c r="H2105" s="15"/>
      <c r="I2105" s="15"/>
      <c r="J2105" s="15"/>
      <c r="K2105" s="15"/>
      <c r="L2105" s="15"/>
      <c r="M2105" s="15"/>
      <c r="N2105" s="15"/>
      <c r="O2105" s="15"/>
      <c r="P2105" s="15"/>
      <c r="Q2105" s="15"/>
      <c r="R2105" s="15"/>
    </row>
    <row r="2106" spans="2:18" ht="13">
      <c r="B2106" s="33"/>
      <c r="C2106" s="34"/>
      <c r="D2106" s="68" t="s">
        <v>17</v>
      </c>
      <c r="E2106" s="69" t="s">
        <v>27</v>
      </c>
      <c r="F2106" s="20" t="s">
        <v>533</v>
      </c>
      <c r="G2106" s="15"/>
      <c r="H2106" s="15"/>
      <c r="I2106" s="15"/>
      <c r="J2106" s="15"/>
      <c r="K2106" s="15"/>
      <c r="L2106" s="15"/>
      <c r="M2106" s="15"/>
      <c r="N2106" s="15"/>
      <c r="O2106" s="15"/>
      <c r="P2106" s="15"/>
      <c r="Q2106" s="15"/>
      <c r="R2106" s="15"/>
    </row>
    <row r="2107" spans="2:18" ht="13">
      <c r="B2107" s="33"/>
      <c r="C2107" s="34"/>
      <c r="D2107" s="68" t="s">
        <v>657</v>
      </c>
      <c r="E2107" s="69" t="s">
        <v>121</v>
      </c>
      <c r="F2107" s="20" t="s">
        <v>533</v>
      </c>
      <c r="G2107" s="15"/>
      <c r="H2107" s="15"/>
      <c r="I2107" s="15"/>
      <c r="J2107" s="15"/>
      <c r="K2107" s="15"/>
      <c r="L2107" s="15"/>
      <c r="M2107" s="15"/>
      <c r="N2107" s="15"/>
      <c r="O2107" s="15"/>
      <c r="P2107" s="15"/>
      <c r="Q2107" s="15"/>
      <c r="R2107" s="15"/>
    </row>
    <row r="2108" spans="2:18" ht="13">
      <c r="B2108" s="33"/>
      <c r="C2108" s="34"/>
      <c r="D2108" s="68" t="s">
        <v>17</v>
      </c>
      <c r="E2108" s="69" t="s">
        <v>27</v>
      </c>
      <c r="F2108" s="20" t="s">
        <v>533</v>
      </c>
      <c r="G2108" s="15"/>
      <c r="H2108" s="15"/>
      <c r="I2108" s="15"/>
      <c r="J2108" s="15"/>
      <c r="K2108" s="15"/>
      <c r="L2108" s="15"/>
      <c r="M2108" s="15"/>
      <c r="N2108" s="15"/>
      <c r="O2108" s="15"/>
      <c r="P2108" s="15"/>
      <c r="Q2108" s="15"/>
      <c r="R2108" s="15"/>
    </row>
    <row r="2109" spans="2:18" ht="13">
      <c r="B2109" s="33"/>
      <c r="C2109" s="34"/>
      <c r="D2109" s="68" t="s">
        <v>17</v>
      </c>
      <c r="E2109" s="69" t="s">
        <v>27</v>
      </c>
      <c r="F2109" s="20" t="s">
        <v>533</v>
      </c>
      <c r="G2109" s="15"/>
      <c r="H2109" s="15"/>
      <c r="I2109" s="15"/>
      <c r="J2109" s="15"/>
      <c r="K2109" s="15"/>
      <c r="L2109" s="15"/>
      <c r="M2109" s="15"/>
      <c r="N2109" s="15"/>
      <c r="O2109" s="15"/>
      <c r="P2109" s="15"/>
      <c r="Q2109" s="15"/>
      <c r="R2109" s="15"/>
    </row>
    <row r="2110" spans="2:18" ht="13">
      <c r="B2110" s="33"/>
      <c r="C2110" s="34"/>
      <c r="D2110" s="68" t="s">
        <v>17</v>
      </c>
      <c r="E2110" s="69" t="s">
        <v>27</v>
      </c>
      <c r="F2110" s="20" t="s">
        <v>533</v>
      </c>
      <c r="G2110" s="15"/>
      <c r="H2110" s="15"/>
      <c r="I2110" s="15"/>
      <c r="J2110" s="15"/>
      <c r="K2110" s="15"/>
      <c r="L2110" s="15"/>
      <c r="M2110" s="15"/>
      <c r="N2110" s="15"/>
      <c r="O2110" s="15"/>
      <c r="P2110" s="15"/>
      <c r="Q2110" s="15"/>
      <c r="R2110" s="15"/>
    </row>
    <row r="2111" spans="2:18" ht="13">
      <c r="B2111" s="33"/>
      <c r="C2111" s="34"/>
      <c r="D2111" s="68" t="s">
        <v>26</v>
      </c>
      <c r="E2111" s="69" t="s">
        <v>27</v>
      </c>
      <c r="F2111" s="20" t="s">
        <v>533</v>
      </c>
      <c r="G2111" s="15"/>
      <c r="H2111" s="15"/>
      <c r="I2111" s="15"/>
      <c r="J2111" s="15"/>
      <c r="K2111" s="15"/>
      <c r="L2111" s="15"/>
      <c r="M2111" s="15"/>
      <c r="N2111" s="15"/>
      <c r="O2111" s="15"/>
      <c r="P2111" s="15"/>
      <c r="Q2111" s="15"/>
      <c r="R2111" s="15"/>
    </row>
    <row r="2112" spans="2:18" ht="13">
      <c r="B2112" s="33"/>
      <c r="C2112" s="34"/>
      <c r="D2112" s="68" t="s">
        <v>620</v>
      </c>
      <c r="E2112" s="69" t="s">
        <v>121</v>
      </c>
      <c r="F2112" s="20" t="s">
        <v>533</v>
      </c>
      <c r="G2112" s="15"/>
      <c r="H2112" s="15"/>
      <c r="I2112" s="15"/>
      <c r="J2112" s="15"/>
      <c r="K2112" s="15"/>
      <c r="L2112" s="15"/>
      <c r="M2112" s="15"/>
      <c r="N2112" s="15"/>
      <c r="O2112" s="15"/>
      <c r="P2112" s="15"/>
      <c r="Q2112" s="15"/>
      <c r="R2112" s="15"/>
    </row>
    <row r="2113" spans="2:18" ht="13">
      <c r="B2113" s="33"/>
      <c r="C2113" s="34"/>
      <c r="D2113" s="68" t="s">
        <v>17</v>
      </c>
      <c r="E2113" s="69" t="s">
        <v>27</v>
      </c>
      <c r="F2113" s="20" t="s">
        <v>533</v>
      </c>
      <c r="G2113" s="15"/>
      <c r="H2113" s="15"/>
      <c r="I2113" s="15"/>
      <c r="J2113" s="15"/>
      <c r="K2113" s="15"/>
      <c r="L2113" s="15"/>
      <c r="M2113" s="15"/>
      <c r="N2113" s="15"/>
      <c r="O2113" s="15"/>
      <c r="P2113" s="15"/>
      <c r="Q2113" s="15"/>
      <c r="R2113" s="15"/>
    </row>
    <row r="2114" spans="2:18" ht="13">
      <c r="B2114" s="33"/>
      <c r="C2114" s="34"/>
      <c r="D2114" s="68" t="s">
        <v>583</v>
      </c>
      <c r="E2114" s="69" t="s">
        <v>124</v>
      </c>
      <c r="F2114" s="20" t="s">
        <v>533</v>
      </c>
      <c r="G2114" s="15"/>
      <c r="H2114" s="15"/>
      <c r="I2114" s="15"/>
      <c r="J2114" s="15"/>
      <c r="K2114" s="15"/>
      <c r="L2114" s="15"/>
      <c r="M2114" s="15"/>
      <c r="N2114" s="15"/>
      <c r="O2114" s="15"/>
      <c r="P2114" s="15"/>
      <c r="Q2114" s="15"/>
      <c r="R2114" s="15"/>
    </row>
    <row r="2115" spans="2:18" ht="13">
      <c r="B2115" s="33"/>
      <c r="C2115" s="34"/>
      <c r="D2115" s="68" t="s">
        <v>26</v>
      </c>
      <c r="E2115" s="69" t="s">
        <v>27</v>
      </c>
      <c r="F2115" s="20" t="s">
        <v>533</v>
      </c>
      <c r="G2115" s="15"/>
      <c r="H2115" s="15"/>
      <c r="I2115" s="15"/>
      <c r="J2115" s="15"/>
      <c r="K2115" s="15"/>
      <c r="L2115" s="15"/>
      <c r="M2115" s="15"/>
      <c r="N2115" s="15"/>
      <c r="O2115" s="15"/>
      <c r="P2115" s="15"/>
      <c r="Q2115" s="15"/>
      <c r="R2115" s="15"/>
    </row>
    <row r="2116" spans="2:18" ht="13">
      <c r="B2116" s="33"/>
      <c r="C2116" s="34"/>
      <c r="D2116" s="68" t="s">
        <v>572</v>
      </c>
      <c r="E2116" s="69" t="s">
        <v>32</v>
      </c>
      <c r="F2116" s="20" t="s">
        <v>533</v>
      </c>
      <c r="G2116" s="15"/>
      <c r="H2116" s="15"/>
      <c r="I2116" s="15"/>
      <c r="J2116" s="15"/>
      <c r="K2116" s="15"/>
      <c r="L2116" s="15"/>
      <c r="M2116" s="15"/>
      <c r="N2116" s="15"/>
      <c r="O2116" s="15"/>
      <c r="P2116" s="15"/>
      <c r="Q2116" s="15"/>
      <c r="R2116" s="15"/>
    </row>
    <row r="2117" spans="2:18" ht="13">
      <c r="B2117" s="33"/>
      <c r="C2117" s="34"/>
      <c r="D2117" s="68" t="s">
        <v>17</v>
      </c>
      <c r="E2117" s="69" t="s">
        <v>27</v>
      </c>
      <c r="F2117" s="20" t="s">
        <v>533</v>
      </c>
      <c r="G2117" s="15"/>
      <c r="H2117" s="15"/>
      <c r="I2117" s="15"/>
      <c r="J2117" s="15"/>
      <c r="K2117" s="15"/>
      <c r="L2117" s="15"/>
      <c r="M2117" s="15"/>
      <c r="N2117" s="15"/>
      <c r="O2117" s="15"/>
      <c r="P2117" s="15"/>
      <c r="Q2117" s="15"/>
      <c r="R2117" s="15"/>
    </row>
    <row r="2118" spans="2:18" ht="13">
      <c r="B2118" s="33"/>
      <c r="C2118" s="34"/>
      <c r="D2118" s="68" t="s">
        <v>17</v>
      </c>
      <c r="E2118" s="69" t="s">
        <v>27</v>
      </c>
      <c r="F2118" s="20" t="s">
        <v>533</v>
      </c>
      <c r="G2118" s="15"/>
      <c r="H2118" s="15"/>
      <c r="I2118" s="15"/>
      <c r="J2118" s="15"/>
      <c r="K2118" s="15"/>
      <c r="L2118" s="15"/>
      <c r="M2118" s="15"/>
      <c r="N2118" s="15"/>
      <c r="O2118" s="15"/>
      <c r="P2118" s="15"/>
      <c r="Q2118" s="15"/>
      <c r="R2118" s="15"/>
    </row>
    <row r="2119" spans="2:18" ht="13">
      <c r="B2119" s="33"/>
      <c r="C2119" s="34"/>
      <c r="D2119" s="68" t="s">
        <v>17</v>
      </c>
      <c r="E2119" s="69" t="s">
        <v>27</v>
      </c>
      <c r="F2119" s="20" t="s">
        <v>533</v>
      </c>
      <c r="G2119" s="15"/>
      <c r="H2119" s="15"/>
      <c r="I2119" s="15"/>
      <c r="J2119" s="15"/>
      <c r="K2119" s="15"/>
      <c r="L2119" s="15"/>
      <c r="M2119" s="15"/>
      <c r="N2119" s="15"/>
      <c r="O2119" s="15"/>
      <c r="P2119" s="15"/>
      <c r="Q2119" s="15"/>
      <c r="R2119" s="15"/>
    </row>
    <row r="2120" spans="2:18" ht="13">
      <c r="B2120" s="33"/>
      <c r="C2120" s="34"/>
      <c r="D2120" s="68" t="s">
        <v>17</v>
      </c>
      <c r="E2120" s="69" t="s">
        <v>27</v>
      </c>
      <c r="F2120" s="20" t="s">
        <v>533</v>
      </c>
      <c r="G2120" s="15"/>
      <c r="H2120" s="15"/>
      <c r="I2120" s="15"/>
      <c r="J2120" s="15"/>
      <c r="K2120" s="15"/>
      <c r="L2120" s="15"/>
      <c r="M2120" s="15"/>
      <c r="N2120" s="15"/>
      <c r="O2120" s="15"/>
      <c r="P2120" s="15"/>
      <c r="Q2120" s="15"/>
      <c r="R2120" s="15"/>
    </row>
    <row r="2121" spans="2:18" ht="13">
      <c r="B2121" s="33"/>
      <c r="C2121" s="34"/>
      <c r="D2121" s="68" t="s">
        <v>17</v>
      </c>
      <c r="E2121" s="69" t="s">
        <v>27</v>
      </c>
      <c r="F2121" s="20" t="s">
        <v>533</v>
      </c>
      <c r="G2121" s="15"/>
      <c r="H2121" s="15"/>
      <c r="I2121" s="15"/>
      <c r="J2121" s="15"/>
      <c r="K2121" s="15"/>
      <c r="L2121" s="15"/>
      <c r="M2121" s="15"/>
      <c r="N2121" s="15"/>
      <c r="O2121" s="15"/>
      <c r="P2121" s="15"/>
      <c r="Q2121" s="15"/>
      <c r="R2121" s="15"/>
    </row>
    <row r="2122" spans="2:18" ht="13">
      <c r="B2122" s="33"/>
      <c r="C2122" s="34"/>
      <c r="D2122" s="68" t="s">
        <v>17</v>
      </c>
      <c r="E2122" s="69" t="s">
        <v>27</v>
      </c>
      <c r="F2122" s="20" t="s">
        <v>533</v>
      </c>
      <c r="G2122" s="15"/>
      <c r="H2122" s="15"/>
      <c r="I2122" s="15"/>
      <c r="J2122" s="15"/>
      <c r="K2122" s="15"/>
      <c r="L2122" s="15"/>
      <c r="M2122" s="15"/>
      <c r="N2122" s="15"/>
      <c r="O2122" s="15"/>
      <c r="P2122" s="15"/>
      <c r="Q2122" s="15"/>
      <c r="R2122" s="15"/>
    </row>
    <row r="2123" spans="2:18" ht="13">
      <c r="B2123" s="33"/>
      <c r="C2123" s="34"/>
      <c r="D2123" s="68" t="s">
        <v>17</v>
      </c>
      <c r="E2123" s="69" t="s">
        <v>27</v>
      </c>
      <c r="F2123" s="20" t="s">
        <v>533</v>
      </c>
      <c r="G2123" s="15"/>
      <c r="H2123" s="15"/>
      <c r="I2123" s="15"/>
      <c r="J2123" s="15"/>
      <c r="K2123" s="15"/>
      <c r="L2123" s="15"/>
      <c r="M2123" s="15"/>
      <c r="N2123" s="15"/>
      <c r="O2123" s="15"/>
      <c r="P2123" s="15"/>
      <c r="Q2123" s="15"/>
      <c r="R2123" s="15"/>
    </row>
    <row r="2124" spans="2:18" ht="13">
      <c r="B2124" s="33"/>
      <c r="C2124" s="34"/>
      <c r="D2124" s="68" t="s">
        <v>17</v>
      </c>
      <c r="E2124" s="69" t="s">
        <v>27</v>
      </c>
      <c r="F2124" s="20" t="s">
        <v>533</v>
      </c>
      <c r="G2124" s="15"/>
      <c r="H2124" s="15"/>
      <c r="I2124" s="15"/>
      <c r="J2124" s="15"/>
      <c r="K2124" s="15"/>
      <c r="L2124" s="15"/>
      <c r="M2124" s="15"/>
      <c r="N2124" s="15"/>
      <c r="O2124" s="15"/>
      <c r="P2124" s="15"/>
      <c r="Q2124" s="15"/>
      <c r="R2124" s="15"/>
    </row>
    <row r="2125" spans="2:18" ht="13">
      <c r="B2125" s="33"/>
      <c r="C2125" s="34"/>
      <c r="D2125" s="68" t="s">
        <v>404</v>
      </c>
      <c r="E2125" s="69" t="s">
        <v>32</v>
      </c>
      <c r="F2125" s="20" t="s">
        <v>533</v>
      </c>
      <c r="G2125" s="15"/>
      <c r="H2125" s="15"/>
      <c r="I2125" s="15"/>
      <c r="J2125" s="15"/>
      <c r="K2125" s="15"/>
      <c r="L2125" s="15"/>
      <c r="M2125" s="15"/>
      <c r="N2125" s="15"/>
      <c r="O2125" s="15"/>
      <c r="P2125" s="15"/>
      <c r="Q2125" s="15"/>
      <c r="R2125" s="15"/>
    </row>
    <row r="2126" spans="2:18" ht="13">
      <c r="B2126" s="33"/>
      <c r="C2126" s="34"/>
      <c r="D2126" s="68" t="s">
        <v>651</v>
      </c>
      <c r="E2126" s="69" t="s">
        <v>27</v>
      </c>
      <c r="F2126" s="20" t="s">
        <v>533</v>
      </c>
      <c r="G2126" s="15"/>
      <c r="H2126" s="15"/>
      <c r="I2126" s="15"/>
      <c r="J2126" s="15"/>
      <c r="K2126" s="15"/>
      <c r="L2126" s="15"/>
      <c r="M2126" s="15"/>
      <c r="N2126" s="15"/>
      <c r="O2126" s="15"/>
      <c r="P2126" s="15"/>
      <c r="Q2126" s="15"/>
      <c r="R2126" s="15"/>
    </row>
    <row r="2127" spans="2:18" ht="13">
      <c r="B2127" s="33"/>
      <c r="C2127" s="34"/>
      <c r="D2127" s="68" t="s">
        <v>17</v>
      </c>
      <c r="E2127" s="69" t="s">
        <v>27</v>
      </c>
      <c r="F2127" s="20" t="s">
        <v>533</v>
      </c>
      <c r="G2127" s="15"/>
      <c r="H2127" s="15"/>
      <c r="I2127" s="15"/>
      <c r="J2127" s="15"/>
      <c r="K2127" s="15"/>
      <c r="L2127" s="15"/>
      <c r="M2127" s="15"/>
      <c r="N2127" s="15"/>
      <c r="O2127" s="15"/>
      <c r="P2127" s="15"/>
      <c r="Q2127" s="15"/>
      <c r="R2127" s="15"/>
    </row>
    <row r="2128" spans="2:18" ht="13">
      <c r="B2128" s="33"/>
      <c r="C2128" s="34"/>
      <c r="D2128" s="68" t="s">
        <v>17</v>
      </c>
      <c r="E2128" s="69" t="s">
        <v>27</v>
      </c>
      <c r="F2128" s="20" t="s">
        <v>533</v>
      </c>
      <c r="G2128" s="15"/>
      <c r="H2128" s="15"/>
      <c r="I2128" s="15"/>
      <c r="J2128" s="15"/>
      <c r="K2128" s="15"/>
      <c r="L2128" s="15"/>
      <c r="M2128" s="15"/>
      <c r="N2128" s="15"/>
      <c r="O2128" s="15"/>
      <c r="P2128" s="15"/>
      <c r="Q2128" s="15"/>
      <c r="R2128" s="15"/>
    </row>
    <row r="2129" spans="2:18" ht="13">
      <c r="B2129" s="33"/>
      <c r="C2129" s="34"/>
      <c r="D2129" s="68" t="s">
        <v>547</v>
      </c>
      <c r="E2129" s="69" t="s">
        <v>124</v>
      </c>
      <c r="F2129" s="20" t="s">
        <v>533</v>
      </c>
      <c r="G2129" s="15"/>
      <c r="H2129" s="15"/>
      <c r="I2129" s="15"/>
      <c r="J2129" s="15"/>
      <c r="K2129" s="15"/>
      <c r="L2129" s="15"/>
      <c r="M2129" s="15"/>
      <c r="N2129" s="15"/>
      <c r="O2129" s="15"/>
      <c r="P2129" s="15"/>
      <c r="Q2129" s="15"/>
      <c r="R2129" s="15"/>
    </row>
    <row r="2130" spans="2:18" ht="13">
      <c r="B2130" s="33"/>
      <c r="C2130" s="34"/>
      <c r="D2130" s="68" t="s">
        <v>26</v>
      </c>
      <c r="E2130" s="69" t="s">
        <v>564</v>
      </c>
      <c r="F2130" s="20" t="s">
        <v>533</v>
      </c>
      <c r="G2130" s="15"/>
      <c r="H2130" s="15"/>
      <c r="I2130" s="15"/>
      <c r="J2130" s="15"/>
      <c r="K2130" s="15"/>
      <c r="L2130" s="15"/>
      <c r="M2130" s="15"/>
      <c r="N2130" s="15"/>
      <c r="O2130" s="15"/>
      <c r="P2130" s="15"/>
      <c r="Q2130" s="15"/>
      <c r="R2130" s="15"/>
    </row>
    <row r="2131" spans="2:18" ht="13">
      <c r="B2131" s="33"/>
      <c r="C2131" s="34"/>
      <c r="D2131" s="68" t="s">
        <v>26</v>
      </c>
      <c r="E2131" s="69" t="s">
        <v>27</v>
      </c>
      <c r="F2131" s="20" t="s">
        <v>533</v>
      </c>
      <c r="G2131" s="15"/>
      <c r="H2131" s="15"/>
      <c r="I2131" s="15"/>
      <c r="J2131" s="15"/>
      <c r="K2131" s="15"/>
      <c r="L2131" s="15"/>
      <c r="M2131" s="15"/>
      <c r="N2131" s="15"/>
      <c r="O2131" s="15"/>
      <c r="P2131" s="15"/>
      <c r="Q2131" s="15"/>
      <c r="R2131" s="15"/>
    </row>
    <row r="2132" spans="2:18" ht="13">
      <c r="B2132" s="33"/>
      <c r="C2132" s="34"/>
      <c r="D2132" s="68" t="s">
        <v>17</v>
      </c>
      <c r="E2132" s="69" t="s">
        <v>27</v>
      </c>
      <c r="F2132" s="20" t="s">
        <v>533</v>
      </c>
      <c r="G2132" s="15"/>
      <c r="H2132" s="15"/>
      <c r="I2132" s="15"/>
      <c r="J2132" s="15"/>
      <c r="K2132" s="15"/>
      <c r="L2132" s="15"/>
      <c r="M2132" s="15"/>
      <c r="N2132" s="15"/>
      <c r="O2132" s="15"/>
      <c r="P2132" s="15"/>
      <c r="Q2132" s="15"/>
      <c r="R2132" s="15"/>
    </row>
    <row r="2133" spans="2:18" ht="13">
      <c r="B2133" s="33"/>
      <c r="C2133" s="34"/>
      <c r="D2133" s="68" t="s">
        <v>17</v>
      </c>
      <c r="E2133" s="69" t="s">
        <v>27</v>
      </c>
      <c r="F2133" s="20" t="s">
        <v>533</v>
      </c>
      <c r="G2133" s="15"/>
      <c r="H2133" s="15"/>
      <c r="I2133" s="15"/>
      <c r="J2133" s="15"/>
      <c r="K2133" s="15"/>
      <c r="L2133" s="15"/>
      <c r="M2133" s="15"/>
      <c r="N2133" s="15"/>
      <c r="O2133" s="15"/>
      <c r="P2133" s="15"/>
      <c r="Q2133" s="15"/>
      <c r="R2133" s="15"/>
    </row>
    <row r="2134" spans="2:18" ht="13">
      <c r="B2134" s="33"/>
      <c r="C2134" s="34"/>
      <c r="D2134" s="68" t="s">
        <v>17</v>
      </c>
      <c r="E2134" s="69" t="s">
        <v>27</v>
      </c>
      <c r="F2134" s="20" t="s">
        <v>533</v>
      </c>
      <c r="G2134" s="15"/>
      <c r="H2134" s="15"/>
      <c r="I2134" s="15"/>
      <c r="J2134" s="15"/>
      <c r="K2134" s="15"/>
      <c r="L2134" s="15"/>
      <c r="M2134" s="15"/>
      <c r="N2134" s="15"/>
      <c r="O2134" s="15"/>
      <c r="P2134" s="15"/>
      <c r="Q2134" s="15"/>
      <c r="R2134" s="15"/>
    </row>
    <row r="2135" spans="2:18" ht="13">
      <c r="B2135" s="33"/>
      <c r="C2135" s="34"/>
      <c r="D2135" s="68" t="s">
        <v>26</v>
      </c>
      <c r="E2135" s="69" t="s">
        <v>27</v>
      </c>
      <c r="F2135" s="20" t="s">
        <v>533</v>
      </c>
      <c r="G2135" s="15"/>
      <c r="H2135" s="15"/>
      <c r="I2135" s="15"/>
      <c r="J2135" s="15"/>
      <c r="K2135" s="15"/>
      <c r="L2135" s="15"/>
      <c r="M2135" s="15"/>
      <c r="N2135" s="15"/>
      <c r="O2135" s="15"/>
      <c r="P2135" s="15"/>
      <c r="Q2135" s="15"/>
      <c r="R2135" s="15"/>
    </row>
    <row r="2136" spans="2:18" ht="13">
      <c r="B2136" s="33"/>
      <c r="C2136" s="34"/>
      <c r="D2136" s="68" t="s">
        <v>17</v>
      </c>
      <c r="E2136" s="69" t="s">
        <v>27</v>
      </c>
      <c r="F2136" s="20" t="s">
        <v>533</v>
      </c>
      <c r="G2136" s="15"/>
      <c r="H2136" s="15"/>
      <c r="I2136" s="15"/>
      <c r="J2136" s="15"/>
      <c r="K2136" s="15"/>
      <c r="L2136" s="15"/>
      <c r="M2136" s="15"/>
      <c r="N2136" s="15"/>
      <c r="O2136" s="15"/>
      <c r="P2136" s="15"/>
      <c r="Q2136" s="15"/>
      <c r="R2136" s="15"/>
    </row>
    <row r="2137" spans="2:18" ht="13">
      <c r="B2137" s="33"/>
      <c r="C2137" s="34"/>
      <c r="D2137" s="68" t="s">
        <v>17</v>
      </c>
      <c r="E2137" s="69" t="s">
        <v>27</v>
      </c>
      <c r="F2137" s="20" t="s">
        <v>533</v>
      </c>
      <c r="G2137" s="15"/>
      <c r="H2137" s="15"/>
      <c r="I2137" s="15"/>
      <c r="J2137" s="15"/>
      <c r="K2137" s="15"/>
      <c r="L2137" s="15"/>
      <c r="M2137" s="15"/>
      <c r="N2137" s="15"/>
      <c r="O2137" s="15"/>
      <c r="P2137" s="15"/>
      <c r="Q2137" s="15"/>
      <c r="R2137" s="15"/>
    </row>
    <row r="2138" spans="2:18" ht="13">
      <c r="B2138" s="33"/>
      <c r="C2138" s="34"/>
      <c r="D2138" s="68" t="s">
        <v>17</v>
      </c>
      <c r="E2138" s="69" t="s">
        <v>27</v>
      </c>
      <c r="F2138" s="20" t="s">
        <v>533</v>
      </c>
      <c r="G2138" s="15"/>
      <c r="H2138" s="15"/>
      <c r="I2138" s="15"/>
      <c r="J2138" s="15"/>
      <c r="K2138" s="15"/>
      <c r="L2138" s="15"/>
      <c r="M2138" s="15"/>
      <c r="N2138" s="15"/>
      <c r="O2138" s="15"/>
      <c r="P2138" s="15"/>
      <c r="Q2138" s="15"/>
      <c r="R2138" s="15"/>
    </row>
    <row r="2139" spans="2:18" ht="13">
      <c r="B2139" s="33"/>
      <c r="C2139" s="34"/>
      <c r="D2139" s="68" t="s">
        <v>26</v>
      </c>
      <c r="E2139" s="69" t="s">
        <v>27</v>
      </c>
      <c r="F2139" s="20" t="s">
        <v>533</v>
      </c>
      <c r="G2139" s="15"/>
      <c r="H2139" s="15"/>
      <c r="I2139" s="15"/>
      <c r="J2139" s="15"/>
      <c r="K2139" s="15"/>
      <c r="L2139" s="15"/>
      <c r="M2139" s="15"/>
      <c r="N2139" s="15"/>
      <c r="O2139" s="15"/>
      <c r="P2139" s="15"/>
      <c r="Q2139" s="15"/>
      <c r="R2139" s="15"/>
    </row>
    <row r="2140" spans="2:18" ht="13">
      <c r="B2140" s="33"/>
      <c r="C2140" s="34"/>
      <c r="D2140" s="68" t="s">
        <v>17</v>
      </c>
      <c r="E2140" s="69" t="s">
        <v>27</v>
      </c>
      <c r="F2140" s="20" t="s">
        <v>533</v>
      </c>
      <c r="G2140" s="15"/>
      <c r="H2140" s="15"/>
      <c r="I2140" s="15"/>
      <c r="J2140" s="15"/>
      <c r="K2140" s="15"/>
      <c r="L2140" s="15"/>
      <c r="M2140" s="15"/>
      <c r="N2140" s="15"/>
      <c r="O2140" s="15"/>
      <c r="P2140" s="15"/>
      <c r="Q2140" s="15"/>
      <c r="R2140" s="15"/>
    </row>
    <row r="2141" spans="2:18" ht="13">
      <c r="B2141" s="33"/>
      <c r="C2141" s="34"/>
      <c r="D2141" s="68" t="s">
        <v>17</v>
      </c>
      <c r="E2141" s="69" t="s">
        <v>27</v>
      </c>
      <c r="F2141" s="20" t="s">
        <v>533</v>
      </c>
      <c r="G2141" s="15"/>
      <c r="H2141" s="15"/>
      <c r="I2141" s="15"/>
      <c r="J2141" s="15"/>
      <c r="K2141" s="15"/>
      <c r="L2141" s="15"/>
      <c r="M2141" s="15"/>
      <c r="N2141" s="15"/>
      <c r="O2141" s="15"/>
      <c r="P2141" s="15"/>
      <c r="Q2141" s="15"/>
      <c r="R2141" s="15"/>
    </row>
    <row r="2142" spans="2:18" ht="13">
      <c r="B2142" s="33"/>
      <c r="C2142" s="34"/>
      <c r="D2142" s="68" t="s">
        <v>590</v>
      </c>
      <c r="E2142" s="69" t="s">
        <v>32</v>
      </c>
      <c r="F2142" s="20" t="s">
        <v>533</v>
      </c>
      <c r="G2142" s="15"/>
      <c r="H2142" s="15"/>
      <c r="I2142" s="15"/>
      <c r="J2142" s="15"/>
      <c r="K2142" s="15"/>
      <c r="L2142" s="15"/>
      <c r="M2142" s="15"/>
      <c r="N2142" s="15"/>
      <c r="O2142" s="15"/>
      <c r="P2142" s="15"/>
      <c r="Q2142" s="15"/>
      <c r="R2142" s="15"/>
    </row>
    <row r="2143" spans="2:18" ht="13">
      <c r="B2143" s="33"/>
      <c r="C2143" s="34"/>
      <c r="D2143" s="68" t="s">
        <v>17</v>
      </c>
      <c r="E2143" s="69" t="s">
        <v>27</v>
      </c>
      <c r="F2143" s="20" t="s">
        <v>533</v>
      </c>
      <c r="G2143" s="15"/>
      <c r="H2143" s="15"/>
      <c r="I2143" s="15"/>
      <c r="J2143" s="15"/>
      <c r="K2143" s="15"/>
      <c r="L2143" s="15"/>
      <c r="M2143" s="15"/>
      <c r="N2143" s="15"/>
      <c r="O2143" s="15"/>
      <c r="P2143" s="15"/>
      <c r="Q2143" s="15"/>
      <c r="R2143" s="15"/>
    </row>
    <row r="2144" spans="2:18" ht="13">
      <c r="B2144" s="33"/>
      <c r="C2144" s="34"/>
      <c r="D2144" s="68" t="s">
        <v>17</v>
      </c>
      <c r="E2144" s="69" t="s">
        <v>27</v>
      </c>
      <c r="F2144" s="20" t="s">
        <v>533</v>
      </c>
      <c r="G2144" s="15"/>
      <c r="H2144" s="15"/>
      <c r="I2144" s="15"/>
      <c r="J2144" s="15"/>
      <c r="K2144" s="15"/>
      <c r="L2144" s="15"/>
      <c r="M2144" s="15"/>
      <c r="N2144" s="15"/>
      <c r="O2144" s="15"/>
      <c r="P2144" s="15"/>
      <c r="Q2144" s="15"/>
      <c r="R2144" s="15"/>
    </row>
    <row r="2145" spans="2:18" ht="13">
      <c r="B2145" s="33"/>
      <c r="C2145" s="34"/>
      <c r="D2145" s="68" t="s">
        <v>17</v>
      </c>
      <c r="E2145" s="69" t="s">
        <v>27</v>
      </c>
      <c r="F2145" s="20" t="s">
        <v>533</v>
      </c>
      <c r="G2145" s="15"/>
      <c r="H2145" s="15"/>
      <c r="I2145" s="15"/>
      <c r="J2145" s="15"/>
      <c r="K2145" s="15"/>
      <c r="L2145" s="15"/>
      <c r="M2145" s="15"/>
      <c r="N2145" s="15"/>
      <c r="O2145" s="15"/>
      <c r="P2145" s="15"/>
      <c r="Q2145" s="15"/>
      <c r="R2145" s="15"/>
    </row>
    <row r="2146" spans="2:18" ht="13">
      <c r="B2146" s="33"/>
      <c r="C2146" s="34"/>
      <c r="D2146" s="68" t="s">
        <v>17</v>
      </c>
      <c r="E2146" s="69" t="s">
        <v>27</v>
      </c>
      <c r="F2146" s="20" t="s">
        <v>533</v>
      </c>
      <c r="G2146" s="15"/>
      <c r="H2146" s="15"/>
      <c r="I2146" s="15"/>
      <c r="J2146" s="15"/>
      <c r="K2146" s="15"/>
      <c r="L2146" s="15"/>
      <c r="M2146" s="15"/>
      <c r="N2146" s="15"/>
      <c r="O2146" s="15"/>
      <c r="P2146" s="15"/>
      <c r="Q2146" s="15"/>
      <c r="R2146" s="15"/>
    </row>
    <row r="2147" spans="2:18" ht="13">
      <c r="B2147" s="33"/>
      <c r="C2147" s="34"/>
      <c r="D2147" s="68" t="s">
        <v>17</v>
      </c>
      <c r="E2147" s="69" t="s">
        <v>27</v>
      </c>
      <c r="F2147" s="20" t="s">
        <v>533</v>
      </c>
      <c r="G2147" s="15"/>
      <c r="H2147" s="15"/>
      <c r="I2147" s="15"/>
      <c r="J2147" s="15"/>
      <c r="K2147" s="15"/>
      <c r="L2147" s="15"/>
      <c r="M2147" s="15"/>
      <c r="N2147" s="15"/>
      <c r="O2147" s="15"/>
      <c r="P2147" s="15"/>
      <c r="Q2147" s="15"/>
      <c r="R2147" s="15"/>
    </row>
    <row r="2148" spans="2:18" ht="13">
      <c r="B2148" s="33"/>
      <c r="C2148" s="34"/>
      <c r="D2148" s="68" t="s">
        <v>17</v>
      </c>
      <c r="E2148" s="69" t="s">
        <v>27</v>
      </c>
      <c r="F2148" s="20" t="s">
        <v>533</v>
      </c>
      <c r="G2148" s="15"/>
      <c r="H2148" s="15"/>
      <c r="I2148" s="15"/>
      <c r="J2148" s="15"/>
      <c r="K2148" s="15"/>
      <c r="L2148" s="15"/>
      <c r="M2148" s="15"/>
      <c r="N2148" s="15"/>
      <c r="O2148" s="15"/>
      <c r="P2148" s="15"/>
      <c r="Q2148" s="15"/>
      <c r="R2148" s="15"/>
    </row>
    <row r="2149" spans="2:18" ht="13">
      <c r="B2149" s="33"/>
      <c r="C2149" s="34"/>
      <c r="D2149" s="68" t="s">
        <v>404</v>
      </c>
      <c r="E2149" s="69" t="s">
        <v>32</v>
      </c>
      <c r="F2149" s="20" t="s">
        <v>533</v>
      </c>
      <c r="G2149" s="15"/>
      <c r="H2149" s="15"/>
      <c r="I2149" s="15"/>
      <c r="J2149" s="15"/>
      <c r="K2149" s="15"/>
      <c r="L2149" s="15"/>
      <c r="M2149" s="15"/>
      <c r="N2149" s="15"/>
      <c r="O2149" s="15"/>
      <c r="P2149" s="15"/>
      <c r="Q2149" s="15"/>
      <c r="R2149" s="15"/>
    </row>
    <row r="2150" spans="2:18" ht="13">
      <c r="B2150" s="33"/>
      <c r="C2150" s="34"/>
      <c r="D2150" s="68" t="s">
        <v>17</v>
      </c>
      <c r="E2150" s="69" t="s">
        <v>27</v>
      </c>
      <c r="F2150" s="20" t="s">
        <v>533</v>
      </c>
      <c r="G2150" s="15"/>
      <c r="H2150" s="15"/>
      <c r="I2150" s="15"/>
      <c r="J2150" s="15"/>
      <c r="K2150" s="15"/>
      <c r="L2150" s="15"/>
      <c r="M2150" s="15"/>
      <c r="N2150" s="15"/>
      <c r="O2150" s="15"/>
      <c r="P2150" s="15"/>
      <c r="Q2150" s="15"/>
      <c r="R2150" s="15"/>
    </row>
    <row r="2151" spans="2:18" ht="13">
      <c r="B2151" s="33"/>
      <c r="C2151" s="34"/>
      <c r="D2151" s="68" t="s">
        <v>572</v>
      </c>
      <c r="E2151" s="69" t="s">
        <v>32</v>
      </c>
      <c r="F2151" s="20" t="s">
        <v>533</v>
      </c>
      <c r="G2151" s="15"/>
      <c r="H2151" s="15"/>
      <c r="I2151" s="15"/>
      <c r="J2151" s="15"/>
      <c r="K2151" s="15"/>
      <c r="L2151" s="15"/>
      <c r="M2151" s="15"/>
      <c r="N2151" s="15"/>
      <c r="O2151" s="15"/>
      <c r="P2151" s="15"/>
      <c r="Q2151" s="15"/>
      <c r="R2151" s="15"/>
    </row>
    <row r="2152" spans="2:18" ht="13">
      <c r="B2152" s="33"/>
      <c r="C2152" s="34"/>
      <c r="D2152" s="68" t="s">
        <v>17</v>
      </c>
      <c r="E2152" s="69" t="s">
        <v>27</v>
      </c>
      <c r="F2152" s="20" t="s">
        <v>533</v>
      </c>
      <c r="G2152" s="15"/>
      <c r="H2152" s="15"/>
      <c r="I2152" s="15"/>
      <c r="J2152" s="15"/>
      <c r="K2152" s="15"/>
      <c r="L2152" s="15"/>
      <c r="M2152" s="15"/>
      <c r="N2152" s="15"/>
      <c r="O2152" s="15"/>
      <c r="P2152" s="15"/>
      <c r="Q2152" s="15"/>
      <c r="R2152" s="15"/>
    </row>
    <row r="2153" spans="2:18" ht="13">
      <c r="B2153" s="33"/>
      <c r="C2153" s="34"/>
      <c r="D2153" s="68" t="s">
        <v>17</v>
      </c>
      <c r="E2153" s="69" t="s">
        <v>27</v>
      </c>
      <c r="F2153" s="20" t="s">
        <v>533</v>
      </c>
      <c r="G2153" s="15"/>
      <c r="H2153" s="15"/>
      <c r="I2153" s="15"/>
      <c r="J2153" s="15"/>
      <c r="K2153" s="15"/>
      <c r="L2153" s="15"/>
      <c r="M2153" s="15"/>
      <c r="N2153" s="15"/>
      <c r="O2153" s="15"/>
      <c r="P2153" s="15"/>
      <c r="Q2153" s="15"/>
      <c r="R2153" s="15"/>
    </row>
    <row r="2154" spans="2:18" ht="13">
      <c r="B2154" s="33"/>
      <c r="C2154" s="34"/>
      <c r="D2154" s="68" t="s">
        <v>17</v>
      </c>
      <c r="E2154" s="69" t="s">
        <v>27</v>
      </c>
      <c r="F2154" s="20" t="s">
        <v>533</v>
      </c>
      <c r="G2154" s="15"/>
      <c r="H2154" s="15"/>
      <c r="I2154" s="15"/>
      <c r="J2154" s="15"/>
      <c r="K2154" s="15"/>
      <c r="L2154" s="15"/>
      <c r="M2154" s="15"/>
      <c r="N2154" s="15"/>
      <c r="O2154" s="15"/>
      <c r="P2154" s="15"/>
      <c r="Q2154" s="15"/>
      <c r="R2154" s="15"/>
    </row>
    <row r="2155" spans="2:18" ht="13">
      <c r="B2155" s="33"/>
      <c r="C2155" s="34"/>
      <c r="D2155" s="68" t="s">
        <v>17</v>
      </c>
      <c r="E2155" s="69" t="s">
        <v>27</v>
      </c>
      <c r="F2155" s="20" t="s">
        <v>533</v>
      </c>
      <c r="G2155" s="15"/>
      <c r="H2155" s="15"/>
      <c r="I2155" s="15"/>
      <c r="J2155" s="15"/>
      <c r="K2155" s="15"/>
      <c r="L2155" s="15"/>
      <c r="M2155" s="15"/>
      <c r="N2155" s="15"/>
      <c r="O2155" s="15"/>
      <c r="P2155" s="15"/>
      <c r="Q2155" s="15"/>
      <c r="R2155" s="15"/>
    </row>
    <row r="2156" spans="2:18" ht="13">
      <c r="B2156" s="33"/>
      <c r="C2156" s="34"/>
      <c r="D2156" s="68" t="s">
        <v>17</v>
      </c>
      <c r="E2156" s="69" t="s">
        <v>27</v>
      </c>
      <c r="F2156" s="20" t="s">
        <v>533</v>
      </c>
      <c r="G2156" s="15"/>
      <c r="H2156" s="15"/>
      <c r="I2156" s="15"/>
      <c r="J2156" s="15"/>
      <c r="K2156" s="15"/>
      <c r="L2156" s="15"/>
      <c r="M2156" s="15"/>
      <c r="N2156" s="15"/>
      <c r="O2156" s="15"/>
      <c r="P2156" s="15"/>
      <c r="Q2156" s="15"/>
      <c r="R2156" s="15"/>
    </row>
    <row r="2157" spans="2:18" ht="13">
      <c r="B2157" s="33"/>
      <c r="C2157" s="34"/>
      <c r="D2157" s="68" t="s">
        <v>583</v>
      </c>
      <c r="E2157" s="69" t="s">
        <v>124</v>
      </c>
      <c r="F2157" s="20" t="s">
        <v>533</v>
      </c>
      <c r="G2157" s="15"/>
      <c r="H2157" s="15"/>
      <c r="I2157" s="15"/>
      <c r="J2157" s="15"/>
      <c r="K2157" s="15"/>
      <c r="L2157" s="15"/>
      <c r="M2157" s="15"/>
      <c r="N2157" s="15"/>
      <c r="O2157" s="15"/>
      <c r="P2157" s="15"/>
      <c r="Q2157" s="15"/>
      <c r="R2157" s="15"/>
    </row>
    <row r="2158" spans="2:18" ht="13">
      <c r="B2158" s="33"/>
      <c r="C2158" s="34"/>
      <c r="D2158" s="68" t="s">
        <v>26</v>
      </c>
      <c r="E2158" s="69" t="s">
        <v>27</v>
      </c>
      <c r="F2158" s="20" t="s">
        <v>533</v>
      </c>
      <c r="G2158" s="15"/>
      <c r="H2158" s="15"/>
      <c r="I2158" s="15"/>
      <c r="J2158" s="15"/>
      <c r="K2158" s="15"/>
      <c r="L2158" s="15"/>
      <c r="M2158" s="15"/>
      <c r="N2158" s="15"/>
      <c r="O2158" s="15"/>
      <c r="P2158" s="15"/>
      <c r="Q2158" s="15"/>
      <c r="R2158" s="15"/>
    </row>
    <row r="2159" spans="2:18" ht="13">
      <c r="B2159" s="33"/>
      <c r="C2159" s="34"/>
      <c r="D2159" s="68" t="s">
        <v>17</v>
      </c>
      <c r="E2159" s="69" t="s">
        <v>27</v>
      </c>
      <c r="F2159" s="20" t="s">
        <v>533</v>
      </c>
      <c r="G2159" s="15"/>
      <c r="H2159" s="15"/>
      <c r="I2159" s="15"/>
      <c r="J2159" s="15"/>
      <c r="K2159" s="15"/>
      <c r="L2159" s="15"/>
      <c r="M2159" s="15"/>
      <c r="N2159" s="15"/>
      <c r="O2159" s="15"/>
      <c r="P2159" s="15"/>
      <c r="Q2159" s="15"/>
      <c r="R2159" s="15"/>
    </row>
    <row r="2160" spans="2:18" ht="13">
      <c r="B2160" s="33"/>
      <c r="C2160" s="34"/>
      <c r="D2160" s="68" t="s">
        <v>595</v>
      </c>
      <c r="E2160" s="69" t="s">
        <v>121</v>
      </c>
      <c r="F2160" s="20" t="s">
        <v>533</v>
      </c>
      <c r="G2160" s="15"/>
      <c r="H2160" s="15"/>
      <c r="I2160" s="15"/>
      <c r="J2160" s="15"/>
      <c r="K2160" s="15"/>
      <c r="L2160" s="15"/>
      <c r="M2160" s="15"/>
      <c r="N2160" s="15"/>
      <c r="O2160" s="15"/>
      <c r="P2160" s="15"/>
      <c r="Q2160" s="15"/>
      <c r="R2160" s="15"/>
    </row>
    <row r="2161" spans="2:18" ht="13">
      <c r="B2161" s="33"/>
      <c r="C2161" s="34"/>
      <c r="D2161" s="68" t="s">
        <v>26</v>
      </c>
      <c r="E2161" s="69" t="s">
        <v>27</v>
      </c>
      <c r="F2161" s="20" t="s">
        <v>533</v>
      </c>
      <c r="G2161" s="15"/>
      <c r="H2161" s="15"/>
      <c r="I2161" s="15"/>
      <c r="J2161" s="15"/>
      <c r="K2161" s="15"/>
      <c r="L2161" s="15"/>
      <c r="M2161" s="15"/>
      <c r="N2161" s="15"/>
      <c r="O2161" s="15"/>
      <c r="P2161" s="15"/>
      <c r="Q2161" s="15"/>
      <c r="R2161" s="15"/>
    </row>
    <row r="2162" spans="2:18" ht="13">
      <c r="B2162" s="33"/>
      <c r="C2162" s="34"/>
      <c r="D2162" s="68" t="s">
        <v>556</v>
      </c>
      <c r="E2162" s="69" t="s">
        <v>37</v>
      </c>
      <c r="F2162" s="20" t="s">
        <v>533</v>
      </c>
      <c r="G2162" s="15"/>
      <c r="H2162" s="15"/>
      <c r="I2162" s="15"/>
      <c r="J2162" s="15"/>
      <c r="K2162" s="15"/>
      <c r="L2162" s="15"/>
      <c r="M2162" s="15"/>
      <c r="N2162" s="15"/>
      <c r="O2162" s="15"/>
      <c r="P2162" s="15"/>
      <c r="Q2162" s="15"/>
      <c r="R2162" s="15"/>
    </row>
    <row r="2163" spans="2:18" ht="13">
      <c r="B2163" s="33"/>
      <c r="C2163" s="34"/>
      <c r="D2163" s="68" t="s">
        <v>17</v>
      </c>
      <c r="E2163" s="69" t="s">
        <v>27</v>
      </c>
      <c r="F2163" s="20" t="s">
        <v>533</v>
      </c>
      <c r="G2163" s="15"/>
      <c r="H2163" s="15"/>
      <c r="I2163" s="15"/>
      <c r="J2163" s="15"/>
      <c r="K2163" s="15"/>
      <c r="L2163" s="15"/>
      <c r="M2163" s="15"/>
      <c r="N2163" s="15"/>
      <c r="O2163" s="15"/>
      <c r="P2163" s="15"/>
      <c r="Q2163" s="15"/>
      <c r="R2163" s="15"/>
    </row>
    <row r="2164" spans="2:18" ht="13">
      <c r="B2164" s="33"/>
      <c r="C2164" s="34"/>
      <c r="D2164" s="68" t="s">
        <v>17</v>
      </c>
      <c r="E2164" s="69" t="s">
        <v>27</v>
      </c>
      <c r="F2164" s="20" t="s">
        <v>533</v>
      </c>
      <c r="G2164" s="15"/>
      <c r="H2164" s="15"/>
      <c r="I2164" s="15"/>
      <c r="J2164" s="15"/>
      <c r="K2164" s="15"/>
      <c r="L2164" s="15"/>
      <c r="M2164" s="15"/>
      <c r="N2164" s="15"/>
      <c r="O2164" s="15"/>
      <c r="P2164" s="15"/>
      <c r="Q2164" s="15"/>
      <c r="R2164" s="15"/>
    </row>
    <row r="2165" spans="2:18" ht="13">
      <c r="B2165" s="33"/>
      <c r="C2165" s="34"/>
      <c r="D2165" s="68" t="s">
        <v>36</v>
      </c>
      <c r="E2165" s="69" t="s">
        <v>37</v>
      </c>
      <c r="F2165" s="20" t="s">
        <v>533</v>
      </c>
      <c r="G2165" s="15"/>
      <c r="H2165" s="15"/>
      <c r="I2165" s="15"/>
      <c r="J2165" s="15"/>
      <c r="K2165" s="15"/>
      <c r="L2165" s="15"/>
      <c r="M2165" s="15"/>
      <c r="N2165" s="15"/>
      <c r="O2165" s="15"/>
      <c r="P2165" s="15"/>
      <c r="Q2165" s="15"/>
      <c r="R2165" s="15"/>
    </row>
    <row r="2166" spans="2:18" ht="13">
      <c r="B2166" s="33"/>
      <c r="C2166" s="34"/>
      <c r="D2166" s="68" t="s">
        <v>17</v>
      </c>
      <c r="E2166" s="69" t="s">
        <v>27</v>
      </c>
      <c r="F2166" s="20" t="s">
        <v>533</v>
      </c>
      <c r="G2166" s="15"/>
      <c r="H2166" s="15"/>
      <c r="I2166" s="15"/>
      <c r="J2166" s="15"/>
      <c r="K2166" s="15"/>
      <c r="L2166" s="15"/>
      <c r="M2166" s="15"/>
      <c r="N2166" s="15"/>
      <c r="O2166" s="15"/>
      <c r="P2166" s="15"/>
      <c r="Q2166" s="15"/>
      <c r="R2166" s="15"/>
    </row>
    <row r="2167" spans="2:18" ht="13">
      <c r="B2167" s="33"/>
      <c r="C2167" s="34"/>
      <c r="D2167" s="68" t="s">
        <v>17</v>
      </c>
      <c r="E2167" s="69" t="s">
        <v>27</v>
      </c>
      <c r="F2167" s="20" t="s">
        <v>533</v>
      </c>
      <c r="G2167" s="15"/>
      <c r="H2167" s="15"/>
      <c r="I2167" s="15"/>
      <c r="J2167" s="15"/>
      <c r="K2167" s="15"/>
      <c r="L2167" s="15"/>
      <c r="M2167" s="15"/>
      <c r="N2167" s="15"/>
      <c r="O2167" s="15"/>
      <c r="P2167" s="15"/>
      <c r="Q2167" s="15"/>
      <c r="R2167" s="15"/>
    </row>
    <row r="2168" spans="2:18" ht="13">
      <c r="B2168" s="33"/>
      <c r="C2168" s="34"/>
      <c r="D2168" s="68" t="s">
        <v>17</v>
      </c>
      <c r="E2168" s="69" t="s">
        <v>27</v>
      </c>
      <c r="F2168" s="20" t="s">
        <v>533</v>
      </c>
      <c r="G2168" s="15"/>
      <c r="H2168" s="15"/>
      <c r="I2168" s="15"/>
      <c r="J2168" s="15"/>
      <c r="K2168" s="15"/>
      <c r="L2168" s="15"/>
      <c r="M2168" s="15"/>
      <c r="N2168" s="15"/>
      <c r="O2168" s="15"/>
      <c r="P2168" s="15"/>
      <c r="Q2168" s="15"/>
      <c r="R2168" s="15"/>
    </row>
    <row r="2169" spans="2:18" ht="13">
      <c r="B2169" s="33"/>
      <c r="C2169" s="34"/>
      <c r="D2169" s="68" t="s">
        <v>26</v>
      </c>
      <c r="E2169" s="69" t="s">
        <v>27</v>
      </c>
      <c r="F2169" s="20" t="s">
        <v>533</v>
      </c>
      <c r="G2169" s="15"/>
      <c r="H2169" s="15"/>
      <c r="I2169" s="15"/>
      <c r="J2169" s="15"/>
      <c r="K2169" s="15"/>
      <c r="L2169" s="15"/>
      <c r="M2169" s="15"/>
      <c r="N2169" s="15"/>
      <c r="O2169" s="15"/>
      <c r="P2169" s="15"/>
      <c r="Q2169" s="15"/>
      <c r="R2169" s="15"/>
    </row>
    <row r="2170" spans="2:18" ht="13">
      <c r="B2170" s="33"/>
      <c r="C2170" s="34"/>
      <c r="D2170" s="68" t="s">
        <v>17</v>
      </c>
      <c r="E2170" s="69" t="s">
        <v>27</v>
      </c>
      <c r="F2170" s="20" t="s">
        <v>533</v>
      </c>
      <c r="G2170" s="15"/>
      <c r="H2170" s="15"/>
      <c r="I2170" s="15"/>
      <c r="J2170" s="15"/>
      <c r="K2170" s="15"/>
      <c r="L2170" s="15"/>
      <c r="M2170" s="15"/>
      <c r="N2170" s="15"/>
      <c r="O2170" s="15"/>
      <c r="P2170" s="15"/>
      <c r="Q2170" s="15"/>
      <c r="R2170" s="15"/>
    </row>
    <row r="2171" spans="2:18" ht="13">
      <c r="B2171" s="33"/>
      <c r="C2171" s="34"/>
      <c r="D2171" s="68" t="s">
        <v>17</v>
      </c>
      <c r="E2171" s="69" t="s">
        <v>27</v>
      </c>
      <c r="F2171" s="20" t="s">
        <v>533</v>
      </c>
      <c r="G2171" s="15"/>
      <c r="H2171" s="15"/>
      <c r="I2171" s="15"/>
      <c r="J2171" s="15"/>
      <c r="K2171" s="15"/>
      <c r="L2171" s="15"/>
      <c r="M2171" s="15"/>
      <c r="N2171" s="15"/>
      <c r="O2171" s="15"/>
      <c r="P2171" s="15"/>
      <c r="Q2171" s="15"/>
      <c r="R2171" s="15"/>
    </row>
    <row r="2172" spans="2:18" ht="13">
      <c r="B2172" s="33"/>
      <c r="C2172" s="34"/>
      <c r="D2172" s="68" t="s">
        <v>577</v>
      </c>
      <c r="E2172" s="69" t="s">
        <v>124</v>
      </c>
      <c r="F2172" s="20" t="s">
        <v>533</v>
      </c>
      <c r="G2172" s="15"/>
      <c r="H2172" s="15"/>
      <c r="I2172" s="15"/>
      <c r="J2172" s="15"/>
      <c r="K2172" s="15"/>
      <c r="L2172" s="15"/>
      <c r="M2172" s="15"/>
      <c r="N2172" s="15"/>
      <c r="O2172" s="15"/>
      <c r="P2172" s="15"/>
      <c r="Q2172" s="15"/>
      <c r="R2172" s="15"/>
    </row>
    <row r="2173" spans="2:18" ht="13">
      <c r="B2173" s="33"/>
      <c r="C2173" s="34"/>
      <c r="D2173" s="68" t="s">
        <v>26</v>
      </c>
      <c r="E2173" s="69" t="s">
        <v>27</v>
      </c>
      <c r="F2173" s="20" t="s">
        <v>533</v>
      </c>
      <c r="G2173" s="15"/>
      <c r="H2173" s="15"/>
      <c r="I2173" s="15"/>
      <c r="J2173" s="15"/>
      <c r="K2173" s="15"/>
      <c r="L2173" s="15"/>
      <c r="M2173" s="15"/>
      <c r="N2173" s="15"/>
      <c r="O2173" s="15"/>
      <c r="P2173" s="15"/>
      <c r="Q2173" s="15"/>
      <c r="R2173" s="15"/>
    </row>
    <row r="2174" spans="2:18" ht="13">
      <c r="B2174" s="33"/>
      <c r="C2174" s="34"/>
      <c r="D2174" s="68" t="s">
        <v>17</v>
      </c>
      <c r="E2174" s="69" t="s">
        <v>27</v>
      </c>
      <c r="F2174" s="20" t="s">
        <v>533</v>
      </c>
      <c r="G2174" s="15"/>
      <c r="H2174" s="15"/>
      <c r="I2174" s="15"/>
      <c r="J2174" s="15"/>
      <c r="K2174" s="15"/>
      <c r="L2174" s="15"/>
      <c r="M2174" s="15"/>
      <c r="N2174" s="15"/>
      <c r="O2174" s="15"/>
      <c r="P2174" s="15"/>
      <c r="Q2174" s="15"/>
      <c r="R2174" s="15"/>
    </row>
    <row r="2175" spans="2:18" ht="13">
      <c r="B2175" s="33"/>
      <c r="C2175" s="34"/>
      <c r="D2175" s="68" t="s">
        <v>17</v>
      </c>
      <c r="E2175" s="69" t="s">
        <v>27</v>
      </c>
      <c r="F2175" s="20" t="s">
        <v>533</v>
      </c>
      <c r="G2175" s="15"/>
      <c r="H2175" s="15"/>
      <c r="I2175" s="15"/>
      <c r="J2175" s="15"/>
      <c r="K2175" s="15"/>
      <c r="L2175" s="15"/>
      <c r="M2175" s="15"/>
      <c r="N2175" s="15"/>
      <c r="O2175" s="15"/>
      <c r="P2175" s="15"/>
      <c r="Q2175" s="15"/>
      <c r="R2175" s="15"/>
    </row>
    <row r="2176" spans="2:18" ht="13">
      <c r="B2176" s="33"/>
      <c r="C2176" s="34"/>
      <c r="D2176" s="68" t="s">
        <v>17</v>
      </c>
      <c r="E2176" s="69" t="s">
        <v>27</v>
      </c>
      <c r="F2176" s="20" t="s">
        <v>533</v>
      </c>
      <c r="G2176" s="15"/>
      <c r="H2176" s="15"/>
      <c r="I2176" s="15"/>
      <c r="J2176" s="15"/>
      <c r="K2176" s="15"/>
      <c r="L2176" s="15"/>
      <c r="M2176" s="15"/>
      <c r="N2176" s="15"/>
      <c r="O2176" s="15"/>
      <c r="P2176" s="15"/>
      <c r="Q2176" s="15"/>
      <c r="R2176" s="15"/>
    </row>
    <row r="2177" spans="2:18" ht="13">
      <c r="B2177" s="33"/>
      <c r="C2177" s="34"/>
      <c r="D2177" s="68" t="s">
        <v>174</v>
      </c>
      <c r="E2177" s="69" t="s">
        <v>175</v>
      </c>
      <c r="F2177" s="20" t="s">
        <v>533</v>
      </c>
      <c r="G2177" s="15"/>
      <c r="H2177" s="15"/>
      <c r="I2177" s="15"/>
      <c r="J2177" s="15"/>
      <c r="K2177" s="15"/>
      <c r="L2177" s="15"/>
      <c r="M2177" s="15"/>
      <c r="N2177" s="15"/>
      <c r="O2177" s="15"/>
      <c r="P2177" s="15"/>
      <c r="Q2177" s="15"/>
      <c r="R2177" s="15"/>
    </row>
    <row r="2178" spans="2:18" ht="13">
      <c r="B2178" s="33"/>
      <c r="C2178" s="34"/>
      <c r="D2178" s="68" t="s">
        <v>17</v>
      </c>
      <c r="E2178" s="69" t="s">
        <v>27</v>
      </c>
      <c r="F2178" s="20" t="s">
        <v>533</v>
      </c>
      <c r="G2178" s="15"/>
      <c r="H2178" s="15"/>
      <c r="I2178" s="15"/>
      <c r="J2178" s="15"/>
      <c r="K2178" s="15"/>
      <c r="L2178" s="15"/>
      <c r="M2178" s="15"/>
      <c r="N2178" s="15"/>
      <c r="O2178" s="15"/>
      <c r="P2178" s="15"/>
      <c r="Q2178" s="15"/>
      <c r="R2178" s="15"/>
    </row>
    <row r="2179" spans="2:18" ht="13">
      <c r="B2179" s="33"/>
      <c r="C2179" s="34"/>
      <c r="D2179" s="68" t="s">
        <v>17</v>
      </c>
      <c r="E2179" s="69" t="s">
        <v>27</v>
      </c>
      <c r="F2179" s="20" t="s">
        <v>533</v>
      </c>
      <c r="G2179" s="15"/>
      <c r="H2179" s="15"/>
      <c r="I2179" s="15"/>
      <c r="J2179" s="15"/>
      <c r="K2179" s="15"/>
      <c r="L2179" s="15"/>
      <c r="M2179" s="15"/>
      <c r="N2179" s="15"/>
      <c r="O2179" s="15"/>
      <c r="P2179" s="15"/>
      <c r="Q2179" s="15"/>
      <c r="R2179" s="15"/>
    </row>
    <row r="2180" spans="2:18" ht="13">
      <c r="B2180" s="33"/>
      <c r="C2180" s="34"/>
      <c r="D2180" s="68" t="s">
        <v>17</v>
      </c>
      <c r="E2180" s="69" t="s">
        <v>27</v>
      </c>
      <c r="F2180" s="20" t="s">
        <v>533</v>
      </c>
      <c r="G2180" s="15"/>
      <c r="H2180" s="15"/>
      <c r="I2180" s="15"/>
      <c r="J2180" s="15"/>
      <c r="K2180" s="15"/>
      <c r="L2180" s="15"/>
      <c r="M2180" s="15"/>
      <c r="N2180" s="15"/>
      <c r="O2180" s="15"/>
      <c r="P2180" s="15"/>
      <c r="Q2180" s="15"/>
      <c r="R2180" s="15"/>
    </row>
    <row r="2181" spans="2:18" ht="13">
      <c r="B2181" s="33"/>
      <c r="C2181" s="34"/>
      <c r="D2181" s="68" t="s">
        <v>17</v>
      </c>
      <c r="E2181" s="69" t="s">
        <v>27</v>
      </c>
      <c r="F2181" s="20" t="s">
        <v>533</v>
      </c>
      <c r="G2181" s="15"/>
      <c r="H2181" s="15"/>
      <c r="I2181" s="15"/>
      <c r="J2181" s="15"/>
      <c r="K2181" s="15"/>
      <c r="L2181" s="15"/>
      <c r="M2181" s="15"/>
      <c r="N2181" s="15"/>
      <c r="O2181" s="15"/>
      <c r="P2181" s="15"/>
      <c r="Q2181" s="15"/>
      <c r="R2181" s="15"/>
    </row>
    <row r="2182" spans="2:18" ht="13">
      <c r="B2182" s="33"/>
      <c r="C2182" s="34"/>
      <c r="D2182" s="68" t="s">
        <v>595</v>
      </c>
      <c r="E2182" s="69" t="s">
        <v>124</v>
      </c>
      <c r="F2182" s="20" t="s">
        <v>533</v>
      </c>
      <c r="G2182" s="15"/>
      <c r="H2182" s="15"/>
      <c r="I2182" s="15"/>
      <c r="J2182" s="15"/>
      <c r="K2182" s="15"/>
      <c r="L2182" s="15"/>
      <c r="M2182" s="15"/>
      <c r="N2182" s="15"/>
      <c r="O2182" s="15"/>
      <c r="P2182" s="15"/>
      <c r="Q2182" s="15"/>
      <c r="R2182" s="15"/>
    </row>
    <row r="2183" spans="2:18" ht="13">
      <c r="B2183" s="33"/>
      <c r="C2183" s="34"/>
      <c r="D2183" s="68" t="s">
        <v>17</v>
      </c>
      <c r="E2183" s="69" t="s">
        <v>27</v>
      </c>
      <c r="F2183" s="20" t="s">
        <v>533</v>
      </c>
      <c r="G2183" s="15"/>
      <c r="H2183" s="15"/>
      <c r="I2183" s="15"/>
      <c r="J2183" s="15"/>
      <c r="K2183" s="15"/>
      <c r="L2183" s="15"/>
      <c r="M2183" s="15"/>
      <c r="N2183" s="15"/>
      <c r="O2183" s="15"/>
      <c r="P2183" s="15"/>
      <c r="Q2183" s="15"/>
      <c r="R2183" s="15"/>
    </row>
    <row r="2184" spans="2:18" ht="13">
      <c r="B2184" s="33"/>
      <c r="C2184" s="34"/>
      <c r="D2184" s="68" t="s">
        <v>17</v>
      </c>
      <c r="E2184" s="69" t="s">
        <v>27</v>
      </c>
      <c r="F2184" s="20" t="s">
        <v>533</v>
      </c>
      <c r="G2184" s="15"/>
      <c r="H2184" s="15"/>
      <c r="I2184" s="15"/>
      <c r="J2184" s="15"/>
      <c r="K2184" s="15"/>
      <c r="L2184" s="15"/>
      <c r="M2184" s="15"/>
      <c r="N2184" s="15"/>
      <c r="O2184" s="15"/>
      <c r="P2184" s="15"/>
      <c r="Q2184" s="15"/>
      <c r="R2184" s="15"/>
    </row>
    <row r="2185" spans="2:18" ht="13">
      <c r="B2185" s="33"/>
      <c r="C2185" s="34"/>
      <c r="D2185" s="68" t="s">
        <v>17</v>
      </c>
      <c r="E2185" s="69" t="s">
        <v>27</v>
      </c>
      <c r="F2185" s="20" t="s">
        <v>533</v>
      </c>
      <c r="G2185" s="15"/>
      <c r="H2185" s="15"/>
      <c r="I2185" s="15"/>
      <c r="J2185" s="15"/>
      <c r="K2185" s="15"/>
      <c r="L2185" s="15"/>
      <c r="M2185" s="15"/>
      <c r="N2185" s="15"/>
      <c r="O2185" s="15"/>
      <c r="P2185" s="15"/>
      <c r="Q2185" s="15"/>
      <c r="R2185" s="15"/>
    </row>
    <row r="2186" spans="2:18" ht="13">
      <c r="B2186" s="33"/>
      <c r="C2186" s="34"/>
      <c r="D2186" s="68" t="s">
        <v>17</v>
      </c>
      <c r="E2186" s="69" t="s">
        <v>27</v>
      </c>
      <c r="F2186" s="20" t="s">
        <v>533</v>
      </c>
      <c r="G2186" s="15"/>
      <c r="H2186" s="15"/>
      <c r="I2186" s="15"/>
      <c r="J2186" s="15"/>
      <c r="K2186" s="15"/>
      <c r="L2186" s="15"/>
      <c r="M2186" s="15"/>
      <c r="N2186" s="15"/>
      <c r="O2186" s="15"/>
      <c r="P2186" s="15"/>
      <c r="Q2186" s="15"/>
      <c r="R2186" s="15"/>
    </row>
    <row r="2187" spans="2:18" ht="13">
      <c r="B2187" s="33"/>
      <c r="C2187" s="34"/>
      <c r="D2187" s="68" t="s">
        <v>17</v>
      </c>
      <c r="E2187" s="69" t="s">
        <v>27</v>
      </c>
      <c r="F2187" s="20" t="s">
        <v>533</v>
      </c>
      <c r="G2187" s="15"/>
      <c r="H2187" s="15"/>
      <c r="I2187" s="15"/>
      <c r="J2187" s="15"/>
      <c r="K2187" s="15"/>
      <c r="L2187" s="15"/>
      <c r="M2187" s="15"/>
      <c r="N2187" s="15"/>
      <c r="O2187" s="15"/>
      <c r="P2187" s="15"/>
      <c r="Q2187" s="15"/>
      <c r="R2187" s="15"/>
    </row>
    <row r="2188" spans="2:18" ht="13">
      <c r="B2188" s="33"/>
      <c r="C2188" s="34"/>
      <c r="D2188" s="68" t="s">
        <v>17</v>
      </c>
      <c r="E2188" s="69" t="s">
        <v>27</v>
      </c>
      <c r="F2188" s="20" t="s">
        <v>533</v>
      </c>
      <c r="G2188" s="15"/>
      <c r="H2188" s="15"/>
      <c r="I2188" s="15"/>
      <c r="J2188" s="15"/>
      <c r="K2188" s="15"/>
      <c r="L2188" s="15"/>
      <c r="M2188" s="15"/>
      <c r="N2188" s="15"/>
      <c r="O2188" s="15"/>
      <c r="P2188" s="15"/>
      <c r="Q2188" s="15"/>
      <c r="R2188" s="15"/>
    </row>
    <row r="2189" spans="2:18" ht="13">
      <c r="B2189" s="33"/>
      <c r="C2189" s="34"/>
      <c r="D2189" s="68" t="s">
        <v>17</v>
      </c>
      <c r="E2189" s="69" t="s">
        <v>27</v>
      </c>
      <c r="F2189" s="20" t="s">
        <v>533</v>
      </c>
      <c r="G2189" s="15"/>
      <c r="H2189" s="15"/>
      <c r="I2189" s="15"/>
      <c r="J2189" s="15"/>
      <c r="K2189" s="15"/>
      <c r="L2189" s="15"/>
      <c r="M2189" s="15"/>
      <c r="N2189" s="15"/>
      <c r="O2189" s="15"/>
      <c r="P2189" s="15"/>
      <c r="Q2189" s="15"/>
      <c r="R2189" s="15"/>
    </row>
    <row r="2190" spans="2:18" ht="13">
      <c r="B2190" s="33"/>
      <c r="C2190" s="34"/>
      <c r="D2190" s="68" t="s">
        <v>17</v>
      </c>
      <c r="E2190" s="69" t="s">
        <v>27</v>
      </c>
      <c r="F2190" s="20" t="s">
        <v>533</v>
      </c>
      <c r="G2190" s="15"/>
      <c r="H2190" s="15"/>
      <c r="I2190" s="15"/>
      <c r="J2190" s="15"/>
      <c r="K2190" s="15"/>
      <c r="L2190" s="15"/>
      <c r="M2190" s="15"/>
      <c r="N2190" s="15"/>
      <c r="O2190" s="15"/>
      <c r="P2190" s="15"/>
      <c r="Q2190" s="15"/>
      <c r="R2190" s="15"/>
    </row>
    <row r="2191" spans="2:18" ht="13">
      <c r="B2191" s="33"/>
      <c r="C2191" s="34"/>
      <c r="D2191" s="68" t="s">
        <v>36</v>
      </c>
      <c r="E2191" s="69" t="s">
        <v>37</v>
      </c>
      <c r="F2191" s="20" t="s">
        <v>533</v>
      </c>
      <c r="G2191" s="15"/>
      <c r="H2191" s="15"/>
      <c r="I2191" s="15"/>
      <c r="J2191" s="15"/>
      <c r="K2191" s="15"/>
      <c r="L2191" s="15"/>
      <c r="M2191" s="15"/>
      <c r="N2191" s="15"/>
      <c r="O2191" s="15"/>
      <c r="P2191" s="15"/>
      <c r="Q2191" s="15"/>
      <c r="R2191" s="15"/>
    </row>
    <row r="2192" spans="2:18" ht="13">
      <c r="B2192" s="33"/>
      <c r="C2192" s="34"/>
      <c r="D2192" s="68" t="s">
        <v>17</v>
      </c>
      <c r="E2192" s="69" t="s">
        <v>27</v>
      </c>
      <c r="F2192" s="20" t="s">
        <v>533</v>
      </c>
      <c r="G2192" s="15"/>
      <c r="H2192" s="15"/>
      <c r="I2192" s="15"/>
      <c r="J2192" s="15"/>
      <c r="K2192" s="15"/>
      <c r="L2192" s="15"/>
      <c r="M2192" s="15"/>
      <c r="N2192" s="15"/>
      <c r="O2192" s="15"/>
      <c r="P2192" s="15"/>
      <c r="Q2192" s="15"/>
      <c r="R2192" s="15"/>
    </row>
    <row r="2193" spans="2:18" ht="13">
      <c r="B2193" s="33"/>
      <c r="C2193" s="34"/>
      <c r="D2193" s="68" t="s">
        <v>17</v>
      </c>
      <c r="E2193" s="69" t="s">
        <v>27</v>
      </c>
      <c r="F2193" s="20" t="s">
        <v>533</v>
      </c>
      <c r="G2193" s="15"/>
      <c r="H2193" s="15"/>
      <c r="I2193" s="15"/>
      <c r="J2193" s="15"/>
      <c r="K2193" s="15"/>
      <c r="L2193" s="15"/>
      <c r="M2193" s="15"/>
      <c r="N2193" s="15"/>
      <c r="O2193" s="15"/>
      <c r="P2193" s="15"/>
      <c r="Q2193" s="15"/>
      <c r="R2193" s="15"/>
    </row>
    <row r="2194" spans="2:18" ht="13">
      <c r="B2194" s="33"/>
      <c r="C2194" s="34"/>
      <c r="D2194" s="68" t="s">
        <v>566</v>
      </c>
      <c r="E2194" s="69" t="s">
        <v>32</v>
      </c>
      <c r="F2194" s="20" t="s">
        <v>533</v>
      </c>
      <c r="G2194" s="15"/>
      <c r="H2194" s="15"/>
      <c r="I2194" s="15"/>
      <c r="J2194" s="15"/>
      <c r="K2194" s="15"/>
      <c r="L2194" s="15"/>
      <c r="M2194" s="15"/>
      <c r="N2194" s="15"/>
      <c r="O2194" s="15"/>
      <c r="P2194" s="15"/>
      <c r="Q2194" s="15"/>
      <c r="R2194" s="15"/>
    </row>
    <row r="2195" spans="2:18" ht="13">
      <c r="B2195" s="33"/>
      <c r="C2195" s="34"/>
      <c r="D2195" s="68" t="s">
        <v>26</v>
      </c>
      <c r="E2195" s="69" t="s">
        <v>27</v>
      </c>
      <c r="F2195" s="20" t="s">
        <v>533</v>
      </c>
      <c r="G2195" s="15"/>
      <c r="H2195" s="15"/>
      <c r="I2195" s="15"/>
      <c r="J2195" s="15"/>
      <c r="K2195" s="15"/>
      <c r="L2195" s="15"/>
      <c r="M2195" s="15"/>
      <c r="N2195" s="15"/>
      <c r="O2195" s="15"/>
      <c r="P2195" s="15"/>
      <c r="Q2195" s="15"/>
      <c r="R2195" s="15"/>
    </row>
    <row r="2196" spans="2:18" ht="13">
      <c r="B2196" s="33"/>
      <c r="C2196" s="34"/>
      <c r="D2196" s="68" t="s">
        <v>86</v>
      </c>
      <c r="E2196" s="69" t="s">
        <v>121</v>
      </c>
      <c r="F2196" s="20" t="s">
        <v>533</v>
      </c>
      <c r="G2196" s="15"/>
      <c r="H2196" s="15"/>
      <c r="I2196" s="15"/>
      <c r="J2196" s="15"/>
      <c r="K2196" s="15"/>
      <c r="L2196" s="15"/>
      <c r="M2196" s="15"/>
      <c r="N2196" s="15"/>
      <c r="O2196" s="15"/>
      <c r="P2196" s="15"/>
      <c r="Q2196" s="15"/>
      <c r="R2196" s="15"/>
    </row>
    <row r="2197" spans="2:18" ht="13">
      <c r="B2197" s="33"/>
      <c r="C2197" s="34"/>
      <c r="D2197" s="68" t="s">
        <v>17</v>
      </c>
      <c r="E2197" s="69" t="s">
        <v>27</v>
      </c>
      <c r="F2197" s="20" t="s">
        <v>533</v>
      </c>
      <c r="G2197" s="15"/>
      <c r="H2197" s="15"/>
      <c r="I2197" s="15"/>
      <c r="J2197" s="15"/>
      <c r="K2197" s="15"/>
      <c r="L2197" s="15"/>
      <c r="M2197" s="15"/>
      <c r="N2197" s="15"/>
      <c r="O2197" s="15"/>
      <c r="P2197" s="15"/>
      <c r="Q2197" s="15"/>
      <c r="R2197" s="15"/>
    </row>
    <row r="2198" spans="2:18" ht="13">
      <c r="B2198" s="33"/>
      <c r="C2198" s="34"/>
      <c r="D2198" s="68" t="s">
        <v>17</v>
      </c>
      <c r="E2198" s="69" t="s">
        <v>27</v>
      </c>
      <c r="F2198" s="20" t="s">
        <v>533</v>
      </c>
      <c r="G2198" s="15"/>
      <c r="H2198" s="15"/>
      <c r="I2198" s="15"/>
      <c r="J2198" s="15"/>
      <c r="K2198" s="15"/>
      <c r="L2198" s="15"/>
      <c r="M2198" s="15"/>
      <c r="N2198" s="15"/>
      <c r="O2198" s="15"/>
      <c r="P2198" s="15"/>
      <c r="Q2198" s="15"/>
      <c r="R2198" s="15"/>
    </row>
    <row r="2199" spans="2:18" ht="13">
      <c r="B2199" s="33"/>
      <c r="C2199" s="34"/>
      <c r="D2199" s="68" t="s">
        <v>17</v>
      </c>
      <c r="E2199" s="69" t="s">
        <v>27</v>
      </c>
      <c r="F2199" s="20" t="s">
        <v>533</v>
      </c>
      <c r="G2199" s="15"/>
      <c r="H2199" s="15"/>
      <c r="I2199" s="15"/>
      <c r="J2199" s="15"/>
      <c r="K2199" s="15"/>
      <c r="L2199" s="15"/>
      <c r="M2199" s="15"/>
      <c r="N2199" s="15"/>
      <c r="O2199" s="15"/>
      <c r="P2199" s="15"/>
      <c r="Q2199" s="15"/>
      <c r="R2199" s="15"/>
    </row>
    <row r="2200" spans="2:18" ht="13">
      <c r="B2200" s="33"/>
      <c r="C2200" s="34"/>
      <c r="D2200" s="68" t="s">
        <v>86</v>
      </c>
      <c r="E2200" s="69" t="s">
        <v>124</v>
      </c>
      <c r="F2200" s="20" t="s">
        <v>533</v>
      </c>
      <c r="G2200" s="15"/>
      <c r="H2200" s="15"/>
      <c r="I2200" s="15"/>
      <c r="J2200" s="15"/>
      <c r="K2200" s="15"/>
      <c r="L2200" s="15"/>
      <c r="M2200" s="15"/>
      <c r="N2200" s="15"/>
      <c r="O2200" s="15"/>
      <c r="P2200" s="15"/>
      <c r="Q2200" s="15"/>
      <c r="R2200" s="15"/>
    </row>
    <row r="2201" spans="2:18" ht="13">
      <c r="B2201" s="33"/>
      <c r="C2201" s="34"/>
      <c r="D2201" s="68" t="s">
        <v>26</v>
      </c>
      <c r="E2201" s="69" t="s">
        <v>27</v>
      </c>
      <c r="F2201" s="20" t="s">
        <v>533</v>
      </c>
      <c r="G2201" s="15"/>
      <c r="H2201" s="15"/>
      <c r="I2201" s="15"/>
      <c r="J2201" s="15"/>
      <c r="K2201" s="15"/>
      <c r="L2201" s="15"/>
      <c r="M2201" s="15"/>
      <c r="N2201" s="15"/>
      <c r="O2201" s="15"/>
      <c r="P2201" s="15"/>
      <c r="Q2201" s="15"/>
      <c r="R2201" s="15"/>
    </row>
    <row r="2202" spans="2:18" ht="13">
      <c r="B2202" s="33"/>
      <c r="C2202" s="34"/>
      <c r="D2202" s="68" t="s">
        <v>26</v>
      </c>
      <c r="E2202" s="69" t="s">
        <v>27</v>
      </c>
      <c r="F2202" s="20" t="s">
        <v>533</v>
      </c>
      <c r="G2202" s="15"/>
      <c r="H2202" s="15"/>
      <c r="I2202" s="15"/>
      <c r="J2202" s="15"/>
      <c r="K2202" s="15"/>
      <c r="L2202" s="15"/>
      <c r="M2202" s="15"/>
      <c r="N2202" s="15"/>
      <c r="O2202" s="15"/>
      <c r="P2202" s="15"/>
      <c r="Q2202" s="15"/>
      <c r="R2202" s="15"/>
    </row>
    <row r="2203" spans="2:18" ht="13">
      <c r="B2203" s="33"/>
      <c r="C2203" s="34"/>
      <c r="D2203" s="68" t="s">
        <v>86</v>
      </c>
      <c r="E2203" s="69" t="s">
        <v>124</v>
      </c>
      <c r="F2203" s="20" t="s">
        <v>533</v>
      </c>
      <c r="G2203" s="15"/>
      <c r="H2203" s="15"/>
      <c r="I2203" s="15"/>
      <c r="J2203" s="15"/>
      <c r="K2203" s="15"/>
      <c r="L2203" s="15"/>
      <c r="M2203" s="15"/>
      <c r="N2203" s="15"/>
      <c r="O2203" s="15"/>
      <c r="P2203" s="15"/>
      <c r="Q2203" s="15"/>
      <c r="R2203" s="15"/>
    </row>
    <row r="2204" spans="2:18" ht="13">
      <c r="B2204" s="33"/>
      <c r="C2204" s="34"/>
      <c r="D2204" s="68" t="s">
        <v>584</v>
      </c>
      <c r="E2204" s="69" t="s">
        <v>32</v>
      </c>
      <c r="F2204" s="20" t="s">
        <v>533</v>
      </c>
      <c r="G2204" s="15"/>
      <c r="H2204" s="15"/>
      <c r="I2204" s="15"/>
      <c r="J2204" s="15"/>
      <c r="K2204" s="15"/>
      <c r="L2204" s="15"/>
      <c r="M2204" s="15"/>
      <c r="N2204" s="15"/>
      <c r="O2204" s="15"/>
      <c r="P2204" s="15"/>
      <c r="Q2204" s="15"/>
      <c r="R2204" s="15"/>
    </row>
    <row r="2205" spans="2:18" ht="13">
      <c r="B2205" s="33"/>
      <c r="C2205" s="34"/>
      <c r="D2205" s="68" t="s">
        <v>17</v>
      </c>
      <c r="E2205" s="69" t="s">
        <v>27</v>
      </c>
      <c r="F2205" s="20" t="s">
        <v>533</v>
      </c>
      <c r="G2205" s="15"/>
      <c r="H2205" s="15"/>
      <c r="I2205" s="15"/>
      <c r="J2205" s="15"/>
      <c r="K2205" s="15"/>
      <c r="L2205" s="15"/>
      <c r="M2205" s="15"/>
      <c r="N2205" s="15"/>
      <c r="O2205" s="15"/>
      <c r="P2205" s="15"/>
      <c r="Q2205" s="15"/>
      <c r="R2205" s="15"/>
    </row>
    <row r="2206" spans="2:18" ht="13">
      <c r="B2206" s="33"/>
      <c r="C2206" s="34"/>
      <c r="D2206" s="68" t="s">
        <v>17</v>
      </c>
      <c r="E2206" s="69" t="s">
        <v>116</v>
      </c>
      <c r="F2206" s="20" t="s">
        <v>533</v>
      </c>
      <c r="G2206" s="15"/>
      <c r="H2206" s="15"/>
      <c r="I2206" s="15"/>
      <c r="J2206" s="15"/>
      <c r="K2206" s="15"/>
      <c r="L2206" s="15"/>
      <c r="M2206" s="15"/>
      <c r="N2206" s="15"/>
      <c r="O2206" s="15"/>
      <c r="P2206" s="15"/>
      <c r="Q2206" s="15"/>
      <c r="R2206" s="15"/>
    </row>
    <row r="2207" spans="2:18" ht="13">
      <c r="B2207" s="33"/>
      <c r="C2207" s="34"/>
      <c r="D2207" s="68" t="s">
        <v>17</v>
      </c>
      <c r="E2207" s="69" t="s">
        <v>27</v>
      </c>
      <c r="F2207" s="20" t="s">
        <v>533</v>
      </c>
      <c r="G2207" s="15"/>
      <c r="H2207" s="15"/>
      <c r="I2207" s="15"/>
      <c r="J2207" s="15"/>
      <c r="K2207" s="15"/>
      <c r="L2207" s="15"/>
      <c r="M2207" s="15"/>
      <c r="N2207" s="15"/>
      <c r="O2207" s="15"/>
      <c r="P2207" s="15"/>
      <c r="Q2207" s="15"/>
      <c r="R2207" s="15"/>
    </row>
    <row r="2208" spans="2:18" ht="13">
      <c r="B2208" s="33"/>
      <c r="C2208" s="34"/>
      <c r="D2208" s="68" t="s">
        <v>658</v>
      </c>
      <c r="E2208" s="69" t="s">
        <v>121</v>
      </c>
      <c r="F2208" s="20" t="s">
        <v>533</v>
      </c>
      <c r="G2208" s="15"/>
      <c r="H2208" s="15"/>
      <c r="I2208" s="15"/>
      <c r="J2208" s="15"/>
      <c r="K2208" s="15"/>
      <c r="L2208" s="15"/>
      <c r="M2208" s="15"/>
      <c r="N2208" s="15"/>
      <c r="O2208" s="15"/>
      <c r="P2208" s="15"/>
      <c r="Q2208" s="15"/>
      <c r="R2208" s="15"/>
    </row>
    <row r="2209" spans="2:18" ht="13">
      <c r="B2209" s="33"/>
      <c r="C2209" s="34"/>
      <c r="D2209" s="68" t="s">
        <v>262</v>
      </c>
      <c r="E2209" s="69" t="s">
        <v>175</v>
      </c>
      <c r="F2209" s="20" t="s">
        <v>533</v>
      </c>
      <c r="G2209" s="15"/>
      <c r="H2209" s="15"/>
      <c r="I2209" s="15"/>
      <c r="J2209" s="15"/>
      <c r="K2209" s="15"/>
      <c r="L2209" s="15"/>
      <c r="M2209" s="15"/>
      <c r="N2209" s="15"/>
      <c r="O2209" s="15"/>
      <c r="P2209" s="15"/>
      <c r="Q2209" s="15"/>
      <c r="R2209" s="15"/>
    </row>
    <row r="2210" spans="2:18" ht="13">
      <c r="B2210" s="33"/>
      <c r="C2210" s="34"/>
      <c r="D2210" s="68" t="s">
        <v>17</v>
      </c>
      <c r="E2210" s="69" t="s">
        <v>628</v>
      </c>
      <c r="F2210" s="20" t="s">
        <v>533</v>
      </c>
      <c r="G2210" s="15"/>
      <c r="H2210" s="15"/>
      <c r="I2210" s="15"/>
      <c r="J2210" s="15"/>
      <c r="K2210" s="15"/>
      <c r="L2210" s="15"/>
      <c r="M2210" s="15"/>
      <c r="N2210" s="15"/>
      <c r="O2210" s="15"/>
      <c r="P2210" s="15"/>
      <c r="Q2210" s="15"/>
      <c r="R2210" s="15"/>
    </row>
    <row r="2211" spans="2:18" ht="13">
      <c r="B2211" s="33"/>
      <c r="C2211" s="34"/>
      <c r="D2211" s="68" t="s">
        <v>26</v>
      </c>
      <c r="E2211" s="69" t="s">
        <v>27</v>
      </c>
      <c r="F2211" s="20" t="s">
        <v>533</v>
      </c>
      <c r="G2211" s="15"/>
      <c r="H2211" s="15"/>
      <c r="I2211" s="15"/>
      <c r="J2211" s="15"/>
      <c r="K2211" s="15"/>
      <c r="L2211" s="15"/>
      <c r="M2211" s="15"/>
      <c r="N2211" s="15"/>
      <c r="O2211" s="15"/>
      <c r="P2211" s="15"/>
      <c r="Q2211" s="15"/>
      <c r="R2211" s="15"/>
    </row>
    <row r="2212" spans="2:18" ht="13">
      <c r="B2212" s="33"/>
      <c r="C2212" s="34"/>
      <c r="D2212" s="68" t="s">
        <v>26</v>
      </c>
      <c r="E2212" s="69" t="s">
        <v>27</v>
      </c>
      <c r="F2212" s="20" t="s">
        <v>533</v>
      </c>
      <c r="G2212" s="15"/>
      <c r="H2212" s="15"/>
      <c r="I2212" s="15"/>
      <c r="J2212" s="15"/>
      <c r="K2212" s="15"/>
      <c r="L2212" s="15"/>
      <c r="M2212" s="15"/>
      <c r="N2212" s="15"/>
      <c r="O2212" s="15"/>
      <c r="P2212" s="15"/>
      <c r="Q2212" s="15"/>
      <c r="R2212" s="15"/>
    </row>
    <row r="2213" spans="2:18" ht="13">
      <c r="B2213" s="33"/>
      <c r="C2213" s="34"/>
      <c r="D2213" s="68" t="s">
        <v>17</v>
      </c>
      <c r="E2213" s="69" t="s">
        <v>27</v>
      </c>
      <c r="F2213" s="20" t="s">
        <v>533</v>
      </c>
      <c r="G2213" s="15"/>
      <c r="H2213" s="15"/>
      <c r="I2213" s="15"/>
      <c r="J2213" s="15"/>
      <c r="K2213" s="15"/>
      <c r="L2213" s="15"/>
      <c r="M2213" s="15"/>
      <c r="N2213" s="15"/>
      <c r="O2213" s="15"/>
      <c r="P2213" s="15"/>
      <c r="Q2213" s="15"/>
      <c r="R2213" s="15"/>
    </row>
    <row r="2214" spans="2:18" ht="13">
      <c r="B2214" s="33"/>
      <c r="C2214" s="34"/>
      <c r="D2214" s="68" t="s">
        <v>17</v>
      </c>
      <c r="E2214" s="69" t="s">
        <v>27</v>
      </c>
      <c r="F2214" s="20" t="s">
        <v>533</v>
      </c>
      <c r="G2214" s="15"/>
      <c r="H2214" s="15"/>
      <c r="I2214" s="15"/>
      <c r="J2214" s="15"/>
      <c r="K2214" s="15"/>
      <c r="L2214" s="15"/>
      <c r="M2214" s="15"/>
      <c r="N2214" s="15"/>
      <c r="O2214" s="15"/>
      <c r="P2214" s="15"/>
      <c r="Q2214" s="15"/>
      <c r="R2214" s="15"/>
    </row>
    <row r="2215" spans="2:18" ht="13">
      <c r="B2215" s="33"/>
      <c r="C2215" s="34"/>
      <c r="D2215" s="68" t="s">
        <v>53</v>
      </c>
      <c r="E2215" s="69" t="s">
        <v>32</v>
      </c>
      <c r="F2215" s="20" t="s">
        <v>533</v>
      </c>
      <c r="G2215" s="15"/>
      <c r="H2215" s="15"/>
      <c r="I2215" s="15"/>
      <c r="J2215" s="15"/>
      <c r="K2215" s="15"/>
      <c r="L2215" s="15"/>
      <c r="M2215" s="15"/>
      <c r="N2215" s="15"/>
      <c r="O2215" s="15"/>
      <c r="P2215" s="15"/>
      <c r="Q2215" s="15"/>
      <c r="R2215" s="15"/>
    </row>
    <row r="2216" spans="2:18" ht="13">
      <c r="B2216" s="33"/>
      <c r="C2216" s="34"/>
      <c r="D2216" s="68" t="s">
        <v>17</v>
      </c>
      <c r="E2216" s="69" t="s">
        <v>27</v>
      </c>
      <c r="F2216" s="20" t="s">
        <v>533</v>
      </c>
      <c r="G2216" s="15"/>
      <c r="H2216" s="15"/>
      <c r="I2216" s="15"/>
      <c r="J2216" s="15"/>
      <c r="K2216" s="15"/>
      <c r="L2216" s="15"/>
      <c r="M2216" s="15"/>
      <c r="N2216" s="15"/>
      <c r="O2216" s="15"/>
      <c r="P2216" s="15"/>
      <c r="Q2216" s="15"/>
      <c r="R2216" s="15"/>
    </row>
    <row r="2217" spans="2:18" ht="13">
      <c r="B2217" s="33"/>
      <c r="C2217" s="34"/>
      <c r="D2217" s="68" t="s">
        <v>557</v>
      </c>
      <c r="E2217" s="69" t="s">
        <v>121</v>
      </c>
      <c r="F2217" s="20" t="s">
        <v>533</v>
      </c>
      <c r="G2217" s="15"/>
      <c r="H2217" s="15"/>
      <c r="I2217" s="15"/>
      <c r="J2217" s="15"/>
      <c r="K2217" s="15"/>
      <c r="L2217" s="15"/>
      <c r="M2217" s="15"/>
      <c r="N2217" s="15"/>
      <c r="O2217" s="15"/>
      <c r="P2217" s="15"/>
      <c r="Q2217" s="15"/>
      <c r="R2217" s="15"/>
    </row>
    <row r="2218" spans="2:18" ht="13">
      <c r="B2218" s="33"/>
      <c r="C2218" s="34"/>
      <c r="D2218" s="68" t="s">
        <v>577</v>
      </c>
      <c r="E2218" s="69" t="s">
        <v>124</v>
      </c>
      <c r="F2218" s="20" t="s">
        <v>533</v>
      </c>
      <c r="G2218" s="15"/>
      <c r="H2218" s="15"/>
      <c r="I2218" s="15"/>
      <c r="J2218" s="15"/>
      <c r="K2218" s="15"/>
      <c r="L2218" s="15"/>
      <c r="M2218" s="15"/>
      <c r="N2218" s="15"/>
      <c r="O2218" s="15"/>
      <c r="P2218" s="15"/>
      <c r="Q2218" s="15"/>
      <c r="R2218" s="15"/>
    </row>
    <row r="2219" spans="2:18" ht="13">
      <c r="B2219" s="33"/>
      <c r="C2219" s="34"/>
      <c r="D2219" s="68" t="s">
        <v>570</v>
      </c>
      <c r="E2219" s="69" t="s">
        <v>124</v>
      </c>
      <c r="F2219" s="20" t="s">
        <v>533</v>
      </c>
      <c r="G2219" s="15"/>
      <c r="H2219" s="15"/>
      <c r="I2219" s="15"/>
      <c r="J2219" s="15"/>
      <c r="K2219" s="15"/>
      <c r="L2219" s="15"/>
      <c r="M2219" s="15"/>
      <c r="N2219" s="15"/>
      <c r="O2219" s="15"/>
      <c r="P2219" s="15"/>
      <c r="Q2219" s="15"/>
      <c r="R2219" s="15"/>
    </row>
    <row r="2220" spans="2:18" ht="13">
      <c r="B2220" s="33"/>
      <c r="C2220" s="34"/>
      <c r="D2220" s="68" t="s">
        <v>17</v>
      </c>
      <c r="E2220" s="69" t="s">
        <v>27</v>
      </c>
      <c r="F2220" s="20" t="s">
        <v>533</v>
      </c>
      <c r="G2220" s="15"/>
      <c r="H2220" s="15"/>
      <c r="I2220" s="15"/>
      <c r="J2220" s="15"/>
      <c r="K2220" s="15"/>
      <c r="L2220" s="15"/>
      <c r="M2220" s="15"/>
      <c r="N2220" s="15"/>
      <c r="O2220" s="15"/>
      <c r="P2220" s="15"/>
      <c r="Q2220" s="15"/>
      <c r="R2220" s="15"/>
    </row>
    <row r="2221" spans="2:18" ht="13">
      <c r="B2221" s="33"/>
      <c r="C2221" s="34"/>
      <c r="D2221" s="68" t="s">
        <v>17</v>
      </c>
      <c r="E2221" s="69" t="s">
        <v>27</v>
      </c>
      <c r="F2221" s="20" t="s">
        <v>533</v>
      </c>
      <c r="G2221" s="15"/>
      <c r="H2221" s="15"/>
      <c r="I2221" s="15"/>
      <c r="J2221" s="15"/>
      <c r="K2221" s="15"/>
      <c r="L2221" s="15"/>
      <c r="M2221" s="15"/>
      <c r="N2221" s="15"/>
      <c r="O2221" s="15"/>
      <c r="P2221" s="15"/>
      <c r="Q2221" s="15"/>
      <c r="R2221" s="15"/>
    </row>
    <row r="2222" spans="2:18" ht="13">
      <c r="B2222" s="33"/>
      <c r="C2222" s="34"/>
      <c r="D2222" s="68" t="s">
        <v>17</v>
      </c>
      <c r="E2222" s="69" t="s">
        <v>27</v>
      </c>
      <c r="F2222" s="20" t="s">
        <v>533</v>
      </c>
      <c r="G2222" s="15"/>
      <c r="H2222" s="15"/>
      <c r="I2222" s="15"/>
      <c r="J2222" s="15"/>
      <c r="K2222" s="15"/>
      <c r="L2222" s="15"/>
      <c r="M2222" s="15"/>
      <c r="N2222" s="15"/>
      <c r="O2222" s="15"/>
      <c r="P2222" s="15"/>
      <c r="Q2222" s="15"/>
      <c r="R2222" s="15"/>
    </row>
    <row r="2223" spans="2:18" ht="13">
      <c r="B2223" s="33"/>
      <c r="C2223" s="34"/>
      <c r="D2223" s="68" t="s">
        <v>573</v>
      </c>
      <c r="E2223" s="69" t="s">
        <v>121</v>
      </c>
      <c r="F2223" s="20" t="s">
        <v>533</v>
      </c>
      <c r="G2223" s="15"/>
      <c r="H2223" s="15"/>
      <c r="I2223" s="15"/>
      <c r="J2223" s="15"/>
      <c r="K2223" s="15"/>
      <c r="L2223" s="15"/>
      <c r="M2223" s="15"/>
      <c r="N2223" s="15"/>
      <c r="O2223" s="15"/>
      <c r="P2223" s="15"/>
      <c r="Q2223" s="15"/>
      <c r="R2223" s="15"/>
    </row>
    <row r="2224" spans="2:18" ht="13">
      <c r="B2224" s="33"/>
      <c r="C2224" s="34"/>
      <c r="D2224" s="68" t="s">
        <v>26</v>
      </c>
      <c r="E2224" s="69" t="s">
        <v>27</v>
      </c>
      <c r="F2224" s="20" t="s">
        <v>533</v>
      </c>
      <c r="G2224" s="15"/>
      <c r="H2224" s="15"/>
      <c r="I2224" s="15"/>
      <c r="J2224" s="15"/>
      <c r="K2224" s="15"/>
      <c r="L2224" s="15"/>
      <c r="M2224" s="15"/>
      <c r="N2224" s="15"/>
      <c r="O2224" s="15"/>
      <c r="P2224" s="15"/>
      <c r="Q2224" s="15"/>
      <c r="R2224" s="15"/>
    </row>
    <row r="2225" spans="2:18" ht="13">
      <c r="B2225" s="33"/>
      <c r="C2225" s="34"/>
      <c r="D2225" s="68" t="s">
        <v>17</v>
      </c>
      <c r="E2225" s="69" t="s">
        <v>27</v>
      </c>
      <c r="F2225" s="20" t="s">
        <v>533</v>
      </c>
      <c r="G2225" s="15"/>
      <c r="H2225" s="15"/>
      <c r="I2225" s="15"/>
      <c r="J2225" s="15"/>
      <c r="K2225" s="15"/>
      <c r="L2225" s="15"/>
      <c r="M2225" s="15"/>
      <c r="N2225" s="15"/>
      <c r="O2225" s="15"/>
      <c r="P2225" s="15"/>
      <c r="Q2225" s="15"/>
      <c r="R2225" s="15"/>
    </row>
    <row r="2226" spans="2:18" ht="13">
      <c r="B2226" s="33"/>
      <c r="C2226" s="34"/>
      <c r="D2226" s="68" t="s">
        <v>17</v>
      </c>
      <c r="E2226" s="69" t="s">
        <v>27</v>
      </c>
      <c r="F2226" s="20" t="s">
        <v>533</v>
      </c>
      <c r="G2226" s="15"/>
      <c r="H2226" s="15"/>
      <c r="I2226" s="15"/>
      <c r="J2226" s="15"/>
      <c r="K2226" s="15"/>
      <c r="L2226" s="15"/>
      <c r="M2226" s="15"/>
      <c r="N2226" s="15"/>
      <c r="O2226" s="15"/>
      <c r="P2226" s="15"/>
      <c r="Q2226" s="15"/>
      <c r="R2226" s="15"/>
    </row>
    <row r="2227" spans="2:18" ht="13">
      <c r="B2227" s="33"/>
      <c r="C2227" s="34"/>
      <c r="D2227" s="68" t="s">
        <v>17</v>
      </c>
      <c r="E2227" s="69" t="s">
        <v>27</v>
      </c>
      <c r="F2227" s="20" t="s">
        <v>533</v>
      </c>
      <c r="G2227" s="15"/>
      <c r="H2227" s="15"/>
      <c r="I2227" s="15"/>
      <c r="J2227" s="15"/>
      <c r="K2227" s="15"/>
      <c r="L2227" s="15"/>
      <c r="M2227" s="15"/>
      <c r="N2227" s="15"/>
      <c r="O2227" s="15"/>
      <c r="P2227" s="15"/>
      <c r="Q2227" s="15"/>
      <c r="R2227" s="15"/>
    </row>
    <row r="2228" spans="2:18" ht="13">
      <c r="B2228" s="33"/>
      <c r="C2228" s="34"/>
      <c r="D2228" s="68" t="s">
        <v>17</v>
      </c>
      <c r="E2228" s="69" t="s">
        <v>27</v>
      </c>
      <c r="F2228" s="20" t="s">
        <v>533</v>
      </c>
      <c r="G2228" s="15"/>
      <c r="H2228" s="15"/>
      <c r="I2228" s="15"/>
      <c r="J2228" s="15"/>
      <c r="K2228" s="15"/>
      <c r="L2228" s="15"/>
      <c r="M2228" s="15"/>
      <c r="N2228" s="15"/>
      <c r="O2228" s="15"/>
      <c r="P2228" s="15"/>
      <c r="Q2228" s="15"/>
      <c r="R2228" s="15"/>
    </row>
    <row r="2229" spans="2:18" ht="13">
      <c r="B2229" s="33"/>
      <c r="C2229" s="34"/>
      <c r="D2229" s="68" t="s">
        <v>86</v>
      </c>
      <c r="E2229" s="69" t="s">
        <v>124</v>
      </c>
      <c r="F2229" s="20" t="s">
        <v>533</v>
      </c>
      <c r="G2229" s="15"/>
      <c r="H2229" s="15"/>
      <c r="I2229" s="15"/>
      <c r="J2229" s="15"/>
      <c r="K2229" s="15"/>
      <c r="L2229" s="15"/>
      <c r="M2229" s="15"/>
      <c r="N2229" s="15"/>
      <c r="O2229" s="15"/>
      <c r="P2229" s="15"/>
      <c r="Q2229" s="15"/>
      <c r="R2229" s="15"/>
    </row>
    <row r="2230" spans="2:18" ht="13">
      <c r="B2230" s="33"/>
      <c r="C2230" s="34"/>
      <c r="D2230" s="68" t="s">
        <v>17</v>
      </c>
      <c r="E2230" s="69" t="s">
        <v>27</v>
      </c>
      <c r="F2230" s="20" t="s">
        <v>533</v>
      </c>
      <c r="G2230" s="15"/>
      <c r="H2230" s="15"/>
      <c r="I2230" s="15"/>
      <c r="J2230" s="15"/>
      <c r="K2230" s="15"/>
      <c r="L2230" s="15"/>
      <c r="M2230" s="15"/>
      <c r="N2230" s="15"/>
      <c r="O2230" s="15"/>
      <c r="P2230" s="15"/>
      <c r="Q2230" s="15"/>
      <c r="R2230" s="15"/>
    </row>
    <row r="2231" spans="2:18" ht="13">
      <c r="B2231" s="33"/>
      <c r="C2231" s="34"/>
      <c r="D2231" s="68" t="s">
        <v>31</v>
      </c>
      <c r="E2231" s="69" t="s">
        <v>32</v>
      </c>
      <c r="F2231" s="20" t="s">
        <v>533</v>
      </c>
      <c r="G2231" s="15"/>
      <c r="H2231" s="15"/>
      <c r="I2231" s="15"/>
      <c r="J2231" s="15"/>
      <c r="K2231" s="15"/>
      <c r="L2231" s="15"/>
      <c r="M2231" s="15"/>
      <c r="N2231" s="15"/>
      <c r="O2231" s="15"/>
      <c r="P2231" s="15"/>
      <c r="Q2231" s="15"/>
      <c r="R2231" s="15"/>
    </row>
    <row r="2232" spans="2:18" ht="13">
      <c r="B2232" s="33"/>
      <c r="C2232" s="34"/>
      <c r="D2232" s="68" t="s">
        <v>577</v>
      </c>
      <c r="E2232" s="69" t="s">
        <v>124</v>
      </c>
      <c r="F2232" s="20" t="s">
        <v>533</v>
      </c>
      <c r="G2232" s="15"/>
      <c r="H2232" s="15"/>
      <c r="I2232" s="15"/>
      <c r="J2232" s="15"/>
      <c r="K2232" s="15"/>
      <c r="L2232" s="15"/>
      <c r="M2232" s="15"/>
      <c r="N2232" s="15"/>
      <c r="O2232" s="15"/>
      <c r="P2232" s="15"/>
      <c r="Q2232" s="15"/>
      <c r="R2232" s="15"/>
    </row>
    <row r="2233" spans="2:18" ht="13">
      <c r="B2233" s="33"/>
      <c r="C2233" s="34"/>
      <c r="D2233" s="68" t="s">
        <v>17</v>
      </c>
      <c r="E2233" s="69" t="s">
        <v>27</v>
      </c>
      <c r="F2233" s="20" t="s">
        <v>533</v>
      </c>
      <c r="G2233" s="15"/>
      <c r="H2233" s="15"/>
      <c r="I2233" s="15"/>
      <c r="J2233" s="15"/>
      <c r="K2233" s="15"/>
      <c r="L2233" s="15"/>
      <c r="M2233" s="15"/>
      <c r="N2233" s="15"/>
      <c r="O2233" s="15"/>
      <c r="P2233" s="15"/>
      <c r="Q2233" s="15"/>
      <c r="R2233" s="15"/>
    </row>
    <row r="2234" spans="2:18" ht="13">
      <c r="B2234" s="33"/>
      <c r="C2234" s="34"/>
      <c r="D2234" s="68" t="s">
        <v>17</v>
      </c>
      <c r="E2234" s="69" t="s">
        <v>27</v>
      </c>
      <c r="F2234" s="20" t="s">
        <v>533</v>
      </c>
      <c r="G2234" s="15"/>
      <c r="H2234" s="15"/>
      <c r="I2234" s="15"/>
      <c r="J2234" s="15"/>
      <c r="K2234" s="15"/>
      <c r="L2234" s="15"/>
      <c r="M2234" s="15"/>
      <c r="N2234" s="15"/>
      <c r="O2234" s="15"/>
      <c r="P2234" s="15"/>
      <c r="Q2234" s="15"/>
      <c r="R2234" s="15"/>
    </row>
    <row r="2235" spans="2:18" ht="13">
      <c r="B2235" s="33"/>
      <c r="C2235" s="34"/>
      <c r="D2235" s="68" t="s">
        <v>17</v>
      </c>
      <c r="E2235" s="69" t="s">
        <v>27</v>
      </c>
      <c r="F2235" s="20" t="s">
        <v>533</v>
      </c>
      <c r="G2235" s="15"/>
      <c r="H2235" s="15"/>
      <c r="I2235" s="15"/>
      <c r="J2235" s="15"/>
      <c r="K2235" s="15"/>
      <c r="L2235" s="15"/>
      <c r="M2235" s="15"/>
      <c r="N2235" s="15"/>
      <c r="O2235" s="15"/>
      <c r="P2235" s="15"/>
      <c r="Q2235" s="15"/>
      <c r="R2235" s="15"/>
    </row>
    <row r="2236" spans="2:18" ht="13">
      <c r="B2236" s="33"/>
      <c r="C2236" s="34"/>
      <c r="D2236" s="68" t="s">
        <v>17</v>
      </c>
      <c r="E2236" s="69" t="s">
        <v>27</v>
      </c>
      <c r="F2236" s="20" t="s">
        <v>533</v>
      </c>
      <c r="G2236" s="15"/>
      <c r="H2236" s="15"/>
      <c r="I2236" s="15"/>
      <c r="J2236" s="15"/>
      <c r="K2236" s="15"/>
      <c r="L2236" s="15"/>
      <c r="M2236" s="15"/>
      <c r="N2236" s="15"/>
      <c r="O2236" s="15"/>
      <c r="P2236" s="15"/>
      <c r="Q2236" s="15"/>
      <c r="R2236" s="15"/>
    </row>
    <row r="2237" spans="2:18" ht="13">
      <c r="B2237" s="33"/>
      <c r="C2237" s="34"/>
      <c r="D2237" s="68" t="s">
        <v>17</v>
      </c>
      <c r="E2237" s="69" t="s">
        <v>27</v>
      </c>
      <c r="F2237" s="20" t="s">
        <v>533</v>
      </c>
      <c r="G2237" s="15"/>
      <c r="H2237" s="15"/>
      <c r="I2237" s="15"/>
      <c r="J2237" s="15"/>
      <c r="K2237" s="15"/>
      <c r="L2237" s="15"/>
      <c r="M2237" s="15"/>
      <c r="N2237" s="15"/>
      <c r="O2237" s="15"/>
      <c r="P2237" s="15"/>
      <c r="Q2237" s="15"/>
      <c r="R2237" s="15"/>
    </row>
    <row r="2238" spans="2:18" ht="13">
      <c r="B2238" s="33"/>
      <c r="C2238" s="34"/>
      <c r="D2238" s="68" t="s">
        <v>17</v>
      </c>
      <c r="E2238" s="69" t="s">
        <v>27</v>
      </c>
      <c r="F2238" s="20" t="s">
        <v>533</v>
      </c>
      <c r="G2238" s="15"/>
      <c r="H2238" s="15"/>
      <c r="I2238" s="15"/>
      <c r="J2238" s="15"/>
      <c r="K2238" s="15"/>
      <c r="L2238" s="15"/>
      <c r="M2238" s="15"/>
      <c r="N2238" s="15"/>
      <c r="O2238" s="15"/>
      <c r="P2238" s="15"/>
      <c r="Q2238" s="15"/>
      <c r="R2238" s="15"/>
    </row>
    <row r="2239" spans="2:18" ht="13">
      <c r="B2239" s="33"/>
      <c r="C2239" s="34"/>
      <c r="D2239" s="68" t="s">
        <v>570</v>
      </c>
      <c r="E2239" s="69" t="s">
        <v>124</v>
      </c>
      <c r="F2239" s="20" t="s">
        <v>533</v>
      </c>
      <c r="G2239" s="15"/>
      <c r="H2239" s="15"/>
      <c r="I2239" s="15"/>
      <c r="J2239" s="15"/>
      <c r="K2239" s="15"/>
      <c r="L2239" s="15"/>
      <c r="M2239" s="15"/>
      <c r="N2239" s="15"/>
      <c r="O2239" s="15"/>
      <c r="P2239" s="15"/>
      <c r="Q2239" s="15"/>
      <c r="R2239" s="15"/>
    </row>
    <row r="2240" spans="2:18" ht="13">
      <c r="B2240" s="33"/>
      <c r="C2240" s="34"/>
      <c r="D2240" s="68" t="s">
        <v>17</v>
      </c>
      <c r="E2240" s="69" t="s">
        <v>27</v>
      </c>
      <c r="F2240" s="20" t="s">
        <v>533</v>
      </c>
      <c r="G2240" s="15"/>
      <c r="H2240" s="15"/>
      <c r="I2240" s="15"/>
      <c r="J2240" s="15"/>
      <c r="K2240" s="15"/>
      <c r="L2240" s="15"/>
      <c r="M2240" s="15"/>
      <c r="N2240" s="15"/>
      <c r="O2240" s="15"/>
      <c r="P2240" s="15"/>
      <c r="Q2240" s="15"/>
      <c r="R2240" s="15"/>
    </row>
    <row r="2241" spans="2:18" ht="13">
      <c r="B2241" s="33"/>
      <c r="C2241" s="34"/>
      <c r="D2241" s="68" t="s">
        <v>557</v>
      </c>
      <c r="E2241" s="69" t="s">
        <v>121</v>
      </c>
      <c r="F2241" s="20" t="s">
        <v>533</v>
      </c>
      <c r="G2241" s="15"/>
      <c r="H2241" s="15"/>
      <c r="I2241" s="15"/>
      <c r="J2241" s="15"/>
      <c r="K2241" s="15"/>
      <c r="L2241" s="15"/>
      <c r="M2241" s="15"/>
      <c r="N2241" s="15"/>
      <c r="O2241" s="15"/>
      <c r="P2241" s="15"/>
      <c r="Q2241" s="15"/>
      <c r="R2241" s="15"/>
    </row>
    <row r="2242" spans="2:18" ht="13">
      <c r="B2242" s="33"/>
      <c r="C2242" s="34"/>
      <c r="D2242" s="68" t="s">
        <v>17</v>
      </c>
      <c r="E2242" s="69" t="s">
        <v>27</v>
      </c>
      <c r="F2242" s="20" t="s">
        <v>533</v>
      </c>
      <c r="G2242" s="15"/>
      <c r="H2242" s="15"/>
      <c r="I2242" s="15"/>
      <c r="J2242" s="15"/>
      <c r="K2242" s="15"/>
      <c r="L2242" s="15"/>
      <c r="M2242" s="15"/>
      <c r="N2242" s="15"/>
      <c r="O2242" s="15"/>
      <c r="P2242" s="15"/>
      <c r="Q2242" s="15"/>
      <c r="R2242" s="15"/>
    </row>
    <row r="2243" spans="2:18" ht="13">
      <c r="B2243" s="33"/>
      <c r="C2243" s="34"/>
      <c r="D2243" s="68" t="s">
        <v>17</v>
      </c>
      <c r="E2243" s="69" t="s">
        <v>27</v>
      </c>
      <c r="F2243" s="20" t="s">
        <v>533</v>
      </c>
      <c r="G2243" s="15"/>
      <c r="H2243" s="15"/>
      <c r="I2243" s="15"/>
      <c r="J2243" s="15"/>
      <c r="K2243" s="15"/>
      <c r="L2243" s="15"/>
      <c r="M2243" s="15"/>
      <c r="N2243" s="15"/>
      <c r="O2243" s="15"/>
      <c r="P2243" s="15"/>
      <c r="Q2243" s="15"/>
      <c r="R2243" s="15"/>
    </row>
    <row r="2244" spans="2:18" ht="13">
      <c r="B2244" s="33"/>
      <c r="C2244" s="34"/>
      <c r="D2244" s="68" t="s">
        <v>17</v>
      </c>
      <c r="E2244" s="69" t="s">
        <v>27</v>
      </c>
      <c r="F2244" s="20" t="s">
        <v>533</v>
      </c>
      <c r="G2244" s="15"/>
      <c r="H2244" s="15"/>
      <c r="I2244" s="15"/>
      <c r="J2244" s="15"/>
      <c r="K2244" s="15"/>
      <c r="L2244" s="15"/>
      <c r="M2244" s="15"/>
      <c r="N2244" s="15"/>
      <c r="O2244" s="15"/>
      <c r="P2244" s="15"/>
      <c r="Q2244" s="15"/>
      <c r="R2244" s="15"/>
    </row>
    <row r="2245" spans="2:18" ht="13">
      <c r="B2245" s="33"/>
      <c r="C2245" s="34"/>
      <c r="D2245" s="68" t="s">
        <v>17</v>
      </c>
      <c r="E2245" s="69" t="s">
        <v>27</v>
      </c>
      <c r="F2245" s="20" t="s">
        <v>533</v>
      </c>
      <c r="G2245" s="15"/>
      <c r="H2245" s="15"/>
      <c r="I2245" s="15"/>
      <c r="J2245" s="15"/>
      <c r="K2245" s="15"/>
      <c r="L2245" s="15"/>
      <c r="M2245" s="15"/>
      <c r="N2245" s="15"/>
      <c r="O2245" s="15"/>
      <c r="P2245" s="15"/>
      <c r="Q2245" s="15"/>
      <c r="R2245" s="15"/>
    </row>
    <row r="2246" spans="2:18" ht="13">
      <c r="B2246" s="33"/>
      <c r="C2246" s="34"/>
      <c r="D2246" s="68" t="s">
        <v>17</v>
      </c>
      <c r="E2246" s="69" t="s">
        <v>27</v>
      </c>
      <c r="F2246" s="20" t="s">
        <v>533</v>
      </c>
      <c r="G2246" s="15"/>
      <c r="H2246" s="15"/>
      <c r="I2246" s="15"/>
      <c r="J2246" s="15"/>
      <c r="K2246" s="15"/>
      <c r="L2246" s="15"/>
      <c r="M2246" s="15"/>
      <c r="N2246" s="15"/>
      <c r="O2246" s="15"/>
      <c r="P2246" s="15"/>
      <c r="Q2246" s="15"/>
      <c r="R2246" s="15"/>
    </row>
    <row r="2247" spans="2:18" ht="13">
      <c r="B2247" s="33"/>
      <c r="C2247" s="34"/>
      <c r="D2247" s="68" t="s">
        <v>17</v>
      </c>
      <c r="E2247" s="69" t="s">
        <v>27</v>
      </c>
      <c r="F2247" s="20" t="s">
        <v>533</v>
      </c>
      <c r="G2247" s="15"/>
      <c r="H2247" s="15"/>
      <c r="I2247" s="15"/>
      <c r="J2247" s="15"/>
      <c r="K2247" s="15"/>
      <c r="L2247" s="15"/>
      <c r="M2247" s="15"/>
      <c r="N2247" s="15"/>
      <c r="O2247" s="15"/>
      <c r="P2247" s="15"/>
      <c r="Q2247" s="15"/>
      <c r="R2247" s="15"/>
    </row>
    <row r="2248" spans="2:18" ht="13">
      <c r="B2248" s="33"/>
      <c r="C2248" s="34"/>
      <c r="D2248" s="68" t="s">
        <v>17</v>
      </c>
      <c r="E2248" s="69" t="s">
        <v>27</v>
      </c>
      <c r="F2248" s="20" t="s">
        <v>533</v>
      </c>
      <c r="G2248" s="15"/>
      <c r="H2248" s="15"/>
      <c r="I2248" s="15"/>
      <c r="J2248" s="15"/>
      <c r="K2248" s="15"/>
      <c r="L2248" s="15"/>
      <c r="M2248" s="15"/>
      <c r="N2248" s="15"/>
      <c r="O2248" s="15"/>
      <c r="P2248" s="15"/>
      <c r="Q2248" s="15"/>
      <c r="R2248" s="15"/>
    </row>
    <row r="2249" spans="2:18" ht="13">
      <c r="B2249" s="33"/>
      <c r="C2249" s="34"/>
      <c r="D2249" s="68" t="s">
        <v>36</v>
      </c>
      <c r="E2249" s="69" t="s">
        <v>37</v>
      </c>
      <c r="F2249" s="20" t="s">
        <v>533</v>
      </c>
      <c r="G2249" s="15"/>
      <c r="H2249" s="15"/>
      <c r="I2249" s="15"/>
      <c r="J2249" s="15"/>
      <c r="K2249" s="15"/>
      <c r="L2249" s="15"/>
      <c r="M2249" s="15"/>
      <c r="N2249" s="15"/>
      <c r="O2249" s="15"/>
      <c r="P2249" s="15"/>
      <c r="Q2249" s="15"/>
      <c r="R2249" s="15"/>
    </row>
    <row r="2250" spans="2:18" ht="13">
      <c r="B2250" s="33"/>
      <c r="C2250" s="34"/>
      <c r="D2250" s="68" t="s">
        <v>574</v>
      </c>
      <c r="E2250" s="69" t="s">
        <v>575</v>
      </c>
      <c r="F2250" s="20" t="s">
        <v>533</v>
      </c>
      <c r="G2250" s="15"/>
      <c r="H2250" s="15"/>
      <c r="I2250" s="15"/>
      <c r="J2250" s="15"/>
      <c r="K2250" s="15"/>
      <c r="L2250" s="15"/>
      <c r="M2250" s="15"/>
      <c r="N2250" s="15"/>
      <c r="O2250" s="15"/>
      <c r="P2250" s="15"/>
      <c r="Q2250" s="15"/>
      <c r="R2250" s="15"/>
    </row>
    <row r="2251" spans="2:18" ht="13">
      <c r="B2251" s="33"/>
      <c r="C2251" s="34"/>
      <c r="D2251" s="68" t="s">
        <v>86</v>
      </c>
      <c r="E2251" s="69" t="s">
        <v>124</v>
      </c>
      <c r="F2251" s="20" t="s">
        <v>533</v>
      </c>
      <c r="G2251" s="15"/>
      <c r="H2251" s="15"/>
      <c r="I2251" s="15"/>
      <c r="J2251" s="15"/>
      <c r="K2251" s="15"/>
      <c r="L2251" s="15"/>
      <c r="M2251" s="15"/>
      <c r="N2251" s="15"/>
      <c r="O2251" s="15"/>
      <c r="P2251" s="15"/>
      <c r="Q2251" s="15"/>
      <c r="R2251" s="15"/>
    </row>
    <row r="2252" spans="2:18" ht="13">
      <c r="B2252" s="33"/>
      <c r="C2252" s="34"/>
      <c r="D2252" s="68" t="s">
        <v>17</v>
      </c>
      <c r="E2252" s="69" t="s">
        <v>27</v>
      </c>
      <c r="F2252" s="20" t="s">
        <v>533</v>
      </c>
      <c r="G2252" s="15"/>
      <c r="H2252" s="15"/>
      <c r="I2252" s="15"/>
      <c r="J2252" s="15"/>
      <c r="K2252" s="15"/>
      <c r="L2252" s="15"/>
      <c r="M2252" s="15"/>
      <c r="N2252" s="15"/>
      <c r="O2252" s="15"/>
      <c r="P2252" s="15"/>
      <c r="Q2252" s="15"/>
      <c r="R2252" s="15"/>
    </row>
    <row r="2253" spans="2:18" ht="13">
      <c r="B2253" s="33"/>
      <c r="C2253" s="34"/>
      <c r="D2253" s="68" t="s">
        <v>659</v>
      </c>
      <c r="E2253" s="69" t="s">
        <v>37</v>
      </c>
      <c r="F2253" s="20" t="s">
        <v>533</v>
      </c>
      <c r="G2253" s="15"/>
      <c r="H2253" s="15"/>
      <c r="I2253" s="15"/>
      <c r="J2253" s="15"/>
      <c r="K2253" s="15"/>
      <c r="L2253" s="15"/>
      <c r="M2253" s="15"/>
      <c r="N2253" s="15"/>
      <c r="O2253" s="15"/>
      <c r="P2253" s="15"/>
      <c r="Q2253" s="15"/>
      <c r="R2253" s="15"/>
    </row>
    <row r="2254" spans="2:18" ht="13">
      <c r="B2254" s="33"/>
      <c r="C2254" s="34"/>
      <c r="D2254" s="68" t="s">
        <v>17</v>
      </c>
      <c r="E2254" s="69" t="s">
        <v>27</v>
      </c>
      <c r="F2254" s="20" t="s">
        <v>533</v>
      </c>
      <c r="G2254" s="15"/>
      <c r="H2254" s="15"/>
      <c r="I2254" s="15"/>
      <c r="J2254" s="15"/>
      <c r="K2254" s="15"/>
      <c r="L2254" s="15"/>
      <c r="M2254" s="15"/>
      <c r="N2254" s="15"/>
      <c r="O2254" s="15"/>
      <c r="P2254" s="15"/>
      <c r="Q2254" s="15"/>
      <c r="R2254" s="15"/>
    </row>
    <row r="2255" spans="2:18" ht="13">
      <c r="B2255" s="33"/>
      <c r="C2255" s="34"/>
      <c r="D2255" s="68" t="s">
        <v>26</v>
      </c>
      <c r="E2255" s="69" t="s">
        <v>27</v>
      </c>
      <c r="F2255" s="20" t="s">
        <v>533</v>
      </c>
      <c r="G2255" s="15"/>
      <c r="H2255" s="15"/>
      <c r="I2255" s="15"/>
      <c r="J2255" s="15"/>
      <c r="K2255" s="15"/>
      <c r="L2255" s="15"/>
      <c r="M2255" s="15"/>
      <c r="N2255" s="15"/>
      <c r="O2255" s="15"/>
      <c r="P2255" s="15"/>
      <c r="Q2255" s="15"/>
      <c r="R2255" s="15"/>
    </row>
    <row r="2256" spans="2:18" ht="13">
      <c r="B2256" s="33"/>
      <c r="C2256" s="34"/>
      <c r="D2256" s="68" t="s">
        <v>17</v>
      </c>
      <c r="E2256" s="69" t="s">
        <v>27</v>
      </c>
      <c r="F2256" s="20" t="s">
        <v>533</v>
      </c>
      <c r="G2256" s="15"/>
      <c r="H2256" s="15"/>
      <c r="I2256" s="15"/>
      <c r="J2256" s="15"/>
      <c r="K2256" s="15"/>
      <c r="L2256" s="15"/>
      <c r="M2256" s="15"/>
      <c r="N2256" s="15"/>
      <c r="O2256" s="15"/>
      <c r="P2256" s="15"/>
      <c r="Q2256" s="15"/>
      <c r="R2256" s="15"/>
    </row>
    <row r="2257" spans="2:18" ht="13">
      <c r="B2257" s="33"/>
      <c r="C2257" s="34"/>
      <c r="D2257" s="68" t="s">
        <v>26</v>
      </c>
      <c r="E2257" s="69" t="s">
        <v>27</v>
      </c>
      <c r="F2257" s="20" t="s">
        <v>533</v>
      </c>
      <c r="G2257" s="15"/>
      <c r="H2257" s="15"/>
      <c r="I2257" s="15"/>
      <c r="J2257" s="15"/>
      <c r="K2257" s="15"/>
      <c r="L2257" s="15"/>
      <c r="M2257" s="15"/>
      <c r="N2257" s="15"/>
      <c r="O2257" s="15"/>
      <c r="P2257" s="15"/>
      <c r="Q2257" s="15"/>
      <c r="R2257" s="15"/>
    </row>
    <row r="2258" spans="2:18" ht="13">
      <c r="B2258" s="33"/>
      <c r="C2258" s="34"/>
      <c r="D2258" s="68" t="s">
        <v>17</v>
      </c>
      <c r="E2258" s="69" t="s">
        <v>116</v>
      </c>
      <c r="F2258" s="20" t="s">
        <v>533</v>
      </c>
      <c r="G2258" s="15"/>
      <c r="H2258" s="15"/>
      <c r="I2258" s="15"/>
      <c r="J2258" s="15"/>
      <c r="K2258" s="15"/>
      <c r="L2258" s="15"/>
      <c r="M2258" s="15"/>
      <c r="N2258" s="15"/>
      <c r="O2258" s="15"/>
      <c r="P2258" s="15"/>
      <c r="Q2258" s="15"/>
      <c r="R2258" s="15"/>
    </row>
    <row r="2259" spans="2:18" ht="13">
      <c r="B2259" s="33"/>
      <c r="C2259" s="34"/>
      <c r="D2259" s="68" t="s">
        <v>17</v>
      </c>
      <c r="E2259" s="69" t="s">
        <v>27</v>
      </c>
      <c r="F2259" s="20" t="s">
        <v>533</v>
      </c>
      <c r="G2259" s="15"/>
      <c r="H2259" s="15"/>
      <c r="I2259" s="15"/>
      <c r="J2259" s="15"/>
      <c r="K2259" s="15"/>
      <c r="L2259" s="15"/>
      <c r="M2259" s="15"/>
      <c r="N2259" s="15"/>
      <c r="O2259" s="15"/>
      <c r="P2259" s="15"/>
      <c r="Q2259" s="15"/>
      <c r="R2259" s="15"/>
    </row>
    <row r="2260" spans="2:18" ht="13">
      <c r="B2260" s="33"/>
      <c r="C2260" s="34"/>
      <c r="D2260" s="68" t="s">
        <v>17</v>
      </c>
      <c r="E2260" s="69" t="s">
        <v>27</v>
      </c>
      <c r="F2260" s="20" t="s">
        <v>533</v>
      </c>
      <c r="G2260" s="15"/>
      <c r="H2260" s="15"/>
      <c r="I2260" s="15"/>
      <c r="J2260" s="15"/>
      <c r="K2260" s="15"/>
      <c r="L2260" s="15"/>
      <c r="M2260" s="15"/>
      <c r="N2260" s="15"/>
      <c r="O2260" s="15"/>
      <c r="P2260" s="15"/>
      <c r="Q2260" s="15"/>
      <c r="R2260" s="15"/>
    </row>
    <row r="2261" spans="2:18" ht="13">
      <c r="B2261" s="33"/>
      <c r="C2261" s="34"/>
      <c r="D2261" s="68" t="s">
        <v>17</v>
      </c>
      <c r="E2261" s="69" t="s">
        <v>27</v>
      </c>
      <c r="F2261" s="20" t="s">
        <v>533</v>
      </c>
      <c r="G2261" s="15"/>
      <c r="H2261" s="15"/>
      <c r="I2261" s="15"/>
      <c r="J2261" s="15"/>
      <c r="K2261" s="15"/>
      <c r="L2261" s="15"/>
      <c r="M2261" s="15"/>
      <c r="N2261" s="15"/>
      <c r="O2261" s="15"/>
      <c r="P2261" s="15"/>
      <c r="Q2261" s="15"/>
      <c r="R2261" s="15"/>
    </row>
    <row r="2262" spans="2:18" ht="13">
      <c r="B2262" s="33"/>
      <c r="C2262" s="34"/>
      <c r="D2262" s="68" t="s">
        <v>53</v>
      </c>
      <c r="E2262" s="69" t="s">
        <v>32</v>
      </c>
      <c r="F2262" s="20" t="s">
        <v>533</v>
      </c>
      <c r="G2262" s="15"/>
      <c r="H2262" s="15"/>
      <c r="I2262" s="15"/>
      <c r="J2262" s="15"/>
      <c r="K2262" s="15"/>
      <c r="L2262" s="15"/>
      <c r="M2262" s="15"/>
      <c r="N2262" s="15"/>
      <c r="O2262" s="15"/>
      <c r="P2262" s="15"/>
      <c r="Q2262" s="15"/>
      <c r="R2262" s="15"/>
    </row>
    <row r="2263" spans="2:18" ht="13">
      <c r="B2263" s="33"/>
      <c r="C2263" s="34"/>
      <c r="D2263" s="68" t="s">
        <v>26</v>
      </c>
      <c r="E2263" s="69" t="s">
        <v>27</v>
      </c>
      <c r="F2263" s="20" t="s">
        <v>533</v>
      </c>
      <c r="G2263" s="15"/>
      <c r="H2263" s="15"/>
      <c r="I2263" s="15"/>
      <c r="J2263" s="15"/>
      <c r="K2263" s="15"/>
      <c r="L2263" s="15"/>
      <c r="M2263" s="15"/>
      <c r="N2263" s="15"/>
      <c r="O2263" s="15"/>
      <c r="P2263" s="15"/>
      <c r="Q2263" s="15"/>
      <c r="R2263" s="15"/>
    </row>
    <row r="2264" spans="2:18" ht="13">
      <c r="B2264" s="33"/>
      <c r="C2264" s="34"/>
      <c r="D2264" s="68" t="s">
        <v>174</v>
      </c>
      <c r="E2264" s="69" t="s">
        <v>379</v>
      </c>
      <c r="F2264" s="20" t="s">
        <v>533</v>
      </c>
      <c r="G2264" s="15"/>
      <c r="H2264" s="15"/>
      <c r="I2264" s="15"/>
      <c r="J2264" s="15"/>
      <c r="K2264" s="15"/>
      <c r="L2264" s="15"/>
      <c r="M2264" s="15"/>
      <c r="N2264" s="15"/>
      <c r="O2264" s="15"/>
      <c r="P2264" s="15"/>
      <c r="Q2264" s="15"/>
      <c r="R2264" s="15"/>
    </row>
    <row r="2265" spans="2:18" ht="13">
      <c r="B2265" s="33"/>
      <c r="C2265" s="34"/>
      <c r="D2265" s="68" t="s">
        <v>17</v>
      </c>
      <c r="E2265" s="69" t="s">
        <v>27</v>
      </c>
      <c r="F2265" s="20" t="s">
        <v>533</v>
      </c>
      <c r="G2265" s="15"/>
      <c r="H2265" s="15"/>
      <c r="I2265" s="15"/>
      <c r="J2265" s="15"/>
      <c r="K2265" s="15"/>
      <c r="L2265" s="15"/>
      <c r="M2265" s="15"/>
      <c r="N2265" s="15"/>
      <c r="O2265" s="15"/>
      <c r="P2265" s="15"/>
      <c r="Q2265" s="15"/>
      <c r="R2265" s="15"/>
    </row>
    <row r="2266" spans="2:18" ht="13">
      <c r="B2266" s="33"/>
      <c r="C2266" s="34"/>
      <c r="D2266" s="68" t="s">
        <v>17</v>
      </c>
      <c r="E2266" s="69" t="s">
        <v>27</v>
      </c>
      <c r="F2266" s="20" t="s">
        <v>533</v>
      </c>
      <c r="G2266" s="15"/>
      <c r="H2266" s="15"/>
      <c r="I2266" s="15"/>
      <c r="J2266" s="15"/>
      <c r="K2266" s="15"/>
      <c r="L2266" s="15"/>
      <c r="M2266" s="15"/>
      <c r="N2266" s="15"/>
      <c r="O2266" s="15"/>
      <c r="P2266" s="15"/>
      <c r="Q2266" s="15"/>
      <c r="R2266" s="15"/>
    </row>
    <row r="2267" spans="2:18" ht="13">
      <c r="B2267" s="33"/>
      <c r="C2267" s="34"/>
      <c r="D2267" s="68" t="s">
        <v>17</v>
      </c>
      <c r="E2267" s="69" t="s">
        <v>27</v>
      </c>
      <c r="F2267" s="20" t="s">
        <v>533</v>
      </c>
      <c r="G2267" s="15"/>
      <c r="H2267" s="15"/>
      <c r="I2267" s="15"/>
      <c r="J2267" s="15"/>
      <c r="K2267" s="15"/>
      <c r="L2267" s="15"/>
      <c r="M2267" s="15"/>
      <c r="N2267" s="15"/>
      <c r="O2267" s="15"/>
      <c r="P2267" s="15"/>
      <c r="Q2267" s="15"/>
      <c r="R2267" s="15"/>
    </row>
    <row r="2268" spans="2:18" ht="13">
      <c r="B2268" s="33"/>
      <c r="C2268" s="34"/>
      <c r="D2268" s="68" t="s">
        <v>590</v>
      </c>
      <c r="E2268" s="69" t="s">
        <v>32</v>
      </c>
      <c r="F2268" s="20" t="s">
        <v>533</v>
      </c>
      <c r="G2268" s="15"/>
      <c r="H2268" s="15"/>
      <c r="I2268" s="15"/>
      <c r="J2268" s="15"/>
      <c r="K2268" s="15"/>
      <c r="L2268" s="15"/>
      <c r="M2268" s="15"/>
      <c r="N2268" s="15"/>
      <c r="O2268" s="15"/>
      <c r="P2268" s="15"/>
      <c r="Q2268" s="15"/>
      <c r="R2268" s="15"/>
    </row>
    <row r="2269" spans="2:18" ht="13">
      <c r="B2269" s="33"/>
      <c r="C2269" s="34"/>
      <c r="D2269" s="68" t="s">
        <v>26</v>
      </c>
      <c r="E2269" s="69" t="s">
        <v>27</v>
      </c>
      <c r="F2269" s="20" t="s">
        <v>533</v>
      </c>
      <c r="G2269" s="15"/>
      <c r="H2269" s="15"/>
      <c r="I2269" s="15"/>
      <c r="J2269" s="15"/>
      <c r="K2269" s="15"/>
      <c r="L2269" s="15"/>
      <c r="M2269" s="15"/>
      <c r="N2269" s="15"/>
      <c r="O2269" s="15"/>
      <c r="P2269" s="15"/>
      <c r="Q2269" s="15"/>
      <c r="R2269" s="15"/>
    </row>
    <row r="2270" spans="2:18" ht="13">
      <c r="B2270" s="33"/>
      <c r="C2270" s="34"/>
      <c r="D2270" s="68" t="s">
        <v>168</v>
      </c>
      <c r="E2270" s="69" t="s">
        <v>27</v>
      </c>
      <c r="F2270" s="20" t="s">
        <v>533</v>
      </c>
      <c r="G2270" s="15"/>
      <c r="H2270" s="15"/>
      <c r="I2270" s="15"/>
      <c r="J2270" s="15"/>
      <c r="K2270" s="15"/>
      <c r="L2270" s="15"/>
      <c r="M2270" s="15"/>
      <c r="N2270" s="15"/>
      <c r="O2270" s="15"/>
      <c r="P2270" s="15"/>
      <c r="Q2270" s="15"/>
      <c r="R2270" s="15"/>
    </row>
    <row r="2271" spans="2:18" ht="13">
      <c r="B2271" s="33"/>
      <c r="C2271" s="34"/>
      <c r="D2271" s="68" t="s">
        <v>26</v>
      </c>
      <c r="E2271" s="69" t="s">
        <v>27</v>
      </c>
      <c r="F2271" s="20" t="s">
        <v>533</v>
      </c>
      <c r="G2271" s="15"/>
      <c r="H2271" s="15"/>
      <c r="I2271" s="15"/>
      <c r="J2271" s="15"/>
      <c r="K2271" s="15"/>
      <c r="L2271" s="15"/>
      <c r="M2271" s="15"/>
      <c r="N2271" s="15"/>
      <c r="O2271" s="15"/>
      <c r="P2271" s="15"/>
      <c r="Q2271" s="15"/>
      <c r="R2271" s="15"/>
    </row>
    <row r="2272" spans="2:18" ht="13">
      <c r="B2272" s="33"/>
      <c r="C2272" s="34"/>
      <c r="D2272" s="68" t="s">
        <v>36</v>
      </c>
      <c r="E2272" s="69" t="s">
        <v>37</v>
      </c>
      <c r="F2272" s="20" t="s">
        <v>533</v>
      </c>
      <c r="G2272" s="15"/>
      <c r="H2272" s="15"/>
      <c r="I2272" s="15"/>
      <c r="J2272" s="15"/>
      <c r="K2272" s="15"/>
      <c r="L2272" s="15"/>
      <c r="M2272" s="15"/>
      <c r="N2272" s="15"/>
      <c r="O2272" s="15"/>
      <c r="P2272" s="15"/>
      <c r="Q2272" s="15"/>
      <c r="R2272" s="15"/>
    </row>
    <row r="2273" spans="2:18" ht="13">
      <c r="B2273" s="33"/>
      <c r="C2273" s="34"/>
      <c r="D2273" s="68" t="s">
        <v>17</v>
      </c>
      <c r="E2273" s="69" t="s">
        <v>27</v>
      </c>
      <c r="F2273" s="20" t="s">
        <v>533</v>
      </c>
      <c r="G2273" s="15"/>
      <c r="H2273" s="15"/>
      <c r="I2273" s="15"/>
      <c r="J2273" s="15"/>
      <c r="K2273" s="15"/>
      <c r="L2273" s="15"/>
      <c r="M2273" s="15"/>
      <c r="N2273" s="15"/>
      <c r="O2273" s="15"/>
      <c r="P2273" s="15"/>
      <c r="Q2273" s="15"/>
      <c r="R2273" s="15"/>
    </row>
    <row r="2274" spans="2:18" ht="13">
      <c r="B2274" s="33"/>
      <c r="C2274" s="34"/>
      <c r="D2274" s="68" t="s">
        <v>168</v>
      </c>
      <c r="E2274" s="69" t="s">
        <v>27</v>
      </c>
      <c r="F2274" s="20" t="s">
        <v>533</v>
      </c>
      <c r="G2274" s="15"/>
      <c r="H2274" s="15"/>
      <c r="I2274" s="15"/>
      <c r="J2274" s="15"/>
      <c r="K2274" s="15"/>
      <c r="L2274" s="15"/>
      <c r="M2274" s="15"/>
      <c r="N2274" s="15"/>
      <c r="O2274" s="15"/>
      <c r="P2274" s="15"/>
      <c r="Q2274" s="15"/>
      <c r="R2274" s="15"/>
    </row>
    <row r="2275" spans="2:18" ht="13">
      <c r="B2275" s="33"/>
      <c r="C2275" s="34"/>
      <c r="D2275" s="68" t="s">
        <v>26</v>
      </c>
      <c r="E2275" s="69" t="s">
        <v>27</v>
      </c>
      <c r="F2275" s="20" t="s">
        <v>533</v>
      </c>
      <c r="G2275" s="15"/>
      <c r="H2275" s="15"/>
      <c r="I2275" s="15"/>
      <c r="J2275" s="15"/>
      <c r="K2275" s="15"/>
      <c r="L2275" s="15"/>
      <c r="M2275" s="15"/>
      <c r="N2275" s="15"/>
      <c r="O2275" s="15"/>
      <c r="P2275" s="15"/>
      <c r="Q2275" s="15"/>
      <c r="R2275" s="15"/>
    </row>
    <row r="2276" spans="2:18" ht="13">
      <c r="B2276" s="33"/>
      <c r="C2276" s="34"/>
      <c r="D2276" s="68" t="s">
        <v>174</v>
      </c>
      <c r="E2276" s="69" t="s">
        <v>175</v>
      </c>
      <c r="F2276" s="20" t="s">
        <v>533</v>
      </c>
      <c r="G2276" s="15"/>
      <c r="H2276" s="15"/>
      <c r="I2276" s="15"/>
      <c r="J2276" s="15"/>
      <c r="K2276" s="15"/>
      <c r="L2276" s="15"/>
      <c r="M2276" s="15"/>
      <c r="N2276" s="15"/>
      <c r="O2276" s="15"/>
      <c r="P2276" s="15"/>
      <c r="Q2276" s="15"/>
      <c r="R2276" s="15"/>
    </row>
    <row r="2277" spans="2:18" ht="13">
      <c r="B2277" s="33"/>
      <c r="C2277" s="34"/>
      <c r="D2277" s="68" t="s">
        <v>31</v>
      </c>
      <c r="E2277" s="69" t="s">
        <v>32</v>
      </c>
      <c r="F2277" s="20" t="s">
        <v>533</v>
      </c>
      <c r="G2277" s="15"/>
      <c r="H2277" s="15"/>
      <c r="I2277" s="15"/>
      <c r="J2277" s="15"/>
      <c r="K2277" s="15"/>
      <c r="L2277" s="15"/>
      <c r="M2277" s="15"/>
      <c r="N2277" s="15"/>
      <c r="O2277" s="15"/>
      <c r="P2277" s="15"/>
      <c r="Q2277" s="15"/>
      <c r="R2277" s="15"/>
    </row>
    <row r="2278" spans="2:18" ht="13">
      <c r="B2278" s="33"/>
      <c r="C2278" s="34"/>
      <c r="D2278" s="68" t="s">
        <v>17</v>
      </c>
      <c r="E2278" s="69" t="s">
        <v>27</v>
      </c>
      <c r="F2278" s="20" t="s">
        <v>533</v>
      </c>
      <c r="G2278" s="15"/>
      <c r="H2278" s="15"/>
      <c r="I2278" s="15"/>
      <c r="J2278" s="15"/>
      <c r="K2278" s="15"/>
      <c r="L2278" s="15"/>
      <c r="M2278" s="15"/>
      <c r="N2278" s="15"/>
      <c r="O2278" s="15"/>
      <c r="P2278" s="15"/>
      <c r="Q2278" s="15"/>
      <c r="R2278" s="15"/>
    </row>
    <row r="2279" spans="2:18" ht="13">
      <c r="B2279" s="33"/>
      <c r="C2279" s="34"/>
      <c r="D2279" s="68" t="s">
        <v>17</v>
      </c>
      <c r="E2279" s="69" t="s">
        <v>27</v>
      </c>
      <c r="F2279" s="20" t="s">
        <v>533</v>
      </c>
      <c r="G2279" s="15"/>
      <c r="H2279" s="15"/>
      <c r="I2279" s="15"/>
      <c r="J2279" s="15"/>
      <c r="K2279" s="15"/>
      <c r="L2279" s="15"/>
      <c r="M2279" s="15"/>
      <c r="N2279" s="15"/>
      <c r="O2279" s="15"/>
      <c r="P2279" s="15"/>
      <c r="Q2279" s="15"/>
      <c r="R2279" s="15"/>
    </row>
    <row r="2280" spans="2:18" ht="13">
      <c r="B2280" s="33"/>
      <c r="C2280" s="34"/>
      <c r="D2280" s="68" t="s">
        <v>17</v>
      </c>
      <c r="E2280" s="69" t="s">
        <v>27</v>
      </c>
      <c r="F2280" s="20" t="s">
        <v>533</v>
      </c>
      <c r="G2280" s="15"/>
      <c r="H2280" s="15"/>
      <c r="I2280" s="15"/>
      <c r="J2280" s="15"/>
      <c r="K2280" s="15"/>
      <c r="L2280" s="15"/>
      <c r="M2280" s="15"/>
      <c r="N2280" s="15"/>
      <c r="O2280" s="15"/>
      <c r="P2280" s="15"/>
      <c r="Q2280" s="15"/>
      <c r="R2280" s="15"/>
    </row>
    <row r="2281" spans="2:18" ht="13">
      <c r="B2281" s="33"/>
      <c r="C2281" s="34"/>
      <c r="D2281" s="68" t="s">
        <v>17</v>
      </c>
      <c r="E2281" s="69" t="s">
        <v>27</v>
      </c>
      <c r="F2281" s="20" t="s">
        <v>533</v>
      </c>
      <c r="G2281" s="15"/>
      <c r="H2281" s="15"/>
      <c r="I2281" s="15"/>
      <c r="J2281" s="15"/>
      <c r="K2281" s="15"/>
      <c r="L2281" s="15"/>
      <c r="M2281" s="15"/>
      <c r="N2281" s="15"/>
      <c r="O2281" s="15"/>
      <c r="P2281" s="15"/>
      <c r="Q2281" s="15"/>
      <c r="R2281" s="15"/>
    </row>
    <row r="2282" spans="2:18" ht="13">
      <c r="B2282" s="33"/>
      <c r="C2282" s="34"/>
      <c r="D2282" s="68" t="s">
        <v>86</v>
      </c>
      <c r="E2282" s="69" t="s">
        <v>121</v>
      </c>
      <c r="F2282" s="20" t="s">
        <v>533</v>
      </c>
      <c r="G2282" s="15"/>
      <c r="H2282" s="15"/>
      <c r="I2282" s="15"/>
      <c r="J2282" s="15"/>
      <c r="K2282" s="15"/>
      <c r="L2282" s="15"/>
      <c r="M2282" s="15"/>
      <c r="N2282" s="15"/>
      <c r="O2282" s="15"/>
      <c r="P2282" s="15"/>
      <c r="Q2282" s="15"/>
      <c r="R2282" s="15"/>
    </row>
    <row r="2283" spans="2:18" ht="13">
      <c r="B2283" s="33"/>
      <c r="C2283" s="34"/>
      <c r="D2283" s="68" t="s">
        <v>26</v>
      </c>
      <c r="E2283" s="69" t="s">
        <v>27</v>
      </c>
      <c r="F2283" s="20" t="s">
        <v>533</v>
      </c>
      <c r="G2283" s="15"/>
      <c r="H2283" s="15"/>
      <c r="I2283" s="15"/>
      <c r="J2283" s="15"/>
      <c r="K2283" s="15"/>
      <c r="L2283" s="15"/>
      <c r="M2283" s="15"/>
      <c r="N2283" s="15"/>
      <c r="O2283" s="15"/>
      <c r="P2283" s="15"/>
      <c r="Q2283" s="15"/>
      <c r="R2283" s="15"/>
    </row>
    <row r="2284" spans="2:18" ht="13">
      <c r="B2284" s="33"/>
      <c r="C2284" s="34"/>
      <c r="D2284" s="68" t="s">
        <v>17</v>
      </c>
      <c r="E2284" s="69" t="s">
        <v>27</v>
      </c>
      <c r="F2284" s="20" t="s">
        <v>533</v>
      </c>
      <c r="G2284" s="15"/>
      <c r="H2284" s="15"/>
      <c r="I2284" s="15"/>
      <c r="J2284" s="15"/>
      <c r="K2284" s="15"/>
      <c r="L2284" s="15"/>
      <c r="M2284" s="15"/>
      <c r="N2284" s="15"/>
      <c r="O2284" s="15"/>
      <c r="P2284" s="15"/>
      <c r="Q2284" s="15"/>
      <c r="R2284" s="15"/>
    </row>
    <row r="2285" spans="2:18" ht="13">
      <c r="B2285" s="33"/>
      <c r="C2285" s="34"/>
      <c r="D2285" s="68" t="s">
        <v>17</v>
      </c>
      <c r="E2285" s="69" t="s">
        <v>27</v>
      </c>
      <c r="F2285" s="20" t="s">
        <v>533</v>
      </c>
      <c r="G2285" s="15"/>
      <c r="H2285" s="15"/>
      <c r="I2285" s="15"/>
      <c r="J2285" s="15"/>
      <c r="K2285" s="15"/>
      <c r="L2285" s="15"/>
      <c r="M2285" s="15"/>
      <c r="N2285" s="15"/>
      <c r="O2285" s="15"/>
      <c r="P2285" s="15"/>
      <c r="Q2285" s="15"/>
      <c r="R2285" s="15"/>
    </row>
    <row r="2286" spans="2:18" ht="13">
      <c r="B2286" s="33"/>
      <c r="C2286" s="34"/>
      <c r="D2286" s="68" t="s">
        <v>17</v>
      </c>
      <c r="E2286" s="69" t="s">
        <v>27</v>
      </c>
      <c r="F2286" s="20" t="s">
        <v>533</v>
      </c>
      <c r="G2286" s="15"/>
      <c r="H2286" s="15"/>
      <c r="I2286" s="15"/>
      <c r="J2286" s="15"/>
      <c r="K2286" s="15"/>
      <c r="L2286" s="15"/>
      <c r="M2286" s="15"/>
      <c r="N2286" s="15"/>
      <c r="O2286" s="15"/>
      <c r="P2286" s="15"/>
      <c r="Q2286" s="15"/>
      <c r="R2286" s="15"/>
    </row>
    <row r="2287" spans="2:18" ht="13">
      <c r="B2287" s="33"/>
      <c r="C2287" s="34"/>
      <c r="D2287" s="68" t="s">
        <v>26</v>
      </c>
      <c r="E2287" s="69" t="s">
        <v>27</v>
      </c>
      <c r="F2287" s="20" t="s">
        <v>533</v>
      </c>
      <c r="G2287" s="15"/>
      <c r="H2287" s="15"/>
      <c r="I2287" s="15"/>
      <c r="J2287" s="15"/>
      <c r="K2287" s="15"/>
      <c r="L2287" s="15"/>
      <c r="M2287" s="15"/>
      <c r="N2287" s="15"/>
      <c r="O2287" s="15"/>
      <c r="P2287" s="15"/>
      <c r="Q2287" s="15"/>
      <c r="R2287" s="15"/>
    </row>
    <row r="2288" spans="2:18" ht="13">
      <c r="B2288" s="33"/>
      <c r="C2288" s="34"/>
      <c r="D2288" s="68" t="s">
        <v>26</v>
      </c>
      <c r="E2288" s="69" t="s">
        <v>27</v>
      </c>
      <c r="F2288" s="20" t="s">
        <v>533</v>
      </c>
      <c r="G2288" s="15"/>
      <c r="H2288" s="15"/>
      <c r="I2288" s="15"/>
      <c r="J2288" s="15"/>
      <c r="K2288" s="15"/>
      <c r="L2288" s="15"/>
      <c r="M2288" s="15"/>
      <c r="N2288" s="15"/>
      <c r="O2288" s="15"/>
      <c r="P2288" s="15"/>
      <c r="Q2288" s="15"/>
      <c r="R2288" s="15"/>
    </row>
    <row r="2289" spans="2:18" ht="13">
      <c r="B2289" s="33"/>
      <c r="C2289" s="34"/>
      <c r="D2289" s="68" t="s">
        <v>17</v>
      </c>
      <c r="E2289" s="69" t="s">
        <v>27</v>
      </c>
      <c r="F2289" s="20" t="s">
        <v>533</v>
      </c>
      <c r="G2289" s="15"/>
      <c r="H2289" s="15"/>
      <c r="I2289" s="15"/>
      <c r="J2289" s="15"/>
      <c r="K2289" s="15"/>
      <c r="L2289" s="15"/>
      <c r="M2289" s="15"/>
      <c r="N2289" s="15"/>
      <c r="O2289" s="15"/>
      <c r="P2289" s="15"/>
      <c r="Q2289" s="15"/>
      <c r="R2289" s="15"/>
    </row>
    <row r="2290" spans="2:18" ht="13">
      <c r="B2290" s="33"/>
      <c r="C2290" s="34"/>
      <c r="D2290" s="68" t="s">
        <v>660</v>
      </c>
      <c r="E2290" s="69" t="s">
        <v>124</v>
      </c>
      <c r="F2290" s="20" t="s">
        <v>533</v>
      </c>
      <c r="G2290" s="15"/>
      <c r="H2290" s="15"/>
      <c r="I2290" s="15"/>
      <c r="J2290" s="15"/>
      <c r="K2290" s="15"/>
      <c r="L2290" s="15"/>
      <c r="M2290" s="15"/>
      <c r="N2290" s="15"/>
      <c r="O2290" s="15"/>
      <c r="P2290" s="15"/>
      <c r="Q2290" s="15"/>
      <c r="R2290" s="15"/>
    </row>
    <row r="2291" spans="2:18" ht="13">
      <c r="B2291" s="33"/>
      <c r="C2291" s="34"/>
      <c r="D2291" s="68" t="s">
        <v>17</v>
      </c>
      <c r="E2291" s="69" t="s">
        <v>27</v>
      </c>
      <c r="F2291" s="20" t="s">
        <v>533</v>
      </c>
      <c r="G2291" s="15"/>
      <c r="H2291" s="15"/>
      <c r="I2291" s="15"/>
      <c r="J2291" s="15"/>
      <c r="K2291" s="15"/>
      <c r="L2291" s="15"/>
      <c r="M2291" s="15"/>
      <c r="N2291" s="15"/>
      <c r="O2291" s="15"/>
      <c r="P2291" s="15"/>
      <c r="Q2291" s="15"/>
      <c r="R2291" s="15"/>
    </row>
    <row r="2292" spans="2:18" ht="13">
      <c r="B2292" s="33"/>
      <c r="C2292" s="34"/>
      <c r="D2292" s="68" t="s">
        <v>26</v>
      </c>
      <c r="E2292" s="69" t="s">
        <v>27</v>
      </c>
      <c r="F2292" s="20" t="s">
        <v>533</v>
      </c>
      <c r="G2292" s="15"/>
      <c r="H2292" s="15"/>
      <c r="I2292" s="15"/>
      <c r="J2292" s="15"/>
      <c r="K2292" s="15"/>
      <c r="L2292" s="15"/>
      <c r="M2292" s="15"/>
      <c r="N2292" s="15"/>
      <c r="O2292" s="15"/>
      <c r="P2292" s="15"/>
      <c r="Q2292" s="15"/>
      <c r="R2292" s="15"/>
    </row>
    <row r="2293" spans="2:18" ht="13">
      <c r="B2293" s="33"/>
      <c r="C2293" s="34"/>
      <c r="D2293" s="68" t="s">
        <v>17</v>
      </c>
      <c r="E2293" s="69" t="s">
        <v>27</v>
      </c>
      <c r="F2293" s="20" t="s">
        <v>533</v>
      </c>
      <c r="G2293" s="15"/>
      <c r="H2293" s="15"/>
      <c r="I2293" s="15"/>
      <c r="J2293" s="15"/>
      <c r="K2293" s="15"/>
      <c r="L2293" s="15"/>
      <c r="M2293" s="15"/>
      <c r="N2293" s="15"/>
      <c r="O2293" s="15"/>
      <c r="P2293" s="15"/>
      <c r="Q2293" s="15"/>
      <c r="R2293" s="15"/>
    </row>
    <row r="2294" spans="2:18" ht="13">
      <c r="B2294" s="33"/>
      <c r="C2294" s="34"/>
      <c r="D2294" s="68" t="s">
        <v>17</v>
      </c>
      <c r="E2294" s="69" t="s">
        <v>27</v>
      </c>
      <c r="F2294" s="20" t="s">
        <v>533</v>
      </c>
      <c r="G2294" s="15"/>
      <c r="H2294" s="15"/>
      <c r="I2294" s="15"/>
      <c r="J2294" s="15"/>
      <c r="K2294" s="15"/>
      <c r="L2294" s="15"/>
      <c r="M2294" s="15"/>
      <c r="N2294" s="15"/>
      <c r="O2294" s="15"/>
      <c r="P2294" s="15"/>
      <c r="Q2294" s="15"/>
      <c r="R2294" s="15"/>
    </row>
    <row r="2295" spans="2:18" ht="13">
      <c r="B2295" s="33"/>
      <c r="C2295" s="34"/>
      <c r="D2295" s="68" t="s">
        <v>17</v>
      </c>
      <c r="E2295" s="69" t="s">
        <v>27</v>
      </c>
      <c r="F2295" s="20" t="s">
        <v>533</v>
      </c>
      <c r="G2295" s="15"/>
      <c r="H2295" s="15"/>
      <c r="I2295" s="15"/>
      <c r="J2295" s="15"/>
      <c r="K2295" s="15"/>
      <c r="L2295" s="15"/>
      <c r="M2295" s="15"/>
      <c r="N2295" s="15"/>
      <c r="O2295" s="15"/>
      <c r="P2295" s="15"/>
      <c r="Q2295" s="15"/>
      <c r="R2295" s="15"/>
    </row>
    <row r="2296" spans="2:18" ht="13">
      <c r="B2296" s="33"/>
      <c r="C2296" s="34"/>
      <c r="D2296" s="68" t="s">
        <v>17</v>
      </c>
      <c r="E2296" s="69" t="s">
        <v>27</v>
      </c>
      <c r="F2296" s="20" t="s">
        <v>533</v>
      </c>
      <c r="G2296" s="15"/>
      <c r="H2296" s="15"/>
      <c r="I2296" s="15"/>
      <c r="J2296" s="15"/>
      <c r="K2296" s="15"/>
      <c r="L2296" s="15"/>
      <c r="M2296" s="15"/>
      <c r="N2296" s="15"/>
      <c r="O2296" s="15"/>
      <c r="P2296" s="15"/>
      <c r="Q2296" s="15"/>
      <c r="R2296" s="15"/>
    </row>
    <row r="2297" spans="2:18" ht="13">
      <c r="B2297" s="33"/>
      <c r="C2297" s="34"/>
      <c r="D2297" s="68" t="s">
        <v>17</v>
      </c>
      <c r="E2297" s="69" t="s">
        <v>27</v>
      </c>
      <c r="F2297" s="20" t="s">
        <v>533</v>
      </c>
      <c r="G2297" s="15"/>
      <c r="H2297" s="15"/>
      <c r="I2297" s="15"/>
      <c r="J2297" s="15"/>
      <c r="K2297" s="15"/>
      <c r="L2297" s="15"/>
      <c r="M2297" s="15"/>
      <c r="N2297" s="15"/>
      <c r="O2297" s="15"/>
      <c r="P2297" s="15"/>
      <c r="Q2297" s="15"/>
      <c r="R2297" s="15"/>
    </row>
    <row r="2298" spans="2:18" ht="13">
      <c r="B2298" s="33"/>
      <c r="C2298" s="34"/>
      <c r="D2298" s="68" t="s">
        <v>26</v>
      </c>
      <c r="E2298" s="69" t="s">
        <v>27</v>
      </c>
      <c r="F2298" s="20" t="s">
        <v>533</v>
      </c>
      <c r="G2298" s="15"/>
      <c r="H2298" s="15"/>
      <c r="I2298" s="15"/>
      <c r="J2298" s="15"/>
      <c r="K2298" s="15"/>
      <c r="L2298" s="15"/>
      <c r="M2298" s="15"/>
      <c r="N2298" s="15"/>
      <c r="O2298" s="15"/>
      <c r="P2298" s="15"/>
      <c r="Q2298" s="15"/>
      <c r="R2298" s="15"/>
    </row>
    <row r="2299" spans="2:18" ht="13">
      <c r="B2299" s="33"/>
      <c r="C2299" s="34"/>
      <c r="D2299" s="68" t="s">
        <v>26</v>
      </c>
      <c r="E2299" s="69" t="s">
        <v>27</v>
      </c>
      <c r="F2299" s="20" t="s">
        <v>533</v>
      </c>
      <c r="G2299" s="15"/>
      <c r="H2299" s="15"/>
      <c r="I2299" s="15"/>
      <c r="J2299" s="15"/>
      <c r="K2299" s="15"/>
      <c r="L2299" s="15"/>
      <c r="M2299" s="15"/>
      <c r="N2299" s="15"/>
      <c r="O2299" s="15"/>
      <c r="P2299" s="15"/>
      <c r="Q2299" s="15"/>
      <c r="R2299" s="15"/>
    </row>
    <row r="2300" spans="2:18" ht="13">
      <c r="B2300" s="33"/>
      <c r="C2300" s="34"/>
      <c r="D2300" s="68" t="s">
        <v>572</v>
      </c>
      <c r="E2300" s="69" t="s">
        <v>32</v>
      </c>
      <c r="F2300" s="20" t="s">
        <v>533</v>
      </c>
      <c r="G2300" s="15"/>
      <c r="H2300" s="15"/>
      <c r="I2300" s="15"/>
      <c r="J2300" s="15"/>
      <c r="K2300" s="15"/>
      <c r="L2300" s="15"/>
      <c r="M2300" s="15"/>
      <c r="N2300" s="15"/>
      <c r="O2300" s="15"/>
      <c r="P2300" s="15"/>
      <c r="Q2300" s="15"/>
      <c r="R2300" s="15"/>
    </row>
    <row r="2301" spans="2:18" ht="13">
      <c r="B2301" s="33"/>
      <c r="C2301" s="34"/>
      <c r="D2301" s="68" t="s">
        <v>31</v>
      </c>
      <c r="E2301" s="69" t="s">
        <v>32</v>
      </c>
      <c r="F2301" s="20" t="s">
        <v>533</v>
      </c>
      <c r="G2301" s="15"/>
      <c r="H2301" s="15"/>
      <c r="I2301" s="15"/>
      <c r="J2301" s="15"/>
      <c r="K2301" s="15"/>
      <c r="L2301" s="15"/>
      <c r="M2301" s="15"/>
      <c r="N2301" s="15"/>
      <c r="O2301" s="15"/>
      <c r="P2301" s="15"/>
      <c r="Q2301" s="15"/>
      <c r="R2301" s="15"/>
    </row>
    <row r="2302" spans="2:18" ht="13">
      <c r="B2302" s="33"/>
      <c r="C2302" s="34"/>
      <c r="D2302" s="68" t="s">
        <v>661</v>
      </c>
      <c r="E2302" s="69" t="s">
        <v>37</v>
      </c>
      <c r="F2302" s="20" t="s">
        <v>533</v>
      </c>
      <c r="G2302" s="15"/>
      <c r="H2302" s="15"/>
      <c r="I2302" s="15"/>
      <c r="J2302" s="15"/>
      <c r="K2302" s="15"/>
      <c r="L2302" s="15"/>
      <c r="M2302" s="15"/>
      <c r="N2302" s="15"/>
      <c r="O2302" s="15"/>
      <c r="P2302" s="15"/>
      <c r="Q2302" s="15"/>
      <c r="R2302" s="15"/>
    </row>
    <row r="2303" spans="2:18" ht="13">
      <c r="B2303" s="33"/>
      <c r="C2303" s="34"/>
      <c r="D2303" s="68" t="s">
        <v>569</v>
      </c>
      <c r="E2303" s="69" t="s">
        <v>32</v>
      </c>
      <c r="F2303" s="20" t="s">
        <v>533</v>
      </c>
      <c r="G2303" s="15"/>
      <c r="H2303" s="15"/>
      <c r="I2303" s="15"/>
      <c r="J2303" s="15"/>
      <c r="K2303" s="15"/>
      <c r="L2303" s="15"/>
      <c r="M2303" s="15"/>
      <c r="N2303" s="15"/>
      <c r="O2303" s="15"/>
      <c r="P2303" s="15"/>
      <c r="Q2303" s="15"/>
      <c r="R2303" s="15"/>
    </row>
    <row r="2304" spans="2:18" ht="13">
      <c r="B2304" s="33"/>
      <c r="C2304" s="34"/>
      <c r="D2304" s="68" t="s">
        <v>577</v>
      </c>
      <c r="E2304" s="69" t="s">
        <v>124</v>
      </c>
      <c r="F2304" s="20" t="s">
        <v>533</v>
      </c>
      <c r="G2304" s="15"/>
      <c r="H2304" s="15"/>
      <c r="I2304" s="15"/>
      <c r="J2304" s="15"/>
      <c r="K2304" s="15"/>
      <c r="L2304" s="15"/>
      <c r="M2304" s="15"/>
      <c r="N2304" s="15"/>
      <c r="O2304" s="15"/>
      <c r="P2304" s="15"/>
      <c r="Q2304" s="15"/>
      <c r="R2304" s="15"/>
    </row>
    <row r="2305" spans="2:18" ht="13">
      <c r="B2305" s="33"/>
      <c r="C2305" s="34"/>
      <c r="D2305" s="68" t="s">
        <v>17</v>
      </c>
      <c r="E2305" s="69" t="s">
        <v>27</v>
      </c>
      <c r="F2305" s="20" t="s">
        <v>533</v>
      </c>
      <c r="G2305" s="15"/>
      <c r="H2305" s="15"/>
      <c r="I2305" s="15"/>
      <c r="J2305" s="15"/>
      <c r="K2305" s="15"/>
      <c r="L2305" s="15"/>
      <c r="M2305" s="15"/>
      <c r="N2305" s="15"/>
      <c r="O2305" s="15"/>
      <c r="P2305" s="15"/>
      <c r="Q2305" s="15"/>
      <c r="R2305" s="15"/>
    </row>
    <row r="2306" spans="2:18" ht="13">
      <c r="B2306" s="33"/>
      <c r="C2306" s="34"/>
      <c r="D2306" s="68" t="s">
        <v>17</v>
      </c>
      <c r="E2306" s="69" t="s">
        <v>27</v>
      </c>
      <c r="F2306" s="20" t="s">
        <v>533</v>
      </c>
      <c r="G2306" s="15"/>
      <c r="H2306" s="15"/>
      <c r="I2306" s="15"/>
      <c r="J2306" s="15"/>
      <c r="K2306" s="15"/>
      <c r="L2306" s="15"/>
      <c r="M2306" s="15"/>
      <c r="N2306" s="15"/>
      <c r="O2306" s="15"/>
      <c r="P2306" s="15"/>
      <c r="Q2306" s="15"/>
      <c r="R2306" s="15"/>
    </row>
    <row r="2307" spans="2:18" ht="13">
      <c r="B2307" s="33"/>
      <c r="C2307" s="34"/>
      <c r="D2307" s="68" t="s">
        <v>611</v>
      </c>
      <c r="E2307" s="69" t="s">
        <v>163</v>
      </c>
      <c r="F2307" s="20" t="s">
        <v>533</v>
      </c>
      <c r="G2307" s="15"/>
      <c r="H2307" s="15"/>
      <c r="I2307" s="15"/>
      <c r="J2307" s="15"/>
      <c r="K2307" s="15"/>
      <c r="L2307" s="15"/>
      <c r="M2307" s="15"/>
      <c r="N2307" s="15"/>
      <c r="O2307" s="15"/>
      <c r="P2307" s="15"/>
      <c r="Q2307" s="15"/>
      <c r="R2307" s="15"/>
    </row>
    <row r="2308" spans="2:18" ht="13">
      <c r="B2308" s="33"/>
      <c r="C2308" s="34"/>
      <c r="D2308" s="68" t="s">
        <v>17</v>
      </c>
      <c r="E2308" s="69" t="s">
        <v>27</v>
      </c>
      <c r="F2308" s="20" t="s">
        <v>533</v>
      </c>
      <c r="G2308" s="15"/>
      <c r="H2308" s="15"/>
      <c r="I2308" s="15"/>
      <c r="J2308" s="15"/>
      <c r="K2308" s="15"/>
      <c r="L2308" s="15"/>
      <c r="M2308" s="15"/>
      <c r="N2308" s="15"/>
      <c r="O2308" s="15"/>
      <c r="P2308" s="15"/>
      <c r="Q2308" s="15"/>
      <c r="R2308" s="15"/>
    </row>
    <row r="2309" spans="2:18" ht="13">
      <c r="B2309" s="33"/>
      <c r="C2309" s="34"/>
      <c r="D2309" s="68" t="s">
        <v>17</v>
      </c>
      <c r="E2309" s="69" t="s">
        <v>27</v>
      </c>
      <c r="F2309" s="20" t="s">
        <v>533</v>
      </c>
      <c r="G2309" s="15"/>
      <c r="H2309" s="15"/>
      <c r="I2309" s="15"/>
      <c r="J2309" s="15"/>
      <c r="K2309" s="15"/>
      <c r="L2309" s="15"/>
      <c r="M2309" s="15"/>
      <c r="N2309" s="15"/>
      <c r="O2309" s="15"/>
      <c r="P2309" s="15"/>
      <c r="Q2309" s="15"/>
      <c r="R2309" s="15"/>
    </row>
    <row r="2310" spans="2:18" ht="13">
      <c r="B2310" s="33"/>
      <c r="C2310" s="34"/>
      <c r="D2310" s="68" t="s">
        <v>290</v>
      </c>
      <c r="E2310" s="69" t="s">
        <v>32</v>
      </c>
      <c r="F2310" s="20" t="s">
        <v>533</v>
      </c>
      <c r="G2310" s="15"/>
      <c r="H2310" s="15"/>
      <c r="I2310" s="15"/>
      <c r="J2310" s="15"/>
      <c r="K2310" s="15"/>
      <c r="L2310" s="15"/>
      <c r="M2310" s="15"/>
      <c r="N2310" s="15"/>
      <c r="O2310" s="15"/>
      <c r="P2310" s="15"/>
      <c r="Q2310" s="15"/>
      <c r="R2310" s="15"/>
    </row>
    <row r="2311" spans="2:18" ht="13">
      <c r="B2311" s="33"/>
      <c r="C2311" s="34"/>
      <c r="D2311" s="68" t="s">
        <v>17</v>
      </c>
      <c r="E2311" s="69" t="s">
        <v>27</v>
      </c>
      <c r="F2311" s="20" t="s">
        <v>533</v>
      </c>
      <c r="G2311" s="15"/>
      <c r="H2311" s="15"/>
      <c r="I2311" s="15"/>
      <c r="J2311" s="15"/>
      <c r="K2311" s="15"/>
      <c r="L2311" s="15"/>
      <c r="M2311" s="15"/>
      <c r="N2311" s="15"/>
      <c r="O2311" s="15"/>
      <c r="P2311" s="15"/>
      <c r="Q2311" s="15"/>
      <c r="R2311" s="15"/>
    </row>
    <row r="2312" spans="2:18" ht="13">
      <c r="B2312" s="33"/>
      <c r="C2312" s="34"/>
      <c r="D2312" s="68" t="s">
        <v>26</v>
      </c>
      <c r="E2312" s="69" t="s">
        <v>27</v>
      </c>
      <c r="F2312" s="20" t="s">
        <v>533</v>
      </c>
      <c r="G2312" s="15"/>
      <c r="H2312" s="15"/>
      <c r="I2312" s="15"/>
      <c r="J2312" s="15"/>
      <c r="K2312" s="15"/>
      <c r="L2312" s="15"/>
      <c r="M2312" s="15"/>
      <c r="N2312" s="15"/>
      <c r="O2312" s="15"/>
      <c r="P2312" s="15"/>
      <c r="Q2312" s="15"/>
      <c r="R2312" s="15"/>
    </row>
    <row r="2313" spans="2:18" ht="13">
      <c r="B2313" s="33"/>
      <c r="C2313" s="34"/>
      <c r="D2313" s="68" t="s">
        <v>26</v>
      </c>
      <c r="E2313" s="69" t="s">
        <v>564</v>
      </c>
      <c r="F2313" s="20" t="s">
        <v>533</v>
      </c>
      <c r="G2313" s="15"/>
      <c r="H2313" s="15"/>
      <c r="I2313" s="15"/>
      <c r="J2313" s="15"/>
      <c r="K2313" s="15"/>
      <c r="L2313" s="15"/>
      <c r="M2313" s="15"/>
      <c r="N2313" s="15"/>
      <c r="O2313" s="15"/>
      <c r="P2313" s="15"/>
      <c r="Q2313" s="15"/>
      <c r="R2313" s="15"/>
    </row>
    <row r="2314" spans="2:18" ht="13">
      <c r="B2314" s="33"/>
      <c r="C2314" s="34"/>
      <c r="D2314" s="68" t="s">
        <v>17</v>
      </c>
      <c r="E2314" s="69" t="s">
        <v>27</v>
      </c>
      <c r="F2314" s="20" t="s">
        <v>533</v>
      </c>
      <c r="G2314" s="15"/>
      <c r="H2314" s="15"/>
      <c r="I2314" s="15"/>
      <c r="J2314" s="15"/>
      <c r="K2314" s="15"/>
      <c r="L2314" s="15"/>
      <c r="M2314" s="15"/>
      <c r="N2314" s="15"/>
      <c r="O2314" s="15"/>
      <c r="P2314" s="15"/>
      <c r="Q2314" s="15"/>
      <c r="R2314" s="15"/>
    </row>
    <row r="2315" spans="2:18" ht="13">
      <c r="B2315" s="33"/>
      <c r="C2315" s="34"/>
      <c r="D2315" s="68" t="s">
        <v>17</v>
      </c>
      <c r="E2315" s="69" t="s">
        <v>27</v>
      </c>
      <c r="F2315" s="20" t="s">
        <v>533</v>
      </c>
      <c r="G2315" s="15"/>
      <c r="H2315" s="15"/>
      <c r="I2315" s="15"/>
      <c r="J2315" s="15"/>
      <c r="K2315" s="15"/>
      <c r="L2315" s="15"/>
      <c r="M2315" s="15"/>
      <c r="N2315" s="15"/>
      <c r="O2315" s="15"/>
      <c r="P2315" s="15"/>
      <c r="Q2315" s="15"/>
      <c r="R2315" s="15"/>
    </row>
    <row r="2316" spans="2:18" ht="13">
      <c r="B2316" s="33"/>
      <c r="C2316" s="34"/>
      <c r="D2316" s="68" t="s">
        <v>17</v>
      </c>
      <c r="E2316" s="69" t="s">
        <v>27</v>
      </c>
      <c r="F2316" s="20" t="s">
        <v>533</v>
      </c>
      <c r="G2316" s="15"/>
      <c r="H2316" s="15"/>
      <c r="I2316" s="15"/>
      <c r="J2316" s="15"/>
      <c r="K2316" s="15"/>
      <c r="L2316" s="15"/>
      <c r="M2316" s="15"/>
      <c r="N2316" s="15"/>
      <c r="O2316" s="15"/>
      <c r="P2316" s="15"/>
      <c r="Q2316" s="15"/>
      <c r="R2316" s="15"/>
    </row>
    <row r="2317" spans="2:18" ht="13">
      <c r="B2317" s="33"/>
      <c r="C2317" s="34"/>
      <c r="D2317" s="68" t="s">
        <v>17</v>
      </c>
      <c r="E2317" s="69" t="s">
        <v>27</v>
      </c>
      <c r="F2317" s="20" t="s">
        <v>533</v>
      </c>
      <c r="G2317" s="15"/>
      <c r="H2317" s="15"/>
      <c r="I2317" s="15"/>
      <c r="J2317" s="15"/>
      <c r="K2317" s="15"/>
      <c r="L2317" s="15"/>
      <c r="M2317" s="15"/>
      <c r="N2317" s="15"/>
      <c r="O2317" s="15"/>
      <c r="P2317" s="15"/>
      <c r="Q2317" s="15"/>
      <c r="R2317" s="15"/>
    </row>
    <row r="2318" spans="2:18" ht="13">
      <c r="B2318" s="33"/>
      <c r="C2318" s="34"/>
      <c r="D2318" s="68" t="s">
        <v>17</v>
      </c>
      <c r="E2318" s="69" t="s">
        <v>27</v>
      </c>
      <c r="F2318" s="20" t="s">
        <v>533</v>
      </c>
      <c r="G2318" s="15"/>
      <c r="H2318" s="15"/>
      <c r="I2318" s="15"/>
      <c r="J2318" s="15"/>
      <c r="K2318" s="15"/>
      <c r="L2318" s="15"/>
      <c r="M2318" s="15"/>
      <c r="N2318" s="15"/>
      <c r="O2318" s="15"/>
      <c r="P2318" s="15"/>
      <c r="Q2318" s="15"/>
      <c r="R2318" s="15"/>
    </row>
    <row r="2319" spans="2:18" ht="13">
      <c r="B2319" s="33"/>
      <c r="C2319" s="34"/>
      <c r="D2319" s="68" t="s">
        <v>26</v>
      </c>
      <c r="E2319" s="69" t="s">
        <v>27</v>
      </c>
      <c r="F2319" s="20" t="s">
        <v>533</v>
      </c>
      <c r="G2319" s="15"/>
      <c r="H2319" s="15"/>
      <c r="I2319" s="15"/>
      <c r="J2319" s="15"/>
      <c r="K2319" s="15"/>
      <c r="L2319" s="15"/>
      <c r="M2319" s="15"/>
      <c r="N2319" s="15"/>
      <c r="O2319" s="15"/>
      <c r="P2319" s="15"/>
      <c r="Q2319" s="15"/>
      <c r="R2319" s="15"/>
    </row>
    <row r="2320" spans="2:18" ht="13">
      <c r="B2320" s="33"/>
      <c r="C2320" s="34"/>
      <c r="D2320" s="68" t="s">
        <v>26</v>
      </c>
      <c r="E2320" s="69" t="s">
        <v>27</v>
      </c>
      <c r="F2320" s="20" t="s">
        <v>533</v>
      </c>
      <c r="G2320" s="15"/>
      <c r="H2320" s="15"/>
      <c r="I2320" s="15"/>
      <c r="J2320" s="15"/>
      <c r="K2320" s="15"/>
      <c r="L2320" s="15"/>
      <c r="M2320" s="15"/>
      <c r="N2320" s="15"/>
      <c r="O2320" s="15"/>
      <c r="P2320" s="15"/>
      <c r="Q2320" s="15"/>
      <c r="R2320" s="15"/>
    </row>
    <row r="2321" spans="2:18" ht="13">
      <c r="B2321" s="33"/>
      <c r="C2321" s="34"/>
      <c r="D2321" s="68" t="s">
        <v>17</v>
      </c>
      <c r="E2321" s="69" t="s">
        <v>18</v>
      </c>
      <c r="F2321" s="20" t="s">
        <v>533</v>
      </c>
      <c r="G2321" s="15"/>
      <c r="H2321" s="15"/>
      <c r="I2321" s="15"/>
      <c r="J2321" s="15"/>
      <c r="K2321" s="15"/>
      <c r="L2321" s="15"/>
      <c r="M2321" s="15"/>
      <c r="N2321" s="15"/>
      <c r="O2321" s="15"/>
      <c r="P2321" s="15"/>
      <c r="Q2321" s="15"/>
      <c r="R2321" s="15"/>
    </row>
    <row r="2322" spans="2:18" ht="13">
      <c r="B2322" s="33"/>
      <c r="C2322" s="34"/>
      <c r="D2322" s="68" t="s">
        <v>17</v>
      </c>
      <c r="E2322" s="69" t="s">
        <v>27</v>
      </c>
      <c r="F2322" s="20" t="s">
        <v>533</v>
      </c>
      <c r="G2322" s="15"/>
      <c r="H2322" s="15"/>
      <c r="I2322" s="15"/>
      <c r="J2322" s="15"/>
      <c r="K2322" s="15"/>
      <c r="L2322" s="15"/>
      <c r="M2322" s="15"/>
      <c r="N2322" s="15"/>
      <c r="O2322" s="15"/>
      <c r="P2322" s="15"/>
      <c r="Q2322" s="15"/>
      <c r="R2322" s="15"/>
    </row>
    <row r="2323" spans="2:18" ht="13">
      <c r="B2323" s="33"/>
      <c r="C2323" s="34"/>
      <c r="D2323" s="68" t="s">
        <v>17</v>
      </c>
      <c r="E2323" s="69" t="s">
        <v>27</v>
      </c>
      <c r="F2323" s="20" t="s">
        <v>533</v>
      </c>
      <c r="G2323" s="15"/>
      <c r="H2323" s="15"/>
      <c r="I2323" s="15"/>
      <c r="J2323" s="15"/>
      <c r="K2323" s="15"/>
      <c r="L2323" s="15"/>
      <c r="M2323" s="15"/>
      <c r="N2323" s="15"/>
      <c r="O2323" s="15"/>
      <c r="P2323" s="15"/>
      <c r="Q2323" s="15"/>
      <c r="R2323" s="15"/>
    </row>
    <row r="2324" spans="2:18" ht="13">
      <c r="B2324" s="33"/>
      <c r="C2324" s="34"/>
      <c r="D2324" s="68" t="s">
        <v>17</v>
      </c>
      <c r="E2324" s="69" t="s">
        <v>27</v>
      </c>
      <c r="F2324" s="20" t="s">
        <v>533</v>
      </c>
      <c r="G2324" s="15"/>
      <c r="H2324" s="15"/>
      <c r="I2324" s="15"/>
      <c r="J2324" s="15"/>
      <c r="K2324" s="15"/>
      <c r="L2324" s="15"/>
      <c r="M2324" s="15"/>
      <c r="N2324" s="15"/>
      <c r="O2324" s="15"/>
      <c r="P2324" s="15"/>
      <c r="Q2324" s="15"/>
      <c r="R2324" s="15"/>
    </row>
    <row r="2325" spans="2:18" ht="13">
      <c r="B2325" s="33"/>
      <c r="C2325" s="34"/>
      <c r="D2325" s="68" t="s">
        <v>577</v>
      </c>
      <c r="E2325" s="69" t="s">
        <v>124</v>
      </c>
      <c r="F2325" s="20" t="s">
        <v>533</v>
      </c>
      <c r="G2325" s="15"/>
      <c r="H2325" s="15"/>
      <c r="I2325" s="15"/>
      <c r="J2325" s="15"/>
      <c r="K2325" s="15"/>
      <c r="L2325" s="15"/>
      <c r="M2325" s="15"/>
      <c r="N2325" s="15"/>
      <c r="O2325" s="15"/>
      <c r="P2325" s="15"/>
      <c r="Q2325" s="15"/>
      <c r="R2325" s="15"/>
    </row>
    <row r="2326" spans="2:18" ht="13">
      <c r="B2326" s="33"/>
      <c r="C2326" s="34"/>
      <c r="D2326" s="68" t="s">
        <v>26</v>
      </c>
      <c r="E2326" s="69" t="s">
        <v>27</v>
      </c>
      <c r="F2326" s="20" t="s">
        <v>533</v>
      </c>
      <c r="G2326" s="15"/>
      <c r="H2326" s="15"/>
      <c r="I2326" s="15"/>
      <c r="J2326" s="15"/>
      <c r="K2326" s="15"/>
      <c r="L2326" s="15"/>
      <c r="M2326" s="15"/>
      <c r="N2326" s="15"/>
      <c r="O2326" s="15"/>
      <c r="P2326" s="15"/>
      <c r="Q2326" s="15"/>
      <c r="R2326" s="15"/>
    </row>
    <row r="2327" spans="2:18" ht="13">
      <c r="B2327" s="33"/>
      <c r="C2327" s="34"/>
      <c r="D2327" s="68" t="s">
        <v>17</v>
      </c>
      <c r="E2327" s="69" t="s">
        <v>27</v>
      </c>
      <c r="F2327" s="20" t="s">
        <v>533</v>
      </c>
      <c r="G2327" s="15"/>
      <c r="H2327" s="15"/>
      <c r="I2327" s="15"/>
      <c r="J2327" s="15"/>
      <c r="K2327" s="15"/>
      <c r="L2327" s="15"/>
      <c r="M2327" s="15"/>
      <c r="N2327" s="15"/>
      <c r="O2327" s="15"/>
      <c r="P2327" s="15"/>
      <c r="Q2327" s="15"/>
      <c r="R2327" s="15"/>
    </row>
    <row r="2328" spans="2:18" ht="13">
      <c r="B2328" s="33"/>
      <c r="C2328" s="34"/>
      <c r="D2328" s="68" t="s">
        <v>17</v>
      </c>
      <c r="E2328" s="69" t="s">
        <v>27</v>
      </c>
      <c r="F2328" s="20" t="s">
        <v>533</v>
      </c>
      <c r="G2328" s="15"/>
      <c r="H2328" s="15"/>
      <c r="I2328" s="15"/>
      <c r="J2328" s="15"/>
      <c r="K2328" s="15"/>
      <c r="L2328" s="15"/>
      <c r="M2328" s="15"/>
      <c r="N2328" s="15"/>
      <c r="O2328" s="15"/>
      <c r="P2328" s="15"/>
      <c r="Q2328" s="15"/>
      <c r="R2328" s="15"/>
    </row>
    <row r="2329" spans="2:18" ht="13">
      <c r="B2329" s="33"/>
      <c r="C2329" s="34"/>
      <c r="D2329" s="68" t="s">
        <v>17</v>
      </c>
      <c r="E2329" s="69" t="s">
        <v>27</v>
      </c>
      <c r="F2329" s="20" t="s">
        <v>533</v>
      </c>
      <c r="G2329" s="15"/>
      <c r="H2329" s="15"/>
      <c r="I2329" s="15"/>
      <c r="J2329" s="15"/>
      <c r="K2329" s="15"/>
      <c r="L2329" s="15"/>
      <c r="M2329" s="15"/>
      <c r="N2329" s="15"/>
      <c r="O2329" s="15"/>
      <c r="P2329" s="15"/>
      <c r="Q2329" s="15"/>
      <c r="R2329" s="15"/>
    </row>
    <row r="2330" spans="2:18" ht="13">
      <c r="B2330" s="33"/>
      <c r="C2330" s="34"/>
      <c r="D2330" s="68" t="s">
        <v>26</v>
      </c>
      <c r="E2330" s="69" t="s">
        <v>27</v>
      </c>
      <c r="F2330" s="20" t="s">
        <v>533</v>
      </c>
      <c r="G2330" s="15"/>
      <c r="H2330" s="15"/>
      <c r="I2330" s="15"/>
      <c r="J2330" s="15"/>
      <c r="K2330" s="15"/>
      <c r="L2330" s="15"/>
      <c r="M2330" s="15"/>
      <c r="N2330" s="15"/>
      <c r="O2330" s="15"/>
      <c r="P2330" s="15"/>
      <c r="Q2330" s="15"/>
      <c r="R2330" s="15"/>
    </row>
    <row r="2331" spans="2:18" ht="13">
      <c r="B2331" s="33"/>
      <c r="C2331" s="34"/>
      <c r="D2331" s="68" t="s">
        <v>17</v>
      </c>
      <c r="E2331" s="69" t="s">
        <v>27</v>
      </c>
      <c r="F2331" s="20" t="s">
        <v>533</v>
      </c>
      <c r="G2331" s="15"/>
      <c r="H2331" s="15"/>
      <c r="I2331" s="15"/>
      <c r="J2331" s="15"/>
      <c r="K2331" s="15"/>
      <c r="L2331" s="15"/>
      <c r="M2331" s="15"/>
      <c r="N2331" s="15"/>
      <c r="O2331" s="15"/>
      <c r="P2331" s="15"/>
      <c r="Q2331" s="15"/>
      <c r="R2331" s="15"/>
    </row>
    <row r="2332" spans="2:18" ht="13">
      <c r="B2332" s="33"/>
      <c r="C2332" s="34"/>
      <c r="D2332" s="68" t="s">
        <v>17</v>
      </c>
      <c r="E2332" s="69" t="s">
        <v>27</v>
      </c>
      <c r="F2332" s="20" t="s">
        <v>533</v>
      </c>
      <c r="G2332" s="15"/>
      <c r="H2332" s="15"/>
      <c r="I2332" s="15"/>
      <c r="J2332" s="15"/>
      <c r="K2332" s="15"/>
      <c r="L2332" s="15"/>
      <c r="M2332" s="15"/>
      <c r="N2332" s="15"/>
      <c r="O2332" s="15"/>
      <c r="P2332" s="15"/>
      <c r="Q2332" s="15"/>
      <c r="R2332" s="15"/>
    </row>
    <row r="2333" spans="2:18" ht="13">
      <c r="B2333" s="33"/>
      <c r="C2333" s="34"/>
      <c r="D2333" s="68" t="s">
        <v>26</v>
      </c>
      <c r="E2333" s="69" t="s">
        <v>27</v>
      </c>
      <c r="F2333" s="20" t="s">
        <v>533</v>
      </c>
      <c r="G2333" s="15"/>
      <c r="H2333" s="15"/>
      <c r="I2333" s="15"/>
      <c r="J2333" s="15"/>
      <c r="K2333" s="15"/>
      <c r="L2333" s="15"/>
      <c r="M2333" s="15"/>
      <c r="N2333" s="15"/>
      <c r="O2333" s="15"/>
      <c r="P2333" s="15"/>
      <c r="Q2333" s="15"/>
      <c r="R2333" s="15"/>
    </row>
    <row r="2334" spans="2:18" ht="13">
      <c r="B2334" s="33"/>
      <c r="C2334" s="34"/>
      <c r="D2334" s="68" t="s">
        <v>17</v>
      </c>
      <c r="E2334" s="69" t="s">
        <v>27</v>
      </c>
      <c r="F2334" s="20" t="s">
        <v>533</v>
      </c>
      <c r="G2334" s="15"/>
      <c r="H2334" s="15"/>
      <c r="I2334" s="15"/>
      <c r="J2334" s="15"/>
      <c r="K2334" s="15"/>
      <c r="L2334" s="15"/>
      <c r="M2334" s="15"/>
      <c r="N2334" s="15"/>
      <c r="O2334" s="15"/>
      <c r="P2334" s="15"/>
      <c r="Q2334" s="15"/>
      <c r="R2334" s="15"/>
    </row>
    <row r="2335" spans="2:18" ht="13">
      <c r="B2335" s="33"/>
      <c r="C2335" s="34"/>
      <c r="D2335" s="68" t="s">
        <v>17</v>
      </c>
      <c r="E2335" s="69" t="s">
        <v>27</v>
      </c>
      <c r="F2335" s="20" t="s">
        <v>533</v>
      </c>
      <c r="G2335" s="15"/>
      <c r="H2335" s="15"/>
      <c r="I2335" s="15"/>
      <c r="J2335" s="15"/>
      <c r="K2335" s="15"/>
      <c r="L2335" s="15"/>
      <c r="M2335" s="15"/>
      <c r="N2335" s="15"/>
      <c r="O2335" s="15"/>
      <c r="P2335" s="15"/>
      <c r="Q2335" s="15"/>
      <c r="R2335" s="15"/>
    </row>
    <row r="2336" spans="2:18" ht="13">
      <c r="B2336" s="33"/>
      <c r="C2336" s="34"/>
      <c r="D2336" s="68" t="s">
        <v>26</v>
      </c>
      <c r="E2336" s="69" t="s">
        <v>27</v>
      </c>
      <c r="F2336" s="20" t="s">
        <v>533</v>
      </c>
      <c r="G2336" s="15"/>
      <c r="H2336" s="15"/>
      <c r="I2336" s="15"/>
      <c r="J2336" s="15"/>
      <c r="K2336" s="15"/>
      <c r="L2336" s="15"/>
      <c r="M2336" s="15"/>
      <c r="N2336" s="15"/>
      <c r="O2336" s="15"/>
      <c r="P2336" s="15"/>
      <c r="Q2336" s="15"/>
      <c r="R2336" s="15"/>
    </row>
    <row r="2337" spans="2:18" ht="13">
      <c r="B2337" s="33"/>
      <c r="C2337" s="34"/>
      <c r="D2337" s="68" t="s">
        <v>26</v>
      </c>
      <c r="E2337" s="69" t="s">
        <v>27</v>
      </c>
      <c r="F2337" s="20" t="s">
        <v>533</v>
      </c>
      <c r="G2337" s="15"/>
      <c r="H2337" s="15"/>
      <c r="I2337" s="15"/>
      <c r="J2337" s="15"/>
      <c r="K2337" s="15"/>
      <c r="L2337" s="15"/>
      <c r="M2337" s="15"/>
      <c r="N2337" s="15"/>
      <c r="O2337" s="15"/>
      <c r="P2337" s="15"/>
      <c r="Q2337" s="15"/>
      <c r="R2337" s="15"/>
    </row>
    <row r="2338" spans="2:18" ht="13">
      <c r="B2338" s="33"/>
      <c r="C2338" s="34"/>
      <c r="D2338" s="68" t="s">
        <v>17</v>
      </c>
      <c r="E2338" s="69" t="s">
        <v>27</v>
      </c>
      <c r="F2338" s="20" t="s">
        <v>533</v>
      </c>
      <c r="G2338" s="15"/>
      <c r="H2338" s="15"/>
      <c r="I2338" s="15"/>
      <c r="J2338" s="15"/>
      <c r="K2338" s="15"/>
      <c r="L2338" s="15"/>
      <c r="M2338" s="15"/>
      <c r="N2338" s="15"/>
      <c r="O2338" s="15"/>
      <c r="P2338" s="15"/>
      <c r="Q2338" s="15"/>
      <c r="R2338" s="15"/>
    </row>
    <row r="2339" spans="2:18" ht="13">
      <c r="B2339" s="33"/>
      <c r="C2339" s="34"/>
      <c r="D2339" s="68" t="s">
        <v>26</v>
      </c>
      <c r="E2339" s="69" t="s">
        <v>27</v>
      </c>
      <c r="F2339" s="20" t="s">
        <v>533</v>
      </c>
      <c r="G2339" s="15"/>
      <c r="H2339" s="15"/>
      <c r="I2339" s="15"/>
      <c r="J2339" s="15"/>
      <c r="K2339" s="15"/>
      <c r="L2339" s="15"/>
      <c r="M2339" s="15"/>
      <c r="N2339" s="15"/>
      <c r="O2339" s="15"/>
      <c r="P2339" s="15"/>
      <c r="Q2339" s="15"/>
      <c r="R2339" s="15"/>
    </row>
    <row r="2340" spans="2:18" ht="13">
      <c r="B2340" s="33"/>
      <c r="C2340" s="34"/>
      <c r="D2340" s="68" t="s">
        <v>26</v>
      </c>
      <c r="E2340" s="69" t="s">
        <v>27</v>
      </c>
      <c r="F2340" s="20" t="s">
        <v>533</v>
      </c>
      <c r="G2340" s="15"/>
      <c r="H2340" s="15"/>
      <c r="I2340" s="15"/>
      <c r="J2340" s="15"/>
      <c r="K2340" s="15"/>
      <c r="L2340" s="15"/>
      <c r="M2340" s="15"/>
      <c r="N2340" s="15"/>
      <c r="O2340" s="15"/>
      <c r="P2340" s="15"/>
      <c r="Q2340" s="15"/>
      <c r="R2340" s="15"/>
    </row>
    <row r="2341" spans="2:18" ht="13">
      <c r="B2341" s="33"/>
      <c r="C2341" s="34"/>
      <c r="D2341" s="68" t="s">
        <v>17</v>
      </c>
      <c r="E2341" s="69" t="s">
        <v>27</v>
      </c>
      <c r="F2341" s="20" t="s">
        <v>533</v>
      </c>
      <c r="G2341" s="15"/>
      <c r="H2341" s="15"/>
      <c r="I2341" s="15"/>
      <c r="J2341" s="15"/>
      <c r="K2341" s="15"/>
      <c r="L2341" s="15"/>
      <c r="M2341" s="15"/>
      <c r="N2341" s="15"/>
      <c r="O2341" s="15"/>
      <c r="P2341" s="15"/>
      <c r="Q2341" s="15"/>
      <c r="R2341" s="15"/>
    </row>
    <row r="2342" spans="2:18" ht="13">
      <c r="B2342" s="33"/>
      <c r="C2342" s="34"/>
      <c r="D2342" s="68" t="s">
        <v>26</v>
      </c>
      <c r="E2342" s="69" t="s">
        <v>27</v>
      </c>
      <c r="F2342" s="20" t="s">
        <v>533</v>
      </c>
      <c r="G2342" s="15"/>
      <c r="H2342" s="15"/>
      <c r="I2342" s="15"/>
      <c r="J2342" s="15"/>
      <c r="K2342" s="15"/>
      <c r="L2342" s="15"/>
      <c r="M2342" s="15"/>
      <c r="N2342" s="15"/>
      <c r="O2342" s="15"/>
      <c r="P2342" s="15"/>
      <c r="Q2342" s="15"/>
      <c r="R2342" s="15"/>
    </row>
    <row r="2343" spans="2:18" ht="13">
      <c r="B2343" s="33"/>
      <c r="C2343" s="34"/>
      <c r="D2343" s="68" t="s">
        <v>620</v>
      </c>
      <c r="E2343" s="69" t="s">
        <v>121</v>
      </c>
      <c r="F2343" s="20" t="s">
        <v>533</v>
      </c>
      <c r="G2343" s="15"/>
      <c r="H2343" s="15"/>
      <c r="I2343" s="15"/>
      <c r="J2343" s="15"/>
      <c r="K2343" s="15"/>
      <c r="L2343" s="15"/>
      <c r="M2343" s="15"/>
      <c r="N2343" s="15"/>
      <c r="O2343" s="15"/>
      <c r="P2343" s="15"/>
      <c r="Q2343" s="15"/>
      <c r="R2343" s="15"/>
    </row>
    <row r="2344" spans="2:18" ht="13">
      <c r="B2344" s="33"/>
      <c r="C2344" s="34"/>
      <c r="D2344" s="68" t="s">
        <v>17</v>
      </c>
      <c r="E2344" s="69" t="s">
        <v>27</v>
      </c>
      <c r="F2344" s="20" t="s">
        <v>533</v>
      </c>
      <c r="G2344" s="15"/>
      <c r="H2344" s="15"/>
      <c r="I2344" s="15"/>
      <c r="J2344" s="15"/>
      <c r="K2344" s="15"/>
      <c r="L2344" s="15"/>
      <c r="M2344" s="15"/>
      <c r="N2344" s="15"/>
      <c r="O2344" s="15"/>
      <c r="P2344" s="15"/>
      <c r="Q2344" s="15"/>
      <c r="R2344" s="15"/>
    </row>
    <row r="2345" spans="2:18" ht="13">
      <c r="B2345" s="33"/>
      <c r="C2345" s="34"/>
      <c r="D2345" s="68" t="s">
        <v>648</v>
      </c>
      <c r="E2345" s="69" t="s">
        <v>37</v>
      </c>
      <c r="F2345" s="20" t="s">
        <v>533</v>
      </c>
      <c r="G2345" s="15"/>
      <c r="H2345" s="15"/>
      <c r="I2345" s="15"/>
      <c r="J2345" s="15"/>
      <c r="K2345" s="15"/>
      <c r="L2345" s="15"/>
      <c r="M2345" s="15"/>
      <c r="N2345" s="15"/>
      <c r="O2345" s="15"/>
      <c r="P2345" s="15"/>
      <c r="Q2345" s="15"/>
      <c r="R2345" s="15"/>
    </row>
    <row r="2346" spans="2:18" ht="13">
      <c r="B2346" s="33"/>
      <c r="C2346" s="34"/>
      <c r="D2346" s="68" t="s">
        <v>581</v>
      </c>
      <c r="E2346" s="69" t="s">
        <v>32</v>
      </c>
      <c r="F2346" s="20" t="s">
        <v>533</v>
      </c>
      <c r="G2346" s="15"/>
      <c r="H2346" s="15"/>
      <c r="I2346" s="15"/>
      <c r="J2346" s="15"/>
      <c r="K2346" s="15"/>
      <c r="L2346" s="15"/>
      <c r="M2346" s="15"/>
      <c r="N2346" s="15"/>
      <c r="O2346" s="15"/>
      <c r="P2346" s="15"/>
      <c r="Q2346" s="15"/>
      <c r="R2346" s="15"/>
    </row>
    <row r="2347" spans="2:18" ht="13">
      <c r="B2347" s="33"/>
      <c r="C2347" s="34"/>
      <c r="D2347" s="68" t="s">
        <v>17</v>
      </c>
      <c r="E2347" s="69" t="s">
        <v>27</v>
      </c>
      <c r="F2347" s="20" t="s">
        <v>533</v>
      </c>
      <c r="G2347" s="15"/>
      <c r="H2347" s="15"/>
      <c r="I2347" s="15"/>
      <c r="J2347" s="15"/>
      <c r="K2347" s="15"/>
      <c r="L2347" s="15"/>
      <c r="M2347" s="15"/>
      <c r="N2347" s="15"/>
      <c r="O2347" s="15"/>
      <c r="P2347" s="15"/>
      <c r="Q2347" s="15"/>
      <c r="R2347" s="15"/>
    </row>
    <row r="2348" spans="2:18" ht="13">
      <c r="B2348" s="33"/>
      <c r="C2348" s="34"/>
      <c r="D2348" s="68" t="s">
        <v>26</v>
      </c>
      <c r="E2348" s="69" t="s">
        <v>614</v>
      </c>
      <c r="F2348" s="20" t="s">
        <v>533</v>
      </c>
      <c r="G2348" s="15"/>
      <c r="H2348" s="15"/>
      <c r="I2348" s="15"/>
      <c r="J2348" s="15"/>
      <c r="K2348" s="15"/>
      <c r="L2348" s="15"/>
      <c r="M2348" s="15"/>
      <c r="N2348" s="15"/>
      <c r="O2348" s="15"/>
      <c r="P2348" s="15"/>
      <c r="Q2348" s="15"/>
      <c r="R2348" s="15"/>
    </row>
    <row r="2349" spans="2:18" ht="13">
      <c r="B2349" s="33"/>
      <c r="C2349" s="34"/>
      <c r="D2349" s="68" t="s">
        <v>17</v>
      </c>
      <c r="E2349" s="69" t="s">
        <v>27</v>
      </c>
      <c r="F2349" s="20" t="s">
        <v>533</v>
      </c>
      <c r="G2349" s="15"/>
      <c r="H2349" s="15"/>
      <c r="I2349" s="15"/>
      <c r="J2349" s="15"/>
      <c r="K2349" s="15"/>
      <c r="L2349" s="15"/>
      <c r="M2349" s="15"/>
      <c r="N2349" s="15"/>
      <c r="O2349" s="15"/>
      <c r="P2349" s="15"/>
      <c r="Q2349" s="15"/>
      <c r="R2349" s="15"/>
    </row>
    <row r="2350" spans="2:18" ht="13">
      <c r="B2350" s="33"/>
      <c r="C2350" s="34"/>
      <c r="D2350" s="68" t="s">
        <v>17</v>
      </c>
      <c r="E2350" s="69" t="s">
        <v>27</v>
      </c>
      <c r="F2350" s="20" t="s">
        <v>533</v>
      </c>
      <c r="G2350" s="15"/>
      <c r="H2350" s="15"/>
      <c r="I2350" s="15"/>
      <c r="J2350" s="15"/>
      <c r="K2350" s="15"/>
      <c r="L2350" s="15"/>
      <c r="M2350" s="15"/>
      <c r="N2350" s="15"/>
      <c r="O2350" s="15"/>
      <c r="P2350" s="15"/>
      <c r="Q2350" s="15"/>
      <c r="R2350" s="15"/>
    </row>
    <row r="2351" spans="2:18" ht="13">
      <c r="B2351" s="33"/>
      <c r="C2351" s="34"/>
      <c r="D2351" s="68" t="s">
        <v>17</v>
      </c>
      <c r="E2351" s="69" t="s">
        <v>27</v>
      </c>
      <c r="F2351" s="20" t="s">
        <v>533</v>
      </c>
      <c r="G2351" s="15"/>
      <c r="H2351" s="15"/>
      <c r="I2351" s="15"/>
      <c r="J2351" s="15"/>
      <c r="K2351" s="15"/>
      <c r="L2351" s="15"/>
      <c r="M2351" s="15"/>
      <c r="N2351" s="15"/>
      <c r="O2351" s="15"/>
      <c r="P2351" s="15"/>
      <c r="Q2351" s="15"/>
      <c r="R2351" s="15"/>
    </row>
    <row r="2352" spans="2:18" ht="13">
      <c r="B2352" s="33"/>
      <c r="C2352" s="34"/>
      <c r="D2352" s="68" t="s">
        <v>17</v>
      </c>
      <c r="E2352" s="69" t="s">
        <v>27</v>
      </c>
      <c r="F2352" s="20" t="s">
        <v>533</v>
      </c>
      <c r="G2352" s="15"/>
      <c r="H2352" s="15"/>
      <c r="I2352" s="15"/>
      <c r="J2352" s="15"/>
      <c r="K2352" s="15"/>
      <c r="L2352" s="15"/>
      <c r="M2352" s="15"/>
      <c r="N2352" s="15"/>
      <c r="O2352" s="15"/>
      <c r="P2352" s="15"/>
      <c r="Q2352" s="15"/>
      <c r="R2352" s="15"/>
    </row>
    <row r="2353" spans="2:18" ht="13">
      <c r="B2353" s="33"/>
      <c r="C2353" s="34"/>
      <c r="D2353" s="68" t="s">
        <v>404</v>
      </c>
      <c r="E2353" s="69" t="s">
        <v>32</v>
      </c>
      <c r="F2353" s="20" t="s">
        <v>533</v>
      </c>
      <c r="G2353" s="15"/>
      <c r="H2353" s="15"/>
      <c r="I2353" s="15"/>
      <c r="J2353" s="15"/>
      <c r="K2353" s="15"/>
      <c r="L2353" s="15"/>
      <c r="M2353" s="15"/>
      <c r="N2353" s="15"/>
      <c r="O2353" s="15"/>
      <c r="P2353" s="15"/>
      <c r="Q2353" s="15"/>
      <c r="R2353" s="15"/>
    </row>
    <row r="2354" spans="2:18" ht="13">
      <c r="B2354" s="33"/>
      <c r="C2354" s="34"/>
      <c r="D2354" s="68" t="s">
        <v>26</v>
      </c>
      <c r="E2354" s="69" t="s">
        <v>32</v>
      </c>
      <c r="F2354" s="20" t="s">
        <v>533</v>
      </c>
      <c r="G2354" s="15"/>
      <c r="H2354" s="15"/>
      <c r="I2354" s="15"/>
      <c r="J2354" s="15"/>
      <c r="K2354" s="15"/>
      <c r="L2354" s="15"/>
      <c r="M2354" s="15"/>
      <c r="N2354" s="15"/>
      <c r="O2354" s="15"/>
      <c r="P2354" s="15"/>
      <c r="Q2354" s="15"/>
      <c r="R2354" s="15"/>
    </row>
    <row r="2355" spans="2:18" ht="13">
      <c r="B2355" s="33"/>
      <c r="C2355" s="34"/>
      <c r="D2355" s="68" t="s">
        <v>26</v>
      </c>
      <c r="E2355" s="69" t="s">
        <v>27</v>
      </c>
      <c r="F2355" s="20" t="s">
        <v>533</v>
      </c>
      <c r="G2355" s="15"/>
      <c r="H2355" s="15"/>
      <c r="I2355" s="15"/>
      <c r="J2355" s="15"/>
      <c r="K2355" s="15"/>
      <c r="L2355" s="15"/>
      <c r="M2355" s="15"/>
      <c r="N2355" s="15"/>
      <c r="O2355" s="15"/>
      <c r="P2355" s="15"/>
      <c r="Q2355" s="15"/>
      <c r="R2355" s="15"/>
    </row>
    <row r="2356" spans="2:18" ht="13">
      <c r="B2356" s="33"/>
      <c r="C2356" s="34"/>
      <c r="D2356" s="68" t="s">
        <v>17</v>
      </c>
      <c r="E2356" s="69" t="s">
        <v>27</v>
      </c>
      <c r="F2356" s="20" t="s">
        <v>533</v>
      </c>
      <c r="G2356" s="15"/>
      <c r="H2356" s="15"/>
      <c r="I2356" s="15"/>
      <c r="J2356" s="15"/>
      <c r="K2356" s="15"/>
      <c r="L2356" s="15"/>
      <c r="M2356" s="15"/>
      <c r="N2356" s="15"/>
      <c r="O2356" s="15"/>
      <c r="P2356" s="15"/>
      <c r="Q2356" s="15"/>
      <c r="R2356" s="15"/>
    </row>
    <row r="2357" spans="2:18" ht="13">
      <c r="B2357" s="33"/>
      <c r="C2357" s="34"/>
      <c r="D2357" s="68" t="s">
        <v>17</v>
      </c>
      <c r="E2357" s="69" t="s">
        <v>27</v>
      </c>
      <c r="F2357" s="20" t="s">
        <v>533</v>
      </c>
      <c r="G2357" s="15"/>
      <c r="H2357" s="15"/>
      <c r="I2357" s="15"/>
      <c r="J2357" s="15"/>
      <c r="K2357" s="15"/>
      <c r="L2357" s="15"/>
      <c r="M2357" s="15"/>
      <c r="N2357" s="15"/>
      <c r="O2357" s="15"/>
      <c r="P2357" s="15"/>
      <c r="Q2357" s="15"/>
      <c r="R2357" s="15"/>
    </row>
    <row r="2358" spans="2:18" ht="13">
      <c r="B2358" s="33"/>
      <c r="C2358" s="34"/>
      <c r="D2358" s="68" t="s">
        <v>17</v>
      </c>
      <c r="E2358" s="69" t="s">
        <v>27</v>
      </c>
      <c r="F2358" s="20" t="s">
        <v>533</v>
      </c>
      <c r="G2358" s="15"/>
      <c r="H2358" s="15"/>
      <c r="I2358" s="15"/>
      <c r="J2358" s="15"/>
      <c r="K2358" s="15"/>
      <c r="L2358" s="15"/>
      <c r="M2358" s="15"/>
      <c r="N2358" s="15"/>
      <c r="O2358" s="15"/>
      <c r="P2358" s="15"/>
      <c r="Q2358" s="15"/>
      <c r="R2358" s="15"/>
    </row>
    <row r="2359" spans="2:18" ht="13">
      <c r="B2359" s="33"/>
      <c r="C2359" s="34"/>
      <c r="D2359" s="68" t="s">
        <v>17</v>
      </c>
      <c r="E2359" s="69" t="s">
        <v>27</v>
      </c>
      <c r="F2359" s="20" t="s">
        <v>533</v>
      </c>
      <c r="G2359" s="15"/>
      <c r="H2359" s="15"/>
      <c r="I2359" s="15"/>
      <c r="J2359" s="15"/>
      <c r="K2359" s="15"/>
      <c r="L2359" s="15"/>
      <c r="M2359" s="15"/>
      <c r="N2359" s="15"/>
      <c r="O2359" s="15"/>
      <c r="P2359" s="15"/>
      <c r="Q2359" s="15"/>
      <c r="R2359" s="15"/>
    </row>
    <row r="2360" spans="2:18" ht="13">
      <c r="B2360" s="33"/>
      <c r="C2360" s="34"/>
      <c r="D2360" s="68" t="s">
        <v>17</v>
      </c>
      <c r="E2360" s="69" t="s">
        <v>27</v>
      </c>
      <c r="F2360" s="20" t="s">
        <v>533</v>
      </c>
      <c r="G2360" s="15"/>
      <c r="H2360" s="15"/>
      <c r="I2360" s="15"/>
      <c r="J2360" s="15"/>
      <c r="K2360" s="15"/>
      <c r="L2360" s="15"/>
      <c r="M2360" s="15"/>
      <c r="N2360" s="15"/>
      <c r="O2360" s="15"/>
      <c r="P2360" s="15"/>
      <c r="Q2360" s="15"/>
      <c r="R2360" s="15"/>
    </row>
    <row r="2361" spans="2:18" ht="13">
      <c r="B2361" s="33"/>
      <c r="C2361" s="34"/>
      <c r="D2361" s="68" t="s">
        <v>17</v>
      </c>
      <c r="E2361" s="69" t="s">
        <v>27</v>
      </c>
      <c r="F2361" s="20" t="s">
        <v>533</v>
      </c>
      <c r="G2361" s="15"/>
      <c r="H2361" s="15"/>
      <c r="I2361" s="15"/>
      <c r="J2361" s="15"/>
      <c r="K2361" s="15"/>
      <c r="L2361" s="15"/>
      <c r="M2361" s="15"/>
      <c r="N2361" s="15"/>
      <c r="O2361" s="15"/>
      <c r="P2361" s="15"/>
      <c r="Q2361" s="15"/>
      <c r="R2361" s="15"/>
    </row>
    <row r="2362" spans="2:18" ht="13">
      <c r="B2362" s="33"/>
      <c r="C2362" s="34"/>
      <c r="D2362" s="68" t="s">
        <v>17</v>
      </c>
      <c r="E2362" s="69" t="s">
        <v>27</v>
      </c>
      <c r="F2362" s="20" t="s">
        <v>533</v>
      </c>
      <c r="G2362" s="15"/>
      <c r="H2362" s="15"/>
      <c r="I2362" s="15"/>
      <c r="J2362" s="15"/>
      <c r="K2362" s="15"/>
      <c r="L2362" s="15"/>
      <c r="M2362" s="15"/>
      <c r="N2362" s="15"/>
      <c r="O2362" s="15"/>
      <c r="P2362" s="15"/>
      <c r="Q2362" s="15"/>
      <c r="R2362" s="15"/>
    </row>
    <row r="2363" spans="2:18" ht="13">
      <c r="B2363" s="33"/>
      <c r="C2363" s="34"/>
      <c r="D2363" s="68" t="s">
        <v>17</v>
      </c>
      <c r="E2363" s="69" t="s">
        <v>27</v>
      </c>
      <c r="F2363" s="20" t="s">
        <v>533</v>
      </c>
      <c r="G2363" s="15"/>
      <c r="H2363" s="15"/>
      <c r="I2363" s="15"/>
      <c r="J2363" s="15"/>
      <c r="K2363" s="15"/>
      <c r="L2363" s="15"/>
      <c r="M2363" s="15"/>
      <c r="N2363" s="15"/>
      <c r="O2363" s="15"/>
      <c r="P2363" s="15"/>
      <c r="Q2363" s="15"/>
      <c r="R2363" s="15"/>
    </row>
    <row r="2364" spans="2:18" ht="13">
      <c r="B2364" s="33"/>
      <c r="C2364" s="34"/>
      <c r="D2364" s="68" t="s">
        <v>26</v>
      </c>
      <c r="E2364" s="69" t="s">
        <v>27</v>
      </c>
      <c r="F2364" s="20" t="s">
        <v>533</v>
      </c>
      <c r="G2364" s="15"/>
      <c r="H2364" s="15"/>
      <c r="I2364" s="15"/>
      <c r="J2364" s="15"/>
      <c r="K2364" s="15"/>
      <c r="L2364" s="15"/>
      <c r="M2364" s="15"/>
      <c r="N2364" s="15"/>
      <c r="O2364" s="15"/>
      <c r="P2364" s="15"/>
      <c r="Q2364" s="15"/>
      <c r="R2364" s="15"/>
    </row>
    <row r="2365" spans="2:18" ht="13">
      <c r="B2365" s="33"/>
      <c r="C2365" s="34"/>
      <c r="D2365" s="68" t="s">
        <v>404</v>
      </c>
      <c r="E2365" s="69" t="s">
        <v>32</v>
      </c>
      <c r="F2365" s="20" t="s">
        <v>533</v>
      </c>
      <c r="G2365" s="15"/>
      <c r="H2365" s="15"/>
      <c r="I2365" s="15"/>
      <c r="J2365" s="15"/>
      <c r="K2365" s="15"/>
      <c r="L2365" s="15"/>
      <c r="M2365" s="15"/>
      <c r="N2365" s="15"/>
      <c r="O2365" s="15"/>
      <c r="P2365" s="15"/>
      <c r="Q2365" s="15"/>
      <c r="R2365" s="15"/>
    </row>
    <row r="2366" spans="2:18" ht="13">
      <c r="B2366" s="33"/>
      <c r="C2366" s="34"/>
      <c r="D2366" s="68" t="s">
        <v>26</v>
      </c>
      <c r="E2366" s="69" t="s">
        <v>27</v>
      </c>
      <c r="F2366" s="20" t="s">
        <v>533</v>
      </c>
      <c r="G2366" s="15"/>
      <c r="H2366" s="15"/>
      <c r="I2366" s="15"/>
      <c r="J2366" s="15"/>
      <c r="K2366" s="15"/>
      <c r="L2366" s="15"/>
      <c r="M2366" s="15"/>
      <c r="N2366" s="15"/>
      <c r="O2366" s="15"/>
      <c r="P2366" s="15"/>
      <c r="Q2366" s="15"/>
      <c r="R2366" s="15"/>
    </row>
    <row r="2367" spans="2:18" ht="13">
      <c r="B2367" s="33"/>
      <c r="C2367" s="34"/>
      <c r="D2367" s="68" t="s">
        <v>26</v>
      </c>
      <c r="E2367" s="69" t="s">
        <v>27</v>
      </c>
      <c r="F2367" s="20" t="s">
        <v>533</v>
      </c>
      <c r="G2367" s="15"/>
      <c r="H2367" s="15"/>
      <c r="I2367" s="15"/>
      <c r="J2367" s="15"/>
      <c r="K2367" s="15"/>
      <c r="L2367" s="15"/>
      <c r="M2367" s="15"/>
      <c r="N2367" s="15"/>
      <c r="O2367" s="15"/>
      <c r="P2367" s="15"/>
      <c r="Q2367" s="15"/>
      <c r="R2367" s="15"/>
    </row>
    <row r="2368" spans="2:18" ht="13">
      <c r="B2368" s="33"/>
      <c r="C2368" s="34"/>
      <c r="D2368" s="68" t="s">
        <v>17</v>
      </c>
      <c r="E2368" s="69" t="s">
        <v>27</v>
      </c>
      <c r="F2368" s="20" t="s">
        <v>533</v>
      </c>
      <c r="G2368" s="15"/>
      <c r="H2368" s="15"/>
      <c r="I2368" s="15"/>
      <c r="J2368" s="15"/>
      <c r="K2368" s="15"/>
      <c r="L2368" s="15"/>
      <c r="M2368" s="15"/>
      <c r="N2368" s="15"/>
      <c r="O2368" s="15"/>
      <c r="P2368" s="15"/>
      <c r="Q2368" s="15"/>
      <c r="R2368" s="15"/>
    </row>
    <row r="2369" spans="2:18" ht="13">
      <c r="B2369" s="33"/>
      <c r="C2369" s="34"/>
      <c r="D2369" s="68" t="s">
        <v>17</v>
      </c>
      <c r="E2369" s="69" t="s">
        <v>27</v>
      </c>
      <c r="F2369" s="20" t="s">
        <v>533</v>
      </c>
      <c r="G2369" s="15"/>
      <c r="H2369" s="15"/>
      <c r="I2369" s="15"/>
      <c r="J2369" s="15"/>
      <c r="K2369" s="15"/>
      <c r="L2369" s="15"/>
      <c r="M2369" s="15"/>
      <c r="N2369" s="15"/>
      <c r="O2369" s="15"/>
      <c r="P2369" s="15"/>
      <c r="Q2369" s="15"/>
      <c r="R2369" s="15"/>
    </row>
    <row r="2370" spans="2:18" ht="13">
      <c r="B2370" s="33"/>
      <c r="C2370" s="34"/>
      <c r="D2370" s="68" t="s">
        <v>608</v>
      </c>
      <c r="E2370" s="69" t="s">
        <v>32</v>
      </c>
      <c r="F2370" s="20" t="s">
        <v>533</v>
      </c>
      <c r="G2370" s="15"/>
      <c r="H2370" s="15"/>
      <c r="I2370" s="15"/>
      <c r="J2370" s="15"/>
      <c r="K2370" s="15"/>
      <c r="L2370" s="15"/>
      <c r="M2370" s="15"/>
      <c r="N2370" s="15"/>
      <c r="O2370" s="15"/>
      <c r="P2370" s="15"/>
      <c r="Q2370" s="15"/>
      <c r="R2370" s="15"/>
    </row>
    <row r="2371" spans="2:18" ht="13">
      <c r="B2371" s="33"/>
      <c r="C2371" s="34"/>
      <c r="D2371" s="68" t="s">
        <v>574</v>
      </c>
      <c r="E2371" s="69" t="s">
        <v>575</v>
      </c>
      <c r="F2371" s="20" t="s">
        <v>533</v>
      </c>
      <c r="G2371" s="15"/>
      <c r="H2371" s="15"/>
      <c r="I2371" s="15"/>
      <c r="J2371" s="15"/>
      <c r="K2371" s="15"/>
      <c r="L2371" s="15"/>
      <c r="M2371" s="15"/>
      <c r="N2371" s="15"/>
      <c r="O2371" s="15"/>
      <c r="P2371" s="15"/>
      <c r="Q2371" s="15"/>
      <c r="R2371" s="15"/>
    </row>
    <row r="2372" spans="2:18" ht="13">
      <c r="B2372" s="33"/>
      <c r="C2372" s="34"/>
      <c r="D2372" s="68" t="s">
        <v>26</v>
      </c>
      <c r="E2372" s="69" t="s">
        <v>27</v>
      </c>
      <c r="F2372" s="20" t="s">
        <v>533</v>
      </c>
      <c r="G2372" s="15"/>
      <c r="H2372" s="15"/>
      <c r="I2372" s="15"/>
      <c r="J2372" s="15"/>
      <c r="K2372" s="15"/>
      <c r="L2372" s="15"/>
      <c r="M2372" s="15"/>
      <c r="N2372" s="15"/>
      <c r="O2372" s="15"/>
      <c r="P2372" s="15"/>
      <c r="Q2372" s="15"/>
      <c r="R2372" s="15"/>
    </row>
    <row r="2373" spans="2:18" ht="13">
      <c r="B2373" s="33"/>
      <c r="C2373" s="34"/>
      <c r="D2373" s="68" t="s">
        <v>26</v>
      </c>
      <c r="E2373" s="69" t="s">
        <v>27</v>
      </c>
      <c r="F2373" s="20" t="s">
        <v>533</v>
      </c>
      <c r="G2373" s="15"/>
      <c r="H2373" s="15"/>
      <c r="I2373" s="15"/>
      <c r="J2373" s="15"/>
      <c r="K2373" s="15"/>
      <c r="L2373" s="15"/>
      <c r="M2373" s="15"/>
      <c r="N2373" s="15"/>
      <c r="O2373" s="15"/>
      <c r="P2373" s="15"/>
      <c r="Q2373" s="15"/>
      <c r="R2373" s="15"/>
    </row>
    <row r="2374" spans="2:18" ht="13">
      <c r="B2374" s="33"/>
      <c r="C2374" s="34"/>
      <c r="D2374" s="68" t="s">
        <v>17</v>
      </c>
      <c r="E2374" s="69" t="s">
        <v>27</v>
      </c>
      <c r="F2374" s="20" t="s">
        <v>533</v>
      </c>
      <c r="G2374" s="15"/>
      <c r="H2374" s="15"/>
      <c r="I2374" s="15"/>
      <c r="J2374" s="15"/>
      <c r="K2374" s="15"/>
      <c r="L2374" s="15"/>
      <c r="M2374" s="15"/>
      <c r="N2374" s="15"/>
      <c r="O2374" s="15"/>
      <c r="P2374" s="15"/>
      <c r="Q2374" s="15"/>
      <c r="R2374" s="15"/>
    </row>
    <row r="2375" spans="2:18" ht="13">
      <c r="B2375" s="33"/>
      <c r="C2375" s="34"/>
      <c r="D2375" s="68" t="s">
        <v>17</v>
      </c>
      <c r="E2375" s="69" t="s">
        <v>27</v>
      </c>
      <c r="F2375" s="20" t="s">
        <v>533</v>
      </c>
      <c r="G2375" s="15"/>
      <c r="H2375" s="15"/>
      <c r="I2375" s="15"/>
      <c r="J2375" s="15"/>
      <c r="K2375" s="15"/>
      <c r="L2375" s="15"/>
      <c r="M2375" s="15"/>
      <c r="N2375" s="15"/>
      <c r="O2375" s="15"/>
      <c r="P2375" s="15"/>
      <c r="Q2375" s="15"/>
      <c r="R2375" s="15"/>
    </row>
    <row r="2376" spans="2:18" ht="13">
      <c r="B2376" s="33"/>
      <c r="C2376" s="34"/>
      <c r="D2376" s="68" t="s">
        <v>17</v>
      </c>
      <c r="E2376" s="69" t="s">
        <v>27</v>
      </c>
      <c r="F2376" s="20" t="s">
        <v>533</v>
      </c>
      <c r="G2376" s="15"/>
      <c r="H2376" s="15"/>
      <c r="I2376" s="15"/>
      <c r="J2376" s="15"/>
      <c r="K2376" s="15"/>
      <c r="L2376" s="15"/>
      <c r="M2376" s="15"/>
      <c r="N2376" s="15"/>
      <c r="O2376" s="15"/>
      <c r="P2376" s="15"/>
      <c r="Q2376" s="15"/>
      <c r="R2376" s="15"/>
    </row>
    <row r="2377" spans="2:18" ht="13">
      <c r="B2377" s="33"/>
      <c r="C2377" s="34"/>
      <c r="D2377" s="68" t="s">
        <v>26</v>
      </c>
      <c r="E2377" s="69" t="s">
        <v>27</v>
      </c>
      <c r="F2377" s="20" t="s">
        <v>533</v>
      </c>
      <c r="G2377" s="15"/>
      <c r="H2377" s="15"/>
      <c r="I2377" s="15"/>
      <c r="J2377" s="15"/>
      <c r="K2377" s="15"/>
      <c r="L2377" s="15"/>
      <c r="M2377" s="15"/>
      <c r="N2377" s="15"/>
      <c r="O2377" s="15"/>
      <c r="P2377" s="15"/>
      <c r="Q2377" s="15"/>
      <c r="R2377" s="15"/>
    </row>
    <row r="2378" spans="2:18" ht="13">
      <c r="B2378" s="33"/>
      <c r="C2378" s="34"/>
      <c r="D2378" s="68" t="s">
        <v>26</v>
      </c>
      <c r="E2378" s="69" t="s">
        <v>27</v>
      </c>
      <c r="F2378" s="20" t="s">
        <v>533</v>
      </c>
      <c r="G2378" s="15"/>
      <c r="H2378" s="15"/>
      <c r="I2378" s="15"/>
      <c r="J2378" s="15"/>
      <c r="K2378" s="15"/>
      <c r="L2378" s="15"/>
      <c r="M2378" s="15"/>
      <c r="N2378" s="15"/>
      <c r="O2378" s="15"/>
      <c r="P2378" s="15"/>
      <c r="Q2378" s="15"/>
      <c r="R2378" s="15"/>
    </row>
    <row r="2379" spans="2:18" ht="13">
      <c r="B2379" s="33"/>
      <c r="C2379" s="34"/>
      <c r="D2379" s="68" t="s">
        <v>17</v>
      </c>
      <c r="E2379" s="69" t="s">
        <v>27</v>
      </c>
      <c r="F2379" s="20" t="s">
        <v>533</v>
      </c>
      <c r="G2379" s="15"/>
      <c r="H2379" s="15"/>
      <c r="I2379" s="15"/>
      <c r="J2379" s="15"/>
      <c r="K2379" s="15"/>
      <c r="L2379" s="15"/>
      <c r="M2379" s="15"/>
      <c r="N2379" s="15"/>
      <c r="O2379" s="15"/>
      <c r="P2379" s="15"/>
      <c r="Q2379" s="15"/>
      <c r="R2379" s="15"/>
    </row>
    <row r="2380" spans="2:18" ht="13">
      <c r="B2380" s="33"/>
      <c r="C2380" s="34"/>
      <c r="D2380" s="68" t="s">
        <v>559</v>
      </c>
      <c r="E2380" s="69" t="s">
        <v>32</v>
      </c>
      <c r="F2380" s="20" t="s">
        <v>533</v>
      </c>
      <c r="G2380" s="15"/>
      <c r="H2380" s="15"/>
      <c r="I2380" s="15"/>
      <c r="J2380" s="15"/>
      <c r="K2380" s="15"/>
      <c r="L2380" s="15"/>
      <c r="M2380" s="15"/>
      <c r="N2380" s="15"/>
      <c r="O2380" s="15"/>
      <c r="P2380" s="15"/>
      <c r="Q2380" s="15"/>
      <c r="R2380" s="15"/>
    </row>
    <row r="2381" spans="2:18" ht="13">
      <c r="B2381" s="33"/>
      <c r="C2381" s="34"/>
      <c r="D2381" s="68" t="s">
        <v>17</v>
      </c>
      <c r="E2381" s="69" t="s">
        <v>27</v>
      </c>
      <c r="F2381" s="20" t="s">
        <v>533</v>
      </c>
      <c r="G2381" s="15"/>
      <c r="H2381" s="15"/>
      <c r="I2381" s="15"/>
      <c r="J2381" s="15"/>
      <c r="K2381" s="15"/>
      <c r="L2381" s="15"/>
      <c r="M2381" s="15"/>
      <c r="N2381" s="15"/>
      <c r="O2381" s="15"/>
      <c r="P2381" s="15"/>
      <c r="Q2381" s="15"/>
      <c r="R2381" s="15"/>
    </row>
    <row r="2382" spans="2:18" ht="13">
      <c r="B2382" s="33"/>
      <c r="C2382" s="34"/>
      <c r="D2382" s="68" t="s">
        <v>26</v>
      </c>
      <c r="E2382" s="69" t="s">
        <v>27</v>
      </c>
      <c r="F2382" s="20" t="s">
        <v>533</v>
      </c>
      <c r="G2382" s="15"/>
      <c r="H2382" s="15"/>
      <c r="I2382" s="15"/>
      <c r="J2382" s="15"/>
      <c r="K2382" s="15"/>
      <c r="L2382" s="15"/>
      <c r="M2382" s="15"/>
      <c r="N2382" s="15"/>
      <c r="O2382" s="15"/>
      <c r="P2382" s="15"/>
      <c r="Q2382" s="15"/>
      <c r="R2382" s="15"/>
    </row>
    <row r="2383" spans="2:18" ht="13">
      <c r="B2383" s="33"/>
      <c r="C2383" s="34"/>
      <c r="D2383" s="68" t="s">
        <v>26</v>
      </c>
      <c r="E2383" s="69" t="s">
        <v>27</v>
      </c>
      <c r="F2383" s="20" t="s">
        <v>533</v>
      </c>
      <c r="G2383" s="15"/>
      <c r="H2383" s="15"/>
      <c r="I2383" s="15"/>
      <c r="J2383" s="15"/>
      <c r="K2383" s="15"/>
      <c r="L2383" s="15"/>
      <c r="M2383" s="15"/>
      <c r="N2383" s="15"/>
      <c r="O2383" s="15"/>
      <c r="P2383" s="15"/>
      <c r="Q2383" s="15"/>
      <c r="R2383" s="15"/>
    </row>
    <row r="2384" spans="2:18" ht="13">
      <c r="B2384" s="33"/>
      <c r="C2384" s="34"/>
      <c r="D2384" s="68" t="s">
        <v>17</v>
      </c>
      <c r="E2384" s="69" t="s">
        <v>27</v>
      </c>
      <c r="F2384" s="20" t="s">
        <v>533</v>
      </c>
      <c r="G2384" s="15"/>
      <c r="H2384" s="15"/>
      <c r="I2384" s="15"/>
      <c r="J2384" s="15"/>
      <c r="K2384" s="15"/>
      <c r="L2384" s="15"/>
      <c r="M2384" s="15"/>
      <c r="N2384" s="15"/>
      <c r="O2384" s="15"/>
      <c r="P2384" s="15"/>
      <c r="Q2384" s="15"/>
      <c r="R2384" s="15"/>
    </row>
    <row r="2385" spans="2:18" ht="13">
      <c r="B2385" s="33"/>
      <c r="C2385" s="34"/>
      <c r="D2385" s="68" t="s">
        <v>26</v>
      </c>
      <c r="E2385" s="69" t="s">
        <v>27</v>
      </c>
      <c r="F2385" s="20" t="s">
        <v>533</v>
      </c>
      <c r="G2385" s="15"/>
      <c r="H2385" s="15"/>
      <c r="I2385" s="15"/>
      <c r="J2385" s="15"/>
      <c r="K2385" s="15"/>
      <c r="L2385" s="15"/>
      <c r="M2385" s="15"/>
      <c r="N2385" s="15"/>
      <c r="O2385" s="15"/>
      <c r="P2385" s="15"/>
      <c r="Q2385" s="15"/>
      <c r="R2385" s="15"/>
    </row>
    <row r="2386" spans="2:18" ht="13">
      <c r="B2386" s="33"/>
      <c r="C2386" s="34"/>
      <c r="D2386" s="68" t="s">
        <v>17</v>
      </c>
      <c r="E2386" s="69" t="s">
        <v>27</v>
      </c>
      <c r="F2386" s="20" t="s">
        <v>533</v>
      </c>
      <c r="G2386" s="15"/>
      <c r="H2386" s="15"/>
      <c r="I2386" s="15"/>
      <c r="J2386" s="15"/>
      <c r="K2386" s="15"/>
      <c r="L2386" s="15"/>
      <c r="M2386" s="15"/>
      <c r="N2386" s="15"/>
      <c r="O2386" s="15"/>
      <c r="P2386" s="15"/>
      <c r="Q2386" s="15"/>
      <c r="R2386" s="15"/>
    </row>
    <row r="2387" spans="2:18" ht="13">
      <c r="B2387" s="33"/>
      <c r="C2387" s="34"/>
      <c r="D2387" s="68" t="s">
        <v>17</v>
      </c>
      <c r="E2387" s="69" t="s">
        <v>27</v>
      </c>
      <c r="F2387" s="20" t="s">
        <v>533</v>
      </c>
      <c r="G2387" s="15"/>
      <c r="H2387" s="15"/>
      <c r="I2387" s="15"/>
      <c r="J2387" s="15"/>
      <c r="K2387" s="15"/>
      <c r="L2387" s="15"/>
      <c r="M2387" s="15"/>
      <c r="N2387" s="15"/>
      <c r="O2387" s="15"/>
      <c r="P2387" s="15"/>
      <c r="Q2387" s="15"/>
      <c r="R2387" s="15"/>
    </row>
    <row r="2388" spans="2:18" ht="13">
      <c r="B2388" s="33"/>
      <c r="C2388" s="34"/>
      <c r="D2388" s="68" t="s">
        <v>17</v>
      </c>
      <c r="E2388" s="69" t="s">
        <v>27</v>
      </c>
      <c r="F2388" s="20" t="s">
        <v>533</v>
      </c>
      <c r="G2388" s="15"/>
      <c r="H2388" s="15"/>
      <c r="I2388" s="15"/>
      <c r="J2388" s="15"/>
      <c r="K2388" s="15"/>
      <c r="L2388" s="15"/>
      <c r="M2388" s="15"/>
      <c r="N2388" s="15"/>
      <c r="O2388" s="15"/>
      <c r="P2388" s="15"/>
      <c r="Q2388" s="15"/>
      <c r="R2388" s="15"/>
    </row>
    <row r="2389" spans="2:18" ht="13">
      <c r="B2389" s="33"/>
      <c r="C2389" s="34"/>
      <c r="D2389" s="68" t="s">
        <v>17</v>
      </c>
      <c r="E2389" s="69" t="s">
        <v>27</v>
      </c>
      <c r="F2389" s="20" t="s">
        <v>533</v>
      </c>
      <c r="G2389" s="15"/>
      <c r="H2389" s="15"/>
      <c r="I2389" s="15"/>
      <c r="J2389" s="15"/>
      <c r="K2389" s="15"/>
      <c r="L2389" s="15"/>
      <c r="M2389" s="15"/>
      <c r="N2389" s="15"/>
      <c r="O2389" s="15"/>
      <c r="P2389" s="15"/>
      <c r="Q2389" s="15"/>
      <c r="R2389" s="15"/>
    </row>
    <row r="2390" spans="2:18" ht="13">
      <c r="B2390" s="33"/>
      <c r="C2390" s="34"/>
      <c r="D2390" s="68" t="s">
        <v>17</v>
      </c>
      <c r="E2390" s="69" t="s">
        <v>27</v>
      </c>
      <c r="F2390" s="20" t="s">
        <v>533</v>
      </c>
      <c r="G2390" s="15"/>
      <c r="H2390" s="15"/>
      <c r="I2390" s="15"/>
      <c r="J2390" s="15"/>
      <c r="K2390" s="15"/>
      <c r="L2390" s="15"/>
      <c r="M2390" s="15"/>
      <c r="N2390" s="15"/>
      <c r="O2390" s="15"/>
      <c r="P2390" s="15"/>
      <c r="Q2390" s="15"/>
      <c r="R2390" s="15"/>
    </row>
    <row r="2391" spans="2:18" ht="13">
      <c r="B2391" s="33"/>
      <c r="C2391" s="34"/>
      <c r="D2391" s="68" t="s">
        <v>17</v>
      </c>
      <c r="E2391" s="69" t="s">
        <v>27</v>
      </c>
      <c r="F2391" s="20" t="s">
        <v>533</v>
      </c>
      <c r="G2391" s="15"/>
      <c r="H2391" s="15"/>
      <c r="I2391" s="15"/>
      <c r="J2391" s="15"/>
      <c r="K2391" s="15"/>
      <c r="L2391" s="15"/>
      <c r="M2391" s="15"/>
      <c r="N2391" s="15"/>
      <c r="O2391" s="15"/>
      <c r="P2391" s="15"/>
      <c r="Q2391" s="15"/>
      <c r="R2391" s="15"/>
    </row>
    <row r="2392" spans="2:18" ht="13">
      <c r="B2392" s="33"/>
      <c r="C2392" s="34"/>
      <c r="D2392" s="68" t="s">
        <v>17</v>
      </c>
      <c r="E2392" s="69" t="s">
        <v>27</v>
      </c>
      <c r="F2392" s="20" t="s">
        <v>533</v>
      </c>
      <c r="G2392" s="15"/>
      <c r="H2392" s="15"/>
      <c r="I2392" s="15"/>
      <c r="J2392" s="15"/>
      <c r="K2392" s="15"/>
      <c r="L2392" s="15"/>
      <c r="M2392" s="15"/>
      <c r="N2392" s="15"/>
      <c r="O2392" s="15"/>
      <c r="P2392" s="15"/>
      <c r="Q2392" s="15"/>
      <c r="R2392" s="15"/>
    </row>
    <row r="2393" spans="2:18" ht="13">
      <c r="B2393" s="33"/>
      <c r="C2393" s="34"/>
      <c r="D2393" s="68" t="s">
        <v>577</v>
      </c>
      <c r="E2393" s="69" t="s">
        <v>124</v>
      </c>
      <c r="F2393" s="20" t="s">
        <v>533</v>
      </c>
      <c r="G2393" s="15"/>
      <c r="H2393" s="15"/>
      <c r="I2393" s="15"/>
      <c r="J2393" s="15"/>
      <c r="K2393" s="15"/>
      <c r="L2393" s="15"/>
      <c r="M2393" s="15"/>
      <c r="N2393" s="15"/>
      <c r="O2393" s="15"/>
      <c r="P2393" s="15"/>
      <c r="Q2393" s="15"/>
      <c r="R2393" s="15"/>
    </row>
    <row r="2394" spans="2:18" ht="13">
      <c r="B2394" s="33"/>
      <c r="C2394" s="34"/>
      <c r="D2394" s="68" t="s">
        <v>17</v>
      </c>
      <c r="E2394" s="69" t="s">
        <v>564</v>
      </c>
      <c r="F2394" s="20" t="s">
        <v>533</v>
      </c>
      <c r="G2394" s="15"/>
      <c r="H2394" s="15"/>
      <c r="I2394" s="15"/>
      <c r="J2394" s="15"/>
      <c r="K2394" s="15"/>
      <c r="L2394" s="15"/>
      <c r="M2394" s="15"/>
      <c r="N2394" s="15"/>
      <c r="O2394" s="15"/>
      <c r="P2394" s="15"/>
      <c r="Q2394" s="15"/>
      <c r="R2394" s="15"/>
    </row>
    <row r="2395" spans="2:18" ht="13">
      <c r="B2395" s="33"/>
      <c r="C2395" s="34"/>
      <c r="D2395" s="68" t="s">
        <v>605</v>
      </c>
      <c r="E2395" s="69" t="s">
        <v>32</v>
      </c>
      <c r="F2395" s="20" t="s">
        <v>533</v>
      </c>
      <c r="G2395" s="15"/>
      <c r="H2395" s="15"/>
      <c r="I2395" s="15"/>
      <c r="J2395" s="15"/>
      <c r="K2395" s="15"/>
      <c r="L2395" s="15"/>
      <c r="M2395" s="15"/>
      <c r="N2395" s="15"/>
      <c r="O2395" s="15"/>
      <c r="P2395" s="15"/>
      <c r="Q2395" s="15"/>
      <c r="R2395" s="15"/>
    </row>
    <row r="2396" spans="2:18" ht="13">
      <c r="B2396" s="33"/>
      <c r="C2396" s="34"/>
      <c r="D2396" s="68" t="s">
        <v>17</v>
      </c>
      <c r="E2396" s="69" t="s">
        <v>27</v>
      </c>
      <c r="F2396" s="20" t="s">
        <v>533</v>
      </c>
      <c r="G2396" s="15"/>
      <c r="H2396" s="15"/>
      <c r="I2396" s="15"/>
      <c r="J2396" s="15"/>
      <c r="K2396" s="15"/>
      <c r="L2396" s="15"/>
      <c r="M2396" s="15"/>
      <c r="N2396" s="15"/>
      <c r="O2396" s="15"/>
      <c r="P2396" s="15"/>
      <c r="Q2396" s="15"/>
      <c r="R2396" s="15"/>
    </row>
    <row r="2397" spans="2:18" ht="13">
      <c r="B2397" s="33"/>
      <c r="C2397" s="34"/>
      <c r="D2397" s="68" t="s">
        <v>404</v>
      </c>
      <c r="E2397" s="69" t="s">
        <v>32</v>
      </c>
      <c r="F2397" s="20" t="s">
        <v>533</v>
      </c>
      <c r="G2397" s="15"/>
      <c r="H2397" s="15"/>
      <c r="I2397" s="15"/>
      <c r="J2397" s="15"/>
      <c r="K2397" s="15"/>
      <c r="L2397" s="15"/>
      <c r="M2397" s="15"/>
      <c r="N2397" s="15"/>
      <c r="O2397" s="15"/>
      <c r="P2397" s="15"/>
      <c r="Q2397" s="15"/>
      <c r="R2397" s="15"/>
    </row>
    <row r="2398" spans="2:18" ht="13">
      <c r="B2398" s="33"/>
      <c r="C2398" s="34"/>
      <c r="D2398" s="68" t="s">
        <v>572</v>
      </c>
      <c r="E2398" s="69" t="s">
        <v>32</v>
      </c>
      <c r="F2398" s="20" t="s">
        <v>533</v>
      </c>
      <c r="G2398" s="15"/>
      <c r="H2398" s="15"/>
      <c r="I2398" s="15"/>
      <c r="J2398" s="15"/>
      <c r="K2398" s="15"/>
      <c r="L2398" s="15"/>
      <c r="M2398" s="15"/>
      <c r="N2398" s="15"/>
      <c r="O2398" s="15"/>
      <c r="P2398" s="15"/>
      <c r="Q2398" s="15"/>
      <c r="R2398" s="15"/>
    </row>
    <row r="2399" spans="2:18" ht="13">
      <c r="B2399" s="33"/>
      <c r="C2399" s="34"/>
      <c r="D2399" s="68" t="s">
        <v>17</v>
      </c>
      <c r="E2399" s="69" t="s">
        <v>27</v>
      </c>
      <c r="F2399" s="20" t="s">
        <v>533</v>
      </c>
      <c r="G2399" s="15"/>
      <c r="H2399" s="15"/>
      <c r="I2399" s="15"/>
      <c r="J2399" s="15"/>
      <c r="K2399" s="15"/>
      <c r="L2399" s="15"/>
      <c r="M2399" s="15"/>
      <c r="N2399" s="15"/>
      <c r="O2399" s="15"/>
      <c r="P2399" s="15"/>
      <c r="Q2399" s="15"/>
      <c r="R2399" s="15"/>
    </row>
    <row r="2400" spans="2:18" ht="13">
      <c r="B2400" s="33"/>
      <c r="C2400" s="34"/>
      <c r="D2400" s="68" t="s">
        <v>26</v>
      </c>
      <c r="E2400" s="69" t="s">
        <v>27</v>
      </c>
      <c r="F2400" s="20" t="s">
        <v>533</v>
      </c>
      <c r="G2400" s="15"/>
      <c r="H2400" s="15"/>
      <c r="I2400" s="15"/>
      <c r="J2400" s="15"/>
      <c r="K2400" s="15"/>
      <c r="L2400" s="15"/>
      <c r="M2400" s="15"/>
      <c r="N2400" s="15"/>
      <c r="O2400" s="15"/>
      <c r="P2400" s="15"/>
      <c r="Q2400" s="15"/>
      <c r="R2400" s="15"/>
    </row>
    <row r="2401" spans="2:18" ht="13">
      <c r="B2401" s="33"/>
      <c r="C2401" s="34"/>
      <c r="D2401" s="68" t="s">
        <v>17</v>
      </c>
      <c r="E2401" s="69" t="s">
        <v>27</v>
      </c>
      <c r="F2401" s="20" t="s">
        <v>533</v>
      </c>
      <c r="G2401" s="15"/>
      <c r="H2401" s="15"/>
      <c r="I2401" s="15"/>
      <c r="J2401" s="15"/>
      <c r="K2401" s="15"/>
      <c r="L2401" s="15"/>
      <c r="M2401" s="15"/>
      <c r="N2401" s="15"/>
      <c r="O2401" s="15"/>
      <c r="P2401" s="15"/>
      <c r="Q2401" s="15"/>
      <c r="R2401" s="15"/>
    </row>
    <row r="2402" spans="2:18" ht="13">
      <c r="B2402" s="33"/>
      <c r="C2402" s="34"/>
      <c r="D2402" s="68" t="s">
        <v>26</v>
      </c>
      <c r="E2402" s="69" t="s">
        <v>27</v>
      </c>
      <c r="F2402" s="20" t="s">
        <v>533</v>
      </c>
      <c r="G2402" s="15"/>
      <c r="H2402" s="15"/>
      <c r="I2402" s="15"/>
      <c r="J2402" s="15"/>
      <c r="K2402" s="15"/>
      <c r="L2402" s="15"/>
      <c r="M2402" s="15"/>
      <c r="N2402" s="15"/>
      <c r="O2402" s="15"/>
      <c r="P2402" s="15"/>
      <c r="Q2402" s="15"/>
      <c r="R2402" s="15"/>
    </row>
    <row r="2403" spans="2:18" ht="13">
      <c r="B2403" s="33"/>
      <c r="C2403" s="34"/>
      <c r="D2403" s="68" t="s">
        <v>36</v>
      </c>
      <c r="E2403" s="69" t="s">
        <v>37</v>
      </c>
      <c r="F2403" s="20" t="s">
        <v>533</v>
      </c>
      <c r="G2403" s="15"/>
      <c r="H2403" s="15"/>
      <c r="I2403" s="15"/>
      <c r="J2403" s="15"/>
      <c r="K2403" s="15"/>
      <c r="L2403" s="15"/>
      <c r="M2403" s="15"/>
      <c r="N2403" s="15"/>
      <c r="O2403" s="15"/>
      <c r="P2403" s="15"/>
      <c r="Q2403" s="15"/>
      <c r="R2403" s="15"/>
    </row>
    <row r="2404" spans="2:18" ht="13">
      <c r="B2404" s="33"/>
      <c r="C2404" s="34"/>
      <c r="D2404" s="68" t="s">
        <v>26</v>
      </c>
      <c r="E2404" s="69" t="s">
        <v>27</v>
      </c>
      <c r="F2404" s="20" t="s">
        <v>533</v>
      </c>
      <c r="G2404" s="15"/>
      <c r="H2404" s="15"/>
      <c r="I2404" s="15"/>
      <c r="J2404" s="15"/>
      <c r="K2404" s="15"/>
      <c r="L2404" s="15"/>
      <c r="M2404" s="15"/>
      <c r="N2404" s="15"/>
      <c r="O2404" s="15"/>
      <c r="P2404" s="15"/>
      <c r="Q2404" s="15"/>
      <c r="R2404" s="15"/>
    </row>
    <row r="2405" spans="2:18" ht="13">
      <c r="B2405" s="33"/>
      <c r="C2405" s="34"/>
      <c r="D2405" s="68" t="s">
        <v>17</v>
      </c>
      <c r="E2405" s="69" t="s">
        <v>27</v>
      </c>
      <c r="F2405" s="20" t="s">
        <v>533</v>
      </c>
      <c r="G2405" s="15"/>
      <c r="H2405" s="15"/>
      <c r="I2405" s="15"/>
      <c r="J2405" s="15"/>
      <c r="K2405" s="15"/>
      <c r="L2405" s="15"/>
      <c r="M2405" s="15"/>
      <c r="N2405" s="15"/>
      <c r="O2405" s="15"/>
      <c r="P2405" s="15"/>
      <c r="Q2405" s="15"/>
      <c r="R2405" s="15"/>
    </row>
    <row r="2406" spans="2:18" ht="13">
      <c r="B2406" s="33"/>
      <c r="C2406" s="34"/>
      <c r="D2406" s="68" t="s">
        <v>26</v>
      </c>
      <c r="E2406" s="69" t="s">
        <v>27</v>
      </c>
      <c r="F2406" s="20" t="s">
        <v>533</v>
      </c>
      <c r="G2406" s="15"/>
      <c r="H2406" s="15"/>
      <c r="I2406" s="15"/>
      <c r="J2406" s="15"/>
      <c r="K2406" s="15"/>
      <c r="L2406" s="15"/>
      <c r="M2406" s="15"/>
      <c r="N2406" s="15"/>
      <c r="O2406" s="15"/>
      <c r="P2406" s="15"/>
      <c r="Q2406" s="15"/>
      <c r="R2406" s="15"/>
    </row>
    <row r="2407" spans="2:18" ht="13">
      <c r="B2407" s="33"/>
      <c r="C2407" s="34"/>
      <c r="D2407" s="68" t="s">
        <v>26</v>
      </c>
      <c r="E2407" s="69" t="s">
        <v>27</v>
      </c>
      <c r="F2407" s="20" t="s">
        <v>533</v>
      </c>
      <c r="G2407" s="15"/>
      <c r="H2407" s="15"/>
      <c r="I2407" s="15"/>
      <c r="J2407" s="15"/>
      <c r="K2407" s="15"/>
      <c r="L2407" s="15"/>
      <c r="M2407" s="15"/>
      <c r="N2407" s="15"/>
      <c r="O2407" s="15"/>
      <c r="P2407" s="15"/>
      <c r="Q2407" s="15"/>
      <c r="R2407" s="15"/>
    </row>
    <row r="2408" spans="2:18" ht="13">
      <c r="B2408" s="33"/>
      <c r="C2408" s="34"/>
      <c r="D2408" s="68" t="s">
        <v>26</v>
      </c>
      <c r="E2408" s="69" t="s">
        <v>27</v>
      </c>
      <c r="F2408" s="20" t="s">
        <v>533</v>
      </c>
      <c r="G2408" s="15"/>
      <c r="H2408" s="15"/>
      <c r="I2408" s="15"/>
      <c r="J2408" s="15"/>
      <c r="K2408" s="15"/>
      <c r="L2408" s="15"/>
      <c r="M2408" s="15"/>
      <c r="N2408" s="15"/>
      <c r="O2408" s="15"/>
      <c r="P2408" s="15"/>
      <c r="Q2408" s="15"/>
      <c r="R2408" s="15"/>
    </row>
    <row r="2409" spans="2:18" ht="13">
      <c r="B2409" s="33"/>
      <c r="C2409" s="34"/>
      <c r="D2409" s="68" t="s">
        <v>26</v>
      </c>
      <c r="E2409" s="69" t="s">
        <v>27</v>
      </c>
      <c r="F2409" s="20" t="s">
        <v>533</v>
      </c>
      <c r="G2409" s="15"/>
      <c r="H2409" s="15"/>
      <c r="I2409" s="15"/>
      <c r="J2409" s="15"/>
      <c r="K2409" s="15"/>
      <c r="L2409" s="15"/>
      <c r="M2409" s="15"/>
      <c r="N2409" s="15"/>
      <c r="O2409" s="15"/>
      <c r="P2409" s="15"/>
      <c r="Q2409" s="15"/>
      <c r="R2409" s="15"/>
    </row>
    <row r="2410" spans="2:18" ht="13">
      <c r="B2410" s="33"/>
      <c r="C2410" s="34"/>
      <c r="D2410" s="68" t="s">
        <v>26</v>
      </c>
      <c r="E2410" s="69" t="s">
        <v>27</v>
      </c>
      <c r="F2410" s="20" t="s">
        <v>533</v>
      </c>
      <c r="G2410" s="15"/>
      <c r="H2410" s="15"/>
      <c r="I2410" s="15"/>
      <c r="J2410" s="15"/>
      <c r="K2410" s="15"/>
      <c r="L2410" s="15"/>
      <c r="M2410" s="15"/>
      <c r="N2410" s="15"/>
      <c r="O2410" s="15"/>
      <c r="P2410" s="15"/>
      <c r="Q2410" s="15"/>
      <c r="R2410" s="15"/>
    </row>
    <row r="2411" spans="2:18" ht="13">
      <c r="B2411" s="33"/>
      <c r="C2411" s="34"/>
      <c r="D2411" s="68" t="s">
        <v>659</v>
      </c>
      <c r="E2411" s="69" t="s">
        <v>121</v>
      </c>
      <c r="F2411" s="20" t="s">
        <v>533</v>
      </c>
      <c r="G2411" s="15"/>
      <c r="H2411" s="15"/>
      <c r="I2411" s="15"/>
      <c r="J2411" s="15"/>
      <c r="K2411" s="15"/>
      <c r="L2411" s="15"/>
      <c r="M2411" s="15"/>
      <c r="N2411" s="15"/>
      <c r="O2411" s="15"/>
      <c r="P2411" s="15"/>
      <c r="Q2411" s="15"/>
      <c r="R2411" s="15"/>
    </row>
    <row r="2412" spans="2:18" ht="13">
      <c r="B2412" s="33"/>
      <c r="C2412" s="34"/>
      <c r="D2412" s="68" t="s">
        <v>26</v>
      </c>
      <c r="E2412" s="69" t="s">
        <v>27</v>
      </c>
      <c r="F2412" s="20" t="s">
        <v>533</v>
      </c>
      <c r="G2412" s="15"/>
      <c r="H2412" s="15"/>
      <c r="I2412" s="15"/>
      <c r="J2412" s="15"/>
      <c r="K2412" s="15"/>
      <c r="L2412" s="15"/>
      <c r="M2412" s="15"/>
      <c r="N2412" s="15"/>
      <c r="O2412" s="15"/>
      <c r="P2412" s="15"/>
      <c r="Q2412" s="15"/>
      <c r="R2412" s="15"/>
    </row>
    <row r="2413" spans="2:18" ht="13">
      <c r="B2413" s="33"/>
      <c r="C2413" s="34"/>
      <c r="D2413" s="68" t="s">
        <v>646</v>
      </c>
      <c r="E2413" s="69" t="s">
        <v>27</v>
      </c>
      <c r="F2413" s="20" t="s">
        <v>533</v>
      </c>
      <c r="G2413" s="15"/>
      <c r="H2413" s="15"/>
      <c r="I2413" s="15"/>
      <c r="J2413" s="15"/>
      <c r="K2413" s="15"/>
      <c r="L2413" s="15"/>
      <c r="M2413" s="15"/>
      <c r="N2413" s="15"/>
      <c r="O2413" s="15"/>
      <c r="P2413" s="15"/>
      <c r="Q2413" s="15"/>
      <c r="R2413" s="15"/>
    </row>
    <row r="2414" spans="2:18" ht="13">
      <c r="B2414" s="33"/>
      <c r="C2414" s="34"/>
      <c r="D2414" s="68" t="s">
        <v>17</v>
      </c>
      <c r="E2414" s="69" t="s">
        <v>27</v>
      </c>
      <c r="F2414" s="20" t="s">
        <v>533</v>
      </c>
      <c r="G2414" s="15"/>
      <c r="H2414" s="15"/>
      <c r="I2414" s="15"/>
      <c r="J2414" s="15"/>
      <c r="K2414" s="15"/>
      <c r="L2414" s="15"/>
      <c r="M2414" s="15"/>
      <c r="N2414" s="15"/>
      <c r="O2414" s="15"/>
      <c r="P2414" s="15"/>
      <c r="Q2414" s="15"/>
      <c r="R2414" s="15"/>
    </row>
    <row r="2415" spans="2:18" ht="13">
      <c r="B2415" s="33"/>
      <c r="C2415" s="34"/>
      <c r="D2415" s="68" t="s">
        <v>17</v>
      </c>
      <c r="E2415" s="69" t="s">
        <v>27</v>
      </c>
      <c r="F2415" s="20" t="s">
        <v>533</v>
      </c>
      <c r="G2415" s="15"/>
      <c r="H2415" s="15"/>
      <c r="I2415" s="15"/>
      <c r="J2415" s="15"/>
      <c r="K2415" s="15"/>
      <c r="L2415" s="15"/>
      <c r="M2415" s="15"/>
      <c r="N2415" s="15"/>
      <c r="O2415" s="15"/>
      <c r="P2415" s="15"/>
      <c r="Q2415" s="15"/>
      <c r="R2415" s="15"/>
    </row>
    <row r="2416" spans="2:18" ht="13">
      <c r="B2416" s="33"/>
      <c r="C2416" s="34"/>
      <c r="D2416" s="68" t="s">
        <v>17</v>
      </c>
      <c r="E2416" s="69" t="s">
        <v>27</v>
      </c>
      <c r="F2416" s="20" t="s">
        <v>533</v>
      </c>
      <c r="G2416" s="15"/>
      <c r="H2416" s="15"/>
      <c r="I2416" s="15"/>
      <c r="J2416" s="15"/>
      <c r="K2416" s="15"/>
      <c r="L2416" s="15"/>
      <c r="M2416" s="15"/>
      <c r="N2416" s="15"/>
      <c r="O2416" s="15"/>
      <c r="P2416" s="15"/>
      <c r="Q2416" s="15"/>
      <c r="R2416" s="15"/>
    </row>
    <row r="2417" spans="2:18" ht="13">
      <c r="B2417" s="33"/>
      <c r="C2417" s="34"/>
      <c r="D2417" s="68" t="s">
        <v>17</v>
      </c>
      <c r="E2417" s="69" t="s">
        <v>27</v>
      </c>
      <c r="F2417" s="20" t="s">
        <v>533</v>
      </c>
      <c r="G2417" s="15"/>
      <c r="H2417" s="15"/>
      <c r="I2417" s="15"/>
      <c r="J2417" s="15"/>
      <c r="K2417" s="15"/>
      <c r="L2417" s="15"/>
      <c r="M2417" s="15"/>
      <c r="N2417" s="15"/>
      <c r="O2417" s="15"/>
      <c r="P2417" s="15"/>
      <c r="Q2417" s="15"/>
      <c r="R2417" s="15"/>
    </row>
    <row r="2418" spans="2:18" ht="13">
      <c r="B2418" s="33"/>
      <c r="C2418" s="34"/>
      <c r="D2418" s="68" t="s">
        <v>26</v>
      </c>
      <c r="E2418" s="69" t="s">
        <v>27</v>
      </c>
      <c r="F2418" s="20" t="s">
        <v>533</v>
      </c>
      <c r="G2418" s="15"/>
      <c r="H2418" s="15"/>
      <c r="I2418" s="15"/>
      <c r="J2418" s="15"/>
      <c r="K2418" s="15"/>
      <c r="L2418" s="15"/>
      <c r="M2418" s="15"/>
      <c r="N2418" s="15"/>
      <c r="O2418" s="15"/>
      <c r="P2418" s="15"/>
      <c r="Q2418" s="15"/>
      <c r="R2418" s="15"/>
    </row>
    <row r="2419" spans="2:18" ht="13">
      <c r="B2419" s="33"/>
      <c r="C2419" s="34"/>
      <c r="D2419" s="68" t="s">
        <v>17</v>
      </c>
      <c r="E2419" s="69" t="s">
        <v>27</v>
      </c>
      <c r="F2419" s="20" t="s">
        <v>533</v>
      </c>
      <c r="G2419" s="15"/>
      <c r="H2419" s="15"/>
      <c r="I2419" s="15"/>
      <c r="J2419" s="15"/>
      <c r="K2419" s="15"/>
      <c r="L2419" s="15"/>
      <c r="M2419" s="15"/>
      <c r="N2419" s="15"/>
      <c r="O2419" s="15"/>
      <c r="P2419" s="15"/>
      <c r="Q2419" s="15"/>
      <c r="R2419" s="15"/>
    </row>
    <row r="2420" spans="2:18" ht="13">
      <c r="B2420" s="33"/>
      <c r="C2420" s="34"/>
      <c r="D2420" s="68" t="s">
        <v>17</v>
      </c>
      <c r="E2420" s="69" t="s">
        <v>27</v>
      </c>
      <c r="F2420" s="20" t="s">
        <v>533</v>
      </c>
      <c r="G2420" s="15"/>
      <c r="H2420" s="15"/>
      <c r="I2420" s="15"/>
      <c r="J2420" s="15"/>
      <c r="K2420" s="15"/>
      <c r="L2420" s="15"/>
      <c r="M2420" s="15"/>
      <c r="N2420" s="15"/>
      <c r="O2420" s="15"/>
      <c r="P2420" s="15"/>
      <c r="Q2420" s="15"/>
      <c r="R2420" s="15"/>
    </row>
    <row r="2421" spans="2:18" ht="13">
      <c r="B2421" s="33"/>
      <c r="C2421" s="34"/>
      <c r="D2421" s="68" t="s">
        <v>17</v>
      </c>
      <c r="E2421" s="69" t="s">
        <v>175</v>
      </c>
      <c r="F2421" s="20" t="s">
        <v>533</v>
      </c>
      <c r="G2421" s="15"/>
      <c r="H2421" s="15"/>
      <c r="I2421" s="15"/>
      <c r="J2421" s="15"/>
      <c r="K2421" s="15"/>
      <c r="L2421" s="15"/>
      <c r="M2421" s="15"/>
      <c r="N2421" s="15"/>
      <c r="O2421" s="15"/>
      <c r="P2421" s="15"/>
      <c r="Q2421" s="15"/>
      <c r="R2421" s="15"/>
    </row>
    <row r="2422" spans="2:18" ht="13">
      <c r="B2422" s="33"/>
      <c r="C2422" s="34"/>
      <c r="D2422" s="68" t="s">
        <v>17</v>
      </c>
      <c r="E2422" s="69" t="s">
        <v>27</v>
      </c>
      <c r="F2422" s="20" t="s">
        <v>533</v>
      </c>
      <c r="G2422" s="15"/>
      <c r="H2422" s="15"/>
      <c r="I2422" s="15"/>
      <c r="J2422" s="15"/>
      <c r="K2422" s="15"/>
      <c r="L2422" s="15"/>
      <c r="M2422" s="15"/>
      <c r="N2422" s="15"/>
      <c r="O2422" s="15"/>
      <c r="P2422" s="15"/>
      <c r="Q2422" s="15"/>
      <c r="R2422" s="15"/>
    </row>
    <row r="2423" spans="2:18" ht="13">
      <c r="B2423" s="33"/>
      <c r="C2423" s="34"/>
      <c r="D2423" s="68" t="s">
        <v>17</v>
      </c>
      <c r="E2423" s="69" t="s">
        <v>27</v>
      </c>
      <c r="F2423" s="20" t="s">
        <v>533</v>
      </c>
      <c r="G2423" s="15"/>
      <c r="H2423" s="15"/>
      <c r="I2423" s="15"/>
      <c r="J2423" s="15"/>
      <c r="K2423" s="15"/>
      <c r="L2423" s="15"/>
      <c r="M2423" s="15"/>
      <c r="N2423" s="15"/>
      <c r="O2423" s="15"/>
      <c r="P2423" s="15"/>
      <c r="Q2423" s="15"/>
      <c r="R2423" s="15"/>
    </row>
    <row r="2424" spans="2:18" ht="13">
      <c r="B2424" s="33"/>
      <c r="C2424" s="34"/>
      <c r="D2424" s="68" t="s">
        <v>26</v>
      </c>
      <c r="E2424" s="69" t="s">
        <v>27</v>
      </c>
      <c r="F2424" s="20" t="s">
        <v>533</v>
      </c>
      <c r="G2424" s="15"/>
      <c r="H2424" s="15"/>
      <c r="I2424" s="15"/>
      <c r="J2424" s="15"/>
      <c r="K2424" s="15"/>
      <c r="L2424" s="15"/>
      <c r="M2424" s="15"/>
      <c r="N2424" s="15"/>
      <c r="O2424" s="15"/>
      <c r="P2424" s="15"/>
      <c r="Q2424" s="15"/>
      <c r="R2424" s="15"/>
    </row>
    <row r="2425" spans="2:18" ht="13">
      <c r="B2425" s="33"/>
      <c r="C2425" s="34"/>
      <c r="D2425" s="68" t="s">
        <v>17</v>
      </c>
      <c r="E2425" s="69" t="s">
        <v>27</v>
      </c>
      <c r="F2425" s="20" t="s">
        <v>533</v>
      </c>
      <c r="G2425" s="15"/>
      <c r="H2425" s="15"/>
      <c r="I2425" s="15"/>
      <c r="J2425" s="15"/>
      <c r="K2425" s="15"/>
      <c r="L2425" s="15"/>
      <c r="M2425" s="15"/>
      <c r="N2425" s="15"/>
      <c r="O2425" s="15"/>
      <c r="P2425" s="15"/>
      <c r="Q2425" s="15"/>
      <c r="R2425" s="15"/>
    </row>
    <row r="2426" spans="2:18" ht="13">
      <c r="B2426" s="33"/>
      <c r="C2426" s="34"/>
      <c r="D2426" s="68" t="s">
        <v>26</v>
      </c>
      <c r="E2426" s="69" t="s">
        <v>32</v>
      </c>
      <c r="F2426" s="20" t="s">
        <v>533</v>
      </c>
      <c r="G2426" s="15"/>
      <c r="H2426" s="15"/>
      <c r="I2426" s="15"/>
      <c r="J2426" s="15"/>
      <c r="K2426" s="15"/>
      <c r="L2426" s="15"/>
      <c r="M2426" s="15"/>
      <c r="N2426" s="15"/>
      <c r="O2426" s="15"/>
      <c r="P2426" s="15"/>
      <c r="Q2426" s="15"/>
      <c r="R2426" s="15"/>
    </row>
    <row r="2427" spans="2:18" ht="13">
      <c r="B2427" s="33"/>
      <c r="C2427" s="34"/>
      <c r="D2427" s="68" t="s">
        <v>26</v>
      </c>
      <c r="E2427" s="69" t="s">
        <v>27</v>
      </c>
      <c r="F2427" s="20" t="s">
        <v>533</v>
      </c>
      <c r="G2427" s="15"/>
      <c r="H2427" s="15"/>
      <c r="I2427" s="15"/>
      <c r="J2427" s="15"/>
      <c r="K2427" s="15"/>
      <c r="L2427" s="15"/>
      <c r="M2427" s="15"/>
      <c r="N2427" s="15"/>
      <c r="O2427" s="15"/>
      <c r="P2427" s="15"/>
      <c r="Q2427" s="15"/>
      <c r="R2427" s="15"/>
    </row>
    <row r="2428" spans="2:18" ht="13">
      <c r="B2428" s="33"/>
      <c r="C2428" s="34"/>
      <c r="D2428" s="68" t="s">
        <v>36</v>
      </c>
      <c r="E2428" s="69" t="s">
        <v>37</v>
      </c>
      <c r="F2428" s="20" t="s">
        <v>533</v>
      </c>
      <c r="G2428" s="15"/>
      <c r="H2428" s="15"/>
      <c r="I2428" s="15"/>
      <c r="J2428" s="15"/>
      <c r="K2428" s="15"/>
      <c r="L2428" s="15"/>
      <c r="M2428" s="15"/>
      <c r="N2428" s="15"/>
      <c r="O2428" s="15"/>
      <c r="P2428" s="15"/>
      <c r="Q2428" s="15"/>
      <c r="R2428" s="15"/>
    </row>
    <row r="2429" spans="2:18" ht="13">
      <c r="B2429" s="33"/>
      <c r="C2429" s="34"/>
      <c r="D2429" s="68" t="s">
        <v>17</v>
      </c>
      <c r="E2429" s="69" t="s">
        <v>27</v>
      </c>
      <c r="F2429" s="20" t="s">
        <v>533</v>
      </c>
      <c r="G2429" s="15"/>
      <c r="H2429" s="15"/>
      <c r="I2429" s="15"/>
      <c r="J2429" s="15"/>
      <c r="K2429" s="15"/>
      <c r="L2429" s="15"/>
      <c r="M2429" s="15"/>
      <c r="N2429" s="15"/>
      <c r="O2429" s="15"/>
      <c r="P2429" s="15"/>
      <c r="Q2429" s="15"/>
      <c r="R2429" s="15"/>
    </row>
    <row r="2430" spans="2:18" ht="13">
      <c r="B2430" s="33"/>
      <c r="C2430" s="34"/>
      <c r="D2430" s="68" t="s">
        <v>17</v>
      </c>
      <c r="E2430" s="69" t="s">
        <v>27</v>
      </c>
      <c r="F2430" s="20" t="s">
        <v>533</v>
      </c>
      <c r="G2430" s="15"/>
      <c r="H2430" s="15"/>
      <c r="I2430" s="15"/>
      <c r="J2430" s="15"/>
      <c r="K2430" s="15"/>
      <c r="L2430" s="15"/>
      <c r="M2430" s="15"/>
      <c r="N2430" s="15"/>
      <c r="O2430" s="15"/>
      <c r="P2430" s="15"/>
      <c r="Q2430" s="15"/>
      <c r="R2430" s="15"/>
    </row>
    <row r="2431" spans="2:18" ht="13">
      <c r="B2431" s="33"/>
      <c r="C2431" s="34"/>
      <c r="D2431" s="68" t="s">
        <v>577</v>
      </c>
      <c r="E2431" s="69" t="s">
        <v>124</v>
      </c>
      <c r="F2431" s="20" t="s">
        <v>533</v>
      </c>
      <c r="G2431" s="15"/>
      <c r="H2431" s="15"/>
      <c r="I2431" s="15"/>
      <c r="J2431" s="15"/>
      <c r="K2431" s="15"/>
      <c r="L2431" s="15"/>
      <c r="M2431" s="15"/>
      <c r="N2431" s="15"/>
      <c r="O2431" s="15"/>
      <c r="P2431" s="15"/>
      <c r="Q2431" s="15"/>
      <c r="R2431" s="15"/>
    </row>
    <row r="2432" spans="2:18" ht="13">
      <c r="B2432" s="33"/>
      <c r="C2432" s="34"/>
      <c r="D2432" s="68" t="s">
        <v>26</v>
      </c>
      <c r="E2432" s="69" t="s">
        <v>27</v>
      </c>
      <c r="F2432" s="20" t="s">
        <v>533</v>
      </c>
      <c r="G2432" s="15"/>
      <c r="H2432" s="15"/>
      <c r="I2432" s="15"/>
      <c r="J2432" s="15"/>
      <c r="K2432" s="15"/>
      <c r="L2432" s="15"/>
      <c r="M2432" s="15"/>
      <c r="N2432" s="15"/>
      <c r="O2432" s="15"/>
      <c r="P2432" s="15"/>
      <c r="Q2432" s="15"/>
      <c r="R2432" s="15"/>
    </row>
    <row r="2433" spans="2:18" ht="13">
      <c r="B2433" s="33"/>
      <c r="C2433" s="34"/>
      <c r="D2433" s="68" t="s">
        <v>162</v>
      </c>
      <c r="E2433" s="69" t="s">
        <v>163</v>
      </c>
      <c r="F2433" s="20" t="s">
        <v>533</v>
      </c>
      <c r="G2433" s="15"/>
      <c r="H2433" s="15"/>
      <c r="I2433" s="15"/>
      <c r="J2433" s="15"/>
      <c r="K2433" s="15"/>
      <c r="L2433" s="15"/>
      <c r="M2433" s="15"/>
      <c r="N2433" s="15"/>
      <c r="O2433" s="15"/>
      <c r="P2433" s="15"/>
      <c r="Q2433" s="15"/>
      <c r="R2433" s="15"/>
    </row>
    <row r="2434" spans="2:18" ht="13">
      <c r="B2434" s="33"/>
      <c r="C2434" s="34"/>
      <c r="D2434" s="68" t="s">
        <v>17</v>
      </c>
      <c r="E2434" s="69" t="s">
        <v>27</v>
      </c>
      <c r="F2434" s="20" t="s">
        <v>533</v>
      </c>
      <c r="G2434" s="15"/>
      <c r="H2434" s="15"/>
      <c r="I2434" s="15"/>
      <c r="J2434" s="15"/>
      <c r="K2434" s="15"/>
      <c r="L2434" s="15"/>
      <c r="M2434" s="15"/>
      <c r="N2434" s="15"/>
      <c r="O2434" s="15"/>
      <c r="P2434" s="15"/>
      <c r="Q2434" s="15"/>
      <c r="R2434" s="15"/>
    </row>
    <row r="2435" spans="2:18" ht="13">
      <c r="B2435" s="33"/>
      <c r="C2435" s="34"/>
      <c r="D2435" s="68" t="s">
        <v>17</v>
      </c>
      <c r="E2435" s="69" t="s">
        <v>27</v>
      </c>
      <c r="F2435" s="20" t="s">
        <v>533</v>
      </c>
      <c r="G2435" s="15"/>
      <c r="H2435" s="15"/>
      <c r="I2435" s="15"/>
      <c r="J2435" s="15"/>
      <c r="K2435" s="15"/>
      <c r="L2435" s="15"/>
      <c r="M2435" s="15"/>
      <c r="N2435" s="15"/>
      <c r="O2435" s="15"/>
      <c r="P2435" s="15"/>
      <c r="Q2435" s="15"/>
      <c r="R2435" s="15"/>
    </row>
    <row r="2436" spans="2:18" ht="13">
      <c r="B2436" s="33"/>
      <c r="C2436" s="34"/>
      <c r="D2436" s="68" t="s">
        <v>404</v>
      </c>
      <c r="E2436" s="69" t="s">
        <v>32</v>
      </c>
      <c r="F2436" s="20" t="s">
        <v>533</v>
      </c>
      <c r="G2436" s="15"/>
      <c r="H2436" s="15"/>
      <c r="I2436" s="15"/>
      <c r="J2436" s="15"/>
      <c r="K2436" s="15"/>
      <c r="L2436" s="15"/>
      <c r="M2436" s="15"/>
      <c r="N2436" s="15"/>
      <c r="O2436" s="15"/>
      <c r="P2436" s="15"/>
      <c r="Q2436" s="15"/>
      <c r="R2436" s="15"/>
    </row>
    <row r="2437" spans="2:18" ht="13">
      <c r="B2437" s="33"/>
      <c r="C2437" s="34"/>
      <c r="D2437" s="68" t="s">
        <v>17</v>
      </c>
      <c r="E2437" s="69" t="s">
        <v>27</v>
      </c>
      <c r="F2437" s="20" t="s">
        <v>533</v>
      </c>
      <c r="G2437" s="15"/>
      <c r="H2437" s="15"/>
      <c r="I2437" s="15"/>
      <c r="J2437" s="15"/>
      <c r="K2437" s="15"/>
      <c r="L2437" s="15"/>
      <c r="M2437" s="15"/>
      <c r="N2437" s="15"/>
      <c r="O2437" s="15"/>
      <c r="P2437" s="15"/>
      <c r="Q2437" s="15"/>
      <c r="R2437" s="15"/>
    </row>
    <row r="2438" spans="2:18" ht="13">
      <c r="B2438" s="33"/>
      <c r="C2438" s="34"/>
      <c r="D2438" s="68" t="s">
        <v>17</v>
      </c>
      <c r="E2438" s="69" t="s">
        <v>27</v>
      </c>
      <c r="F2438" s="20" t="s">
        <v>533</v>
      </c>
      <c r="G2438" s="15"/>
      <c r="H2438" s="15"/>
      <c r="I2438" s="15"/>
      <c r="J2438" s="15"/>
      <c r="K2438" s="15"/>
      <c r="L2438" s="15"/>
      <c r="M2438" s="15"/>
      <c r="N2438" s="15"/>
      <c r="O2438" s="15"/>
      <c r="P2438" s="15"/>
      <c r="Q2438" s="15"/>
      <c r="R2438" s="15"/>
    </row>
    <row r="2439" spans="2:18" ht="13">
      <c r="B2439" s="33"/>
      <c r="C2439" s="34"/>
      <c r="D2439" s="68" t="s">
        <v>168</v>
      </c>
      <c r="E2439" s="69" t="s">
        <v>27</v>
      </c>
      <c r="F2439" s="20" t="s">
        <v>533</v>
      </c>
      <c r="G2439" s="15"/>
      <c r="H2439" s="15"/>
      <c r="I2439" s="15"/>
      <c r="J2439" s="15"/>
      <c r="K2439" s="15"/>
      <c r="L2439" s="15"/>
      <c r="M2439" s="15"/>
      <c r="N2439" s="15"/>
      <c r="O2439" s="15"/>
      <c r="P2439" s="15"/>
      <c r="Q2439" s="15"/>
      <c r="R2439" s="15"/>
    </row>
    <row r="2440" spans="2:18" ht="13">
      <c r="B2440" s="33"/>
      <c r="C2440" s="34"/>
      <c r="D2440" s="68" t="s">
        <v>36</v>
      </c>
      <c r="E2440" s="69" t="s">
        <v>37</v>
      </c>
      <c r="F2440" s="20" t="s">
        <v>533</v>
      </c>
      <c r="G2440" s="15"/>
      <c r="H2440" s="15"/>
      <c r="I2440" s="15"/>
      <c r="J2440" s="15"/>
      <c r="K2440" s="15"/>
      <c r="L2440" s="15"/>
      <c r="M2440" s="15"/>
      <c r="N2440" s="15"/>
      <c r="O2440" s="15"/>
      <c r="P2440" s="15"/>
      <c r="Q2440" s="15"/>
      <c r="R2440" s="15"/>
    </row>
    <row r="2441" spans="2:18" ht="13">
      <c r="B2441" s="33"/>
      <c r="C2441" s="34"/>
      <c r="D2441" s="68" t="s">
        <v>26</v>
      </c>
      <c r="E2441" s="69" t="s">
        <v>27</v>
      </c>
      <c r="F2441" s="20" t="s">
        <v>533</v>
      </c>
      <c r="G2441" s="15"/>
      <c r="H2441" s="15"/>
      <c r="I2441" s="15"/>
      <c r="J2441" s="15"/>
      <c r="K2441" s="15"/>
      <c r="L2441" s="15"/>
      <c r="M2441" s="15"/>
      <c r="N2441" s="15"/>
      <c r="O2441" s="15"/>
      <c r="P2441" s="15"/>
      <c r="Q2441" s="15"/>
      <c r="R2441" s="15"/>
    </row>
    <row r="2442" spans="2:18" ht="13">
      <c r="B2442" s="33"/>
      <c r="C2442" s="34"/>
      <c r="D2442" s="68" t="s">
        <v>577</v>
      </c>
      <c r="E2442" s="69" t="s">
        <v>124</v>
      </c>
      <c r="F2442" s="20" t="s">
        <v>533</v>
      </c>
      <c r="G2442" s="15"/>
      <c r="H2442" s="15"/>
      <c r="I2442" s="15"/>
      <c r="J2442" s="15"/>
      <c r="K2442" s="15"/>
      <c r="L2442" s="15"/>
      <c r="M2442" s="15"/>
      <c r="N2442" s="15"/>
      <c r="O2442" s="15"/>
      <c r="P2442" s="15"/>
      <c r="Q2442" s="15"/>
      <c r="R2442" s="15"/>
    </row>
    <row r="2443" spans="2:18" ht="13">
      <c r="B2443" s="33"/>
      <c r="C2443" s="34"/>
      <c r="D2443" s="68" t="s">
        <v>17</v>
      </c>
      <c r="E2443" s="69" t="s">
        <v>27</v>
      </c>
      <c r="F2443" s="20" t="s">
        <v>533</v>
      </c>
      <c r="G2443" s="15"/>
      <c r="H2443" s="15"/>
      <c r="I2443" s="15"/>
      <c r="J2443" s="15"/>
      <c r="K2443" s="15"/>
      <c r="L2443" s="15"/>
      <c r="M2443" s="15"/>
      <c r="N2443" s="15"/>
      <c r="O2443" s="15"/>
      <c r="P2443" s="15"/>
      <c r="Q2443" s="15"/>
      <c r="R2443" s="15"/>
    </row>
    <row r="2444" spans="2:18" ht="13">
      <c r="B2444" s="33"/>
      <c r="C2444" s="34"/>
      <c r="D2444" s="68" t="s">
        <v>17</v>
      </c>
      <c r="E2444" s="69" t="s">
        <v>27</v>
      </c>
      <c r="F2444" s="20" t="s">
        <v>533</v>
      </c>
      <c r="G2444" s="15"/>
      <c r="H2444" s="15"/>
      <c r="I2444" s="15"/>
      <c r="J2444" s="15"/>
      <c r="K2444" s="15"/>
      <c r="L2444" s="15"/>
      <c r="M2444" s="15"/>
      <c r="N2444" s="15"/>
      <c r="O2444" s="15"/>
      <c r="P2444" s="15"/>
      <c r="Q2444" s="15"/>
      <c r="R2444" s="15"/>
    </row>
    <row r="2445" spans="2:18" ht="13">
      <c r="B2445" s="33"/>
      <c r="C2445" s="34"/>
      <c r="D2445" s="68" t="s">
        <v>26</v>
      </c>
      <c r="E2445" s="69" t="s">
        <v>27</v>
      </c>
      <c r="F2445" s="20" t="s">
        <v>533</v>
      </c>
      <c r="G2445" s="15"/>
      <c r="H2445" s="15"/>
      <c r="I2445" s="15"/>
      <c r="J2445" s="15"/>
      <c r="K2445" s="15"/>
      <c r="L2445" s="15"/>
      <c r="M2445" s="15"/>
      <c r="N2445" s="15"/>
      <c r="O2445" s="15"/>
      <c r="P2445" s="15"/>
      <c r="Q2445" s="15"/>
      <c r="R2445" s="15"/>
    </row>
    <row r="2446" spans="2:18" ht="13">
      <c r="B2446" s="33"/>
      <c r="C2446" s="34"/>
      <c r="D2446" s="68" t="s">
        <v>17</v>
      </c>
      <c r="E2446" s="69" t="s">
        <v>116</v>
      </c>
      <c r="F2446" s="20" t="s">
        <v>533</v>
      </c>
      <c r="G2446" s="15"/>
      <c r="H2446" s="15"/>
      <c r="I2446" s="15"/>
      <c r="J2446" s="15"/>
      <c r="K2446" s="15"/>
      <c r="L2446" s="15"/>
      <c r="M2446" s="15"/>
      <c r="N2446" s="15"/>
      <c r="O2446" s="15"/>
      <c r="P2446" s="15"/>
      <c r="Q2446" s="15"/>
      <c r="R2446" s="15"/>
    </row>
    <row r="2447" spans="2:18" ht="13">
      <c r="B2447" s="33"/>
      <c r="C2447" s="34"/>
      <c r="D2447" s="68" t="s">
        <v>168</v>
      </c>
      <c r="E2447" s="69" t="s">
        <v>27</v>
      </c>
      <c r="F2447" s="20" t="s">
        <v>533</v>
      </c>
      <c r="G2447" s="15"/>
      <c r="H2447" s="15"/>
      <c r="I2447" s="15"/>
      <c r="J2447" s="15"/>
      <c r="K2447" s="15"/>
      <c r="L2447" s="15"/>
      <c r="M2447" s="15"/>
      <c r="N2447" s="15"/>
      <c r="O2447" s="15"/>
      <c r="P2447" s="15"/>
      <c r="Q2447" s="15"/>
      <c r="R2447" s="15"/>
    </row>
    <row r="2448" spans="2:18" ht="13">
      <c r="B2448" s="33"/>
      <c r="C2448" s="34"/>
      <c r="D2448" s="68" t="s">
        <v>174</v>
      </c>
      <c r="E2448" s="69" t="s">
        <v>18</v>
      </c>
      <c r="F2448" s="20" t="s">
        <v>533</v>
      </c>
      <c r="G2448" s="15"/>
      <c r="H2448" s="15"/>
      <c r="I2448" s="15"/>
      <c r="J2448" s="15"/>
      <c r="K2448" s="15"/>
      <c r="L2448" s="15"/>
      <c r="M2448" s="15"/>
      <c r="N2448" s="15"/>
      <c r="O2448" s="15"/>
      <c r="P2448" s="15"/>
      <c r="Q2448" s="15"/>
      <c r="R2448" s="15"/>
    </row>
    <row r="2449" spans="2:18" ht="13">
      <c r="B2449" s="33"/>
      <c r="C2449" s="34"/>
      <c r="D2449" s="68" t="s">
        <v>574</v>
      </c>
      <c r="E2449" s="69" t="s">
        <v>575</v>
      </c>
      <c r="F2449" s="20" t="s">
        <v>533</v>
      </c>
      <c r="G2449" s="15"/>
      <c r="H2449" s="15"/>
      <c r="I2449" s="15"/>
      <c r="J2449" s="15"/>
      <c r="K2449" s="15"/>
      <c r="L2449" s="15"/>
      <c r="M2449" s="15"/>
      <c r="N2449" s="15"/>
      <c r="O2449" s="15"/>
      <c r="P2449" s="15"/>
      <c r="Q2449" s="15"/>
      <c r="R2449" s="15"/>
    </row>
    <row r="2450" spans="2:18" ht="13">
      <c r="B2450" s="33"/>
      <c r="C2450" s="34"/>
      <c r="D2450" s="68" t="s">
        <v>17</v>
      </c>
      <c r="E2450" s="69" t="s">
        <v>27</v>
      </c>
      <c r="F2450" s="20" t="s">
        <v>533</v>
      </c>
      <c r="G2450" s="15"/>
      <c r="H2450" s="15"/>
      <c r="I2450" s="15"/>
      <c r="J2450" s="15"/>
      <c r="K2450" s="15"/>
      <c r="L2450" s="15"/>
      <c r="M2450" s="15"/>
      <c r="N2450" s="15"/>
      <c r="O2450" s="15"/>
      <c r="P2450" s="15"/>
      <c r="Q2450" s="15"/>
      <c r="R2450" s="15"/>
    </row>
    <row r="2451" spans="2:18" ht="13">
      <c r="B2451" s="33"/>
      <c r="C2451" s="34"/>
      <c r="D2451" s="68" t="s">
        <v>26</v>
      </c>
      <c r="E2451" s="69" t="s">
        <v>27</v>
      </c>
      <c r="F2451" s="20" t="s">
        <v>533</v>
      </c>
      <c r="G2451" s="15"/>
      <c r="H2451" s="15"/>
      <c r="I2451" s="15"/>
      <c r="J2451" s="15"/>
      <c r="K2451" s="15"/>
      <c r="L2451" s="15"/>
      <c r="M2451" s="15"/>
      <c r="N2451" s="15"/>
      <c r="O2451" s="15"/>
      <c r="P2451" s="15"/>
      <c r="Q2451" s="15"/>
      <c r="R2451" s="15"/>
    </row>
    <row r="2452" spans="2:18" ht="13">
      <c r="B2452" s="33"/>
      <c r="C2452" s="34"/>
      <c r="D2452" s="68" t="s">
        <v>17</v>
      </c>
      <c r="E2452" s="69" t="s">
        <v>27</v>
      </c>
      <c r="F2452" s="20" t="s">
        <v>533</v>
      </c>
      <c r="G2452" s="15"/>
      <c r="H2452" s="15"/>
      <c r="I2452" s="15"/>
      <c r="J2452" s="15"/>
      <c r="K2452" s="15"/>
      <c r="L2452" s="15"/>
      <c r="M2452" s="15"/>
      <c r="N2452" s="15"/>
      <c r="O2452" s="15"/>
      <c r="P2452" s="15"/>
      <c r="Q2452" s="15"/>
      <c r="R2452" s="15"/>
    </row>
    <row r="2453" spans="2:18" ht="13">
      <c r="B2453" s="33"/>
      <c r="C2453" s="34"/>
      <c r="D2453" s="68" t="s">
        <v>17</v>
      </c>
      <c r="E2453" s="69" t="s">
        <v>27</v>
      </c>
      <c r="F2453" s="20" t="s">
        <v>533</v>
      </c>
      <c r="G2453" s="15"/>
      <c r="H2453" s="15"/>
      <c r="I2453" s="15"/>
      <c r="J2453" s="15"/>
      <c r="K2453" s="15"/>
      <c r="L2453" s="15"/>
      <c r="M2453" s="15"/>
      <c r="N2453" s="15"/>
      <c r="O2453" s="15"/>
      <c r="P2453" s="15"/>
      <c r="Q2453" s="15"/>
      <c r="R2453" s="15"/>
    </row>
    <row r="2454" spans="2:18" ht="13">
      <c r="B2454" s="33"/>
      <c r="C2454" s="34"/>
      <c r="D2454" s="68" t="s">
        <v>26</v>
      </c>
      <c r="E2454" s="69" t="s">
        <v>27</v>
      </c>
      <c r="F2454" s="20" t="s">
        <v>533</v>
      </c>
      <c r="G2454" s="15"/>
      <c r="H2454" s="15"/>
      <c r="I2454" s="15"/>
      <c r="J2454" s="15"/>
      <c r="K2454" s="15"/>
      <c r="L2454" s="15"/>
      <c r="M2454" s="15"/>
      <c r="N2454" s="15"/>
      <c r="O2454" s="15"/>
      <c r="P2454" s="15"/>
      <c r="Q2454" s="15"/>
      <c r="R2454" s="15"/>
    </row>
    <row r="2455" spans="2:18" ht="13">
      <c r="B2455" s="33"/>
      <c r="C2455" s="34"/>
      <c r="D2455" s="68" t="s">
        <v>174</v>
      </c>
      <c r="E2455" s="69" t="s">
        <v>379</v>
      </c>
      <c r="F2455" s="20" t="s">
        <v>533</v>
      </c>
      <c r="G2455" s="15"/>
      <c r="H2455" s="15"/>
      <c r="I2455" s="15"/>
      <c r="J2455" s="15"/>
      <c r="K2455" s="15"/>
      <c r="L2455" s="15"/>
      <c r="M2455" s="15"/>
      <c r="N2455" s="15"/>
      <c r="O2455" s="15"/>
      <c r="P2455" s="15"/>
      <c r="Q2455" s="15"/>
      <c r="R2455" s="15"/>
    </row>
    <row r="2456" spans="2:18" ht="13">
      <c r="B2456" s="33"/>
      <c r="C2456" s="34"/>
      <c r="D2456" s="68" t="s">
        <v>17</v>
      </c>
      <c r="E2456" s="69" t="s">
        <v>27</v>
      </c>
      <c r="F2456" s="20" t="s">
        <v>533</v>
      </c>
      <c r="G2456" s="15"/>
      <c r="H2456" s="15"/>
      <c r="I2456" s="15"/>
      <c r="J2456" s="15"/>
      <c r="K2456" s="15"/>
      <c r="L2456" s="15"/>
      <c r="M2456" s="15"/>
      <c r="N2456" s="15"/>
      <c r="O2456" s="15"/>
      <c r="P2456" s="15"/>
      <c r="Q2456" s="15"/>
      <c r="R2456" s="15"/>
    </row>
    <row r="2457" spans="2:18" ht="13">
      <c r="B2457" s="33"/>
      <c r="C2457" s="34"/>
      <c r="D2457" s="68" t="s">
        <v>17</v>
      </c>
      <c r="E2457" s="69" t="s">
        <v>27</v>
      </c>
      <c r="F2457" s="20" t="s">
        <v>533</v>
      </c>
      <c r="G2457" s="15"/>
      <c r="H2457" s="15"/>
      <c r="I2457" s="15"/>
      <c r="J2457" s="15"/>
      <c r="K2457" s="15"/>
      <c r="L2457" s="15"/>
      <c r="M2457" s="15"/>
      <c r="N2457" s="15"/>
      <c r="O2457" s="15"/>
      <c r="P2457" s="15"/>
      <c r="Q2457" s="15"/>
      <c r="R2457" s="15"/>
    </row>
    <row r="2458" spans="2:18" ht="13">
      <c r="B2458" s="33"/>
      <c r="C2458" s="34"/>
      <c r="D2458" s="68" t="s">
        <v>17</v>
      </c>
      <c r="E2458" s="69" t="s">
        <v>27</v>
      </c>
      <c r="F2458" s="20" t="s">
        <v>533</v>
      </c>
      <c r="G2458" s="15"/>
      <c r="H2458" s="15"/>
      <c r="I2458" s="15"/>
      <c r="J2458" s="15"/>
      <c r="K2458" s="15"/>
      <c r="L2458" s="15"/>
      <c r="M2458" s="15"/>
      <c r="N2458" s="15"/>
      <c r="O2458" s="15"/>
      <c r="P2458" s="15"/>
      <c r="Q2458" s="15"/>
      <c r="R2458" s="15"/>
    </row>
    <row r="2459" spans="2:18" ht="13">
      <c r="B2459" s="33"/>
      <c r="C2459" s="34"/>
      <c r="D2459" s="68" t="s">
        <v>17</v>
      </c>
      <c r="E2459" s="69" t="s">
        <v>27</v>
      </c>
      <c r="F2459" s="20" t="s">
        <v>533</v>
      </c>
      <c r="G2459" s="15"/>
      <c r="H2459" s="15"/>
      <c r="I2459" s="15"/>
      <c r="J2459" s="15"/>
      <c r="K2459" s="15"/>
      <c r="L2459" s="15"/>
      <c r="M2459" s="15"/>
      <c r="N2459" s="15"/>
      <c r="O2459" s="15"/>
      <c r="P2459" s="15"/>
      <c r="Q2459" s="15"/>
      <c r="R2459" s="15"/>
    </row>
    <row r="2460" spans="2:18" ht="13">
      <c r="B2460" s="33"/>
      <c r="C2460" s="34"/>
      <c r="D2460" s="68" t="s">
        <v>26</v>
      </c>
      <c r="E2460" s="69" t="s">
        <v>27</v>
      </c>
      <c r="F2460" s="20" t="s">
        <v>533</v>
      </c>
      <c r="G2460" s="15"/>
      <c r="H2460" s="15"/>
      <c r="I2460" s="15"/>
      <c r="J2460" s="15"/>
      <c r="K2460" s="15"/>
      <c r="L2460" s="15"/>
      <c r="M2460" s="15"/>
      <c r="N2460" s="15"/>
      <c r="O2460" s="15"/>
      <c r="P2460" s="15"/>
      <c r="Q2460" s="15"/>
      <c r="R2460" s="15"/>
    </row>
    <row r="2461" spans="2:18" ht="13">
      <c r="B2461" s="33"/>
      <c r="C2461" s="34"/>
      <c r="D2461" s="68" t="s">
        <v>17</v>
      </c>
      <c r="E2461" s="69" t="s">
        <v>27</v>
      </c>
      <c r="F2461" s="20" t="s">
        <v>533</v>
      </c>
      <c r="G2461" s="15"/>
      <c r="H2461" s="15"/>
      <c r="I2461" s="15"/>
      <c r="J2461" s="15"/>
      <c r="K2461" s="15"/>
      <c r="L2461" s="15"/>
      <c r="M2461" s="15"/>
      <c r="N2461" s="15"/>
      <c r="O2461" s="15"/>
      <c r="P2461" s="15"/>
      <c r="Q2461" s="15"/>
      <c r="R2461" s="15"/>
    </row>
    <row r="2462" spans="2:18" ht="13">
      <c r="B2462" s="33"/>
      <c r="C2462" s="34"/>
      <c r="D2462" s="68" t="s">
        <v>17</v>
      </c>
      <c r="E2462" s="69" t="s">
        <v>27</v>
      </c>
      <c r="F2462" s="20" t="s">
        <v>533</v>
      </c>
      <c r="G2462" s="15"/>
      <c r="H2462" s="15"/>
      <c r="I2462" s="15"/>
      <c r="J2462" s="15"/>
      <c r="K2462" s="15"/>
      <c r="L2462" s="15"/>
      <c r="M2462" s="15"/>
      <c r="N2462" s="15"/>
      <c r="O2462" s="15"/>
      <c r="P2462" s="15"/>
      <c r="Q2462" s="15"/>
      <c r="R2462" s="15"/>
    </row>
    <row r="2463" spans="2:18" ht="13">
      <c r="B2463" s="33"/>
      <c r="C2463" s="34"/>
      <c r="D2463" s="68" t="s">
        <v>577</v>
      </c>
      <c r="E2463" s="69" t="s">
        <v>124</v>
      </c>
      <c r="F2463" s="20" t="s">
        <v>533</v>
      </c>
      <c r="G2463" s="15"/>
      <c r="H2463" s="15"/>
      <c r="I2463" s="15"/>
      <c r="J2463" s="15"/>
      <c r="K2463" s="15"/>
      <c r="L2463" s="15"/>
      <c r="M2463" s="15"/>
      <c r="N2463" s="15"/>
      <c r="O2463" s="15"/>
      <c r="P2463" s="15"/>
      <c r="Q2463" s="15"/>
      <c r="R2463" s="15"/>
    </row>
    <row r="2464" spans="2:18" ht="13">
      <c r="B2464" s="33"/>
      <c r="C2464" s="34"/>
      <c r="D2464" s="68" t="s">
        <v>577</v>
      </c>
      <c r="E2464" s="69" t="s">
        <v>124</v>
      </c>
      <c r="F2464" s="20" t="s">
        <v>533</v>
      </c>
      <c r="G2464" s="15"/>
      <c r="H2464" s="15"/>
      <c r="I2464" s="15"/>
      <c r="J2464" s="15"/>
      <c r="K2464" s="15"/>
      <c r="L2464" s="15"/>
      <c r="M2464" s="15"/>
      <c r="N2464" s="15"/>
      <c r="O2464" s="15"/>
      <c r="P2464" s="15"/>
      <c r="Q2464" s="15"/>
      <c r="R2464" s="15"/>
    </row>
    <row r="2465" spans="2:18" ht="13">
      <c r="B2465" s="33"/>
      <c r="C2465" s="34"/>
      <c r="D2465" s="68" t="s">
        <v>577</v>
      </c>
      <c r="E2465" s="69" t="s">
        <v>124</v>
      </c>
      <c r="F2465" s="20" t="s">
        <v>533</v>
      </c>
      <c r="G2465" s="15"/>
      <c r="H2465" s="15"/>
      <c r="I2465" s="15"/>
      <c r="J2465" s="15"/>
      <c r="K2465" s="15"/>
      <c r="L2465" s="15"/>
      <c r="M2465" s="15"/>
      <c r="N2465" s="15"/>
      <c r="O2465" s="15"/>
      <c r="P2465" s="15"/>
      <c r="Q2465" s="15"/>
      <c r="R2465" s="15"/>
    </row>
    <row r="2466" spans="2:18" ht="13">
      <c r="B2466" s="33"/>
      <c r="C2466" s="34"/>
      <c r="D2466" s="68" t="s">
        <v>574</v>
      </c>
      <c r="E2466" s="69" t="s">
        <v>575</v>
      </c>
      <c r="F2466" s="20" t="s">
        <v>533</v>
      </c>
      <c r="G2466" s="15"/>
      <c r="H2466" s="15"/>
      <c r="I2466" s="15"/>
      <c r="J2466" s="15"/>
      <c r="K2466" s="15"/>
      <c r="L2466" s="15"/>
      <c r="M2466" s="15"/>
      <c r="N2466" s="15"/>
      <c r="O2466" s="15"/>
      <c r="P2466" s="15"/>
      <c r="Q2466" s="15"/>
      <c r="R2466" s="15"/>
    </row>
    <row r="2467" spans="2:18" ht="13">
      <c r="B2467" s="33"/>
      <c r="C2467" s="34"/>
      <c r="D2467" s="68" t="s">
        <v>86</v>
      </c>
      <c r="E2467" s="69" t="s">
        <v>124</v>
      </c>
      <c r="F2467" s="20" t="s">
        <v>533</v>
      </c>
      <c r="G2467" s="15"/>
      <c r="H2467" s="15"/>
      <c r="I2467" s="15"/>
      <c r="J2467" s="15"/>
      <c r="K2467" s="15"/>
      <c r="L2467" s="15"/>
      <c r="M2467" s="15"/>
      <c r="N2467" s="15"/>
      <c r="O2467" s="15"/>
      <c r="P2467" s="15"/>
      <c r="Q2467" s="15"/>
      <c r="R2467" s="15"/>
    </row>
    <row r="2468" spans="2:18" ht="13">
      <c r="B2468" s="33"/>
      <c r="C2468" s="34"/>
      <c r="D2468" s="68" t="s">
        <v>574</v>
      </c>
      <c r="E2468" s="69" t="s">
        <v>575</v>
      </c>
      <c r="F2468" s="20" t="s">
        <v>533</v>
      </c>
      <c r="G2468" s="15"/>
      <c r="H2468" s="15"/>
      <c r="I2468" s="15"/>
      <c r="J2468" s="15"/>
      <c r="K2468" s="15"/>
      <c r="L2468" s="15"/>
      <c r="M2468" s="15"/>
      <c r="N2468" s="15"/>
      <c r="O2468" s="15"/>
      <c r="P2468" s="15"/>
      <c r="Q2468" s="15"/>
      <c r="R2468" s="15"/>
    </row>
    <row r="2469" spans="2:18" ht="13">
      <c r="B2469" s="33"/>
      <c r="C2469" s="34"/>
      <c r="D2469" s="68" t="s">
        <v>577</v>
      </c>
      <c r="E2469" s="69" t="s">
        <v>124</v>
      </c>
      <c r="F2469" s="20" t="s">
        <v>533</v>
      </c>
      <c r="G2469" s="15"/>
      <c r="H2469" s="15"/>
      <c r="I2469" s="15"/>
      <c r="J2469" s="15"/>
      <c r="K2469" s="15"/>
      <c r="L2469" s="15"/>
      <c r="M2469" s="15"/>
      <c r="N2469" s="15"/>
      <c r="O2469" s="15"/>
      <c r="P2469" s="15"/>
      <c r="Q2469" s="15"/>
      <c r="R2469" s="15"/>
    </row>
    <row r="2470" spans="2:18" ht="13">
      <c r="B2470" s="33"/>
      <c r="C2470" s="34"/>
      <c r="D2470" s="68" t="s">
        <v>574</v>
      </c>
      <c r="E2470" s="69" t="s">
        <v>575</v>
      </c>
      <c r="F2470" s="20" t="s">
        <v>533</v>
      </c>
      <c r="G2470" s="15"/>
      <c r="H2470" s="15"/>
      <c r="I2470" s="15"/>
      <c r="J2470" s="15"/>
      <c r="K2470" s="15"/>
      <c r="L2470" s="15"/>
      <c r="M2470" s="15"/>
      <c r="N2470" s="15"/>
      <c r="O2470" s="15"/>
      <c r="P2470" s="15"/>
      <c r="Q2470" s="15"/>
      <c r="R2470" s="15"/>
    </row>
    <row r="2471" spans="2:18" ht="13">
      <c r="B2471" s="33"/>
      <c r="C2471" s="34"/>
      <c r="D2471" s="68" t="s">
        <v>574</v>
      </c>
      <c r="E2471" s="69" t="s">
        <v>575</v>
      </c>
      <c r="F2471" s="20" t="s">
        <v>533</v>
      </c>
      <c r="G2471" s="15"/>
      <c r="H2471" s="15"/>
      <c r="I2471" s="15"/>
      <c r="J2471" s="15"/>
      <c r="K2471" s="15"/>
      <c r="L2471" s="15"/>
      <c r="M2471" s="15"/>
      <c r="N2471" s="15"/>
      <c r="O2471" s="15"/>
      <c r="P2471" s="15"/>
      <c r="Q2471" s="15"/>
      <c r="R2471" s="15"/>
    </row>
    <row r="2472" spans="2:18" ht="13">
      <c r="B2472" s="33"/>
      <c r="C2472" s="34"/>
      <c r="D2472" s="68" t="s">
        <v>659</v>
      </c>
      <c r="E2472" s="69" t="s">
        <v>37</v>
      </c>
      <c r="F2472" s="20" t="s">
        <v>533</v>
      </c>
      <c r="G2472" s="15"/>
      <c r="H2472" s="15"/>
      <c r="I2472" s="15"/>
      <c r="J2472" s="15"/>
      <c r="K2472" s="15"/>
      <c r="L2472" s="15"/>
      <c r="M2472" s="15"/>
      <c r="N2472" s="15"/>
      <c r="O2472" s="15"/>
      <c r="P2472" s="15"/>
      <c r="Q2472" s="15"/>
      <c r="R2472" s="15"/>
    </row>
    <row r="2473" spans="2:18" ht="13">
      <c r="B2473" s="33"/>
      <c r="C2473" s="34"/>
      <c r="D2473" s="68" t="s">
        <v>618</v>
      </c>
      <c r="E2473" s="69" t="s">
        <v>121</v>
      </c>
      <c r="F2473" s="20" t="s">
        <v>533</v>
      </c>
      <c r="G2473" s="15"/>
      <c r="H2473" s="15"/>
      <c r="I2473" s="15"/>
      <c r="J2473" s="15"/>
      <c r="K2473" s="15"/>
      <c r="L2473" s="15"/>
      <c r="M2473" s="15"/>
      <c r="N2473" s="15"/>
      <c r="O2473" s="15"/>
      <c r="P2473" s="15"/>
      <c r="Q2473" s="15"/>
      <c r="R2473" s="15"/>
    </row>
    <row r="2474" spans="2:18" ht="13">
      <c r="B2474" s="33"/>
      <c r="C2474" s="34"/>
      <c r="D2474" s="68" t="s">
        <v>86</v>
      </c>
      <c r="E2474" s="69" t="s">
        <v>124</v>
      </c>
      <c r="F2474" s="20" t="s">
        <v>533</v>
      </c>
      <c r="G2474" s="15"/>
      <c r="H2474" s="15"/>
      <c r="I2474" s="15"/>
      <c r="J2474" s="15"/>
      <c r="K2474" s="15"/>
      <c r="L2474" s="15"/>
      <c r="M2474" s="15"/>
      <c r="N2474" s="15"/>
      <c r="O2474" s="15"/>
      <c r="P2474" s="15"/>
      <c r="Q2474" s="15"/>
      <c r="R2474" s="15"/>
    </row>
    <row r="2475" spans="2:18" ht="13">
      <c r="B2475" s="33"/>
      <c r="C2475" s="34"/>
      <c r="D2475" s="68" t="s">
        <v>326</v>
      </c>
      <c r="E2475" s="69" t="s">
        <v>121</v>
      </c>
      <c r="F2475" s="20" t="s">
        <v>533</v>
      </c>
      <c r="G2475" s="15"/>
      <c r="H2475" s="15"/>
      <c r="I2475" s="15"/>
      <c r="J2475" s="15"/>
      <c r="K2475" s="15"/>
      <c r="L2475" s="15"/>
      <c r="M2475" s="15"/>
      <c r="N2475" s="15"/>
      <c r="O2475" s="15"/>
      <c r="P2475" s="15"/>
      <c r="Q2475" s="15"/>
      <c r="R2475" s="15"/>
    </row>
    <row r="2476" spans="2:18" ht="13">
      <c r="B2476" s="33"/>
      <c r="C2476" s="34"/>
      <c r="D2476" s="68" t="s">
        <v>598</v>
      </c>
      <c r="E2476" s="69" t="s">
        <v>121</v>
      </c>
      <c r="F2476" s="20" t="s">
        <v>533</v>
      </c>
      <c r="G2476" s="15"/>
      <c r="H2476" s="15"/>
      <c r="I2476" s="15"/>
      <c r="J2476" s="15"/>
      <c r="K2476" s="15"/>
      <c r="L2476" s="15"/>
      <c r="M2476" s="15"/>
      <c r="N2476" s="15"/>
      <c r="O2476" s="15"/>
      <c r="P2476" s="15"/>
      <c r="Q2476" s="15"/>
      <c r="R2476" s="15"/>
    </row>
    <row r="2477" spans="2:18" ht="13">
      <c r="B2477" s="33"/>
      <c r="C2477" s="34"/>
      <c r="D2477" s="68" t="s">
        <v>86</v>
      </c>
      <c r="E2477" s="69" t="s">
        <v>121</v>
      </c>
      <c r="F2477" s="20" t="s">
        <v>533</v>
      </c>
      <c r="G2477" s="15"/>
      <c r="H2477" s="15"/>
      <c r="I2477" s="15"/>
      <c r="J2477" s="15"/>
      <c r="K2477" s="15"/>
      <c r="L2477" s="15"/>
      <c r="M2477" s="15"/>
      <c r="N2477" s="15"/>
      <c r="O2477" s="15"/>
      <c r="P2477" s="15"/>
      <c r="Q2477" s="15"/>
      <c r="R2477" s="15"/>
    </row>
    <row r="2478" spans="2:18" ht="13">
      <c r="B2478" s="33"/>
      <c r="C2478" s="34"/>
      <c r="D2478" s="68" t="s">
        <v>570</v>
      </c>
      <c r="E2478" s="69" t="s">
        <v>124</v>
      </c>
      <c r="F2478" s="20" t="s">
        <v>533</v>
      </c>
      <c r="G2478" s="15"/>
      <c r="H2478" s="15"/>
      <c r="I2478" s="15"/>
      <c r="J2478" s="15"/>
      <c r="K2478" s="15"/>
      <c r="L2478" s="15"/>
      <c r="M2478" s="15"/>
      <c r="N2478" s="15"/>
      <c r="O2478" s="15"/>
      <c r="P2478" s="15"/>
      <c r="Q2478" s="15"/>
      <c r="R2478" s="15"/>
    </row>
    <row r="2479" spans="2:18" ht="13">
      <c r="B2479" s="33"/>
      <c r="C2479" s="34"/>
      <c r="D2479" s="68" t="s">
        <v>86</v>
      </c>
      <c r="E2479" s="69" t="s">
        <v>121</v>
      </c>
      <c r="F2479" s="20" t="s">
        <v>533</v>
      </c>
      <c r="G2479" s="15"/>
      <c r="H2479" s="15"/>
      <c r="I2479" s="15"/>
      <c r="J2479" s="15"/>
      <c r="K2479" s="15"/>
      <c r="L2479" s="15"/>
      <c r="M2479" s="15"/>
      <c r="N2479" s="15"/>
      <c r="O2479" s="15"/>
      <c r="P2479" s="15"/>
      <c r="Q2479" s="15"/>
      <c r="R2479" s="15"/>
    </row>
    <row r="2480" spans="2:18" ht="13">
      <c r="B2480" s="33"/>
      <c r="C2480" s="34"/>
      <c r="D2480" s="68" t="s">
        <v>577</v>
      </c>
      <c r="E2480" s="69" t="s">
        <v>124</v>
      </c>
      <c r="F2480" s="20" t="s">
        <v>533</v>
      </c>
      <c r="G2480" s="15"/>
      <c r="H2480" s="15"/>
      <c r="I2480" s="15"/>
      <c r="J2480" s="15"/>
      <c r="K2480" s="15"/>
      <c r="L2480" s="15"/>
      <c r="M2480" s="15"/>
      <c r="N2480" s="15"/>
      <c r="O2480" s="15"/>
      <c r="P2480" s="15"/>
      <c r="Q2480" s="15"/>
      <c r="R2480" s="15"/>
    </row>
    <row r="2481" spans="2:18" ht="13">
      <c r="B2481" s="33"/>
      <c r="C2481" s="34"/>
      <c r="D2481" s="68" t="s">
        <v>577</v>
      </c>
      <c r="E2481" s="69" t="s">
        <v>124</v>
      </c>
      <c r="F2481" s="20" t="s">
        <v>533</v>
      </c>
      <c r="G2481" s="15"/>
      <c r="H2481" s="15"/>
      <c r="I2481" s="15"/>
      <c r="J2481" s="15"/>
      <c r="K2481" s="15"/>
      <c r="L2481" s="15"/>
      <c r="M2481" s="15"/>
      <c r="N2481" s="15"/>
      <c r="O2481" s="15"/>
      <c r="P2481" s="15"/>
      <c r="Q2481" s="15"/>
      <c r="R2481" s="15"/>
    </row>
    <row r="2482" spans="2:18" ht="13">
      <c r="B2482" s="33"/>
      <c r="C2482" s="34"/>
      <c r="D2482" s="68" t="s">
        <v>17</v>
      </c>
      <c r="E2482" s="69" t="s">
        <v>27</v>
      </c>
      <c r="F2482" s="20" t="s">
        <v>533</v>
      </c>
      <c r="G2482" s="15"/>
      <c r="H2482" s="15"/>
      <c r="I2482" s="15"/>
      <c r="J2482" s="15"/>
      <c r="K2482" s="15"/>
      <c r="L2482" s="15"/>
      <c r="M2482" s="15"/>
      <c r="N2482" s="15"/>
      <c r="O2482" s="15"/>
      <c r="P2482" s="15"/>
      <c r="Q2482" s="15"/>
      <c r="R2482" s="15"/>
    </row>
    <row r="2483" spans="2:18" ht="13">
      <c r="B2483" s="33"/>
      <c r="C2483" s="34"/>
      <c r="D2483" s="68" t="s">
        <v>17</v>
      </c>
      <c r="E2483" s="69" t="s">
        <v>27</v>
      </c>
      <c r="F2483" s="20" t="s">
        <v>533</v>
      </c>
      <c r="G2483" s="15"/>
      <c r="H2483" s="15"/>
      <c r="I2483" s="15"/>
      <c r="J2483" s="15"/>
      <c r="K2483" s="15"/>
      <c r="L2483" s="15"/>
      <c r="M2483" s="15"/>
      <c r="N2483" s="15"/>
      <c r="O2483" s="15"/>
      <c r="P2483" s="15"/>
      <c r="Q2483" s="15"/>
      <c r="R2483" s="15"/>
    </row>
    <row r="2484" spans="2:18" ht="13">
      <c r="B2484" s="33"/>
      <c r="C2484" s="34"/>
      <c r="D2484" s="68" t="s">
        <v>17</v>
      </c>
      <c r="E2484" s="69" t="s">
        <v>27</v>
      </c>
      <c r="F2484" s="20" t="s">
        <v>533</v>
      </c>
      <c r="G2484" s="15"/>
      <c r="H2484" s="15"/>
      <c r="I2484" s="15"/>
      <c r="J2484" s="15"/>
      <c r="K2484" s="15"/>
      <c r="L2484" s="15"/>
      <c r="M2484" s="15"/>
      <c r="N2484" s="15"/>
      <c r="O2484" s="15"/>
      <c r="P2484" s="15"/>
      <c r="Q2484" s="15"/>
      <c r="R2484" s="15"/>
    </row>
    <row r="2485" spans="2:18" ht="13">
      <c r="B2485" s="33"/>
      <c r="C2485" s="34"/>
      <c r="D2485" s="68" t="s">
        <v>26</v>
      </c>
      <c r="E2485" s="69" t="s">
        <v>27</v>
      </c>
      <c r="F2485" s="20" t="s">
        <v>533</v>
      </c>
      <c r="G2485" s="15"/>
      <c r="H2485" s="15"/>
      <c r="I2485" s="15"/>
      <c r="J2485" s="15"/>
      <c r="K2485" s="15"/>
      <c r="L2485" s="15"/>
      <c r="M2485" s="15"/>
      <c r="N2485" s="15"/>
      <c r="O2485" s="15"/>
      <c r="P2485" s="15"/>
      <c r="Q2485" s="15"/>
      <c r="R2485" s="15"/>
    </row>
    <row r="2486" spans="2:18" ht="13">
      <c r="B2486" s="33"/>
      <c r="C2486" s="34"/>
      <c r="D2486" s="68" t="s">
        <v>17</v>
      </c>
      <c r="E2486" s="69" t="s">
        <v>27</v>
      </c>
      <c r="F2486" s="20" t="s">
        <v>533</v>
      </c>
      <c r="G2486" s="15"/>
      <c r="H2486" s="15"/>
      <c r="I2486" s="15"/>
      <c r="J2486" s="15"/>
      <c r="K2486" s="15"/>
      <c r="L2486" s="15"/>
      <c r="M2486" s="15"/>
      <c r="N2486" s="15"/>
      <c r="O2486" s="15"/>
      <c r="P2486" s="15"/>
      <c r="Q2486" s="15"/>
      <c r="R2486" s="15"/>
    </row>
    <row r="2487" spans="2:18" ht="13">
      <c r="B2487" s="33"/>
      <c r="C2487" s="34"/>
      <c r="D2487" s="68" t="s">
        <v>17</v>
      </c>
      <c r="E2487" s="69" t="s">
        <v>27</v>
      </c>
      <c r="F2487" s="20" t="s">
        <v>533</v>
      </c>
      <c r="G2487" s="15"/>
      <c r="H2487" s="15"/>
      <c r="I2487" s="15"/>
      <c r="J2487" s="15"/>
      <c r="K2487" s="15"/>
      <c r="L2487" s="15"/>
      <c r="M2487" s="15"/>
      <c r="N2487" s="15"/>
      <c r="O2487" s="15"/>
      <c r="P2487" s="15"/>
      <c r="Q2487" s="15"/>
      <c r="R2487" s="15"/>
    </row>
    <row r="2488" spans="2:18" ht="13">
      <c r="B2488" s="33"/>
      <c r="C2488" s="34"/>
      <c r="D2488" s="68" t="s">
        <v>17</v>
      </c>
      <c r="E2488" s="69" t="s">
        <v>27</v>
      </c>
      <c r="F2488" s="20" t="s">
        <v>533</v>
      </c>
      <c r="G2488" s="15"/>
      <c r="H2488" s="15"/>
      <c r="I2488" s="15"/>
      <c r="J2488" s="15"/>
      <c r="K2488" s="15"/>
      <c r="L2488" s="15"/>
      <c r="M2488" s="15"/>
      <c r="N2488" s="15"/>
      <c r="O2488" s="15"/>
      <c r="P2488" s="15"/>
      <c r="Q2488" s="15"/>
      <c r="R2488" s="15"/>
    </row>
    <row r="2489" spans="2:18" ht="13">
      <c r="B2489" s="33"/>
      <c r="C2489" s="34"/>
      <c r="D2489" s="68" t="s">
        <v>17</v>
      </c>
      <c r="E2489" s="69" t="s">
        <v>27</v>
      </c>
      <c r="F2489" s="20" t="s">
        <v>533</v>
      </c>
      <c r="G2489" s="15"/>
      <c r="H2489" s="15"/>
      <c r="I2489" s="15"/>
      <c r="J2489" s="15"/>
      <c r="K2489" s="15"/>
      <c r="L2489" s="15"/>
      <c r="M2489" s="15"/>
      <c r="N2489" s="15"/>
      <c r="O2489" s="15"/>
      <c r="P2489" s="15"/>
      <c r="Q2489" s="15"/>
      <c r="R2489" s="15"/>
    </row>
    <row r="2490" spans="2:18" ht="13">
      <c r="B2490" s="33"/>
      <c r="C2490" s="34"/>
      <c r="D2490" s="68" t="s">
        <v>26</v>
      </c>
      <c r="E2490" s="69" t="s">
        <v>27</v>
      </c>
      <c r="F2490" s="20" t="s">
        <v>533</v>
      </c>
      <c r="G2490" s="15"/>
      <c r="H2490" s="15"/>
      <c r="I2490" s="15"/>
      <c r="J2490" s="15"/>
      <c r="K2490" s="15"/>
      <c r="L2490" s="15"/>
      <c r="M2490" s="15"/>
      <c r="N2490" s="15"/>
      <c r="O2490" s="15"/>
      <c r="P2490" s="15"/>
      <c r="Q2490" s="15"/>
      <c r="R2490" s="15"/>
    </row>
    <row r="2491" spans="2:18" ht="13">
      <c r="B2491" s="33"/>
      <c r="C2491" s="34"/>
      <c r="D2491" s="68" t="s">
        <v>574</v>
      </c>
      <c r="E2491" s="69" t="s">
        <v>575</v>
      </c>
      <c r="F2491" s="20" t="s">
        <v>533</v>
      </c>
      <c r="G2491" s="15"/>
      <c r="H2491" s="15"/>
      <c r="I2491" s="15"/>
      <c r="J2491" s="15"/>
      <c r="K2491" s="15"/>
      <c r="L2491" s="15"/>
      <c r="M2491" s="15"/>
      <c r="N2491" s="15"/>
      <c r="O2491" s="15"/>
      <c r="P2491" s="15"/>
      <c r="Q2491" s="15"/>
      <c r="R2491" s="15"/>
    </row>
    <row r="2492" spans="2:18" ht="13">
      <c r="B2492" s="33"/>
      <c r="C2492" s="34"/>
      <c r="D2492" s="68" t="s">
        <v>26</v>
      </c>
      <c r="E2492" s="69" t="s">
        <v>27</v>
      </c>
      <c r="F2492" s="20" t="s">
        <v>533</v>
      </c>
      <c r="G2492" s="15"/>
      <c r="H2492" s="15"/>
      <c r="I2492" s="15"/>
      <c r="J2492" s="15"/>
      <c r="K2492" s="15"/>
      <c r="L2492" s="15"/>
      <c r="M2492" s="15"/>
      <c r="N2492" s="15"/>
      <c r="O2492" s="15"/>
      <c r="P2492" s="15"/>
      <c r="Q2492" s="15"/>
      <c r="R2492" s="15"/>
    </row>
    <row r="2493" spans="2:18" ht="13">
      <c r="B2493" s="33"/>
      <c r="C2493" s="34"/>
      <c r="D2493" s="68" t="s">
        <v>26</v>
      </c>
      <c r="E2493" s="69" t="s">
        <v>27</v>
      </c>
      <c r="F2493" s="20" t="s">
        <v>533</v>
      </c>
      <c r="G2493" s="15"/>
      <c r="H2493" s="15"/>
      <c r="I2493" s="15"/>
      <c r="J2493" s="15"/>
      <c r="K2493" s="15"/>
      <c r="L2493" s="15"/>
      <c r="M2493" s="15"/>
      <c r="N2493" s="15"/>
      <c r="O2493" s="15"/>
      <c r="P2493" s="15"/>
      <c r="Q2493" s="15"/>
      <c r="R2493" s="15"/>
    </row>
    <row r="2494" spans="2:18" ht="13">
      <c r="B2494" s="33"/>
      <c r="C2494" s="34"/>
      <c r="D2494" s="68" t="s">
        <v>17</v>
      </c>
      <c r="E2494" s="69" t="s">
        <v>27</v>
      </c>
      <c r="F2494" s="20" t="s">
        <v>533</v>
      </c>
      <c r="G2494" s="15"/>
      <c r="H2494" s="15"/>
      <c r="I2494" s="15"/>
      <c r="J2494" s="15"/>
      <c r="K2494" s="15"/>
      <c r="L2494" s="15"/>
      <c r="M2494" s="15"/>
      <c r="N2494" s="15"/>
      <c r="O2494" s="15"/>
      <c r="P2494" s="15"/>
      <c r="Q2494" s="15"/>
      <c r="R2494" s="15"/>
    </row>
    <row r="2495" spans="2:18" ht="13">
      <c r="B2495" s="33"/>
      <c r="C2495" s="34"/>
      <c r="D2495" s="68" t="s">
        <v>17</v>
      </c>
      <c r="E2495" s="69" t="s">
        <v>27</v>
      </c>
      <c r="F2495" s="20" t="s">
        <v>533</v>
      </c>
      <c r="G2495" s="15"/>
      <c r="H2495" s="15"/>
      <c r="I2495" s="15"/>
      <c r="J2495" s="15"/>
      <c r="K2495" s="15"/>
      <c r="L2495" s="15"/>
      <c r="M2495" s="15"/>
      <c r="N2495" s="15"/>
      <c r="O2495" s="15"/>
      <c r="P2495" s="15"/>
      <c r="Q2495" s="15"/>
      <c r="R2495" s="15"/>
    </row>
    <row r="2496" spans="2:18" ht="13">
      <c r="B2496" s="33"/>
      <c r="C2496" s="34"/>
      <c r="D2496" s="68" t="s">
        <v>53</v>
      </c>
      <c r="E2496" s="69" t="s">
        <v>32</v>
      </c>
      <c r="F2496" s="20" t="s">
        <v>533</v>
      </c>
      <c r="G2496" s="15"/>
      <c r="H2496" s="15"/>
      <c r="I2496" s="15"/>
      <c r="J2496" s="15"/>
      <c r="K2496" s="15"/>
      <c r="L2496" s="15"/>
      <c r="M2496" s="15"/>
      <c r="N2496" s="15"/>
      <c r="O2496" s="15"/>
      <c r="P2496" s="15"/>
      <c r="Q2496" s="15"/>
      <c r="R2496" s="15"/>
    </row>
    <row r="2497" spans="2:18" ht="13">
      <c r="B2497" s="33"/>
      <c r="C2497" s="34"/>
      <c r="D2497" s="68" t="s">
        <v>17</v>
      </c>
      <c r="E2497" s="69" t="s">
        <v>27</v>
      </c>
      <c r="F2497" s="20" t="s">
        <v>533</v>
      </c>
      <c r="G2497" s="15"/>
      <c r="H2497" s="15"/>
      <c r="I2497" s="15"/>
      <c r="J2497" s="15"/>
      <c r="K2497" s="15"/>
      <c r="L2497" s="15"/>
      <c r="M2497" s="15"/>
      <c r="N2497" s="15"/>
      <c r="O2497" s="15"/>
      <c r="P2497" s="15"/>
      <c r="Q2497" s="15"/>
      <c r="R2497" s="15"/>
    </row>
    <row r="2498" spans="2:18" ht="13">
      <c r="B2498" s="33"/>
      <c r="C2498" s="34"/>
      <c r="D2498" s="68" t="s">
        <v>544</v>
      </c>
      <c r="E2498" s="69" t="s">
        <v>121</v>
      </c>
      <c r="F2498" s="20" t="s">
        <v>533</v>
      </c>
      <c r="G2498" s="15"/>
      <c r="H2498" s="15"/>
      <c r="I2498" s="15"/>
      <c r="J2498" s="15"/>
      <c r="K2498" s="15"/>
      <c r="L2498" s="15"/>
      <c r="M2498" s="15"/>
      <c r="N2498" s="15"/>
      <c r="O2498" s="15"/>
      <c r="P2498" s="15"/>
      <c r="Q2498" s="15"/>
      <c r="R2498" s="15"/>
    </row>
    <row r="2499" spans="2:18" ht="13">
      <c r="B2499" s="33"/>
      <c r="C2499" s="34"/>
      <c r="D2499" s="68" t="s">
        <v>17</v>
      </c>
      <c r="E2499" s="69" t="s">
        <v>27</v>
      </c>
      <c r="F2499" s="20" t="s">
        <v>533</v>
      </c>
      <c r="G2499" s="15"/>
      <c r="H2499" s="15"/>
      <c r="I2499" s="15"/>
      <c r="J2499" s="15"/>
      <c r="K2499" s="15"/>
      <c r="L2499" s="15"/>
      <c r="M2499" s="15"/>
      <c r="N2499" s="15"/>
      <c r="O2499" s="15"/>
      <c r="P2499" s="15"/>
      <c r="Q2499" s="15"/>
      <c r="R2499" s="15"/>
    </row>
    <row r="2500" spans="2:18" ht="13">
      <c r="B2500" s="33"/>
      <c r="C2500" s="34"/>
      <c r="D2500" s="68" t="s">
        <v>17</v>
      </c>
      <c r="E2500" s="69" t="s">
        <v>27</v>
      </c>
      <c r="F2500" s="20" t="s">
        <v>533</v>
      </c>
      <c r="G2500" s="15"/>
      <c r="H2500" s="15"/>
      <c r="I2500" s="15"/>
      <c r="J2500" s="15"/>
      <c r="K2500" s="15"/>
      <c r="L2500" s="15"/>
      <c r="M2500" s="15"/>
      <c r="N2500" s="15"/>
      <c r="O2500" s="15"/>
      <c r="P2500" s="15"/>
      <c r="Q2500" s="15"/>
      <c r="R2500" s="15"/>
    </row>
    <row r="2501" spans="2:18" ht="13">
      <c r="B2501" s="33"/>
      <c r="C2501" s="34"/>
      <c r="D2501" s="68" t="s">
        <v>26</v>
      </c>
      <c r="E2501" s="69" t="s">
        <v>27</v>
      </c>
      <c r="F2501" s="20" t="s">
        <v>533</v>
      </c>
      <c r="G2501" s="15"/>
      <c r="H2501" s="15"/>
      <c r="I2501" s="15"/>
      <c r="J2501" s="15"/>
      <c r="K2501" s="15"/>
      <c r="L2501" s="15"/>
      <c r="M2501" s="15"/>
      <c r="N2501" s="15"/>
      <c r="O2501" s="15"/>
      <c r="P2501" s="15"/>
      <c r="Q2501" s="15"/>
      <c r="R2501" s="15"/>
    </row>
    <row r="2502" spans="2:18" ht="13">
      <c r="B2502" s="33"/>
      <c r="C2502" s="34"/>
      <c r="D2502" s="68" t="s">
        <v>26</v>
      </c>
      <c r="E2502" s="69" t="s">
        <v>27</v>
      </c>
      <c r="F2502" s="20" t="s">
        <v>533</v>
      </c>
      <c r="G2502" s="15"/>
      <c r="H2502" s="15"/>
      <c r="I2502" s="15"/>
      <c r="J2502" s="15"/>
      <c r="K2502" s="15"/>
      <c r="L2502" s="15"/>
      <c r="M2502" s="15"/>
      <c r="N2502" s="15"/>
      <c r="O2502" s="15"/>
      <c r="P2502" s="15"/>
      <c r="Q2502" s="15"/>
      <c r="R2502" s="15"/>
    </row>
    <row r="2503" spans="2:18" ht="13">
      <c r="B2503" s="33"/>
      <c r="C2503" s="34"/>
      <c r="D2503" s="68" t="s">
        <v>560</v>
      </c>
      <c r="E2503" s="69" t="s">
        <v>121</v>
      </c>
      <c r="F2503" s="20" t="s">
        <v>533</v>
      </c>
      <c r="G2503" s="15"/>
      <c r="H2503" s="15"/>
      <c r="I2503" s="15"/>
      <c r="J2503" s="15"/>
      <c r="K2503" s="15"/>
      <c r="L2503" s="15"/>
      <c r="M2503" s="15"/>
      <c r="N2503" s="15"/>
      <c r="O2503" s="15"/>
      <c r="P2503" s="15"/>
      <c r="Q2503" s="15"/>
      <c r="R2503" s="15"/>
    </row>
    <row r="2504" spans="2:18" ht="13">
      <c r="B2504" s="33"/>
      <c r="C2504" s="34"/>
      <c r="D2504" s="68" t="s">
        <v>17</v>
      </c>
      <c r="E2504" s="69" t="s">
        <v>27</v>
      </c>
      <c r="F2504" s="20" t="s">
        <v>533</v>
      </c>
      <c r="G2504" s="15"/>
      <c r="H2504" s="15"/>
      <c r="I2504" s="15"/>
      <c r="J2504" s="15"/>
      <c r="K2504" s="15"/>
      <c r="L2504" s="15"/>
      <c r="M2504" s="15"/>
      <c r="N2504" s="15"/>
      <c r="O2504" s="15"/>
      <c r="P2504" s="15"/>
      <c r="Q2504" s="15"/>
      <c r="R2504" s="15"/>
    </row>
    <row r="2505" spans="2:18" ht="13">
      <c r="B2505" s="33"/>
      <c r="C2505" s="34"/>
      <c r="D2505" s="68" t="s">
        <v>17</v>
      </c>
      <c r="E2505" s="69" t="s">
        <v>27</v>
      </c>
      <c r="F2505" s="20" t="s">
        <v>533</v>
      </c>
      <c r="G2505" s="15"/>
      <c r="H2505" s="15"/>
      <c r="I2505" s="15"/>
      <c r="J2505" s="15"/>
      <c r="K2505" s="15"/>
      <c r="L2505" s="15"/>
      <c r="M2505" s="15"/>
      <c r="N2505" s="15"/>
      <c r="O2505" s="15"/>
      <c r="P2505" s="15"/>
      <c r="Q2505" s="15"/>
      <c r="R2505" s="15"/>
    </row>
    <row r="2506" spans="2:18" ht="13">
      <c r="B2506" s="33"/>
      <c r="C2506" s="34"/>
      <c r="D2506" s="68" t="s">
        <v>17</v>
      </c>
      <c r="E2506" s="69" t="s">
        <v>27</v>
      </c>
      <c r="F2506" s="20" t="s">
        <v>533</v>
      </c>
      <c r="G2506" s="15"/>
      <c r="H2506" s="15"/>
      <c r="I2506" s="15"/>
      <c r="J2506" s="15"/>
      <c r="K2506" s="15"/>
      <c r="L2506" s="15"/>
      <c r="M2506" s="15"/>
      <c r="N2506" s="15"/>
      <c r="O2506" s="15"/>
      <c r="P2506" s="15"/>
      <c r="Q2506" s="15"/>
      <c r="R2506" s="15"/>
    </row>
    <row r="2507" spans="2:18" ht="13">
      <c r="B2507" s="33"/>
      <c r="C2507" s="34"/>
      <c r="D2507" s="68" t="s">
        <v>17</v>
      </c>
      <c r="E2507" s="69" t="s">
        <v>27</v>
      </c>
      <c r="F2507" s="20" t="s">
        <v>533</v>
      </c>
      <c r="G2507" s="15"/>
      <c r="H2507" s="15"/>
      <c r="I2507" s="15"/>
      <c r="J2507" s="15"/>
      <c r="K2507" s="15"/>
      <c r="L2507" s="15"/>
      <c r="M2507" s="15"/>
      <c r="N2507" s="15"/>
      <c r="O2507" s="15"/>
      <c r="P2507" s="15"/>
      <c r="Q2507" s="15"/>
      <c r="R2507" s="15"/>
    </row>
    <row r="2508" spans="2:18" ht="13">
      <c r="B2508" s="33"/>
      <c r="C2508" s="34"/>
      <c r="D2508" s="68" t="s">
        <v>17</v>
      </c>
      <c r="E2508" s="69" t="s">
        <v>27</v>
      </c>
      <c r="F2508" s="20" t="s">
        <v>533</v>
      </c>
      <c r="G2508" s="15"/>
      <c r="H2508" s="15"/>
      <c r="I2508" s="15"/>
      <c r="J2508" s="15"/>
      <c r="K2508" s="15"/>
      <c r="L2508" s="15"/>
      <c r="M2508" s="15"/>
      <c r="N2508" s="15"/>
      <c r="O2508" s="15"/>
      <c r="P2508" s="15"/>
      <c r="Q2508" s="15"/>
      <c r="R2508" s="15"/>
    </row>
    <row r="2509" spans="2:18" ht="13">
      <c r="B2509" s="33"/>
      <c r="C2509" s="34"/>
      <c r="D2509" s="68" t="s">
        <v>26</v>
      </c>
      <c r="E2509" s="69" t="s">
        <v>27</v>
      </c>
      <c r="F2509" s="20" t="s">
        <v>533</v>
      </c>
      <c r="G2509" s="15"/>
      <c r="H2509" s="15"/>
      <c r="I2509" s="15"/>
      <c r="J2509" s="15"/>
      <c r="K2509" s="15"/>
      <c r="L2509" s="15"/>
      <c r="M2509" s="15"/>
      <c r="N2509" s="15"/>
      <c r="O2509" s="15"/>
      <c r="P2509" s="15"/>
      <c r="Q2509" s="15"/>
      <c r="R2509" s="15"/>
    </row>
    <row r="2510" spans="2:18" ht="13">
      <c r="B2510" s="33"/>
      <c r="C2510" s="34"/>
      <c r="D2510" s="68" t="s">
        <v>572</v>
      </c>
      <c r="E2510" s="69" t="s">
        <v>32</v>
      </c>
      <c r="F2510" s="20" t="s">
        <v>533</v>
      </c>
      <c r="G2510" s="15"/>
      <c r="H2510" s="15"/>
      <c r="I2510" s="15"/>
      <c r="J2510" s="15"/>
      <c r="K2510" s="15"/>
      <c r="L2510" s="15"/>
      <c r="M2510" s="15"/>
      <c r="N2510" s="15"/>
      <c r="O2510" s="15"/>
      <c r="P2510" s="15"/>
      <c r="Q2510" s="15"/>
      <c r="R2510" s="15"/>
    </row>
    <row r="2511" spans="2:18" ht="13">
      <c r="B2511" s="33"/>
      <c r="C2511" s="34"/>
      <c r="D2511" s="68" t="s">
        <v>567</v>
      </c>
      <c r="E2511" s="69" t="s">
        <v>32</v>
      </c>
      <c r="F2511" s="20" t="s">
        <v>533</v>
      </c>
      <c r="G2511" s="15"/>
      <c r="H2511" s="15"/>
      <c r="I2511" s="15"/>
      <c r="J2511" s="15"/>
      <c r="K2511" s="15"/>
      <c r="L2511" s="15"/>
      <c r="M2511" s="15"/>
      <c r="N2511" s="15"/>
      <c r="O2511" s="15"/>
      <c r="P2511" s="15"/>
      <c r="Q2511" s="15"/>
      <c r="R2511" s="15"/>
    </row>
    <row r="2512" spans="2:18" ht="13">
      <c r="B2512" s="33"/>
      <c r="C2512" s="34"/>
      <c r="D2512" s="68" t="s">
        <v>577</v>
      </c>
      <c r="E2512" s="69" t="s">
        <v>124</v>
      </c>
      <c r="F2512" s="20" t="s">
        <v>533</v>
      </c>
      <c r="G2512" s="15"/>
      <c r="H2512" s="15"/>
      <c r="I2512" s="15"/>
      <c r="J2512" s="15"/>
      <c r="K2512" s="15"/>
      <c r="L2512" s="15"/>
      <c r="M2512" s="15"/>
      <c r="N2512" s="15"/>
      <c r="O2512" s="15"/>
      <c r="P2512" s="15"/>
      <c r="Q2512" s="15"/>
      <c r="R2512" s="15"/>
    </row>
    <row r="2513" spans="2:18" ht="13">
      <c r="B2513" s="33"/>
      <c r="C2513" s="34"/>
      <c r="D2513" s="68" t="s">
        <v>17</v>
      </c>
      <c r="E2513" s="69" t="s">
        <v>27</v>
      </c>
      <c r="F2513" s="20" t="s">
        <v>533</v>
      </c>
      <c r="G2513" s="15"/>
      <c r="H2513" s="15"/>
      <c r="I2513" s="15"/>
      <c r="J2513" s="15"/>
      <c r="K2513" s="15"/>
      <c r="L2513" s="15"/>
      <c r="M2513" s="15"/>
      <c r="N2513" s="15"/>
      <c r="O2513" s="15"/>
      <c r="P2513" s="15"/>
      <c r="Q2513" s="15"/>
      <c r="R2513" s="15"/>
    </row>
    <row r="2514" spans="2:18" ht="13">
      <c r="B2514" s="33"/>
      <c r="C2514" s="34"/>
      <c r="D2514" s="68" t="s">
        <v>17</v>
      </c>
      <c r="E2514" s="69" t="s">
        <v>27</v>
      </c>
      <c r="F2514" s="20" t="s">
        <v>533</v>
      </c>
      <c r="G2514" s="15"/>
      <c r="H2514" s="15"/>
      <c r="I2514" s="15"/>
      <c r="J2514" s="15"/>
      <c r="K2514" s="15"/>
      <c r="L2514" s="15"/>
      <c r="M2514" s="15"/>
      <c r="N2514" s="15"/>
      <c r="O2514" s="15"/>
      <c r="P2514" s="15"/>
      <c r="Q2514" s="15"/>
      <c r="R2514" s="15"/>
    </row>
    <row r="2515" spans="2:18" ht="13">
      <c r="B2515" s="33"/>
      <c r="C2515" s="34"/>
      <c r="D2515" s="68" t="s">
        <v>573</v>
      </c>
      <c r="E2515" s="69" t="s">
        <v>27</v>
      </c>
      <c r="F2515" s="20" t="s">
        <v>533</v>
      </c>
      <c r="G2515" s="15"/>
      <c r="H2515" s="15"/>
      <c r="I2515" s="15"/>
      <c r="J2515" s="15"/>
      <c r="K2515" s="15"/>
      <c r="L2515" s="15"/>
      <c r="M2515" s="15"/>
      <c r="N2515" s="15"/>
      <c r="O2515" s="15"/>
      <c r="P2515" s="15"/>
      <c r="Q2515" s="15"/>
      <c r="R2515" s="15"/>
    </row>
    <row r="2516" spans="2:18" ht="13">
      <c r="B2516" s="33"/>
      <c r="C2516" s="34"/>
      <c r="D2516" s="68" t="s">
        <v>17</v>
      </c>
      <c r="E2516" s="69" t="s">
        <v>27</v>
      </c>
      <c r="F2516" s="20" t="s">
        <v>533</v>
      </c>
      <c r="G2516" s="15"/>
      <c r="H2516" s="15"/>
      <c r="I2516" s="15"/>
      <c r="J2516" s="15"/>
      <c r="K2516" s="15"/>
      <c r="L2516" s="15"/>
      <c r="M2516" s="15"/>
      <c r="N2516" s="15"/>
      <c r="O2516" s="15"/>
      <c r="P2516" s="15"/>
      <c r="Q2516" s="15"/>
      <c r="R2516" s="15"/>
    </row>
    <row r="2517" spans="2:18" ht="13">
      <c r="B2517" s="33"/>
      <c r="C2517" s="34"/>
      <c r="D2517" s="68" t="s">
        <v>17</v>
      </c>
      <c r="E2517" s="69" t="s">
        <v>27</v>
      </c>
      <c r="F2517" s="20" t="s">
        <v>533</v>
      </c>
      <c r="G2517" s="15"/>
      <c r="H2517" s="15"/>
      <c r="I2517" s="15"/>
      <c r="J2517" s="15"/>
      <c r="K2517" s="15"/>
      <c r="L2517" s="15"/>
      <c r="M2517" s="15"/>
      <c r="N2517" s="15"/>
      <c r="O2517" s="15"/>
      <c r="P2517" s="15"/>
      <c r="Q2517" s="15"/>
      <c r="R2517" s="15"/>
    </row>
    <row r="2518" spans="2:18" ht="13">
      <c r="B2518" s="33"/>
      <c r="C2518" s="34"/>
      <c r="D2518" s="68" t="s">
        <v>17</v>
      </c>
      <c r="E2518" s="69" t="s">
        <v>27</v>
      </c>
      <c r="F2518" s="20" t="s">
        <v>533</v>
      </c>
      <c r="G2518" s="15"/>
      <c r="H2518" s="15"/>
      <c r="I2518" s="15"/>
      <c r="J2518" s="15"/>
      <c r="K2518" s="15"/>
      <c r="L2518" s="15"/>
      <c r="M2518" s="15"/>
      <c r="N2518" s="15"/>
      <c r="O2518" s="15"/>
      <c r="P2518" s="15"/>
      <c r="Q2518" s="15"/>
      <c r="R2518" s="15"/>
    </row>
    <row r="2519" spans="2:18" ht="13">
      <c r="B2519" s="33"/>
      <c r="C2519" s="34"/>
      <c r="D2519" s="68" t="s">
        <v>17</v>
      </c>
      <c r="E2519" s="69" t="s">
        <v>27</v>
      </c>
      <c r="F2519" s="20" t="s">
        <v>533</v>
      </c>
      <c r="G2519" s="15"/>
      <c r="H2519" s="15"/>
      <c r="I2519" s="15"/>
      <c r="J2519" s="15"/>
      <c r="K2519" s="15"/>
      <c r="L2519" s="15"/>
      <c r="M2519" s="15"/>
      <c r="N2519" s="15"/>
      <c r="O2519" s="15"/>
      <c r="P2519" s="15"/>
      <c r="Q2519" s="15"/>
      <c r="R2519" s="15"/>
    </row>
    <row r="2520" spans="2:18" ht="13">
      <c r="B2520" s="33"/>
      <c r="C2520" s="34"/>
      <c r="D2520" s="68" t="s">
        <v>17</v>
      </c>
      <c r="E2520" s="69" t="s">
        <v>27</v>
      </c>
      <c r="F2520" s="20" t="s">
        <v>533</v>
      </c>
      <c r="G2520" s="15"/>
      <c r="H2520" s="15"/>
      <c r="I2520" s="15"/>
      <c r="J2520" s="15"/>
      <c r="K2520" s="15"/>
      <c r="L2520" s="15"/>
      <c r="M2520" s="15"/>
      <c r="N2520" s="15"/>
      <c r="O2520" s="15"/>
      <c r="P2520" s="15"/>
      <c r="Q2520" s="15"/>
      <c r="R2520" s="15"/>
    </row>
    <row r="2521" spans="2:18" ht="13">
      <c r="B2521" s="33"/>
      <c r="C2521" s="34"/>
      <c r="D2521" s="68" t="s">
        <v>17</v>
      </c>
      <c r="E2521" s="69" t="s">
        <v>27</v>
      </c>
      <c r="F2521" s="20" t="s">
        <v>533</v>
      </c>
      <c r="G2521" s="15"/>
      <c r="H2521" s="15"/>
      <c r="I2521" s="15"/>
      <c r="J2521" s="15"/>
      <c r="K2521" s="15"/>
      <c r="L2521" s="15"/>
      <c r="M2521" s="15"/>
      <c r="N2521" s="15"/>
      <c r="O2521" s="15"/>
      <c r="P2521" s="15"/>
      <c r="Q2521" s="15"/>
      <c r="R2521" s="15"/>
    </row>
    <row r="2522" spans="2:18" ht="13">
      <c r="B2522" s="33"/>
      <c r="C2522" s="34"/>
      <c r="D2522" s="68" t="s">
        <v>17</v>
      </c>
      <c r="E2522" s="69" t="s">
        <v>27</v>
      </c>
      <c r="F2522" s="20" t="s">
        <v>533</v>
      </c>
      <c r="G2522" s="15"/>
      <c r="H2522" s="15"/>
      <c r="I2522" s="15"/>
      <c r="J2522" s="15"/>
      <c r="K2522" s="15"/>
      <c r="L2522" s="15"/>
      <c r="M2522" s="15"/>
      <c r="N2522" s="15"/>
      <c r="O2522" s="15"/>
      <c r="P2522" s="15"/>
      <c r="Q2522" s="15"/>
      <c r="R2522" s="15"/>
    </row>
    <row r="2523" spans="2:18" ht="13">
      <c r="B2523" s="33"/>
      <c r="C2523" s="34"/>
      <c r="D2523" s="68" t="s">
        <v>86</v>
      </c>
      <c r="E2523" s="69" t="s">
        <v>124</v>
      </c>
      <c r="F2523" s="20" t="s">
        <v>533</v>
      </c>
      <c r="G2523" s="15"/>
      <c r="H2523" s="15"/>
      <c r="I2523" s="15"/>
      <c r="J2523" s="15"/>
      <c r="K2523" s="15"/>
      <c r="L2523" s="15"/>
      <c r="M2523" s="15"/>
      <c r="N2523" s="15"/>
      <c r="O2523" s="15"/>
      <c r="P2523" s="15"/>
      <c r="Q2523" s="15"/>
      <c r="R2523" s="15"/>
    </row>
    <row r="2524" spans="2:18" ht="13">
      <c r="B2524" s="33"/>
      <c r="C2524" s="34"/>
      <c r="D2524" s="68" t="s">
        <v>17</v>
      </c>
      <c r="E2524" s="69" t="s">
        <v>614</v>
      </c>
      <c r="F2524" s="20" t="s">
        <v>533</v>
      </c>
      <c r="G2524" s="15"/>
      <c r="H2524" s="15"/>
      <c r="I2524" s="15"/>
      <c r="J2524" s="15"/>
      <c r="K2524" s="15"/>
      <c r="L2524" s="15"/>
      <c r="M2524" s="15"/>
      <c r="N2524" s="15"/>
      <c r="O2524" s="15"/>
      <c r="P2524" s="15"/>
      <c r="Q2524" s="15"/>
      <c r="R2524" s="15"/>
    </row>
    <row r="2525" spans="2:18" ht="13">
      <c r="B2525" s="33"/>
      <c r="C2525" s="34"/>
      <c r="D2525" s="68" t="s">
        <v>17</v>
      </c>
      <c r="E2525" s="69" t="s">
        <v>27</v>
      </c>
      <c r="F2525" s="20" t="s">
        <v>533</v>
      </c>
      <c r="G2525" s="15"/>
      <c r="H2525" s="15"/>
      <c r="I2525" s="15"/>
      <c r="J2525" s="15"/>
      <c r="K2525" s="15"/>
      <c r="L2525" s="15"/>
      <c r="M2525" s="15"/>
      <c r="N2525" s="15"/>
      <c r="O2525" s="15"/>
      <c r="P2525" s="15"/>
      <c r="Q2525" s="15"/>
      <c r="R2525" s="15"/>
    </row>
    <row r="2526" spans="2:18" ht="13">
      <c r="B2526" s="33"/>
      <c r="C2526" s="34"/>
      <c r="D2526" s="68" t="s">
        <v>17</v>
      </c>
      <c r="E2526" s="69" t="s">
        <v>27</v>
      </c>
      <c r="F2526" s="20" t="s">
        <v>533</v>
      </c>
      <c r="G2526" s="15"/>
      <c r="H2526" s="15"/>
      <c r="I2526" s="15"/>
      <c r="J2526" s="15"/>
      <c r="K2526" s="15"/>
      <c r="L2526" s="15"/>
      <c r="M2526" s="15"/>
      <c r="N2526" s="15"/>
      <c r="O2526" s="15"/>
      <c r="P2526" s="15"/>
      <c r="Q2526" s="15"/>
      <c r="R2526" s="15"/>
    </row>
    <row r="2527" spans="2:18" ht="13">
      <c r="B2527" s="33"/>
      <c r="C2527" s="34"/>
      <c r="D2527" s="68" t="s">
        <v>17</v>
      </c>
      <c r="E2527" s="69" t="s">
        <v>27</v>
      </c>
      <c r="F2527" s="20" t="s">
        <v>533</v>
      </c>
      <c r="G2527" s="15"/>
      <c r="H2527" s="15"/>
      <c r="I2527" s="15"/>
      <c r="J2527" s="15"/>
      <c r="K2527" s="15"/>
      <c r="L2527" s="15"/>
      <c r="M2527" s="15"/>
      <c r="N2527" s="15"/>
      <c r="O2527" s="15"/>
      <c r="P2527" s="15"/>
      <c r="Q2527" s="15"/>
      <c r="R2527" s="15"/>
    </row>
    <row r="2528" spans="2:18" ht="13">
      <c r="B2528" s="33"/>
      <c r="C2528" s="34"/>
      <c r="D2528" s="68" t="s">
        <v>17</v>
      </c>
      <c r="E2528" s="69" t="s">
        <v>27</v>
      </c>
      <c r="F2528" s="20" t="s">
        <v>533</v>
      </c>
      <c r="G2528" s="15"/>
      <c r="H2528" s="15"/>
      <c r="I2528" s="15"/>
      <c r="J2528" s="15"/>
      <c r="K2528" s="15"/>
      <c r="L2528" s="15"/>
      <c r="M2528" s="15"/>
      <c r="N2528" s="15"/>
      <c r="O2528" s="15"/>
      <c r="P2528" s="15"/>
      <c r="Q2528" s="15"/>
      <c r="R2528" s="15"/>
    </row>
    <row r="2529" spans="2:18" ht="13">
      <c r="B2529" s="33"/>
      <c r="C2529" s="34"/>
      <c r="D2529" s="68" t="s">
        <v>17</v>
      </c>
      <c r="E2529" s="69" t="s">
        <v>27</v>
      </c>
      <c r="F2529" s="20" t="s">
        <v>533</v>
      </c>
      <c r="G2529" s="15"/>
      <c r="H2529" s="15"/>
      <c r="I2529" s="15"/>
      <c r="J2529" s="15"/>
      <c r="K2529" s="15"/>
      <c r="L2529" s="15"/>
      <c r="M2529" s="15"/>
      <c r="N2529" s="15"/>
      <c r="O2529" s="15"/>
      <c r="P2529" s="15"/>
      <c r="Q2529" s="15"/>
      <c r="R2529" s="15"/>
    </row>
    <row r="2530" spans="2:18" ht="13">
      <c r="B2530" s="33"/>
      <c r="C2530" s="34"/>
      <c r="D2530" s="68" t="s">
        <v>577</v>
      </c>
      <c r="E2530" s="69" t="s">
        <v>124</v>
      </c>
      <c r="F2530" s="20" t="s">
        <v>533</v>
      </c>
      <c r="G2530" s="15"/>
      <c r="H2530" s="15"/>
      <c r="I2530" s="15"/>
      <c r="J2530" s="15"/>
      <c r="K2530" s="15"/>
      <c r="L2530" s="15"/>
      <c r="M2530" s="15"/>
      <c r="N2530" s="15"/>
      <c r="O2530" s="15"/>
      <c r="P2530" s="15"/>
      <c r="Q2530" s="15"/>
      <c r="R2530" s="15"/>
    </row>
    <row r="2531" spans="2:18" ht="13">
      <c r="B2531" s="33"/>
      <c r="C2531" s="34"/>
      <c r="D2531" s="68" t="s">
        <v>86</v>
      </c>
      <c r="E2531" s="69" t="s">
        <v>32</v>
      </c>
      <c r="F2531" s="20" t="s">
        <v>533</v>
      </c>
      <c r="G2531" s="15"/>
      <c r="H2531" s="15"/>
      <c r="I2531" s="15"/>
      <c r="J2531" s="15"/>
      <c r="K2531" s="15"/>
      <c r="L2531" s="15"/>
      <c r="M2531" s="15"/>
      <c r="N2531" s="15"/>
      <c r="O2531" s="15"/>
      <c r="P2531" s="15"/>
      <c r="Q2531" s="15"/>
      <c r="R2531" s="15"/>
    </row>
    <row r="2532" spans="2:18" ht="13">
      <c r="B2532" s="33"/>
      <c r="C2532" s="34"/>
      <c r="D2532" s="68" t="s">
        <v>562</v>
      </c>
      <c r="E2532" s="69" t="s">
        <v>37</v>
      </c>
      <c r="F2532" s="20" t="s">
        <v>533</v>
      </c>
      <c r="G2532" s="15"/>
      <c r="H2532" s="15"/>
      <c r="I2532" s="15"/>
      <c r="J2532" s="15"/>
      <c r="K2532" s="15"/>
      <c r="L2532" s="15"/>
      <c r="M2532" s="15"/>
      <c r="N2532" s="15"/>
      <c r="O2532" s="15"/>
      <c r="P2532" s="15"/>
      <c r="Q2532" s="15"/>
      <c r="R2532" s="15"/>
    </row>
    <row r="2533" spans="2:18" ht="13">
      <c r="B2533" s="33"/>
      <c r="C2533" s="34"/>
      <c r="D2533" s="68" t="s">
        <v>17</v>
      </c>
      <c r="E2533" s="69" t="s">
        <v>27</v>
      </c>
      <c r="F2533" s="20" t="s">
        <v>533</v>
      </c>
      <c r="G2533" s="15"/>
      <c r="H2533" s="15"/>
      <c r="I2533" s="15"/>
      <c r="J2533" s="15"/>
      <c r="K2533" s="15"/>
      <c r="L2533" s="15"/>
      <c r="M2533" s="15"/>
      <c r="N2533" s="15"/>
      <c r="O2533" s="15"/>
      <c r="P2533" s="15"/>
      <c r="Q2533" s="15"/>
      <c r="R2533" s="15"/>
    </row>
    <row r="2534" spans="2:18" ht="13">
      <c r="B2534" s="33"/>
      <c r="C2534" s="34"/>
      <c r="D2534" s="68" t="s">
        <v>17</v>
      </c>
      <c r="E2534" s="69" t="s">
        <v>27</v>
      </c>
      <c r="F2534" s="20" t="s">
        <v>533</v>
      </c>
      <c r="G2534" s="15"/>
      <c r="H2534" s="15"/>
      <c r="I2534" s="15"/>
      <c r="J2534" s="15"/>
      <c r="K2534" s="15"/>
      <c r="L2534" s="15"/>
      <c r="M2534" s="15"/>
      <c r="N2534" s="15"/>
      <c r="O2534" s="15"/>
      <c r="P2534" s="15"/>
      <c r="Q2534" s="15"/>
      <c r="R2534" s="15"/>
    </row>
    <row r="2535" spans="2:18" ht="13">
      <c r="B2535" s="33"/>
      <c r="C2535" s="34"/>
      <c r="D2535" s="68" t="s">
        <v>573</v>
      </c>
      <c r="E2535" s="69" t="s">
        <v>121</v>
      </c>
      <c r="F2535" s="20" t="s">
        <v>533</v>
      </c>
      <c r="G2535" s="15"/>
      <c r="H2535" s="15"/>
      <c r="I2535" s="15"/>
      <c r="J2535" s="15"/>
      <c r="K2535" s="15"/>
      <c r="L2535" s="15"/>
      <c r="M2535" s="15"/>
      <c r="N2535" s="15"/>
      <c r="O2535" s="15"/>
      <c r="P2535" s="15"/>
      <c r="Q2535" s="15"/>
      <c r="R2535" s="15"/>
    </row>
    <row r="2536" spans="2:18" ht="13">
      <c r="B2536" s="33"/>
      <c r="C2536" s="34"/>
      <c r="D2536" s="68" t="s">
        <v>17</v>
      </c>
      <c r="E2536" s="69" t="s">
        <v>27</v>
      </c>
      <c r="F2536" s="20" t="s">
        <v>533</v>
      </c>
      <c r="G2536" s="15"/>
      <c r="H2536" s="15"/>
      <c r="I2536" s="15"/>
      <c r="J2536" s="15"/>
      <c r="K2536" s="15"/>
      <c r="L2536" s="15"/>
      <c r="M2536" s="15"/>
      <c r="N2536" s="15"/>
      <c r="O2536" s="15"/>
      <c r="P2536" s="15"/>
      <c r="Q2536" s="15"/>
      <c r="R2536" s="15"/>
    </row>
    <row r="2537" spans="2:18" ht="13">
      <c r="B2537" s="33"/>
      <c r="C2537" s="34"/>
      <c r="D2537" s="68" t="s">
        <v>561</v>
      </c>
      <c r="E2537" s="69" t="s">
        <v>32</v>
      </c>
      <c r="F2537" s="20" t="s">
        <v>533</v>
      </c>
      <c r="G2537" s="15"/>
      <c r="H2537" s="15"/>
      <c r="I2537" s="15"/>
      <c r="J2537" s="15"/>
      <c r="K2537" s="15"/>
      <c r="L2537" s="15"/>
      <c r="M2537" s="15"/>
      <c r="N2537" s="15"/>
      <c r="O2537" s="15"/>
      <c r="P2537" s="15"/>
      <c r="Q2537" s="15"/>
      <c r="R2537" s="15"/>
    </row>
    <row r="2538" spans="2:18" ht="13">
      <c r="B2538" s="33"/>
      <c r="C2538" s="34"/>
      <c r="D2538" s="68" t="s">
        <v>17</v>
      </c>
      <c r="E2538" s="69" t="s">
        <v>27</v>
      </c>
      <c r="F2538" s="20" t="s">
        <v>533</v>
      </c>
      <c r="G2538" s="15"/>
      <c r="H2538" s="15"/>
      <c r="I2538" s="15"/>
      <c r="J2538" s="15"/>
      <c r="K2538" s="15"/>
      <c r="L2538" s="15"/>
      <c r="M2538" s="15"/>
      <c r="N2538" s="15"/>
      <c r="O2538" s="15"/>
      <c r="P2538" s="15"/>
      <c r="Q2538" s="15"/>
      <c r="R2538" s="15"/>
    </row>
    <row r="2539" spans="2:18" ht="13">
      <c r="B2539" s="33"/>
      <c r="C2539" s="34"/>
      <c r="D2539" s="68" t="s">
        <v>17</v>
      </c>
      <c r="E2539" s="69" t="s">
        <v>27</v>
      </c>
      <c r="F2539" s="20" t="s">
        <v>533</v>
      </c>
      <c r="G2539" s="15"/>
      <c r="H2539" s="15"/>
      <c r="I2539" s="15"/>
      <c r="J2539" s="15"/>
      <c r="K2539" s="15"/>
      <c r="L2539" s="15"/>
      <c r="M2539" s="15"/>
      <c r="N2539" s="15"/>
      <c r="O2539" s="15"/>
      <c r="P2539" s="15"/>
      <c r="Q2539" s="15"/>
      <c r="R2539" s="15"/>
    </row>
    <row r="2540" spans="2:18" ht="13">
      <c r="B2540" s="33"/>
      <c r="C2540" s="34"/>
      <c r="D2540" s="68" t="s">
        <v>17</v>
      </c>
      <c r="E2540" s="69" t="s">
        <v>27</v>
      </c>
      <c r="F2540" s="20" t="s">
        <v>533</v>
      </c>
      <c r="G2540" s="15"/>
      <c r="H2540" s="15"/>
      <c r="I2540" s="15"/>
      <c r="J2540" s="15"/>
      <c r="K2540" s="15"/>
      <c r="L2540" s="15"/>
      <c r="M2540" s="15"/>
      <c r="N2540" s="15"/>
      <c r="O2540" s="15"/>
      <c r="P2540" s="15"/>
      <c r="Q2540" s="15"/>
      <c r="R2540" s="15"/>
    </row>
    <row r="2541" spans="2:18" ht="13">
      <c r="B2541" s="33"/>
      <c r="C2541" s="34"/>
      <c r="D2541" s="68" t="s">
        <v>17</v>
      </c>
      <c r="E2541" s="69" t="s">
        <v>27</v>
      </c>
      <c r="F2541" s="20" t="s">
        <v>533</v>
      </c>
      <c r="G2541" s="15"/>
      <c r="H2541" s="15"/>
      <c r="I2541" s="15"/>
      <c r="J2541" s="15"/>
      <c r="K2541" s="15"/>
      <c r="L2541" s="15"/>
      <c r="M2541" s="15"/>
      <c r="N2541" s="15"/>
      <c r="O2541" s="15"/>
      <c r="P2541" s="15"/>
      <c r="Q2541" s="15"/>
      <c r="R2541" s="15"/>
    </row>
    <row r="2542" spans="2:18" ht="13">
      <c r="B2542" s="33"/>
      <c r="C2542" s="34"/>
      <c r="D2542" s="68" t="s">
        <v>17</v>
      </c>
      <c r="E2542" s="69" t="s">
        <v>27</v>
      </c>
      <c r="F2542" s="20" t="s">
        <v>533</v>
      </c>
      <c r="G2542" s="15"/>
      <c r="H2542" s="15"/>
      <c r="I2542" s="15"/>
      <c r="J2542" s="15"/>
      <c r="K2542" s="15"/>
      <c r="L2542" s="15"/>
      <c r="M2542" s="15"/>
      <c r="N2542" s="15"/>
      <c r="O2542" s="15"/>
      <c r="P2542" s="15"/>
      <c r="Q2542" s="15"/>
      <c r="R2542" s="15"/>
    </row>
    <row r="2543" spans="2:18" ht="13">
      <c r="B2543" s="33"/>
      <c r="C2543" s="34"/>
      <c r="D2543" s="68" t="s">
        <v>17</v>
      </c>
      <c r="E2543" s="69" t="s">
        <v>27</v>
      </c>
      <c r="F2543" s="20" t="s">
        <v>533</v>
      </c>
      <c r="G2543" s="15"/>
      <c r="H2543" s="15"/>
      <c r="I2543" s="15"/>
      <c r="J2543" s="15"/>
      <c r="K2543" s="15"/>
      <c r="L2543" s="15"/>
      <c r="M2543" s="15"/>
      <c r="N2543" s="15"/>
      <c r="O2543" s="15"/>
      <c r="P2543" s="15"/>
      <c r="Q2543" s="15"/>
      <c r="R2543" s="15"/>
    </row>
    <row r="2544" spans="2:18" ht="13">
      <c r="B2544" s="33"/>
      <c r="C2544" s="34"/>
      <c r="D2544" s="68" t="s">
        <v>26</v>
      </c>
      <c r="E2544" s="69" t="s">
        <v>27</v>
      </c>
      <c r="F2544" s="20" t="s">
        <v>533</v>
      </c>
      <c r="G2544" s="15"/>
      <c r="H2544" s="15"/>
      <c r="I2544" s="15"/>
      <c r="J2544" s="15"/>
      <c r="K2544" s="15"/>
      <c r="L2544" s="15"/>
      <c r="M2544" s="15"/>
      <c r="N2544" s="15"/>
      <c r="O2544" s="15"/>
      <c r="P2544" s="15"/>
      <c r="Q2544" s="15"/>
      <c r="R2544" s="15"/>
    </row>
    <row r="2545" spans="2:18" ht="13">
      <c r="B2545" s="33"/>
      <c r="C2545" s="34"/>
      <c r="D2545" s="68" t="s">
        <v>17</v>
      </c>
      <c r="E2545" s="69" t="s">
        <v>27</v>
      </c>
      <c r="F2545" s="20" t="s">
        <v>533</v>
      </c>
      <c r="G2545" s="15"/>
      <c r="H2545" s="15"/>
      <c r="I2545" s="15"/>
      <c r="J2545" s="15"/>
      <c r="K2545" s="15"/>
      <c r="L2545" s="15"/>
      <c r="M2545" s="15"/>
      <c r="N2545" s="15"/>
      <c r="O2545" s="15"/>
      <c r="P2545" s="15"/>
      <c r="Q2545" s="15"/>
      <c r="R2545" s="15"/>
    </row>
    <row r="2546" spans="2:18" ht="13">
      <c r="B2546" s="33"/>
      <c r="C2546" s="34"/>
      <c r="D2546" s="68" t="s">
        <v>17</v>
      </c>
      <c r="E2546" s="69" t="s">
        <v>27</v>
      </c>
      <c r="F2546" s="20" t="s">
        <v>533</v>
      </c>
      <c r="G2546" s="15"/>
      <c r="H2546" s="15"/>
      <c r="I2546" s="15"/>
      <c r="J2546" s="15"/>
      <c r="K2546" s="15"/>
      <c r="L2546" s="15"/>
      <c r="M2546" s="15"/>
      <c r="N2546" s="15"/>
      <c r="O2546" s="15"/>
      <c r="P2546" s="15"/>
      <c r="Q2546" s="15"/>
      <c r="R2546" s="15"/>
    </row>
    <row r="2547" spans="2:18" ht="13">
      <c r="B2547" s="33"/>
      <c r="C2547" s="34"/>
      <c r="D2547" s="68" t="s">
        <v>17</v>
      </c>
      <c r="E2547" s="69" t="s">
        <v>27</v>
      </c>
      <c r="F2547" s="20" t="s">
        <v>533</v>
      </c>
      <c r="G2547" s="15"/>
      <c r="H2547" s="15"/>
      <c r="I2547" s="15"/>
      <c r="J2547" s="15"/>
      <c r="K2547" s="15"/>
      <c r="L2547" s="15"/>
      <c r="M2547" s="15"/>
      <c r="N2547" s="15"/>
      <c r="O2547" s="15"/>
      <c r="P2547" s="15"/>
      <c r="Q2547" s="15"/>
      <c r="R2547" s="15"/>
    </row>
    <row r="2548" spans="2:18" ht="13">
      <c r="B2548" s="33"/>
      <c r="C2548" s="34"/>
      <c r="D2548" s="68" t="s">
        <v>570</v>
      </c>
      <c r="E2548" s="69" t="s">
        <v>124</v>
      </c>
      <c r="F2548" s="20" t="s">
        <v>533</v>
      </c>
      <c r="G2548" s="15"/>
      <c r="H2548" s="15"/>
      <c r="I2548" s="15"/>
      <c r="J2548" s="15"/>
      <c r="K2548" s="15"/>
      <c r="L2548" s="15"/>
      <c r="M2548" s="15"/>
      <c r="N2548" s="15"/>
      <c r="O2548" s="15"/>
      <c r="P2548" s="15"/>
      <c r="Q2548" s="15"/>
      <c r="R2548" s="15"/>
    </row>
    <row r="2549" spans="2:18" ht="13">
      <c r="B2549" s="33"/>
      <c r="C2549" s="34"/>
      <c r="D2549" s="68" t="s">
        <v>17</v>
      </c>
      <c r="E2549" s="69" t="s">
        <v>27</v>
      </c>
      <c r="F2549" s="20" t="s">
        <v>533</v>
      </c>
      <c r="G2549" s="15"/>
      <c r="H2549" s="15"/>
      <c r="I2549" s="15"/>
      <c r="J2549" s="15"/>
      <c r="K2549" s="15"/>
      <c r="L2549" s="15"/>
      <c r="M2549" s="15"/>
      <c r="N2549" s="15"/>
      <c r="O2549" s="15"/>
      <c r="P2549" s="15"/>
      <c r="Q2549" s="15"/>
      <c r="R2549" s="15"/>
    </row>
    <row r="2550" spans="2:18" ht="13">
      <c r="B2550" s="33"/>
      <c r="C2550" s="34"/>
      <c r="D2550" s="68" t="s">
        <v>17</v>
      </c>
      <c r="E2550" s="69" t="s">
        <v>27</v>
      </c>
      <c r="F2550" s="20" t="s">
        <v>533</v>
      </c>
      <c r="G2550" s="15"/>
      <c r="H2550" s="15"/>
      <c r="I2550" s="15"/>
      <c r="J2550" s="15"/>
      <c r="K2550" s="15"/>
      <c r="L2550" s="15"/>
      <c r="M2550" s="15"/>
      <c r="N2550" s="15"/>
      <c r="O2550" s="15"/>
      <c r="P2550" s="15"/>
      <c r="Q2550" s="15"/>
      <c r="R2550" s="15"/>
    </row>
    <row r="2551" spans="2:18" ht="13">
      <c r="B2551" s="33"/>
      <c r="C2551" s="34"/>
      <c r="D2551" s="68" t="s">
        <v>570</v>
      </c>
      <c r="E2551" s="69" t="s">
        <v>124</v>
      </c>
      <c r="F2551" s="20" t="s">
        <v>533</v>
      </c>
      <c r="G2551" s="15"/>
      <c r="H2551" s="15"/>
      <c r="I2551" s="15"/>
      <c r="J2551" s="15"/>
      <c r="K2551" s="15"/>
      <c r="L2551" s="15"/>
      <c r="M2551" s="15"/>
      <c r="N2551" s="15"/>
      <c r="O2551" s="15"/>
      <c r="P2551" s="15"/>
      <c r="Q2551" s="15"/>
      <c r="R2551" s="15"/>
    </row>
    <row r="2552" spans="2:18" ht="13">
      <c r="B2552" s="33"/>
      <c r="C2552" s="34"/>
      <c r="D2552" s="68" t="s">
        <v>26</v>
      </c>
      <c r="E2552" s="69" t="s">
        <v>27</v>
      </c>
      <c r="F2552" s="20" t="s">
        <v>533</v>
      </c>
      <c r="G2552" s="15"/>
      <c r="H2552" s="15"/>
      <c r="I2552" s="15"/>
      <c r="J2552" s="15"/>
      <c r="K2552" s="15"/>
      <c r="L2552" s="15"/>
      <c r="M2552" s="15"/>
      <c r="N2552" s="15"/>
      <c r="O2552" s="15"/>
      <c r="P2552" s="15"/>
      <c r="Q2552" s="15"/>
      <c r="R2552" s="15"/>
    </row>
    <row r="2553" spans="2:18" ht="13">
      <c r="B2553" s="33"/>
      <c r="C2553" s="34"/>
      <c r="D2553" s="68" t="s">
        <v>26</v>
      </c>
      <c r="E2553" s="69" t="s">
        <v>27</v>
      </c>
      <c r="F2553" s="20" t="s">
        <v>533</v>
      </c>
      <c r="G2553" s="15"/>
      <c r="H2553" s="15"/>
      <c r="I2553" s="15"/>
      <c r="J2553" s="15"/>
      <c r="K2553" s="15"/>
      <c r="L2553" s="15"/>
      <c r="M2553" s="15"/>
      <c r="N2553" s="15"/>
      <c r="O2553" s="15"/>
      <c r="P2553" s="15"/>
      <c r="Q2553" s="15"/>
      <c r="R2553" s="15"/>
    </row>
    <row r="2554" spans="2:18" ht="13">
      <c r="B2554" s="33"/>
      <c r="C2554" s="34"/>
      <c r="D2554" s="68" t="s">
        <v>17</v>
      </c>
      <c r="E2554" s="69" t="s">
        <v>27</v>
      </c>
      <c r="F2554" s="20" t="s">
        <v>533</v>
      </c>
      <c r="G2554" s="15"/>
      <c r="H2554" s="15"/>
      <c r="I2554" s="15"/>
      <c r="J2554" s="15"/>
      <c r="K2554" s="15"/>
      <c r="L2554" s="15"/>
      <c r="M2554" s="15"/>
      <c r="N2554" s="15"/>
      <c r="O2554" s="15"/>
      <c r="P2554" s="15"/>
      <c r="Q2554" s="15"/>
      <c r="R2554" s="15"/>
    </row>
    <row r="2555" spans="2:18" ht="13">
      <c r="B2555" s="33"/>
      <c r="C2555" s="34"/>
      <c r="D2555" s="68" t="s">
        <v>106</v>
      </c>
      <c r="E2555" s="69" t="s">
        <v>37</v>
      </c>
      <c r="F2555" s="20" t="s">
        <v>533</v>
      </c>
      <c r="G2555" s="15"/>
      <c r="H2555" s="15"/>
      <c r="I2555" s="15"/>
      <c r="J2555" s="15"/>
      <c r="K2555" s="15"/>
      <c r="L2555" s="15"/>
      <c r="M2555" s="15"/>
      <c r="N2555" s="15"/>
      <c r="O2555" s="15"/>
      <c r="P2555" s="15"/>
      <c r="Q2555" s="15"/>
      <c r="R2555" s="15"/>
    </row>
    <row r="2556" spans="2:18" ht="13">
      <c r="B2556" s="33"/>
      <c r="C2556" s="34"/>
      <c r="D2556" s="68" t="s">
        <v>26</v>
      </c>
      <c r="E2556" s="69" t="s">
        <v>27</v>
      </c>
      <c r="F2556" s="20" t="s">
        <v>533</v>
      </c>
      <c r="G2556" s="15"/>
      <c r="H2556" s="15"/>
      <c r="I2556" s="15"/>
      <c r="J2556" s="15"/>
      <c r="K2556" s="15"/>
      <c r="L2556" s="15"/>
      <c r="M2556" s="15"/>
      <c r="N2556" s="15"/>
      <c r="O2556" s="15"/>
      <c r="P2556" s="15"/>
      <c r="Q2556" s="15"/>
      <c r="R2556" s="15"/>
    </row>
    <row r="2557" spans="2:18" ht="13">
      <c r="B2557" s="33"/>
      <c r="C2557" s="34"/>
      <c r="D2557" s="68" t="s">
        <v>26</v>
      </c>
      <c r="E2557" s="69" t="s">
        <v>27</v>
      </c>
      <c r="F2557" s="20" t="s">
        <v>533</v>
      </c>
      <c r="G2557" s="15"/>
      <c r="H2557" s="15"/>
      <c r="I2557" s="15"/>
      <c r="J2557" s="15"/>
      <c r="K2557" s="15"/>
      <c r="L2557" s="15"/>
      <c r="M2557" s="15"/>
      <c r="N2557" s="15"/>
      <c r="O2557" s="15"/>
      <c r="P2557" s="15"/>
      <c r="Q2557" s="15"/>
      <c r="R2557" s="15"/>
    </row>
    <row r="2558" spans="2:18" ht="13">
      <c r="B2558" s="33"/>
      <c r="C2558" s="34"/>
      <c r="D2558" s="68" t="s">
        <v>17</v>
      </c>
      <c r="E2558" s="69" t="s">
        <v>27</v>
      </c>
      <c r="F2558" s="20" t="s">
        <v>533</v>
      </c>
      <c r="G2558" s="15"/>
      <c r="H2558" s="15"/>
      <c r="I2558" s="15"/>
      <c r="J2558" s="15"/>
      <c r="K2558" s="15"/>
      <c r="L2558" s="15"/>
      <c r="M2558" s="15"/>
      <c r="N2558" s="15"/>
      <c r="O2558" s="15"/>
      <c r="P2558" s="15"/>
      <c r="Q2558" s="15"/>
      <c r="R2558" s="15"/>
    </row>
    <row r="2559" spans="2:18" ht="13">
      <c r="B2559" s="33"/>
      <c r="C2559" s="34"/>
      <c r="D2559" s="68" t="s">
        <v>17</v>
      </c>
      <c r="E2559" s="69" t="s">
        <v>27</v>
      </c>
      <c r="F2559" s="20" t="s">
        <v>533</v>
      </c>
      <c r="G2559" s="15"/>
      <c r="H2559" s="15"/>
      <c r="I2559" s="15"/>
      <c r="J2559" s="15"/>
      <c r="K2559" s="15"/>
      <c r="L2559" s="15"/>
      <c r="M2559" s="15"/>
      <c r="N2559" s="15"/>
      <c r="O2559" s="15"/>
      <c r="P2559" s="15"/>
      <c r="Q2559" s="15"/>
      <c r="R2559" s="15"/>
    </row>
    <row r="2560" spans="2:18" ht="13">
      <c r="B2560" s="33"/>
      <c r="C2560" s="34"/>
      <c r="D2560" s="68" t="s">
        <v>17</v>
      </c>
      <c r="E2560" s="69" t="s">
        <v>27</v>
      </c>
      <c r="F2560" s="20" t="s">
        <v>533</v>
      </c>
      <c r="G2560" s="15"/>
      <c r="H2560" s="15"/>
      <c r="I2560" s="15"/>
      <c r="J2560" s="15"/>
      <c r="K2560" s="15"/>
      <c r="L2560" s="15"/>
      <c r="M2560" s="15"/>
      <c r="N2560" s="15"/>
      <c r="O2560" s="15"/>
      <c r="P2560" s="15"/>
      <c r="Q2560" s="15"/>
      <c r="R2560" s="15"/>
    </row>
    <row r="2561" spans="2:18" ht="13">
      <c r="B2561" s="33"/>
      <c r="C2561" s="34"/>
      <c r="D2561" s="68" t="s">
        <v>17</v>
      </c>
      <c r="E2561" s="69" t="s">
        <v>27</v>
      </c>
      <c r="F2561" s="20" t="s">
        <v>533</v>
      </c>
      <c r="G2561" s="15"/>
      <c r="H2561" s="15"/>
      <c r="I2561" s="15"/>
      <c r="J2561" s="15"/>
      <c r="K2561" s="15"/>
      <c r="L2561" s="15"/>
      <c r="M2561" s="15"/>
      <c r="N2561" s="15"/>
      <c r="O2561" s="15"/>
      <c r="P2561" s="15"/>
      <c r="Q2561" s="15"/>
      <c r="R2561" s="15"/>
    </row>
    <row r="2562" spans="2:18" ht="13">
      <c r="B2562" s="33"/>
      <c r="C2562" s="34"/>
      <c r="D2562" s="68" t="s">
        <v>326</v>
      </c>
      <c r="E2562" s="69" t="s">
        <v>121</v>
      </c>
      <c r="F2562" s="20" t="s">
        <v>533</v>
      </c>
      <c r="G2562" s="15"/>
      <c r="H2562" s="15"/>
      <c r="I2562" s="15"/>
      <c r="J2562" s="15"/>
      <c r="K2562" s="15"/>
      <c r="L2562" s="15"/>
      <c r="M2562" s="15"/>
      <c r="N2562" s="15"/>
      <c r="O2562" s="15"/>
      <c r="P2562" s="15"/>
      <c r="Q2562" s="15"/>
      <c r="R2562" s="15"/>
    </row>
    <row r="2563" spans="2:18" ht="13">
      <c r="B2563" s="33"/>
      <c r="C2563" s="34"/>
      <c r="D2563" s="68" t="s">
        <v>17</v>
      </c>
      <c r="E2563" s="69" t="s">
        <v>27</v>
      </c>
      <c r="F2563" s="20" t="s">
        <v>533</v>
      </c>
      <c r="G2563" s="15"/>
      <c r="H2563" s="15"/>
      <c r="I2563" s="15"/>
      <c r="J2563" s="15"/>
      <c r="K2563" s="15"/>
      <c r="L2563" s="15"/>
      <c r="M2563" s="15"/>
      <c r="N2563" s="15"/>
      <c r="O2563" s="15"/>
      <c r="P2563" s="15"/>
      <c r="Q2563" s="15"/>
      <c r="R2563" s="15"/>
    </row>
    <row r="2564" spans="2:18" ht="13">
      <c r="B2564" s="33"/>
      <c r="C2564" s="34"/>
      <c r="D2564" s="68" t="s">
        <v>17</v>
      </c>
      <c r="E2564" s="69" t="s">
        <v>27</v>
      </c>
      <c r="F2564" s="20" t="s">
        <v>533</v>
      </c>
      <c r="G2564" s="15"/>
      <c r="H2564" s="15"/>
      <c r="I2564" s="15"/>
      <c r="J2564" s="15"/>
      <c r="K2564" s="15"/>
      <c r="L2564" s="15"/>
      <c r="M2564" s="15"/>
      <c r="N2564" s="15"/>
      <c r="O2564" s="15"/>
      <c r="P2564" s="15"/>
      <c r="Q2564" s="15"/>
      <c r="R2564" s="15"/>
    </row>
    <row r="2565" spans="2:18" ht="13">
      <c r="B2565" s="33"/>
      <c r="C2565" s="34"/>
      <c r="D2565" s="68" t="s">
        <v>17</v>
      </c>
      <c r="E2565" s="69" t="s">
        <v>27</v>
      </c>
      <c r="F2565" s="20" t="s">
        <v>533</v>
      </c>
      <c r="G2565" s="15"/>
      <c r="H2565" s="15"/>
      <c r="I2565" s="15"/>
      <c r="J2565" s="15"/>
      <c r="K2565" s="15"/>
      <c r="L2565" s="15"/>
      <c r="M2565" s="15"/>
      <c r="N2565" s="15"/>
      <c r="O2565" s="15"/>
      <c r="P2565" s="15"/>
      <c r="Q2565" s="15"/>
      <c r="R2565" s="15"/>
    </row>
    <row r="2566" spans="2:18" ht="13">
      <c r="B2566" s="33"/>
      <c r="C2566" s="34"/>
      <c r="D2566" s="68" t="s">
        <v>561</v>
      </c>
      <c r="E2566" s="69" t="s">
        <v>32</v>
      </c>
      <c r="F2566" s="20" t="s">
        <v>533</v>
      </c>
      <c r="G2566" s="15"/>
      <c r="H2566" s="15"/>
      <c r="I2566" s="15"/>
      <c r="J2566" s="15"/>
      <c r="K2566" s="15"/>
      <c r="L2566" s="15"/>
      <c r="M2566" s="15"/>
      <c r="N2566" s="15"/>
      <c r="O2566" s="15"/>
      <c r="P2566" s="15"/>
      <c r="Q2566" s="15"/>
      <c r="R2566" s="15"/>
    </row>
    <row r="2567" spans="2:18" ht="13">
      <c r="B2567" s="33"/>
      <c r="C2567" s="34"/>
      <c r="D2567" s="68" t="s">
        <v>17</v>
      </c>
      <c r="E2567" s="69" t="s">
        <v>27</v>
      </c>
      <c r="F2567" s="20" t="s">
        <v>533</v>
      </c>
      <c r="G2567" s="15"/>
      <c r="H2567" s="15"/>
      <c r="I2567" s="15"/>
      <c r="J2567" s="15"/>
      <c r="K2567" s="15"/>
      <c r="L2567" s="15"/>
      <c r="M2567" s="15"/>
      <c r="N2567" s="15"/>
      <c r="O2567" s="15"/>
      <c r="P2567" s="15"/>
      <c r="Q2567" s="15"/>
      <c r="R2567" s="15"/>
    </row>
    <row r="2568" spans="2:18" ht="13">
      <c r="B2568" s="33"/>
      <c r="C2568" s="34"/>
      <c r="D2568" s="68" t="s">
        <v>17</v>
      </c>
      <c r="E2568" s="69" t="s">
        <v>27</v>
      </c>
      <c r="F2568" s="20" t="s">
        <v>533</v>
      </c>
      <c r="G2568" s="15"/>
      <c r="H2568" s="15"/>
      <c r="I2568" s="15"/>
      <c r="J2568" s="15"/>
      <c r="K2568" s="15"/>
      <c r="L2568" s="15"/>
      <c r="M2568" s="15"/>
      <c r="N2568" s="15"/>
      <c r="O2568" s="15"/>
      <c r="P2568" s="15"/>
      <c r="Q2568" s="15"/>
      <c r="R2568" s="15"/>
    </row>
    <row r="2569" spans="2:18" ht="13">
      <c r="B2569" s="33"/>
      <c r="C2569" s="34"/>
      <c r="D2569" s="68" t="s">
        <v>17</v>
      </c>
      <c r="E2569" s="69" t="s">
        <v>27</v>
      </c>
      <c r="F2569" s="20" t="s">
        <v>533</v>
      </c>
      <c r="G2569" s="15"/>
      <c r="H2569" s="15"/>
      <c r="I2569" s="15"/>
      <c r="J2569" s="15"/>
      <c r="K2569" s="15"/>
      <c r="L2569" s="15"/>
      <c r="M2569" s="15"/>
      <c r="N2569" s="15"/>
      <c r="O2569" s="15"/>
      <c r="P2569" s="15"/>
      <c r="Q2569" s="15"/>
      <c r="R2569" s="15"/>
    </row>
    <row r="2570" spans="2:18" ht="13">
      <c r="B2570" s="33"/>
      <c r="C2570" s="34"/>
      <c r="D2570" s="68" t="s">
        <v>17</v>
      </c>
      <c r="E2570" s="69" t="s">
        <v>27</v>
      </c>
      <c r="F2570" s="20" t="s">
        <v>533</v>
      </c>
      <c r="G2570" s="15"/>
      <c r="H2570" s="15"/>
      <c r="I2570" s="15"/>
      <c r="J2570" s="15"/>
      <c r="K2570" s="15"/>
      <c r="L2570" s="15"/>
      <c r="M2570" s="15"/>
      <c r="N2570" s="15"/>
      <c r="O2570" s="15"/>
      <c r="P2570" s="15"/>
      <c r="Q2570" s="15"/>
      <c r="R2570" s="15"/>
    </row>
    <row r="2571" spans="2:18" ht="13">
      <c r="B2571" s="33"/>
      <c r="C2571" s="34"/>
      <c r="D2571" s="68" t="s">
        <v>17</v>
      </c>
      <c r="E2571" s="69" t="s">
        <v>27</v>
      </c>
      <c r="F2571" s="20" t="s">
        <v>533</v>
      </c>
      <c r="G2571" s="15"/>
      <c r="H2571" s="15"/>
      <c r="I2571" s="15"/>
      <c r="J2571" s="15"/>
      <c r="K2571" s="15"/>
      <c r="L2571" s="15"/>
      <c r="M2571" s="15"/>
      <c r="N2571" s="15"/>
      <c r="O2571" s="15"/>
      <c r="P2571" s="15"/>
      <c r="Q2571" s="15"/>
      <c r="R2571" s="15"/>
    </row>
    <row r="2572" spans="2:18" ht="13">
      <c r="B2572" s="33"/>
      <c r="C2572" s="34"/>
      <c r="D2572" s="68" t="s">
        <v>26</v>
      </c>
      <c r="E2572" s="69" t="s">
        <v>27</v>
      </c>
      <c r="F2572" s="20" t="s">
        <v>533</v>
      </c>
      <c r="G2572" s="15"/>
      <c r="H2572" s="15"/>
      <c r="I2572" s="15"/>
      <c r="J2572" s="15"/>
      <c r="K2572" s="15"/>
      <c r="L2572" s="15"/>
      <c r="M2572" s="15"/>
      <c r="N2572" s="15"/>
      <c r="O2572" s="15"/>
      <c r="P2572" s="15"/>
      <c r="Q2572" s="15"/>
      <c r="R2572" s="15"/>
    </row>
    <row r="2573" spans="2:18" ht="13">
      <c r="B2573" s="33"/>
      <c r="C2573" s="34"/>
      <c r="D2573" s="68" t="s">
        <v>26</v>
      </c>
      <c r="E2573" s="69" t="s">
        <v>121</v>
      </c>
      <c r="F2573" s="20" t="s">
        <v>533</v>
      </c>
      <c r="G2573" s="15"/>
      <c r="H2573" s="15"/>
      <c r="I2573" s="15"/>
      <c r="J2573" s="15"/>
      <c r="K2573" s="15"/>
      <c r="L2573" s="15"/>
      <c r="M2573" s="15"/>
      <c r="N2573" s="15"/>
      <c r="O2573" s="15"/>
      <c r="P2573" s="15"/>
      <c r="Q2573" s="15"/>
      <c r="R2573" s="15"/>
    </row>
    <row r="2574" spans="2:18" ht="13">
      <c r="B2574" s="33"/>
      <c r="C2574" s="34"/>
      <c r="D2574" s="68" t="s">
        <v>17</v>
      </c>
      <c r="E2574" s="69" t="s">
        <v>27</v>
      </c>
      <c r="F2574" s="20" t="s">
        <v>533</v>
      </c>
      <c r="G2574" s="15"/>
      <c r="H2574" s="15"/>
      <c r="I2574" s="15"/>
      <c r="J2574" s="15"/>
      <c r="K2574" s="15"/>
      <c r="L2574" s="15"/>
      <c r="M2574" s="15"/>
      <c r="N2574" s="15"/>
      <c r="O2574" s="15"/>
      <c r="P2574" s="15"/>
      <c r="Q2574" s="15"/>
      <c r="R2574" s="15"/>
    </row>
    <row r="2575" spans="2:18" ht="13">
      <c r="B2575" s="33"/>
      <c r="C2575" s="34"/>
      <c r="D2575" s="68" t="s">
        <v>17</v>
      </c>
      <c r="E2575" s="69" t="s">
        <v>27</v>
      </c>
      <c r="F2575" s="20" t="s">
        <v>533</v>
      </c>
      <c r="G2575" s="15"/>
      <c r="H2575" s="15"/>
      <c r="I2575" s="15"/>
      <c r="J2575" s="15"/>
      <c r="K2575" s="15"/>
      <c r="L2575" s="15"/>
      <c r="M2575" s="15"/>
      <c r="N2575" s="15"/>
      <c r="O2575" s="15"/>
      <c r="P2575" s="15"/>
      <c r="Q2575" s="15"/>
      <c r="R2575" s="15"/>
    </row>
    <row r="2576" spans="2:18" ht="13">
      <c r="B2576" s="33"/>
      <c r="C2576" s="34"/>
      <c r="D2576" s="68" t="s">
        <v>17</v>
      </c>
      <c r="E2576" s="69" t="s">
        <v>27</v>
      </c>
      <c r="F2576" s="20" t="s">
        <v>533</v>
      </c>
      <c r="G2576" s="15"/>
      <c r="H2576" s="15"/>
      <c r="I2576" s="15"/>
      <c r="J2576" s="15"/>
      <c r="K2576" s="15"/>
      <c r="L2576" s="15"/>
      <c r="M2576" s="15"/>
      <c r="N2576" s="15"/>
      <c r="O2576" s="15"/>
      <c r="P2576" s="15"/>
      <c r="Q2576" s="15"/>
      <c r="R2576" s="15"/>
    </row>
    <row r="2577" spans="2:18" ht="13">
      <c r="B2577" s="33"/>
      <c r="C2577" s="34"/>
      <c r="D2577" s="68" t="s">
        <v>17</v>
      </c>
      <c r="E2577" s="69" t="s">
        <v>27</v>
      </c>
      <c r="F2577" s="20" t="s">
        <v>533</v>
      </c>
      <c r="G2577" s="15"/>
      <c r="H2577" s="15"/>
      <c r="I2577" s="15"/>
      <c r="J2577" s="15"/>
      <c r="K2577" s="15"/>
      <c r="L2577" s="15"/>
      <c r="M2577" s="15"/>
      <c r="N2577" s="15"/>
      <c r="O2577" s="15"/>
      <c r="P2577" s="15"/>
      <c r="Q2577" s="15"/>
      <c r="R2577" s="15"/>
    </row>
    <row r="2578" spans="2:18" ht="13">
      <c r="B2578" s="33"/>
      <c r="C2578" s="34"/>
      <c r="D2578" s="68" t="s">
        <v>17</v>
      </c>
      <c r="E2578" s="69" t="s">
        <v>27</v>
      </c>
      <c r="F2578" s="20" t="s">
        <v>533</v>
      </c>
      <c r="G2578" s="15"/>
      <c r="H2578" s="15"/>
      <c r="I2578" s="15"/>
      <c r="J2578" s="15"/>
      <c r="K2578" s="15"/>
      <c r="L2578" s="15"/>
      <c r="M2578" s="15"/>
      <c r="N2578" s="15"/>
      <c r="O2578" s="15"/>
      <c r="P2578" s="15"/>
      <c r="Q2578" s="15"/>
      <c r="R2578" s="15"/>
    </row>
    <row r="2579" spans="2:18" ht="13">
      <c r="B2579" s="33"/>
      <c r="C2579" s="34"/>
      <c r="D2579" s="68" t="s">
        <v>17</v>
      </c>
      <c r="E2579" s="69" t="s">
        <v>27</v>
      </c>
      <c r="F2579" s="20" t="s">
        <v>533</v>
      </c>
      <c r="G2579" s="15"/>
      <c r="H2579" s="15"/>
      <c r="I2579" s="15"/>
      <c r="J2579" s="15"/>
      <c r="K2579" s="15"/>
      <c r="L2579" s="15"/>
      <c r="M2579" s="15"/>
      <c r="N2579" s="15"/>
      <c r="O2579" s="15"/>
      <c r="P2579" s="15"/>
      <c r="Q2579" s="15"/>
      <c r="R2579" s="15"/>
    </row>
    <row r="2580" spans="2:18" ht="13">
      <c r="B2580" s="33"/>
      <c r="C2580" s="34"/>
      <c r="D2580" s="68" t="s">
        <v>572</v>
      </c>
      <c r="E2580" s="69" t="s">
        <v>32</v>
      </c>
      <c r="F2580" s="20" t="s">
        <v>533</v>
      </c>
      <c r="G2580" s="15"/>
      <c r="H2580" s="15"/>
      <c r="I2580" s="15"/>
      <c r="J2580" s="15"/>
      <c r="K2580" s="15"/>
      <c r="L2580" s="15"/>
      <c r="M2580" s="15"/>
      <c r="N2580" s="15"/>
      <c r="O2580" s="15"/>
      <c r="P2580" s="15"/>
      <c r="Q2580" s="15"/>
      <c r="R2580" s="15"/>
    </row>
    <row r="2581" spans="2:18" ht="13">
      <c r="B2581" s="33"/>
      <c r="C2581" s="34"/>
      <c r="D2581" s="68" t="s">
        <v>17</v>
      </c>
      <c r="E2581" s="69" t="s">
        <v>27</v>
      </c>
      <c r="F2581" s="20" t="s">
        <v>533</v>
      </c>
      <c r="G2581" s="15"/>
      <c r="H2581" s="15"/>
      <c r="I2581" s="15"/>
      <c r="J2581" s="15"/>
      <c r="K2581" s="15"/>
      <c r="L2581" s="15"/>
      <c r="M2581" s="15"/>
      <c r="N2581" s="15"/>
      <c r="O2581" s="15"/>
      <c r="P2581" s="15"/>
      <c r="Q2581" s="15"/>
      <c r="R2581" s="15"/>
    </row>
    <row r="2582" spans="2:18" ht="13">
      <c r="B2582" s="33"/>
      <c r="C2582" s="34"/>
      <c r="D2582" s="68" t="s">
        <v>17</v>
      </c>
      <c r="E2582" s="69" t="s">
        <v>27</v>
      </c>
      <c r="F2582" s="20" t="s">
        <v>533</v>
      </c>
      <c r="G2582" s="15"/>
      <c r="H2582" s="15"/>
      <c r="I2582" s="15"/>
      <c r="J2582" s="15"/>
      <c r="K2582" s="15"/>
      <c r="L2582" s="15"/>
      <c r="M2582" s="15"/>
      <c r="N2582" s="15"/>
      <c r="O2582" s="15"/>
      <c r="P2582" s="15"/>
      <c r="Q2582" s="15"/>
      <c r="R2582" s="15"/>
    </row>
    <row r="2583" spans="2:18" ht="13">
      <c r="B2583" s="33"/>
      <c r="C2583" s="34"/>
      <c r="D2583" s="68" t="s">
        <v>17</v>
      </c>
      <c r="E2583" s="69" t="s">
        <v>27</v>
      </c>
      <c r="F2583" s="20" t="s">
        <v>533</v>
      </c>
      <c r="G2583" s="15"/>
      <c r="H2583" s="15"/>
      <c r="I2583" s="15"/>
      <c r="J2583" s="15"/>
      <c r="K2583" s="15"/>
      <c r="L2583" s="15"/>
      <c r="M2583" s="15"/>
      <c r="N2583" s="15"/>
      <c r="O2583" s="15"/>
      <c r="P2583" s="15"/>
      <c r="Q2583" s="15"/>
      <c r="R2583" s="15"/>
    </row>
    <row r="2584" spans="2:18" ht="13">
      <c r="B2584" s="33"/>
      <c r="C2584" s="34"/>
      <c r="D2584" s="68" t="s">
        <v>26</v>
      </c>
      <c r="E2584" s="69" t="s">
        <v>27</v>
      </c>
      <c r="F2584" s="20" t="s">
        <v>533</v>
      </c>
      <c r="G2584" s="15"/>
      <c r="H2584" s="15"/>
      <c r="I2584" s="15"/>
      <c r="J2584" s="15"/>
      <c r="K2584" s="15"/>
      <c r="L2584" s="15"/>
      <c r="M2584" s="15"/>
      <c r="N2584" s="15"/>
      <c r="O2584" s="15"/>
      <c r="P2584" s="15"/>
      <c r="Q2584" s="15"/>
      <c r="R2584" s="15"/>
    </row>
    <row r="2585" spans="2:18" ht="13">
      <c r="B2585" s="33"/>
      <c r="C2585" s="34"/>
      <c r="D2585" s="68" t="s">
        <v>17</v>
      </c>
      <c r="E2585" s="69" t="s">
        <v>27</v>
      </c>
      <c r="F2585" s="20" t="s">
        <v>533</v>
      </c>
      <c r="G2585" s="15"/>
      <c r="H2585" s="15"/>
      <c r="I2585" s="15"/>
      <c r="J2585" s="15"/>
      <c r="K2585" s="15"/>
      <c r="L2585" s="15"/>
      <c r="M2585" s="15"/>
      <c r="N2585" s="15"/>
      <c r="O2585" s="15"/>
      <c r="P2585" s="15"/>
      <c r="Q2585" s="15"/>
      <c r="R2585" s="15"/>
    </row>
    <row r="2586" spans="2:18" ht="13">
      <c r="B2586" s="33"/>
      <c r="C2586" s="34"/>
      <c r="D2586" s="68" t="s">
        <v>26</v>
      </c>
      <c r="E2586" s="69" t="s">
        <v>27</v>
      </c>
      <c r="F2586" s="20" t="s">
        <v>533</v>
      </c>
      <c r="G2586" s="15"/>
      <c r="H2586" s="15"/>
      <c r="I2586" s="15"/>
      <c r="J2586" s="15"/>
      <c r="K2586" s="15"/>
      <c r="L2586" s="15"/>
      <c r="M2586" s="15"/>
      <c r="N2586" s="15"/>
      <c r="O2586" s="15"/>
      <c r="P2586" s="15"/>
      <c r="Q2586" s="15"/>
      <c r="R2586" s="15"/>
    </row>
    <row r="2587" spans="2:18" ht="13">
      <c r="B2587" s="33"/>
      <c r="C2587" s="34"/>
      <c r="D2587" s="68" t="s">
        <v>17</v>
      </c>
      <c r="E2587" s="69" t="s">
        <v>27</v>
      </c>
      <c r="F2587" s="20" t="s">
        <v>533</v>
      </c>
      <c r="G2587" s="15"/>
      <c r="H2587" s="15"/>
      <c r="I2587" s="15"/>
      <c r="J2587" s="15"/>
      <c r="K2587" s="15"/>
      <c r="L2587" s="15"/>
      <c r="M2587" s="15"/>
      <c r="N2587" s="15"/>
      <c r="O2587" s="15"/>
      <c r="P2587" s="15"/>
      <c r="Q2587" s="15"/>
      <c r="R2587" s="15"/>
    </row>
    <row r="2588" spans="2:18" ht="13">
      <c r="B2588" s="33"/>
      <c r="C2588" s="34"/>
      <c r="D2588" s="68" t="s">
        <v>17</v>
      </c>
      <c r="E2588" s="69" t="s">
        <v>27</v>
      </c>
      <c r="F2588" s="20" t="s">
        <v>533</v>
      </c>
      <c r="G2588" s="15"/>
      <c r="H2588" s="15"/>
      <c r="I2588" s="15"/>
      <c r="J2588" s="15"/>
      <c r="K2588" s="15"/>
      <c r="L2588" s="15"/>
      <c r="M2588" s="15"/>
      <c r="N2588" s="15"/>
      <c r="O2588" s="15"/>
      <c r="P2588" s="15"/>
      <c r="Q2588" s="15"/>
      <c r="R2588" s="15"/>
    </row>
    <row r="2589" spans="2:18" ht="13">
      <c r="B2589" s="33"/>
      <c r="C2589" s="34"/>
      <c r="D2589" s="68" t="s">
        <v>17</v>
      </c>
      <c r="E2589" s="69" t="s">
        <v>27</v>
      </c>
      <c r="F2589" s="20" t="s">
        <v>533</v>
      </c>
      <c r="G2589" s="15"/>
      <c r="H2589" s="15"/>
      <c r="I2589" s="15"/>
      <c r="J2589" s="15"/>
      <c r="K2589" s="15"/>
      <c r="L2589" s="15"/>
      <c r="M2589" s="15"/>
      <c r="N2589" s="15"/>
      <c r="O2589" s="15"/>
      <c r="P2589" s="15"/>
      <c r="Q2589" s="15"/>
      <c r="R2589" s="15"/>
    </row>
    <row r="2590" spans="2:18" ht="13">
      <c r="B2590" s="33"/>
      <c r="C2590" s="34"/>
      <c r="D2590" s="68" t="s">
        <v>17</v>
      </c>
      <c r="E2590" s="69" t="s">
        <v>27</v>
      </c>
      <c r="F2590" s="20" t="s">
        <v>533</v>
      </c>
      <c r="G2590" s="15"/>
      <c r="H2590" s="15"/>
      <c r="I2590" s="15"/>
      <c r="J2590" s="15"/>
      <c r="K2590" s="15"/>
      <c r="L2590" s="15"/>
      <c r="M2590" s="15"/>
      <c r="N2590" s="15"/>
      <c r="O2590" s="15"/>
      <c r="P2590" s="15"/>
      <c r="Q2590" s="15"/>
      <c r="R2590" s="15"/>
    </row>
    <row r="2591" spans="2:18" ht="13">
      <c r="B2591" s="33"/>
      <c r="C2591" s="34"/>
      <c r="D2591" s="68" t="s">
        <v>662</v>
      </c>
      <c r="E2591" s="69" t="s">
        <v>32</v>
      </c>
      <c r="F2591" s="20" t="s">
        <v>533</v>
      </c>
      <c r="G2591" s="15"/>
      <c r="H2591" s="15"/>
      <c r="I2591" s="15"/>
      <c r="J2591" s="15"/>
      <c r="K2591" s="15"/>
      <c r="L2591" s="15"/>
      <c r="M2591" s="15"/>
      <c r="N2591" s="15"/>
      <c r="O2591" s="15"/>
      <c r="P2591" s="15"/>
      <c r="Q2591" s="15"/>
      <c r="R2591" s="15"/>
    </row>
    <row r="2592" spans="2:18" ht="13">
      <c r="B2592" s="33"/>
      <c r="C2592" s="34"/>
      <c r="D2592" s="68" t="s">
        <v>17</v>
      </c>
      <c r="E2592" s="69" t="s">
        <v>27</v>
      </c>
      <c r="F2592" s="20" t="s">
        <v>533</v>
      </c>
      <c r="G2592" s="15"/>
      <c r="H2592" s="15"/>
      <c r="I2592" s="15"/>
      <c r="J2592" s="15"/>
      <c r="K2592" s="15"/>
      <c r="L2592" s="15"/>
      <c r="M2592" s="15"/>
      <c r="N2592" s="15"/>
      <c r="O2592" s="15"/>
      <c r="P2592" s="15"/>
      <c r="Q2592" s="15"/>
      <c r="R2592" s="15"/>
    </row>
    <row r="2593" spans="2:18" ht="13">
      <c r="B2593" s="33"/>
      <c r="C2593" s="34"/>
      <c r="D2593" s="68" t="s">
        <v>17</v>
      </c>
      <c r="E2593" s="69" t="s">
        <v>27</v>
      </c>
      <c r="F2593" s="20" t="s">
        <v>533</v>
      </c>
      <c r="G2593" s="15"/>
      <c r="H2593" s="15"/>
      <c r="I2593" s="15"/>
      <c r="J2593" s="15"/>
      <c r="K2593" s="15"/>
      <c r="L2593" s="15"/>
      <c r="M2593" s="15"/>
      <c r="N2593" s="15"/>
      <c r="O2593" s="15"/>
      <c r="P2593" s="15"/>
      <c r="Q2593" s="15"/>
      <c r="R2593" s="15"/>
    </row>
    <row r="2594" spans="2:18" ht="13">
      <c r="B2594" s="33"/>
      <c r="C2594" s="34"/>
      <c r="D2594" s="68" t="s">
        <v>168</v>
      </c>
      <c r="E2594" s="69" t="s">
        <v>27</v>
      </c>
      <c r="F2594" s="20" t="s">
        <v>533</v>
      </c>
      <c r="G2594" s="15"/>
      <c r="H2594" s="15"/>
      <c r="I2594" s="15"/>
      <c r="J2594" s="15"/>
      <c r="K2594" s="15"/>
      <c r="L2594" s="15"/>
      <c r="M2594" s="15"/>
      <c r="N2594" s="15"/>
      <c r="O2594" s="15"/>
      <c r="P2594" s="15"/>
      <c r="Q2594" s="15"/>
      <c r="R2594" s="15"/>
    </row>
    <row r="2595" spans="2:18" ht="13">
      <c r="B2595" s="33"/>
      <c r="C2595" s="34"/>
      <c r="D2595" s="68" t="s">
        <v>17</v>
      </c>
      <c r="E2595" s="69" t="s">
        <v>27</v>
      </c>
      <c r="F2595" s="20" t="s">
        <v>533</v>
      </c>
      <c r="G2595" s="15"/>
      <c r="H2595" s="15"/>
      <c r="I2595" s="15"/>
      <c r="J2595" s="15"/>
      <c r="K2595" s="15"/>
      <c r="L2595" s="15"/>
      <c r="M2595" s="15"/>
      <c r="N2595" s="15"/>
      <c r="O2595" s="15"/>
      <c r="P2595" s="15"/>
      <c r="Q2595" s="15"/>
      <c r="R2595" s="15"/>
    </row>
    <row r="2596" spans="2:18" ht="13">
      <c r="B2596" s="33"/>
      <c r="C2596" s="34"/>
      <c r="D2596" s="68" t="s">
        <v>17</v>
      </c>
      <c r="E2596" s="69" t="s">
        <v>27</v>
      </c>
      <c r="F2596" s="20" t="s">
        <v>533</v>
      </c>
      <c r="G2596" s="15"/>
      <c r="H2596" s="15"/>
      <c r="I2596" s="15"/>
      <c r="J2596" s="15"/>
      <c r="K2596" s="15"/>
      <c r="L2596" s="15"/>
      <c r="M2596" s="15"/>
      <c r="N2596" s="15"/>
      <c r="O2596" s="15"/>
      <c r="P2596" s="15"/>
      <c r="Q2596" s="15"/>
      <c r="R2596" s="15"/>
    </row>
    <row r="2597" spans="2:18" ht="13">
      <c r="B2597" s="33"/>
      <c r="C2597" s="34"/>
      <c r="D2597" s="68" t="s">
        <v>17</v>
      </c>
      <c r="E2597" s="69" t="s">
        <v>27</v>
      </c>
      <c r="F2597" s="20" t="s">
        <v>533</v>
      </c>
      <c r="G2597" s="15"/>
      <c r="H2597" s="15"/>
      <c r="I2597" s="15"/>
      <c r="J2597" s="15"/>
      <c r="K2597" s="15"/>
      <c r="L2597" s="15"/>
      <c r="M2597" s="15"/>
      <c r="N2597" s="15"/>
      <c r="O2597" s="15"/>
      <c r="P2597" s="15"/>
      <c r="Q2597" s="15"/>
      <c r="R2597" s="15"/>
    </row>
    <row r="2598" spans="2:18" ht="13">
      <c r="B2598" s="33"/>
      <c r="C2598" s="34"/>
      <c r="D2598" s="68" t="s">
        <v>17</v>
      </c>
      <c r="E2598" s="69" t="s">
        <v>27</v>
      </c>
      <c r="F2598" s="20" t="s">
        <v>533</v>
      </c>
      <c r="G2598" s="15"/>
      <c r="H2598" s="15"/>
      <c r="I2598" s="15"/>
      <c r="J2598" s="15"/>
      <c r="K2598" s="15"/>
      <c r="L2598" s="15"/>
      <c r="M2598" s="15"/>
      <c r="N2598" s="15"/>
      <c r="O2598" s="15"/>
      <c r="P2598" s="15"/>
      <c r="Q2598" s="15"/>
      <c r="R2598" s="15"/>
    </row>
    <row r="2599" spans="2:18" ht="13">
      <c r="B2599" s="33"/>
      <c r="C2599" s="34"/>
      <c r="D2599" s="68" t="s">
        <v>17</v>
      </c>
      <c r="E2599" s="69" t="s">
        <v>27</v>
      </c>
      <c r="F2599" s="20" t="s">
        <v>533</v>
      </c>
      <c r="G2599" s="15"/>
      <c r="H2599" s="15"/>
      <c r="I2599" s="15"/>
      <c r="J2599" s="15"/>
      <c r="K2599" s="15"/>
      <c r="L2599" s="15"/>
      <c r="M2599" s="15"/>
      <c r="N2599" s="15"/>
      <c r="O2599" s="15"/>
      <c r="P2599" s="15"/>
      <c r="Q2599" s="15"/>
      <c r="R2599" s="15"/>
    </row>
    <row r="2600" spans="2:18" ht="13">
      <c r="B2600" s="33"/>
      <c r="C2600" s="34"/>
      <c r="D2600" s="68" t="s">
        <v>17</v>
      </c>
      <c r="E2600" s="69" t="s">
        <v>27</v>
      </c>
      <c r="F2600" s="20" t="s">
        <v>533</v>
      </c>
      <c r="G2600" s="15"/>
      <c r="H2600" s="15"/>
      <c r="I2600" s="15"/>
      <c r="J2600" s="15"/>
      <c r="K2600" s="15"/>
      <c r="L2600" s="15"/>
      <c r="M2600" s="15"/>
      <c r="N2600" s="15"/>
      <c r="O2600" s="15"/>
      <c r="P2600" s="15"/>
      <c r="Q2600" s="15"/>
      <c r="R2600" s="15"/>
    </row>
    <row r="2601" spans="2:18" ht="13">
      <c r="B2601" s="33"/>
      <c r="C2601" s="34"/>
      <c r="D2601" s="68" t="s">
        <v>17</v>
      </c>
      <c r="E2601" s="69" t="s">
        <v>27</v>
      </c>
      <c r="F2601" s="20" t="s">
        <v>533</v>
      </c>
      <c r="G2601" s="15"/>
      <c r="H2601" s="15"/>
      <c r="I2601" s="15"/>
      <c r="J2601" s="15"/>
      <c r="K2601" s="15"/>
      <c r="L2601" s="15"/>
      <c r="M2601" s="15"/>
      <c r="N2601" s="15"/>
      <c r="O2601" s="15"/>
      <c r="P2601" s="15"/>
      <c r="Q2601" s="15"/>
      <c r="R2601" s="15"/>
    </row>
    <row r="2602" spans="2:18" ht="13">
      <c r="B2602" s="33"/>
      <c r="C2602" s="34"/>
      <c r="D2602" s="68" t="s">
        <v>17</v>
      </c>
      <c r="E2602" s="69" t="s">
        <v>27</v>
      </c>
      <c r="F2602" s="20" t="s">
        <v>533</v>
      </c>
      <c r="G2602" s="15"/>
      <c r="H2602" s="15"/>
      <c r="I2602" s="15"/>
      <c r="J2602" s="15"/>
      <c r="K2602" s="15"/>
      <c r="L2602" s="15"/>
      <c r="M2602" s="15"/>
      <c r="N2602" s="15"/>
      <c r="O2602" s="15"/>
      <c r="P2602" s="15"/>
      <c r="Q2602" s="15"/>
      <c r="R2602" s="15"/>
    </row>
    <row r="2603" spans="2:18" ht="13">
      <c r="B2603" s="33"/>
      <c r="C2603" s="34"/>
      <c r="D2603" s="68" t="s">
        <v>17</v>
      </c>
      <c r="E2603" s="69" t="s">
        <v>27</v>
      </c>
      <c r="F2603" s="20" t="s">
        <v>533</v>
      </c>
      <c r="G2603" s="15"/>
      <c r="H2603" s="15"/>
      <c r="I2603" s="15"/>
      <c r="J2603" s="15"/>
      <c r="K2603" s="15"/>
      <c r="L2603" s="15"/>
      <c r="M2603" s="15"/>
      <c r="N2603" s="15"/>
      <c r="O2603" s="15"/>
      <c r="P2603" s="15"/>
      <c r="Q2603" s="15"/>
      <c r="R2603" s="15"/>
    </row>
    <row r="2604" spans="2:18" ht="13">
      <c r="B2604" s="33"/>
      <c r="C2604" s="34"/>
      <c r="D2604" s="68" t="s">
        <v>17</v>
      </c>
      <c r="E2604" s="69" t="s">
        <v>27</v>
      </c>
      <c r="F2604" s="20" t="s">
        <v>533</v>
      </c>
      <c r="G2604" s="15"/>
      <c r="H2604" s="15"/>
      <c r="I2604" s="15"/>
      <c r="J2604" s="15"/>
      <c r="K2604" s="15"/>
      <c r="L2604" s="15"/>
      <c r="M2604" s="15"/>
      <c r="N2604" s="15"/>
      <c r="O2604" s="15"/>
      <c r="P2604" s="15"/>
      <c r="Q2604" s="15"/>
      <c r="R2604" s="15"/>
    </row>
    <row r="2605" spans="2:18" ht="13">
      <c r="B2605" s="33"/>
      <c r="C2605" s="34"/>
      <c r="D2605" s="68" t="s">
        <v>17</v>
      </c>
      <c r="E2605" s="69" t="s">
        <v>27</v>
      </c>
      <c r="F2605" s="20" t="s">
        <v>533</v>
      </c>
      <c r="G2605" s="15"/>
      <c r="H2605" s="15"/>
      <c r="I2605" s="15"/>
      <c r="J2605" s="15"/>
      <c r="K2605" s="15"/>
      <c r="L2605" s="15"/>
      <c r="M2605" s="15"/>
      <c r="N2605" s="15"/>
      <c r="O2605" s="15"/>
      <c r="P2605" s="15"/>
      <c r="Q2605" s="15"/>
      <c r="R2605" s="15"/>
    </row>
    <row r="2606" spans="2:18" ht="13">
      <c r="B2606" s="33"/>
      <c r="C2606" s="34"/>
      <c r="D2606" s="68" t="s">
        <v>17</v>
      </c>
      <c r="E2606" s="69" t="s">
        <v>27</v>
      </c>
      <c r="F2606" s="20" t="s">
        <v>533</v>
      </c>
      <c r="G2606" s="15"/>
      <c r="H2606" s="15"/>
      <c r="I2606" s="15"/>
      <c r="J2606" s="15"/>
      <c r="K2606" s="15"/>
      <c r="L2606" s="15"/>
      <c r="M2606" s="15"/>
      <c r="N2606" s="15"/>
      <c r="O2606" s="15"/>
      <c r="P2606" s="15"/>
      <c r="Q2606" s="15"/>
      <c r="R2606" s="15"/>
    </row>
    <row r="2607" spans="2:18" ht="13">
      <c r="B2607" s="33"/>
      <c r="C2607" s="34"/>
      <c r="D2607" s="68" t="s">
        <v>17</v>
      </c>
      <c r="E2607" s="69" t="s">
        <v>27</v>
      </c>
      <c r="F2607" s="20" t="s">
        <v>533</v>
      </c>
      <c r="G2607" s="15"/>
      <c r="H2607" s="15"/>
      <c r="I2607" s="15"/>
      <c r="J2607" s="15"/>
      <c r="K2607" s="15"/>
      <c r="L2607" s="15"/>
      <c r="M2607" s="15"/>
      <c r="N2607" s="15"/>
      <c r="O2607" s="15"/>
      <c r="P2607" s="15"/>
      <c r="Q2607" s="15"/>
      <c r="R2607" s="15"/>
    </row>
    <row r="2608" spans="2:18" ht="13">
      <c r="B2608" s="33"/>
      <c r="C2608" s="34"/>
      <c r="D2608" s="68" t="s">
        <v>17</v>
      </c>
      <c r="E2608" s="69" t="s">
        <v>27</v>
      </c>
      <c r="F2608" s="20" t="s">
        <v>533</v>
      </c>
      <c r="G2608" s="15"/>
      <c r="H2608" s="15"/>
      <c r="I2608" s="15"/>
      <c r="J2608" s="15"/>
      <c r="K2608" s="15"/>
      <c r="L2608" s="15"/>
      <c r="M2608" s="15"/>
      <c r="N2608" s="15"/>
      <c r="O2608" s="15"/>
      <c r="P2608" s="15"/>
      <c r="Q2608" s="15"/>
      <c r="R2608" s="15"/>
    </row>
    <row r="2609" spans="2:18" ht="13">
      <c r="B2609" s="33"/>
      <c r="C2609" s="34"/>
      <c r="D2609" s="68" t="s">
        <v>17</v>
      </c>
      <c r="E2609" s="69" t="s">
        <v>27</v>
      </c>
      <c r="F2609" s="20" t="s">
        <v>533</v>
      </c>
      <c r="G2609" s="15"/>
      <c r="H2609" s="15"/>
      <c r="I2609" s="15"/>
      <c r="J2609" s="15"/>
      <c r="K2609" s="15"/>
      <c r="L2609" s="15"/>
      <c r="M2609" s="15"/>
      <c r="N2609" s="15"/>
      <c r="O2609" s="15"/>
      <c r="P2609" s="15"/>
      <c r="Q2609" s="15"/>
      <c r="R2609" s="15"/>
    </row>
    <row r="2610" spans="2:18" ht="13">
      <c r="B2610" s="33"/>
      <c r="C2610" s="34"/>
      <c r="D2610" s="68" t="s">
        <v>17</v>
      </c>
      <c r="E2610" s="69" t="s">
        <v>27</v>
      </c>
      <c r="F2610" s="20" t="s">
        <v>533</v>
      </c>
      <c r="G2610" s="15"/>
      <c r="H2610" s="15"/>
      <c r="I2610" s="15"/>
      <c r="J2610" s="15"/>
      <c r="K2610" s="15"/>
      <c r="L2610" s="15"/>
      <c r="M2610" s="15"/>
      <c r="N2610" s="15"/>
      <c r="O2610" s="15"/>
      <c r="P2610" s="15"/>
      <c r="Q2610" s="15"/>
      <c r="R2610" s="15"/>
    </row>
    <row r="2611" spans="2:18" ht="13">
      <c r="B2611" s="33"/>
      <c r="C2611" s="34"/>
      <c r="D2611" s="68" t="s">
        <v>404</v>
      </c>
      <c r="E2611" s="69" t="s">
        <v>32</v>
      </c>
      <c r="F2611" s="20" t="s">
        <v>533</v>
      </c>
      <c r="G2611" s="15"/>
      <c r="H2611" s="15"/>
      <c r="I2611" s="15"/>
      <c r="J2611" s="15"/>
      <c r="K2611" s="15"/>
      <c r="L2611" s="15"/>
      <c r="M2611" s="15"/>
      <c r="N2611" s="15"/>
      <c r="O2611" s="15"/>
      <c r="P2611" s="15"/>
      <c r="Q2611" s="15"/>
      <c r="R2611" s="15"/>
    </row>
    <row r="2612" spans="2:18" ht="13">
      <c r="B2612" s="33"/>
      <c r="C2612" s="34"/>
      <c r="D2612" s="68" t="s">
        <v>17</v>
      </c>
      <c r="E2612" s="69" t="s">
        <v>27</v>
      </c>
      <c r="F2612" s="20" t="s">
        <v>533</v>
      </c>
      <c r="G2612" s="15"/>
      <c r="H2612" s="15"/>
      <c r="I2612" s="15"/>
      <c r="J2612" s="15"/>
      <c r="K2612" s="15"/>
      <c r="L2612" s="15"/>
      <c r="M2612" s="15"/>
      <c r="N2612" s="15"/>
      <c r="O2612" s="15"/>
      <c r="P2612" s="15"/>
      <c r="Q2612" s="15"/>
      <c r="R2612" s="15"/>
    </row>
    <row r="2613" spans="2:18" ht="13">
      <c r="B2613" s="33"/>
      <c r="C2613" s="34"/>
      <c r="D2613" s="68" t="s">
        <v>17</v>
      </c>
      <c r="E2613" s="69" t="s">
        <v>27</v>
      </c>
      <c r="F2613" s="20" t="s">
        <v>533</v>
      </c>
      <c r="G2613" s="15"/>
      <c r="H2613" s="15"/>
      <c r="I2613" s="15"/>
      <c r="J2613" s="15"/>
      <c r="K2613" s="15"/>
      <c r="L2613" s="15"/>
      <c r="M2613" s="15"/>
      <c r="N2613" s="15"/>
      <c r="O2613" s="15"/>
      <c r="P2613" s="15"/>
      <c r="Q2613" s="15"/>
      <c r="R2613" s="15"/>
    </row>
    <row r="2614" spans="2:18" ht="13">
      <c r="B2614" s="33"/>
      <c r="C2614" s="34"/>
      <c r="D2614" s="68" t="s">
        <v>608</v>
      </c>
      <c r="E2614" s="69" t="s">
        <v>32</v>
      </c>
      <c r="F2614" s="20" t="s">
        <v>533</v>
      </c>
      <c r="G2614" s="15"/>
      <c r="H2614" s="15"/>
      <c r="I2614" s="15"/>
      <c r="J2614" s="15"/>
      <c r="K2614" s="15"/>
      <c r="L2614" s="15"/>
      <c r="M2614" s="15"/>
      <c r="N2614" s="15"/>
      <c r="O2614" s="15"/>
      <c r="P2614" s="15"/>
      <c r="Q2614" s="15"/>
      <c r="R2614" s="15"/>
    </row>
    <row r="2615" spans="2:18" ht="13">
      <c r="B2615" s="33"/>
      <c r="C2615" s="34"/>
      <c r="D2615" s="68" t="s">
        <v>17</v>
      </c>
      <c r="E2615" s="69" t="s">
        <v>27</v>
      </c>
      <c r="F2615" s="20" t="s">
        <v>533</v>
      </c>
      <c r="G2615" s="15"/>
      <c r="H2615" s="15"/>
      <c r="I2615" s="15"/>
      <c r="J2615" s="15"/>
      <c r="K2615" s="15"/>
      <c r="L2615" s="15"/>
      <c r="M2615" s="15"/>
      <c r="N2615" s="15"/>
      <c r="O2615" s="15"/>
      <c r="P2615" s="15"/>
      <c r="Q2615" s="15"/>
      <c r="R2615" s="15"/>
    </row>
    <row r="2616" spans="2:18" ht="13">
      <c r="B2616" s="33"/>
      <c r="C2616" s="34"/>
      <c r="D2616" s="68" t="s">
        <v>17</v>
      </c>
      <c r="E2616" s="69" t="s">
        <v>27</v>
      </c>
      <c r="F2616" s="20" t="s">
        <v>533</v>
      </c>
      <c r="G2616" s="15"/>
      <c r="H2616" s="15"/>
      <c r="I2616" s="15"/>
      <c r="J2616" s="15"/>
      <c r="K2616" s="15"/>
      <c r="L2616" s="15"/>
      <c r="M2616" s="15"/>
      <c r="N2616" s="15"/>
      <c r="O2616" s="15"/>
      <c r="P2616" s="15"/>
      <c r="Q2616" s="15"/>
      <c r="R2616" s="15"/>
    </row>
    <row r="2617" spans="2:18" ht="13">
      <c r="B2617" s="33"/>
      <c r="C2617" s="34"/>
      <c r="D2617" s="68" t="s">
        <v>608</v>
      </c>
      <c r="E2617" s="69" t="s">
        <v>32</v>
      </c>
      <c r="F2617" s="20" t="s">
        <v>533</v>
      </c>
      <c r="G2617" s="15"/>
      <c r="H2617" s="15"/>
      <c r="I2617" s="15"/>
      <c r="J2617" s="15"/>
      <c r="K2617" s="15"/>
      <c r="L2617" s="15"/>
      <c r="M2617" s="15"/>
      <c r="N2617" s="15"/>
      <c r="O2617" s="15"/>
      <c r="P2617" s="15"/>
      <c r="Q2617" s="15"/>
      <c r="R2617" s="15"/>
    </row>
    <row r="2618" spans="2:18" ht="13">
      <c r="B2618" s="33"/>
      <c r="C2618" s="34"/>
      <c r="D2618" s="68" t="s">
        <v>17</v>
      </c>
      <c r="E2618" s="69" t="s">
        <v>27</v>
      </c>
      <c r="F2618" s="20" t="s">
        <v>533</v>
      </c>
      <c r="G2618" s="15"/>
      <c r="H2618" s="15"/>
      <c r="I2618" s="15"/>
      <c r="J2618" s="15"/>
      <c r="K2618" s="15"/>
      <c r="L2618" s="15"/>
      <c r="M2618" s="15"/>
      <c r="N2618" s="15"/>
      <c r="O2618" s="15"/>
      <c r="P2618" s="15"/>
      <c r="Q2618" s="15"/>
      <c r="R2618" s="15"/>
    </row>
    <row r="2619" spans="2:18" ht="13">
      <c r="B2619" s="33"/>
      <c r="C2619" s="34"/>
      <c r="D2619" s="68" t="s">
        <v>17</v>
      </c>
      <c r="E2619" s="69" t="s">
        <v>27</v>
      </c>
      <c r="F2619" s="20" t="s">
        <v>533</v>
      </c>
      <c r="G2619" s="15"/>
      <c r="H2619" s="15"/>
      <c r="I2619" s="15"/>
      <c r="J2619" s="15"/>
      <c r="K2619" s="15"/>
      <c r="L2619" s="15"/>
      <c r="M2619" s="15"/>
      <c r="N2619" s="15"/>
      <c r="O2619" s="15"/>
      <c r="P2619" s="15"/>
      <c r="Q2619" s="15"/>
      <c r="R2619" s="15"/>
    </row>
    <row r="2620" spans="2:18" ht="13">
      <c r="B2620" s="33"/>
      <c r="C2620" s="34"/>
      <c r="D2620" s="68" t="s">
        <v>26</v>
      </c>
      <c r="E2620" s="69" t="s">
        <v>27</v>
      </c>
      <c r="F2620" s="20" t="s">
        <v>533</v>
      </c>
      <c r="G2620" s="15"/>
      <c r="H2620" s="15"/>
      <c r="I2620" s="15"/>
      <c r="J2620" s="15"/>
      <c r="K2620" s="15"/>
      <c r="L2620" s="15"/>
      <c r="M2620" s="15"/>
      <c r="N2620" s="15"/>
      <c r="O2620" s="15"/>
      <c r="P2620" s="15"/>
      <c r="Q2620" s="15"/>
      <c r="R2620" s="15"/>
    </row>
    <row r="2621" spans="2:18" ht="13">
      <c r="B2621" s="33"/>
      <c r="C2621" s="34"/>
      <c r="D2621" s="68" t="s">
        <v>547</v>
      </c>
      <c r="E2621" s="69" t="s">
        <v>124</v>
      </c>
      <c r="F2621" s="20" t="s">
        <v>533</v>
      </c>
      <c r="G2621" s="15"/>
      <c r="H2621" s="15"/>
      <c r="I2621" s="15"/>
      <c r="J2621" s="15"/>
      <c r="K2621" s="15"/>
      <c r="L2621" s="15"/>
      <c r="M2621" s="15"/>
      <c r="N2621" s="15"/>
      <c r="O2621" s="15"/>
      <c r="P2621" s="15"/>
      <c r="Q2621" s="15"/>
      <c r="R2621" s="15"/>
    </row>
    <row r="2622" spans="2:18" ht="13">
      <c r="B2622" s="33"/>
      <c r="C2622" s="34"/>
      <c r="D2622" s="68" t="s">
        <v>17</v>
      </c>
      <c r="E2622" s="69" t="s">
        <v>27</v>
      </c>
      <c r="F2622" s="20" t="s">
        <v>533</v>
      </c>
      <c r="G2622" s="15"/>
      <c r="H2622" s="15"/>
      <c r="I2622" s="15"/>
      <c r="J2622" s="15"/>
      <c r="K2622" s="15"/>
      <c r="L2622" s="15"/>
      <c r="M2622" s="15"/>
      <c r="N2622" s="15"/>
      <c r="O2622" s="15"/>
      <c r="P2622" s="15"/>
      <c r="Q2622" s="15"/>
      <c r="R2622" s="15"/>
    </row>
    <row r="2623" spans="2:18" ht="13">
      <c r="B2623" s="33"/>
      <c r="C2623" s="34"/>
      <c r="D2623" s="68" t="s">
        <v>17</v>
      </c>
      <c r="E2623" s="69" t="s">
        <v>27</v>
      </c>
      <c r="F2623" s="20" t="s">
        <v>533</v>
      </c>
      <c r="G2623" s="15"/>
      <c r="H2623" s="15"/>
      <c r="I2623" s="15"/>
      <c r="J2623" s="15"/>
      <c r="K2623" s="15"/>
      <c r="L2623" s="15"/>
      <c r="M2623" s="15"/>
      <c r="N2623" s="15"/>
      <c r="O2623" s="15"/>
      <c r="P2623" s="15"/>
      <c r="Q2623" s="15"/>
      <c r="R2623" s="15"/>
    </row>
    <row r="2624" spans="2:18" ht="13">
      <c r="B2624" s="33"/>
      <c r="C2624" s="34"/>
      <c r="D2624" s="68" t="s">
        <v>17</v>
      </c>
      <c r="E2624" s="69" t="s">
        <v>27</v>
      </c>
      <c r="F2624" s="20" t="s">
        <v>533</v>
      </c>
      <c r="G2624" s="15"/>
      <c r="H2624" s="15"/>
      <c r="I2624" s="15"/>
      <c r="J2624" s="15"/>
      <c r="K2624" s="15"/>
      <c r="L2624" s="15"/>
      <c r="M2624" s="15"/>
      <c r="N2624" s="15"/>
      <c r="O2624" s="15"/>
      <c r="P2624" s="15"/>
      <c r="Q2624" s="15"/>
      <c r="R2624" s="15"/>
    </row>
    <row r="2625" spans="2:18" ht="13">
      <c r="B2625" s="33"/>
      <c r="C2625" s="34"/>
      <c r="D2625" s="68" t="s">
        <v>86</v>
      </c>
      <c r="E2625" s="69" t="s">
        <v>124</v>
      </c>
      <c r="F2625" s="20" t="s">
        <v>533</v>
      </c>
      <c r="G2625" s="15"/>
      <c r="H2625" s="15"/>
      <c r="I2625" s="15"/>
      <c r="J2625" s="15"/>
      <c r="K2625" s="15"/>
      <c r="L2625" s="15"/>
      <c r="M2625" s="15"/>
      <c r="N2625" s="15"/>
      <c r="O2625" s="15"/>
      <c r="P2625" s="15"/>
      <c r="Q2625" s="15"/>
      <c r="R2625" s="15"/>
    </row>
    <row r="2626" spans="2:18" ht="13">
      <c r="B2626" s="33"/>
      <c r="C2626" s="34"/>
      <c r="D2626" s="68" t="s">
        <v>17</v>
      </c>
      <c r="E2626" s="69" t="s">
        <v>27</v>
      </c>
      <c r="F2626" s="20" t="s">
        <v>533</v>
      </c>
      <c r="G2626" s="15"/>
      <c r="H2626" s="15"/>
      <c r="I2626" s="15"/>
      <c r="J2626" s="15"/>
      <c r="K2626" s="15"/>
      <c r="L2626" s="15"/>
      <c r="M2626" s="15"/>
      <c r="N2626" s="15"/>
      <c r="O2626" s="15"/>
      <c r="P2626" s="15"/>
      <c r="Q2626" s="15"/>
      <c r="R2626" s="15"/>
    </row>
    <row r="2627" spans="2:18" ht="13">
      <c r="B2627" s="33"/>
      <c r="C2627" s="34"/>
      <c r="D2627" s="68" t="s">
        <v>17</v>
      </c>
      <c r="E2627" s="69" t="s">
        <v>27</v>
      </c>
      <c r="F2627" s="20" t="s">
        <v>533</v>
      </c>
      <c r="G2627" s="15"/>
      <c r="H2627" s="15"/>
      <c r="I2627" s="15"/>
      <c r="J2627" s="15"/>
      <c r="K2627" s="15"/>
      <c r="L2627" s="15"/>
      <c r="M2627" s="15"/>
      <c r="N2627" s="15"/>
      <c r="O2627" s="15"/>
      <c r="P2627" s="15"/>
      <c r="Q2627" s="15"/>
      <c r="R2627" s="15"/>
    </row>
    <row r="2628" spans="2:18" ht="13">
      <c r="B2628" s="33"/>
      <c r="C2628" s="34"/>
      <c r="D2628" s="68" t="s">
        <v>17</v>
      </c>
      <c r="E2628" s="69" t="s">
        <v>27</v>
      </c>
      <c r="F2628" s="20" t="s">
        <v>533</v>
      </c>
      <c r="G2628" s="15"/>
      <c r="H2628" s="15"/>
      <c r="I2628" s="15"/>
      <c r="J2628" s="15"/>
      <c r="K2628" s="15"/>
      <c r="L2628" s="15"/>
      <c r="M2628" s="15"/>
      <c r="N2628" s="15"/>
      <c r="O2628" s="15"/>
      <c r="P2628" s="15"/>
      <c r="Q2628" s="15"/>
      <c r="R2628" s="15"/>
    </row>
    <row r="2629" spans="2:18" ht="13">
      <c r="B2629" s="33"/>
      <c r="C2629" s="34"/>
      <c r="D2629" s="68" t="s">
        <v>17</v>
      </c>
      <c r="E2629" s="69" t="s">
        <v>27</v>
      </c>
      <c r="F2629" s="20" t="s">
        <v>533</v>
      </c>
      <c r="G2629" s="15"/>
      <c r="H2629" s="15"/>
      <c r="I2629" s="15"/>
      <c r="J2629" s="15"/>
      <c r="K2629" s="15"/>
      <c r="L2629" s="15"/>
      <c r="M2629" s="15"/>
      <c r="N2629" s="15"/>
      <c r="O2629" s="15"/>
      <c r="P2629" s="15"/>
      <c r="Q2629" s="15"/>
      <c r="R2629" s="15"/>
    </row>
    <row r="2630" spans="2:18" ht="13">
      <c r="B2630" s="33"/>
      <c r="C2630" s="34"/>
      <c r="D2630" s="68" t="s">
        <v>26</v>
      </c>
      <c r="E2630" s="69" t="s">
        <v>27</v>
      </c>
      <c r="F2630" s="20" t="s">
        <v>533</v>
      </c>
      <c r="G2630" s="15"/>
      <c r="H2630" s="15"/>
      <c r="I2630" s="15"/>
      <c r="J2630" s="15"/>
      <c r="K2630" s="15"/>
      <c r="L2630" s="15"/>
      <c r="M2630" s="15"/>
      <c r="N2630" s="15"/>
      <c r="O2630" s="15"/>
      <c r="P2630" s="15"/>
      <c r="Q2630" s="15"/>
      <c r="R2630" s="15"/>
    </row>
    <row r="2631" spans="2:18" ht="13">
      <c r="B2631" s="33"/>
      <c r="C2631" s="34"/>
      <c r="D2631" s="68" t="s">
        <v>17</v>
      </c>
      <c r="E2631" s="69" t="s">
        <v>27</v>
      </c>
      <c r="F2631" s="20" t="s">
        <v>533</v>
      </c>
      <c r="G2631" s="15"/>
      <c r="H2631" s="15"/>
      <c r="I2631" s="15"/>
      <c r="J2631" s="15"/>
      <c r="K2631" s="15"/>
      <c r="L2631" s="15"/>
      <c r="M2631" s="15"/>
      <c r="N2631" s="15"/>
      <c r="O2631" s="15"/>
      <c r="P2631" s="15"/>
      <c r="Q2631" s="15"/>
      <c r="R2631" s="15"/>
    </row>
    <row r="2632" spans="2:18" ht="13">
      <c r="B2632" s="33"/>
      <c r="C2632" s="34"/>
      <c r="D2632" s="68" t="s">
        <v>26</v>
      </c>
      <c r="E2632" s="69" t="s">
        <v>27</v>
      </c>
      <c r="F2632" s="20" t="s">
        <v>533</v>
      </c>
      <c r="G2632" s="15"/>
      <c r="H2632" s="15"/>
      <c r="I2632" s="15"/>
      <c r="J2632" s="15"/>
      <c r="K2632" s="15"/>
      <c r="L2632" s="15"/>
      <c r="M2632" s="15"/>
      <c r="N2632" s="15"/>
      <c r="O2632" s="15"/>
      <c r="P2632" s="15"/>
      <c r="Q2632" s="15"/>
      <c r="R2632" s="15"/>
    </row>
    <row r="2633" spans="2:18" ht="13">
      <c r="B2633" s="33"/>
      <c r="C2633" s="34"/>
      <c r="D2633" s="68" t="s">
        <v>17</v>
      </c>
      <c r="E2633" s="69" t="s">
        <v>27</v>
      </c>
      <c r="F2633" s="20" t="s">
        <v>533</v>
      </c>
      <c r="G2633" s="15"/>
      <c r="H2633" s="15"/>
      <c r="I2633" s="15"/>
      <c r="J2633" s="15"/>
      <c r="K2633" s="15"/>
      <c r="L2633" s="15"/>
      <c r="M2633" s="15"/>
      <c r="N2633" s="15"/>
      <c r="O2633" s="15"/>
      <c r="P2633" s="15"/>
      <c r="Q2633" s="15"/>
      <c r="R2633" s="15"/>
    </row>
    <row r="2634" spans="2:18" ht="13">
      <c r="B2634" s="33"/>
      <c r="C2634" s="34"/>
      <c r="D2634" s="68" t="s">
        <v>17</v>
      </c>
      <c r="E2634" s="69" t="s">
        <v>116</v>
      </c>
      <c r="F2634" s="20" t="s">
        <v>533</v>
      </c>
      <c r="G2634" s="15"/>
      <c r="H2634" s="15"/>
      <c r="I2634" s="15"/>
      <c r="J2634" s="15"/>
      <c r="K2634" s="15"/>
      <c r="L2634" s="15"/>
      <c r="M2634" s="15"/>
      <c r="N2634" s="15"/>
      <c r="O2634" s="15"/>
      <c r="P2634" s="15"/>
      <c r="Q2634" s="15"/>
      <c r="R2634" s="15"/>
    </row>
    <row r="2635" spans="2:18" ht="13">
      <c r="B2635" s="33"/>
      <c r="C2635" s="34"/>
      <c r="D2635" s="68" t="s">
        <v>619</v>
      </c>
      <c r="E2635" s="69" t="s">
        <v>121</v>
      </c>
      <c r="F2635" s="20" t="s">
        <v>533</v>
      </c>
      <c r="G2635" s="15"/>
      <c r="H2635" s="15"/>
      <c r="I2635" s="15"/>
      <c r="J2635" s="15"/>
      <c r="K2635" s="15"/>
      <c r="L2635" s="15"/>
      <c r="M2635" s="15"/>
      <c r="N2635" s="15"/>
      <c r="O2635" s="15"/>
      <c r="P2635" s="15"/>
      <c r="Q2635" s="15"/>
      <c r="R2635" s="15"/>
    </row>
    <row r="2636" spans="2:18" ht="13">
      <c r="B2636" s="33"/>
      <c r="C2636" s="34"/>
      <c r="D2636" s="68" t="s">
        <v>577</v>
      </c>
      <c r="E2636" s="69" t="s">
        <v>124</v>
      </c>
      <c r="F2636" s="20" t="s">
        <v>533</v>
      </c>
      <c r="G2636" s="15"/>
      <c r="H2636" s="15"/>
      <c r="I2636" s="15"/>
      <c r="J2636" s="15"/>
      <c r="K2636" s="15"/>
      <c r="L2636" s="15"/>
      <c r="M2636" s="15"/>
      <c r="N2636" s="15"/>
      <c r="O2636" s="15"/>
      <c r="P2636" s="15"/>
      <c r="Q2636" s="15"/>
      <c r="R2636" s="15"/>
    </row>
    <row r="2637" spans="2:18" ht="13">
      <c r="B2637" s="33"/>
      <c r="C2637" s="34"/>
      <c r="D2637" s="68" t="s">
        <v>620</v>
      </c>
      <c r="E2637" s="69" t="s">
        <v>121</v>
      </c>
      <c r="F2637" s="20" t="s">
        <v>533</v>
      </c>
      <c r="G2637" s="15"/>
      <c r="H2637" s="15"/>
      <c r="I2637" s="15"/>
      <c r="J2637" s="15"/>
      <c r="K2637" s="15"/>
      <c r="L2637" s="15"/>
      <c r="M2637" s="15"/>
      <c r="N2637" s="15"/>
      <c r="O2637" s="15"/>
      <c r="P2637" s="15"/>
      <c r="Q2637" s="15"/>
      <c r="R2637" s="15"/>
    </row>
    <row r="2638" spans="2:18" ht="13">
      <c r="B2638" s="33"/>
      <c r="C2638" s="34"/>
      <c r="D2638" s="68" t="s">
        <v>572</v>
      </c>
      <c r="E2638" s="69" t="s">
        <v>32</v>
      </c>
      <c r="F2638" s="20" t="s">
        <v>533</v>
      </c>
      <c r="G2638" s="15"/>
      <c r="H2638" s="15"/>
      <c r="I2638" s="15"/>
      <c r="J2638" s="15"/>
      <c r="K2638" s="15"/>
      <c r="L2638" s="15"/>
      <c r="M2638" s="15"/>
      <c r="N2638" s="15"/>
      <c r="O2638" s="15"/>
      <c r="P2638" s="15"/>
      <c r="Q2638" s="15"/>
      <c r="R2638" s="15"/>
    </row>
    <row r="2639" spans="2:18" ht="13">
      <c r="B2639" s="33"/>
      <c r="C2639" s="34"/>
      <c r="D2639" s="68" t="s">
        <v>26</v>
      </c>
      <c r="E2639" s="69" t="s">
        <v>27</v>
      </c>
      <c r="F2639" s="20" t="s">
        <v>533</v>
      </c>
      <c r="G2639" s="15"/>
      <c r="H2639" s="15"/>
      <c r="I2639" s="15"/>
      <c r="J2639" s="15"/>
      <c r="K2639" s="15"/>
      <c r="L2639" s="15"/>
      <c r="M2639" s="15"/>
      <c r="N2639" s="15"/>
      <c r="O2639" s="15"/>
      <c r="P2639" s="15"/>
      <c r="Q2639" s="15"/>
      <c r="R2639" s="15"/>
    </row>
    <row r="2640" spans="2:18" ht="13">
      <c r="B2640" s="33"/>
      <c r="C2640" s="34"/>
      <c r="D2640" s="68" t="s">
        <v>174</v>
      </c>
      <c r="E2640" s="69" t="s">
        <v>379</v>
      </c>
      <c r="F2640" s="20" t="s">
        <v>533</v>
      </c>
      <c r="G2640" s="15"/>
      <c r="H2640" s="15"/>
      <c r="I2640" s="15"/>
      <c r="J2640" s="15"/>
      <c r="K2640" s="15"/>
      <c r="L2640" s="15"/>
      <c r="M2640" s="15"/>
      <c r="N2640" s="15"/>
      <c r="O2640" s="15"/>
      <c r="P2640" s="15"/>
      <c r="Q2640" s="15"/>
      <c r="R2640" s="15"/>
    </row>
    <row r="2641" spans="2:18" ht="13">
      <c r="B2641" s="33"/>
      <c r="C2641" s="34"/>
      <c r="D2641" s="68" t="s">
        <v>593</v>
      </c>
      <c r="E2641" s="69" t="s">
        <v>32</v>
      </c>
      <c r="F2641" s="20" t="s">
        <v>533</v>
      </c>
      <c r="G2641" s="15"/>
      <c r="H2641" s="15"/>
      <c r="I2641" s="15"/>
      <c r="J2641" s="15"/>
      <c r="K2641" s="15"/>
      <c r="L2641" s="15"/>
      <c r="M2641" s="15"/>
      <c r="N2641" s="15"/>
      <c r="O2641" s="15"/>
      <c r="P2641" s="15"/>
      <c r="Q2641" s="15"/>
      <c r="R2641" s="15"/>
    </row>
    <row r="2642" spans="2:18" ht="13">
      <c r="B2642" s="33"/>
      <c r="C2642" s="34"/>
      <c r="D2642" s="68" t="s">
        <v>86</v>
      </c>
      <c r="E2642" s="69" t="s">
        <v>121</v>
      </c>
      <c r="F2642" s="20" t="s">
        <v>533</v>
      </c>
      <c r="G2642" s="15"/>
      <c r="H2642" s="15"/>
      <c r="I2642" s="15"/>
      <c r="J2642" s="15"/>
      <c r="K2642" s="15"/>
      <c r="L2642" s="15"/>
      <c r="M2642" s="15"/>
      <c r="N2642" s="15"/>
      <c r="O2642" s="15"/>
      <c r="P2642" s="15"/>
      <c r="Q2642" s="15"/>
      <c r="R2642" s="15"/>
    </row>
    <row r="2643" spans="2:18" ht="13">
      <c r="B2643" s="33"/>
      <c r="C2643" s="34"/>
      <c r="D2643" s="68" t="s">
        <v>586</v>
      </c>
      <c r="E2643" s="69" t="s">
        <v>37</v>
      </c>
      <c r="F2643" s="20" t="s">
        <v>533</v>
      </c>
      <c r="G2643" s="15"/>
      <c r="H2643" s="15"/>
      <c r="I2643" s="15"/>
      <c r="J2643" s="15"/>
      <c r="K2643" s="15"/>
      <c r="L2643" s="15"/>
      <c r="M2643" s="15"/>
      <c r="N2643" s="15"/>
      <c r="O2643" s="15"/>
      <c r="P2643" s="15"/>
      <c r="Q2643" s="15"/>
      <c r="R2643" s="15"/>
    </row>
    <row r="2644" spans="2:18" ht="13">
      <c r="B2644" s="33"/>
      <c r="C2644" s="34"/>
      <c r="D2644" s="68" t="s">
        <v>17</v>
      </c>
      <c r="E2644" s="69" t="s">
        <v>27</v>
      </c>
      <c r="F2644" s="20" t="s">
        <v>533</v>
      </c>
      <c r="G2644" s="15"/>
      <c r="H2644" s="15"/>
      <c r="I2644" s="15"/>
      <c r="J2644" s="15"/>
      <c r="K2644" s="15"/>
      <c r="L2644" s="15"/>
      <c r="M2644" s="15"/>
      <c r="N2644" s="15"/>
      <c r="O2644" s="15"/>
      <c r="P2644" s="15"/>
      <c r="Q2644" s="15"/>
      <c r="R2644" s="15"/>
    </row>
    <row r="2645" spans="2:18" ht="13">
      <c r="B2645" s="33"/>
      <c r="C2645" s="34"/>
      <c r="D2645" s="68" t="s">
        <v>17</v>
      </c>
      <c r="E2645" s="69" t="s">
        <v>27</v>
      </c>
      <c r="F2645" s="20" t="s">
        <v>533</v>
      </c>
      <c r="G2645" s="15"/>
      <c r="H2645" s="15"/>
      <c r="I2645" s="15"/>
      <c r="J2645" s="15"/>
      <c r="K2645" s="15"/>
      <c r="L2645" s="15"/>
      <c r="M2645" s="15"/>
      <c r="N2645" s="15"/>
      <c r="O2645" s="15"/>
      <c r="P2645" s="15"/>
      <c r="Q2645" s="15"/>
      <c r="R2645" s="15"/>
    </row>
    <row r="2646" spans="2:18" ht="13">
      <c r="B2646" s="33"/>
      <c r="C2646" s="34"/>
      <c r="D2646" s="68" t="s">
        <v>577</v>
      </c>
      <c r="E2646" s="69" t="s">
        <v>124</v>
      </c>
      <c r="F2646" s="20" t="s">
        <v>533</v>
      </c>
      <c r="G2646" s="15"/>
      <c r="H2646" s="15"/>
      <c r="I2646" s="15"/>
      <c r="J2646" s="15"/>
      <c r="K2646" s="15"/>
      <c r="L2646" s="15"/>
      <c r="M2646" s="15"/>
      <c r="N2646" s="15"/>
      <c r="O2646" s="15"/>
      <c r="P2646" s="15"/>
      <c r="Q2646" s="15"/>
      <c r="R2646" s="15"/>
    </row>
    <row r="2647" spans="2:18" ht="13">
      <c r="B2647" s="33"/>
      <c r="C2647" s="34"/>
      <c r="D2647" s="68" t="s">
        <v>17</v>
      </c>
      <c r="E2647" s="69" t="s">
        <v>27</v>
      </c>
      <c r="F2647" s="20" t="s">
        <v>533</v>
      </c>
      <c r="G2647" s="15"/>
      <c r="H2647" s="15"/>
      <c r="I2647" s="15"/>
      <c r="J2647" s="15"/>
      <c r="K2647" s="15"/>
      <c r="L2647" s="15"/>
      <c r="M2647" s="15"/>
      <c r="N2647" s="15"/>
      <c r="O2647" s="15"/>
      <c r="P2647" s="15"/>
      <c r="Q2647" s="15"/>
      <c r="R2647" s="15"/>
    </row>
    <row r="2648" spans="2:18" ht="13">
      <c r="B2648" s="33"/>
      <c r="C2648" s="34"/>
      <c r="D2648" s="68" t="s">
        <v>17</v>
      </c>
      <c r="E2648" s="69" t="s">
        <v>27</v>
      </c>
      <c r="F2648" s="20" t="s">
        <v>533</v>
      </c>
      <c r="G2648" s="15"/>
      <c r="H2648" s="15"/>
      <c r="I2648" s="15"/>
      <c r="J2648" s="15"/>
      <c r="K2648" s="15"/>
      <c r="L2648" s="15"/>
      <c r="M2648" s="15"/>
      <c r="N2648" s="15"/>
      <c r="O2648" s="15"/>
      <c r="P2648" s="15"/>
      <c r="Q2648" s="15"/>
      <c r="R2648" s="15"/>
    </row>
    <row r="2649" spans="2:18" ht="13">
      <c r="B2649" s="33"/>
      <c r="C2649" s="34"/>
      <c r="D2649" s="68" t="s">
        <v>17</v>
      </c>
      <c r="E2649" s="69" t="s">
        <v>27</v>
      </c>
      <c r="F2649" s="20" t="s">
        <v>533</v>
      </c>
      <c r="G2649" s="15"/>
      <c r="H2649" s="15"/>
      <c r="I2649" s="15"/>
      <c r="J2649" s="15"/>
      <c r="K2649" s="15"/>
      <c r="L2649" s="15"/>
      <c r="M2649" s="15"/>
      <c r="N2649" s="15"/>
      <c r="O2649" s="15"/>
      <c r="P2649" s="15"/>
      <c r="Q2649" s="15"/>
      <c r="R2649" s="15"/>
    </row>
    <row r="2650" spans="2:18" ht="13">
      <c r="B2650" s="33"/>
      <c r="C2650" s="34"/>
      <c r="D2650" s="68" t="s">
        <v>26</v>
      </c>
      <c r="E2650" s="69" t="s">
        <v>27</v>
      </c>
      <c r="F2650" s="20" t="s">
        <v>533</v>
      </c>
      <c r="G2650" s="15"/>
      <c r="H2650" s="15"/>
      <c r="I2650" s="15"/>
      <c r="J2650" s="15"/>
      <c r="K2650" s="15"/>
      <c r="L2650" s="15"/>
      <c r="M2650" s="15"/>
      <c r="N2650" s="15"/>
      <c r="O2650" s="15"/>
      <c r="P2650" s="15"/>
      <c r="Q2650" s="15"/>
      <c r="R2650" s="15"/>
    </row>
    <row r="2651" spans="2:18" ht="13">
      <c r="B2651" s="33"/>
      <c r="C2651" s="34"/>
      <c r="D2651" s="68" t="s">
        <v>26</v>
      </c>
      <c r="E2651" s="69" t="s">
        <v>27</v>
      </c>
      <c r="F2651" s="20" t="s">
        <v>533</v>
      </c>
      <c r="G2651" s="15"/>
      <c r="H2651" s="15"/>
      <c r="I2651" s="15"/>
      <c r="J2651" s="15"/>
      <c r="K2651" s="15"/>
      <c r="L2651" s="15"/>
      <c r="M2651" s="15"/>
      <c r="N2651" s="15"/>
      <c r="O2651" s="15"/>
      <c r="P2651" s="15"/>
      <c r="Q2651" s="15"/>
      <c r="R2651" s="15"/>
    </row>
    <row r="2652" spans="2:18" ht="13">
      <c r="B2652" s="33"/>
      <c r="C2652" s="34"/>
      <c r="D2652" s="68" t="s">
        <v>26</v>
      </c>
      <c r="E2652" s="69" t="s">
        <v>27</v>
      </c>
      <c r="F2652" s="20" t="s">
        <v>533</v>
      </c>
      <c r="G2652" s="15"/>
      <c r="H2652" s="15"/>
      <c r="I2652" s="15"/>
      <c r="J2652" s="15"/>
      <c r="K2652" s="15"/>
      <c r="L2652" s="15"/>
      <c r="M2652" s="15"/>
      <c r="N2652" s="15"/>
      <c r="O2652" s="15"/>
      <c r="P2652" s="15"/>
      <c r="Q2652" s="15"/>
      <c r="R2652" s="15"/>
    </row>
    <row r="2653" spans="2:18" ht="13">
      <c r="B2653" s="33"/>
      <c r="C2653" s="34"/>
      <c r="D2653" s="68" t="s">
        <v>570</v>
      </c>
      <c r="E2653" s="69" t="s">
        <v>124</v>
      </c>
      <c r="F2653" s="20" t="s">
        <v>533</v>
      </c>
      <c r="G2653" s="15"/>
      <c r="H2653" s="15"/>
      <c r="I2653" s="15"/>
      <c r="J2653" s="15"/>
      <c r="K2653" s="15"/>
      <c r="L2653" s="15"/>
      <c r="M2653" s="15"/>
      <c r="N2653" s="15"/>
      <c r="O2653" s="15"/>
      <c r="P2653" s="15"/>
      <c r="Q2653" s="15"/>
      <c r="R2653" s="15"/>
    </row>
    <row r="2654" spans="2:18" ht="13">
      <c r="B2654" s="33"/>
      <c r="C2654" s="34"/>
      <c r="D2654" s="68" t="s">
        <v>566</v>
      </c>
      <c r="E2654" s="69" t="s">
        <v>32</v>
      </c>
      <c r="F2654" s="20" t="s">
        <v>533</v>
      </c>
      <c r="G2654" s="15"/>
      <c r="H2654" s="15"/>
      <c r="I2654" s="15"/>
      <c r="J2654" s="15"/>
      <c r="K2654" s="15"/>
      <c r="L2654" s="15"/>
      <c r="M2654" s="15"/>
      <c r="N2654" s="15"/>
      <c r="O2654" s="15"/>
      <c r="P2654" s="15"/>
      <c r="Q2654" s="15"/>
      <c r="R2654" s="15"/>
    </row>
    <row r="2655" spans="2:18" ht="13">
      <c r="B2655" s="33"/>
      <c r="C2655" s="34"/>
      <c r="D2655" s="68" t="s">
        <v>17</v>
      </c>
      <c r="E2655" s="69" t="s">
        <v>27</v>
      </c>
      <c r="F2655" s="20" t="s">
        <v>533</v>
      </c>
      <c r="G2655" s="15"/>
      <c r="H2655" s="15"/>
      <c r="I2655" s="15"/>
      <c r="J2655" s="15"/>
      <c r="K2655" s="15"/>
      <c r="L2655" s="15"/>
      <c r="M2655" s="15"/>
      <c r="N2655" s="15"/>
      <c r="O2655" s="15"/>
      <c r="P2655" s="15"/>
      <c r="Q2655" s="15"/>
      <c r="R2655" s="15"/>
    </row>
    <row r="2656" spans="2:18" ht="13">
      <c r="B2656" s="33"/>
      <c r="C2656" s="34"/>
      <c r="D2656" s="68" t="s">
        <v>17</v>
      </c>
      <c r="E2656" s="69" t="s">
        <v>27</v>
      </c>
      <c r="F2656" s="20" t="s">
        <v>533</v>
      </c>
      <c r="G2656" s="15"/>
      <c r="H2656" s="15"/>
      <c r="I2656" s="15"/>
      <c r="J2656" s="15"/>
      <c r="K2656" s="15"/>
      <c r="L2656" s="15"/>
      <c r="M2656" s="15"/>
      <c r="N2656" s="15"/>
      <c r="O2656" s="15"/>
      <c r="P2656" s="15"/>
      <c r="Q2656" s="15"/>
      <c r="R2656" s="15"/>
    </row>
    <row r="2657" spans="2:18" ht="13">
      <c r="B2657" s="33"/>
      <c r="C2657" s="34"/>
      <c r="D2657" s="68" t="s">
        <v>17</v>
      </c>
      <c r="E2657" s="69" t="s">
        <v>27</v>
      </c>
      <c r="F2657" s="20" t="s">
        <v>533</v>
      </c>
      <c r="G2657" s="15"/>
      <c r="H2657" s="15"/>
      <c r="I2657" s="15"/>
      <c r="J2657" s="15"/>
      <c r="K2657" s="15"/>
      <c r="L2657" s="15"/>
      <c r="M2657" s="15"/>
      <c r="N2657" s="15"/>
      <c r="O2657" s="15"/>
      <c r="P2657" s="15"/>
      <c r="Q2657" s="15"/>
      <c r="R2657" s="15"/>
    </row>
    <row r="2658" spans="2:18" ht="13">
      <c r="B2658" s="33"/>
      <c r="C2658" s="34"/>
      <c r="D2658" s="68" t="s">
        <v>17</v>
      </c>
      <c r="E2658" s="69" t="s">
        <v>27</v>
      </c>
      <c r="F2658" s="20" t="s">
        <v>533</v>
      </c>
      <c r="G2658" s="15"/>
      <c r="H2658" s="15"/>
      <c r="I2658" s="15"/>
      <c r="J2658" s="15"/>
      <c r="K2658" s="15"/>
      <c r="L2658" s="15"/>
      <c r="M2658" s="15"/>
      <c r="N2658" s="15"/>
      <c r="O2658" s="15"/>
      <c r="P2658" s="15"/>
      <c r="Q2658" s="15"/>
      <c r="R2658" s="15"/>
    </row>
    <row r="2659" spans="2:18" ht="13">
      <c r="B2659" s="33"/>
      <c r="C2659" s="34"/>
      <c r="D2659" s="68" t="s">
        <v>570</v>
      </c>
      <c r="E2659" s="69" t="s">
        <v>124</v>
      </c>
      <c r="F2659" s="20" t="s">
        <v>533</v>
      </c>
      <c r="G2659" s="15"/>
      <c r="H2659" s="15"/>
      <c r="I2659" s="15"/>
      <c r="J2659" s="15"/>
      <c r="K2659" s="15"/>
      <c r="L2659" s="15"/>
      <c r="M2659" s="15"/>
      <c r="N2659" s="15"/>
      <c r="O2659" s="15"/>
      <c r="P2659" s="15"/>
      <c r="Q2659" s="15"/>
      <c r="R2659" s="15"/>
    </row>
    <row r="2660" spans="2:18" ht="13">
      <c r="B2660" s="33"/>
      <c r="C2660" s="34"/>
      <c r="D2660" s="68" t="s">
        <v>162</v>
      </c>
      <c r="E2660" s="69" t="s">
        <v>163</v>
      </c>
      <c r="F2660" s="20" t="s">
        <v>533</v>
      </c>
      <c r="G2660" s="15"/>
      <c r="H2660" s="15"/>
      <c r="I2660" s="15"/>
      <c r="J2660" s="15"/>
      <c r="K2660" s="15"/>
      <c r="L2660" s="15"/>
      <c r="M2660" s="15"/>
      <c r="N2660" s="15"/>
      <c r="O2660" s="15"/>
      <c r="P2660" s="15"/>
      <c r="Q2660" s="15"/>
      <c r="R2660" s="15"/>
    </row>
    <row r="2661" spans="2:18" ht="13">
      <c r="B2661" s="33"/>
      <c r="C2661" s="34"/>
      <c r="D2661" s="68" t="s">
        <v>17</v>
      </c>
      <c r="E2661" s="69" t="s">
        <v>27</v>
      </c>
      <c r="F2661" s="20" t="s">
        <v>533</v>
      </c>
      <c r="G2661" s="15"/>
      <c r="H2661" s="15"/>
      <c r="I2661" s="15"/>
      <c r="J2661" s="15"/>
      <c r="K2661" s="15"/>
      <c r="L2661" s="15"/>
      <c r="M2661" s="15"/>
      <c r="N2661" s="15"/>
      <c r="O2661" s="15"/>
      <c r="P2661" s="15"/>
      <c r="Q2661" s="15"/>
      <c r="R2661" s="15"/>
    </row>
    <row r="2662" spans="2:18" ht="13">
      <c r="B2662" s="33"/>
      <c r="C2662" s="34"/>
      <c r="D2662" s="68" t="s">
        <v>557</v>
      </c>
      <c r="E2662" s="69" t="s">
        <v>27</v>
      </c>
      <c r="F2662" s="20" t="s">
        <v>533</v>
      </c>
      <c r="G2662" s="15"/>
      <c r="H2662" s="15"/>
      <c r="I2662" s="15"/>
      <c r="J2662" s="15"/>
      <c r="K2662" s="15"/>
      <c r="L2662" s="15"/>
      <c r="M2662" s="15"/>
      <c r="N2662" s="15"/>
      <c r="O2662" s="15"/>
      <c r="P2662" s="15"/>
      <c r="Q2662" s="15"/>
      <c r="R2662" s="15"/>
    </row>
    <row r="2663" spans="2:18" ht="13">
      <c r="B2663" s="33"/>
      <c r="C2663" s="34"/>
      <c r="D2663" s="68" t="s">
        <v>17</v>
      </c>
      <c r="E2663" s="69" t="s">
        <v>27</v>
      </c>
      <c r="F2663" s="20" t="s">
        <v>533</v>
      </c>
      <c r="G2663" s="15"/>
      <c r="H2663" s="15"/>
      <c r="I2663" s="15"/>
      <c r="J2663" s="15"/>
      <c r="K2663" s="15"/>
      <c r="L2663" s="15"/>
      <c r="M2663" s="15"/>
      <c r="N2663" s="15"/>
      <c r="O2663" s="15"/>
      <c r="P2663" s="15"/>
      <c r="Q2663" s="15"/>
      <c r="R2663" s="15"/>
    </row>
    <row r="2664" spans="2:18" ht="13">
      <c r="B2664" s="33"/>
      <c r="C2664" s="34"/>
      <c r="D2664" s="68" t="s">
        <v>17</v>
      </c>
      <c r="E2664" s="69" t="s">
        <v>27</v>
      </c>
      <c r="F2664" s="20" t="s">
        <v>533</v>
      </c>
      <c r="G2664" s="15"/>
      <c r="H2664" s="15"/>
      <c r="I2664" s="15"/>
      <c r="J2664" s="15"/>
      <c r="K2664" s="15"/>
      <c r="L2664" s="15"/>
      <c r="M2664" s="15"/>
      <c r="N2664" s="15"/>
      <c r="O2664" s="15"/>
      <c r="P2664" s="15"/>
      <c r="Q2664" s="15"/>
      <c r="R2664" s="15"/>
    </row>
    <row r="2665" spans="2:18" ht="13">
      <c r="B2665" s="33"/>
      <c r="C2665" s="34"/>
      <c r="D2665" s="68" t="s">
        <v>326</v>
      </c>
      <c r="E2665" s="69" t="s">
        <v>121</v>
      </c>
      <c r="F2665" s="20" t="s">
        <v>533</v>
      </c>
      <c r="G2665" s="15"/>
      <c r="H2665" s="15"/>
      <c r="I2665" s="15"/>
      <c r="J2665" s="15"/>
      <c r="K2665" s="15"/>
      <c r="L2665" s="15"/>
      <c r="M2665" s="15"/>
      <c r="N2665" s="15"/>
      <c r="O2665" s="15"/>
      <c r="P2665" s="15"/>
      <c r="Q2665" s="15"/>
      <c r="R2665" s="15"/>
    </row>
    <row r="2666" spans="2:18" ht="13">
      <c r="B2666" s="33"/>
      <c r="C2666" s="34"/>
      <c r="D2666" s="68" t="s">
        <v>17</v>
      </c>
      <c r="E2666" s="69" t="s">
        <v>27</v>
      </c>
      <c r="F2666" s="20" t="s">
        <v>533</v>
      </c>
      <c r="G2666" s="15"/>
      <c r="H2666" s="15"/>
      <c r="I2666" s="15"/>
      <c r="J2666" s="15"/>
      <c r="K2666" s="15"/>
      <c r="L2666" s="15"/>
      <c r="M2666" s="15"/>
      <c r="N2666" s="15"/>
      <c r="O2666" s="15"/>
      <c r="P2666" s="15"/>
      <c r="Q2666" s="15"/>
      <c r="R2666" s="15"/>
    </row>
    <row r="2667" spans="2:18" ht="13">
      <c r="B2667" s="33"/>
      <c r="C2667" s="34"/>
      <c r="D2667" s="68" t="s">
        <v>26</v>
      </c>
      <c r="E2667" s="69" t="s">
        <v>27</v>
      </c>
      <c r="F2667" s="20" t="s">
        <v>533</v>
      </c>
      <c r="G2667" s="15"/>
      <c r="H2667" s="15"/>
      <c r="I2667" s="15"/>
      <c r="J2667" s="15"/>
      <c r="K2667" s="15"/>
      <c r="L2667" s="15"/>
      <c r="M2667" s="15"/>
      <c r="N2667" s="15"/>
      <c r="O2667" s="15"/>
      <c r="P2667" s="15"/>
      <c r="Q2667" s="15"/>
      <c r="R2667" s="15"/>
    </row>
    <row r="2668" spans="2:18" ht="13">
      <c r="B2668" s="33"/>
      <c r="C2668" s="34"/>
      <c r="D2668" s="68" t="s">
        <v>26</v>
      </c>
      <c r="E2668" s="69" t="s">
        <v>27</v>
      </c>
      <c r="F2668" s="20" t="s">
        <v>533</v>
      </c>
      <c r="G2668" s="15"/>
      <c r="H2668" s="15"/>
      <c r="I2668" s="15"/>
      <c r="J2668" s="15"/>
      <c r="K2668" s="15"/>
      <c r="L2668" s="15"/>
      <c r="M2668" s="15"/>
      <c r="N2668" s="15"/>
      <c r="O2668" s="15"/>
      <c r="P2668" s="15"/>
      <c r="Q2668" s="15"/>
      <c r="R2668" s="15"/>
    </row>
    <row r="2669" spans="2:18" ht="13">
      <c r="B2669" s="33"/>
      <c r="C2669" s="34"/>
      <c r="D2669" s="68" t="s">
        <v>17</v>
      </c>
      <c r="E2669" s="69" t="s">
        <v>27</v>
      </c>
      <c r="F2669" s="20" t="s">
        <v>533</v>
      </c>
      <c r="G2669" s="15"/>
      <c r="H2669" s="15"/>
      <c r="I2669" s="15"/>
      <c r="J2669" s="15"/>
      <c r="K2669" s="15"/>
      <c r="L2669" s="15"/>
      <c r="M2669" s="15"/>
      <c r="N2669" s="15"/>
      <c r="O2669" s="15"/>
      <c r="P2669" s="15"/>
      <c r="Q2669" s="15"/>
      <c r="R2669" s="15"/>
    </row>
    <row r="2670" spans="2:18" ht="13">
      <c r="B2670" s="33"/>
      <c r="C2670" s="34"/>
      <c r="D2670" s="68" t="s">
        <v>17</v>
      </c>
      <c r="E2670" s="69" t="s">
        <v>27</v>
      </c>
      <c r="F2670" s="20" t="s">
        <v>533</v>
      </c>
      <c r="G2670" s="15"/>
      <c r="H2670" s="15"/>
      <c r="I2670" s="15"/>
      <c r="J2670" s="15"/>
      <c r="K2670" s="15"/>
      <c r="L2670" s="15"/>
      <c r="M2670" s="15"/>
      <c r="N2670" s="15"/>
      <c r="O2670" s="15"/>
      <c r="P2670" s="15"/>
      <c r="Q2670" s="15"/>
      <c r="R2670" s="15"/>
    </row>
    <row r="2671" spans="2:18" ht="13">
      <c r="B2671" s="33"/>
      <c r="C2671" s="34"/>
      <c r="D2671" s="68" t="s">
        <v>17</v>
      </c>
      <c r="E2671" s="69" t="s">
        <v>27</v>
      </c>
      <c r="F2671" s="20" t="s">
        <v>533</v>
      </c>
      <c r="G2671" s="15"/>
      <c r="H2671" s="15"/>
      <c r="I2671" s="15"/>
      <c r="J2671" s="15"/>
      <c r="K2671" s="15"/>
      <c r="L2671" s="15"/>
      <c r="M2671" s="15"/>
      <c r="N2671" s="15"/>
      <c r="O2671" s="15"/>
      <c r="P2671" s="15"/>
      <c r="Q2671" s="15"/>
      <c r="R2671" s="15"/>
    </row>
    <row r="2672" spans="2:18" ht="13">
      <c r="B2672" s="33"/>
      <c r="C2672" s="34"/>
      <c r="D2672" s="68" t="s">
        <v>26</v>
      </c>
      <c r="E2672" s="69" t="s">
        <v>27</v>
      </c>
      <c r="F2672" s="20" t="s">
        <v>533</v>
      </c>
      <c r="G2672" s="15"/>
      <c r="H2672" s="15"/>
      <c r="I2672" s="15"/>
      <c r="J2672" s="15"/>
      <c r="K2672" s="15"/>
      <c r="L2672" s="15"/>
      <c r="M2672" s="15"/>
      <c r="N2672" s="15"/>
      <c r="O2672" s="15"/>
      <c r="P2672" s="15"/>
      <c r="Q2672" s="15"/>
      <c r="R2672" s="15"/>
    </row>
    <row r="2673" spans="2:18" ht="13">
      <c r="B2673" s="33"/>
      <c r="C2673" s="34"/>
      <c r="D2673" s="68" t="s">
        <v>17</v>
      </c>
      <c r="E2673" s="69" t="s">
        <v>27</v>
      </c>
      <c r="F2673" s="20" t="s">
        <v>533</v>
      </c>
      <c r="G2673" s="15"/>
      <c r="H2673" s="15"/>
      <c r="I2673" s="15"/>
      <c r="J2673" s="15"/>
      <c r="K2673" s="15"/>
      <c r="L2673" s="15"/>
      <c r="M2673" s="15"/>
      <c r="N2673" s="15"/>
      <c r="O2673" s="15"/>
      <c r="P2673" s="15"/>
      <c r="Q2673" s="15"/>
      <c r="R2673" s="15"/>
    </row>
    <row r="2674" spans="2:18" ht="13">
      <c r="B2674" s="33"/>
      <c r="C2674" s="34"/>
      <c r="D2674" s="68" t="s">
        <v>17</v>
      </c>
      <c r="E2674" s="69" t="s">
        <v>27</v>
      </c>
      <c r="F2674" s="20" t="s">
        <v>533</v>
      </c>
      <c r="G2674" s="15"/>
      <c r="H2674" s="15"/>
      <c r="I2674" s="15"/>
      <c r="J2674" s="15"/>
      <c r="K2674" s="15"/>
      <c r="L2674" s="15"/>
      <c r="M2674" s="15"/>
      <c r="N2674" s="15"/>
      <c r="O2674" s="15"/>
      <c r="P2674" s="15"/>
      <c r="Q2674" s="15"/>
      <c r="R2674" s="15"/>
    </row>
    <row r="2675" spans="2:18" ht="13">
      <c r="B2675" s="33"/>
      <c r="C2675" s="34"/>
      <c r="D2675" s="68" t="s">
        <v>618</v>
      </c>
      <c r="E2675" s="69" t="s">
        <v>121</v>
      </c>
      <c r="F2675" s="20" t="s">
        <v>533</v>
      </c>
      <c r="G2675" s="15"/>
      <c r="H2675" s="15"/>
      <c r="I2675" s="15"/>
      <c r="J2675" s="15"/>
      <c r="K2675" s="15"/>
      <c r="L2675" s="15"/>
      <c r="M2675" s="15"/>
      <c r="N2675" s="15"/>
      <c r="O2675" s="15"/>
      <c r="P2675" s="15"/>
      <c r="Q2675" s="15"/>
      <c r="R2675" s="15"/>
    </row>
    <row r="2676" spans="2:18" ht="13">
      <c r="B2676" s="33"/>
      <c r="C2676" s="34"/>
      <c r="D2676" s="68" t="s">
        <v>577</v>
      </c>
      <c r="E2676" s="69" t="s">
        <v>124</v>
      </c>
      <c r="F2676" s="20" t="s">
        <v>533</v>
      </c>
      <c r="G2676" s="15"/>
      <c r="H2676" s="15"/>
      <c r="I2676" s="15"/>
      <c r="J2676" s="15"/>
      <c r="K2676" s="15"/>
      <c r="L2676" s="15"/>
      <c r="M2676" s="15"/>
      <c r="N2676" s="15"/>
      <c r="O2676" s="15"/>
      <c r="P2676" s="15"/>
      <c r="Q2676" s="15"/>
      <c r="R2676" s="15"/>
    </row>
    <row r="2677" spans="2:18" ht="13">
      <c r="B2677" s="33"/>
      <c r="C2677" s="34"/>
      <c r="D2677" s="68" t="s">
        <v>17</v>
      </c>
      <c r="E2677" s="69" t="s">
        <v>27</v>
      </c>
      <c r="F2677" s="20" t="s">
        <v>533</v>
      </c>
      <c r="G2677" s="15"/>
      <c r="H2677" s="15"/>
      <c r="I2677" s="15"/>
      <c r="J2677" s="15"/>
      <c r="K2677" s="15"/>
      <c r="L2677" s="15"/>
      <c r="M2677" s="15"/>
      <c r="N2677" s="15"/>
      <c r="O2677" s="15"/>
      <c r="P2677" s="15"/>
      <c r="Q2677" s="15"/>
      <c r="R2677" s="15"/>
    </row>
    <row r="2678" spans="2:18" ht="13">
      <c r="B2678" s="33"/>
      <c r="C2678" s="34"/>
      <c r="D2678" s="68" t="s">
        <v>17</v>
      </c>
      <c r="E2678" s="69" t="s">
        <v>27</v>
      </c>
      <c r="F2678" s="20" t="s">
        <v>533</v>
      </c>
      <c r="G2678" s="15"/>
      <c r="H2678" s="15"/>
      <c r="I2678" s="15"/>
      <c r="J2678" s="15"/>
      <c r="K2678" s="15"/>
      <c r="L2678" s="15"/>
      <c r="M2678" s="15"/>
      <c r="N2678" s="15"/>
      <c r="O2678" s="15"/>
      <c r="P2678" s="15"/>
      <c r="Q2678" s="15"/>
      <c r="R2678" s="15"/>
    </row>
    <row r="2679" spans="2:18" ht="13">
      <c r="B2679" s="33"/>
      <c r="C2679" s="34"/>
      <c r="D2679" s="68" t="s">
        <v>17</v>
      </c>
      <c r="E2679" s="69" t="s">
        <v>27</v>
      </c>
      <c r="F2679" s="20" t="s">
        <v>533</v>
      </c>
      <c r="G2679" s="15"/>
      <c r="H2679" s="15"/>
      <c r="I2679" s="15"/>
      <c r="J2679" s="15"/>
      <c r="K2679" s="15"/>
      <c r="L2679" s="15"/>
      <c r="M2679" s="15"/>
      <c r="N2679" s="15"/>
      <c r="O2679" s="15"/>
      <c r="P2679" s="15"/>
      <c r="Q2679" s="15"/>
      <c r="R2679" s="15"/>
    </row>
    <row r="2680" spans="2:18" ht="13">
      <c r="B2680" s="33"/>
      <c r="C2680" s="34"/>
      <c r="D2680" s="68" t="s">
        <v>17</v>
      </c>
      <c r="E2680" s="69" t="s">
        <v>27</v>
      </c>
      <c r="F2680" s="20" t="s">
        <v>533</v>
      </c>
      <c r="G2680" s="15"/>
      <c r="H2680" s="15"/>
      <c r="I2680" s="15"/>
      <c r="J2680" s="15"/>
      <c r="K2680" s="15"/>
      <c r="L2680" s="15"/>
      <c r="M2680" s="15"/>
      <c r="N2680" s="15"/>
      <c r="O2680" s="15"/>
      <c r="P2680" s="15"/>
      <c r="Q2680" s="15"/>
      <c r="R2680" s="15"/>
    </row>
    <row r="2681" spans="2:18" ht="13">
      <c r="B2681" s="33"/>
      <c r="C2681" s="34"/>
      <c r="D2681" s="68" t="s">
        <v>574</v>
      </c>
      <c r="E2681" s="69" t="s">
        <v>575</v>
      </c>
      <c r="F2681" s="20" t="s">
        <v>533</v>
      </c>
      <c r="G2681" s="15"/>
      <c r="H2681" s="15"/>
      <c r="I2681" s="15"/>
      <c r="J2681" s="15"/>
      <c r="K2681" s="15"/>
      <c r="L2681" s="15"/>
      <c r="M2681" s="15"/>
      <c r="N2681" s="15"/>
      <c r="O2681" s="15"/>
      <c r="P2681" s="15"/>
      <c r="Q2681" s="15"/>
      <c r="R2681" s="15"/>
    </row>
    <row r="2682" spans="2:18" ht="13">
      <c r="B2682" s="33"/>
      <c r="C2682" s="34"/>
      <c r="D2682" s="68" t="s">
        <v>36</v>
      </c>
      <c r="E2682" s="69" t="s">
        <v>37</v>
      </c>
      <c r="F2682" s="20" t="s">
        <v>533</v>
      </c>
      <c r="G2682" s="15"/>
      <c r="H2682" s="15"/>
      <c r="I2682" s="15"/>
      <c r="J2682" s="15"/>
      <c r="K2682" s="15"/>
      <c r="L2682" s="15"/>
      <c r="M2682" s="15"/>
      <c r="N2682" s="15"/>
      <c r="O2682" s="15"/>
      <c r="P2682" s="15"/>
      <c r="Q2682" s="15"/>
      <c r="R2682" s="15"/>
    </row>
    <row r="2683" spans="2:18" ht="13">
      <c r="B2683" s="33"/>
      <c r="C2683" s="34"/>
      <c r="D2683" s="68" t="s">
        <v>404</v>
      </c>
      <c r="E2683" s="69" t="s">
        <v>32</v>
      </c>
      <c r="F2683" s="20" t="s">
        <v>533</v>
      </c>
      <c r="G2683" s="15"/>
      <c r="H2683" s="15"/>
      <c r="I2683" s="15"/>
      <c r="J2683" s="15"/>
      <c r="K2683" s="15"/>
      <c r="L2683" s="15"/>
      <c r="M2683" s="15"/>
      <c r="N2683" s="15"/>
      <c r="O2683" s="15"/>
      <c r="P2683" s="15"/>
      <c r="Q2683" s="15"/>
      <c r="R2683" s="15"/>
    </row>
    <row r="2684" spans="2:18" ht="13">
      <c r="B2684" s="33"/>
      <c r="C2684" s="34"/>
      <c r="D2684" s="68" t="s">
        <v>26</v>
      </c>
      <c r="E2684" s="69" t="s">
        <v>27</v>
      </c>
      <c r="F2684" s="20" t="s">
        <v>533</v>
      </c>
      <c r="G2684" s="15"/>
      <c r="H2684" s="15"/>
      <c r="I2684" s="15"/>
      <c r="J2684" s="15"/>
      <c r="K2684" s="15"/>
      <c r="L2684" s="15"/>
      <c r="M2684" s="15"/>
      <c r="N2684" s="15"/>
      <c r="O2684" s="15"/>
      <c r="P2684" s="15"/>
      <c r="Q2684" s="15"/>
      <c r="R2684" s="15"/>
    </row>
    <row r="2685" spans="2:18" ht="13">
      <c r="B2685" s="33"/>
      <c r="C2685" s="34"/>
      <c r="D2685" s="68" t="s">
        <v>17</v>
      </c>
      <c r="E2685" s="69" t="s">
        <v>27</v>
      </c>
      <c r="F2685" s="20" t="s">
        <v>533</v>
      </c>
      <c r="G2685" s="15"/>
      <c r="H2685" s="15"/>
      <c r="I2685" s="15"/>
      <c r="J2685" s="15"/>
      <c r="K2685" s="15"/>
      <c r="L2685" s="15"/>
      <c r="M2685" s="15"/>
      <c r="N2685" s="15"/>
      <c r="O2685" s="15"/>
      <c r="P2685" s="15"/>
      <c r="Q2685" s="15"/>
      <c r="R2685" s="15"/>
    </row>
    <row r="2686" spans="2:18" ht="13">
      <c r="B2686" s="33"/>
      <c r="C2686" s="34"/>
      <c r="D2686" s="68" t="s">
        <v>26</v>
      </c>
      <c r="E2686" s="69" t="s">
        <v>27</v>
      </c>
      <c r="F2686" s="20" t="s">
        <v>533</v>
      </c>
      <c r="G2686" s="15"/>
      <c r="H2686" s="15"/>
      <c r="I2686" s="15"/>
      <c r="J2686" s="15"/>
      <c r="K2686" s="15"/>
      <c r="L2686" s="15"/>
      <c r="M2686" s="15"/>
      <c r="N2686" s="15"/>
      <c r="O2686" s="15"/>
      <c r="P2686" s="15"/>
      <c r="Q2686" s="15"/>
      <c r="R2686" s="15"/>
    </row>
    <row r="2687" spans="2:18" ht="13">
      <c r="B2687" s="33"/>
      <c r="C2687" s="34"/>
      <c r="D2687" s="68" t="s">
        <v>17</v>
      </c>
      <c r="E2687" s="69" t="s">
        <v>27</v>
      </c>
      <c r="F2687" s="20" t="s">
        <v>533</v>
      </c>
      <c r="G2687" s="15"/>
      <c r="H2687" s="15"/>
      <c r="I2687" s="15"/>
      <c r="J2687" s="15"/>
      <c r="K2687" s="15"/>
      <c r="L2687" s="15"/>
      <c r="M2687" s="15"/>
      <c r="N2687" s="15"/>
      <c r="O2687" s="15"/>
      <c r="P2687" s="15"/>
      <c r="Q2687" s="15"/>
      <c r="R2687" s="15"/>
    </row>
    <row r="2688" spans="2:18" ht="13">
      <c r="B2688" s="33"/>
      <c r="C2688" s="34"/>
      <c r="D2688" s="68" t="s">
        <v>17</v>
      </c>
      <c r="E2688" s="69" t="s">
        <v>27</v>
      </c>
      <c r="F2688" s="20" t="s">
        <v>533</v>
      </c>
      <c r="G2688" s="15"/>
      <c r="H2688" s="15"/>
      <c r="I2688" s="15"/>
      <c r="J2688" s="15"/>
      <c r="K2688" s="15"/>
      <c r="L2688" s="15"/>
      <c r="M2688" s="15"/>
      <c r="N2688" s="15"/>
      <c r="O2688" s="15"/>
      <c r="P2688" s="15"/>
      <c r="Q2688" s="15"/>
      <c r="R2688" s="15"/>
    </row>
    <row r="2689" spans="2:18" ht="13">
      <c r="B2689" s="33"/>
      <c r="C2689" s="34"/>
      <c r="D2689" s="68" t="s">
        <v>404</v>
      </c>
      <c r="E2689" s="69" t="s">
        <v>32</v>
      </c>
      <c r="F2689" s="20" t="s">
        <v>533</v>
      </c>
      <c r="G2689" s="15"/>
      <c r="H2689" s="15"/>
      <c r="I2689" s="15"/>
      <c r="J2689" s="15"/>
      <c r="K2689" s="15"/>
      <c r="L2689" s="15"/>
      <c r="M2689" s="15"/>
      <c r="N2689" s="15"/>
      <c r="O2689" s="15"/>
      <c r="P2689" s="15"/>
      <c r="Q2689" s="15"/>
      <c r="R2689" s="15"/>
    </row>
    <row r="2690" spans="2:18" ht="13">
      <c r="B2690" s="33"/>
      <c r="C2690" s="34"/>
      <c r="D2690" s="68" t="s">
        <v>17</v>
      </c>
      <c r="E2690" s="69" t="s">
        <v>27</v>
      </c>
      <c r="F2690" s="20" t="s">
        <v>533</v>
      </c>
      <c r="G2690" s="15"/>
      <c r="H2690" s="15"/>
      <c r="I2690" s="15"/>
      <c r="J2690" s="15"/>
      <c r="K2690" s="15"/>
      <c r="L2690" s="15"/>
      <c r="M2690" s="15"/>
      <c r="N2690" s="15"/>
      <c r="O2690" s="15"/>
      <c r="P2690" s="15"/>
      <c r="Q2690" s="15"/>
      <c r="R2690" s="15"/>
    </row>
    <row r="2691" spans="2:18" ht="13">
      <c r="B2691" s="33"/>
      <c r="C2691" s="34"/>
      <c r="D2691" s="68" t="s">
        <v>574</v>
      </c>
      <c r="E2691" s="69" t="s">
        <v>575</v>
      </c>
      <c r="F2691" s="20" t="s">
        <v>533</v>
      </c>
      <c r="G2691" s="15"/>
      <c r="H2691" s="15"/>
      <c r="I2691" s="15"/>
      <c r="J2691" s="15"/>
      <c r="K2691" s="15"/>
      <c r="L2691" s="15"/>
      <c r="M2691" s="15"/>
      <c r="N2691" s="15"/>
      <c r="O2691" s="15"/>
      <c r="P2691" s="15"/>
      <c r="Q2691" s="15"/>
      <c r="R2691" s="15"/>
    </row>
    <row r="2692" spans="2:18" ht="13">
      <c r="B2692" s="33"/>
      <c r="C2692" s="34"/>
      <c r="D2692" s="68" t="s">
        <v>574</v>
      </c>
      <c r="E2692" s="69" t="s">
        <v>575</v>
      </c>
      <c r="F2692" s="20" t="s">
        <v>533</v>
      </c>
      <c r="G2692" s="15"/>
      <c r="H2692" s="15"/>
      <c r="I2692" s="15"/>
      <c r="J2692" s="15"/>
      <c r="K2692" s="15"/>
      <c r="L2692" s="15"/>
      <c r="M2692" s="15"/>
      <c r="N2692" s="15"/>
      <c r="O2692" s="15"/>
      <c r="P2692" s="15"/>
      <c r="Q2692" s="15"/>
      <c r="R2692" s="15"/>
    </row>
    <row r="2693" spans="2:18" ht="13">
      <c r="B2693" s="33"/>
      <c r="C2693" s="34"/>
      <c r="D2693" s="68" t="s">
        <v>86</v>
      </c>
      <c r="E2693" s="69" t="s">
        <v>32</v>
      </c>
      <c r="F2693" s="20" t="s">
        <v>533</v>
      </c>
      <c r="G2693" s="15"/>
      <c r="H2693" s="15"/>
      <c r="I2693" s="15"/>
      <c r="J2693" s="15"/>
      <c r="K2693" s="15"/>
      <c r="L2693" s="15"/>
      <c r="M2693" s="15"/>
      <c r="N2693" s="15"/>
      <c r="O2693" s="15"/>
      <c r="P2693" s="15"/>
      <c r="Q2693" s="15"/>
      <c r="R2693" s="15"/>
    </row>
    <row r="2694" spans="2:18" ht="13">
      <c r="B2694" s="33"/>
      <c r="C2694" s="34"/>
      <c r="D2694" s="68" t="s">
        <v>17</v>
      </c>
      <c r="E2694" s="69" t="s">
        <v>27</v>
      </c>
      <c r="F2694" s="20" t="s">
        <v>533</v>
      </c>
      <c r="G2694" s="15"/>
      <c r="H2694" s="15"/>
      <c r="I2694" s="15"/>
      <c r="J2694" s="15"/>
      <c r="K2694" s="15"/>
      <c r="L2694" s="15"/>
      <c r="M2694" s="15"/>
      <c r="N2694" s="15"/>
      <c r="O2694" s="15"/>
      <c r="P2694" s="15"/>
      <c r="Q2694" s="15"/>
      <c r="R2694" s="15"/>
    </row>
    <row r="2695" spans="2:18" ht="13">
      <c r="B2695" s="33"/>
      <c r="C2695" s="34"/>
      <c r="D2695" s="68" t="s">
        <v>17</v>
      </c>
      <c r="E2695" s="69" t="s">
        <v>27</v>
      </c>
      <c r="F2695" s="20" t="s">
        <v>533</v>
      </c>
      <c r="G2695" s="15"/>
      <c r="H2695" s="15"/>
      <c r="I2695" s="15"/>
      <c r="J2695" s="15"/>
      <c r="K2695" s="15"/>
      <c r="L2695" s="15"/>
      <c r="M2695" s="15"/>
      <c r="N2695" s="15"/>
      <c r="O2695" s="15"/>
      <c r="P2695" s="15"/>
      <c r="Q2695" s="15"/>
      <c r="R2695" s="15"/>
    </row>
    <row r="2696" spans="2:18" ht="13">
      <c r="B2696" s="33"/>
      <c r="C2696" s="34"/>
      <c r="D2696" s="68" t="s">
        <v>26</v>
      </c>
      <c r="E2696" s="69" t="s">
        <v>27</v>
      </c>
      <c r="F2696" s="20" t="s">
        <v>533</v>
      </c>
      <c r="G2696" s="15"/>
      <c r="H2696" s="15"/>
      <c r="I2696" s="15"/>
      <c r="J2696" s="15"/>
      <c r="K2696" s="15"/>
      <c r="L2696" s="15"/>
      <c r="M2696" s="15"/>
      <c r="N2696" s="15"/>
      <c r="O2696" s="15"/>
      <c r="P2696" s="15"/>
      <c r="Q2696" s="15"/>
      <c r="R2696" s="15"/>
    </row>
    <row r="2697" spans="2:18" ht="13">
      <c r="B2697" s="33"/>
      <c r="C2697" s="34"/>
      <c r="D2697" s="68" t="s">
        <v>17</v>
      </c>
      <c r="E2697" s="69" t="s">
        <v>27</v>
      </c>
      <c r="F2697" s="20" t="s">
        <v>533</v>
      </c>
      <c r="G2697" s="15"/>
      <c r="H2697" s="15"/>
      <c r="I2697" s="15"/>
      <c r="J2697" s="15"/>
      <c r="K2697" s="15"/>
      <c r="L2697" s="15"/>
      <c r="M2697" s="15"/>
      <c r="N2697" s="15"/>
      <c r="O2697" s="15"/>
      <c r="P2697" s="15"/>
      <c r="Q2697" s="15"/>
      <c r="R2697" s="15"/>
    </row>
    <row r="2698" spans="2:18" ht="13">
      <c r="B2698" s="33"/>
      <c r="C2698" s="34"/>
      <c r="D2698" s="68" t="s">
        <v>53</v>
      </c>
      <c r="E2698" s="69" t="s">
        <v>32</v>
      </c>
      <c r="F2698" s="20" t="s">
        <v>533</v>
      </c>
      <c r="G2698" s="15"/>
      <c r="H2698" s="15"/>
      <c r="I2698" s="15"/>
      <c r="J2698" s="15"/>
      <c r="K2698" s="15"/>
      <c r="L2698" s="15"/>
      <c r="M2698" s="15"/>
      <c r="N2698" s="15"/>
      <c r="O2698" s="15"/>
      <c r="P2698" s="15"/>
      <c r="Q2698" s="15"/>
      <c r="R2698" s="15"/>
    </row>
    <row r="2699" spans="2:18" ht="13">
      <c r="B2699" s="33"/>
      <c r="C2699" s="34"/>
      <c r="D2699" s="68" t="s">
        <v>404</v>
      </c>
      <c r="E2699" s="69" t="s">
        <v>32</v>
      </c>
      <c r="F2699" s="20" t="s">
        <v>533</v>
      </c>
      <c r="G2699" s="15"/>
      <c r="H2699" s="15"/>
      <c r="I2699" s="15"/>
      <c r="J2699" s="15"/>
      <c r="K2699" s="15"/>
      <c r="L2699" s="15"/>
      <c r="M2699" s="15"/>
      <c r="N2699" s="15"/>
      <c r="O2699" s="15"/>
      <c r="P2699" s="15"/>
      <c r="Q2699" s="15"/>
      <c r="R2699" s="15"/>
    </row>
    <row r="2700" spans="2:18" ht="13">
      <c r="B2700" s="33"/>
      <c r="C2700" s="34"/>
      <c r="D2700" s="68" t="s">
        <v>544</v>
      </c>
      <c r="E2700" s="69" t="s">
        <v>121</v>
      </c>
      <c r="F2700" s="20" t="s">
        <v>533</v>
      </c>
      <c r="G2700" s="15"/>
      <c r="H2700" s="15"/>
      <c r="I2700" s="15"/>
      <c r="J2700" s="15"/>
      <c r="K2700" s="15"/>
      <c r="L2700" s="15"/>
      <c r="M2700" s="15"/>
      <c r="N2700" s="15"/>
      <c r="O2700" s="15"/>
      <c r="P2700" s="15"/>
      <c r="Q2700" s="15"/>
      <c r="R2700" s="15"/>
    </row>
    <row r="2701" spans="2:18" ht="13">
      <c r="B2701" s="33"/>
      <c r="C2701" s="34"/>
      <c r="D2701" s="68" t="s">
        <v>290</v>
      </c>
      <c r="E2701" s="69" t="s">
        <v>32</v>
      </c>
      <c r="F2701" s="20" t="s">
        <v>533</v>
      </c>
      <c r="G2701" s="15"/>
      <c r="H2701" s="15"/>
      <c r="I2701" s="15"/>
      <c r="J2701" s="15"/>
      <c r="K2701" s="15"/>
      <c r="L2701" s="15"/>
      <c r="M2701" s="15"/>
      <c r="N2701" s="15"/>
      <c r="O2701" s="15"/>
      <c r="P2701" s="15"/>
      <c r="Q2701" s="15"/>
      <c r="R2701" s="15"/>
    </row>
    <row r="2702" spans="2:18" ht="13">
      <c r="B2702" s="33"/>
      <c r="C2702" s="34"/>
      <c r="D2702" s="68" t="s">
        <v>36</v>
      </c>
      <c r="E2702" s="69" t="s">
        <v>37</v>
      </c>
      <c r="F2702" s="20" t="s">
        <v>533</v>
      </c>
      <c r="G2702" s="15"/>
      <c r="H2702" s="15"/>
      <c r="I2702" s="15"/>
      <c r="J2702" s="15"/>
      <c r="K2702" s="15"/>
      <c r="L2702" s="15"/>
      <c r="M2702" s="15"/>
      <c r="N2702" s="15"/>
      <c r="O2702" s="15"/>
      <c r="P2702" s="15"/>
      <c r="Q2702" s="15"/>
      <c r="R2702" s="15"/>
    </row>
    <row r="2703" spans="2:18" ht="13">
      <c r="B2703" s="33"/>
      <c r="C2703" s="34"/>
      <c r="D2703" s="68" t="s">
        <v>17</v>
      </c>
      <c r="E2703" s="69" t="s">
        <v>27</v>
      </c>
      <c r="F2703" s="20" t="s">
        <v>533</v>
      </c>
      <c r="G2703" s="15"/>
      <c r="H2703" s="15"/>
      <c r="I2703" s="15"/>
      <c r="J2703" s="15"/>
      <c r="K2703" s="15"/>
      <c r="L2703" s="15"/>
      <c r="M2703" s="15"/>
      <c r="N2703" s="15"/>
      <c r="O2703" s="15"/>
      <c r="P2703" s="15"/>
      <c r="Q2703" s="15"/>
      <c r="R2703" s="15"/>
    </row>
    <row r="2704" spans="2:18" ht="13">
      <c r="B2704" s="33"/>
      <c r="C2704" s="34"/>
      <c r="D2704" s="68" t="s">
        <v>17</v>
      </c>
      <c r="E2704" s="69" t="s">
        <v>27</v>
      </c>
      <c r="F2704" s="20" t="s">
        <v>533</v>
      </c>
      <c r="G2704" s="15"/>
      <c r="H2704" s="15"/>
      <c r="I2704" s="15"/>
      <c r="J2704" s="15"/>
      <c r="K2704" s="15"/>
      <c r="L2704" s="15"/>
      <c r="M2704" s="15"/>
      <c r="N2704" s="15"/>
      <c r="O2704" s="15"/>
      <c r="P2704" s="15"/>
      <c r="Q2704" s="15"/>
      <c r="R2704" s="15"/>
    </row>
    <row r="2705" spans="2:18" ht="13">
      <c r="B2705" s="33"/>
      <c r="C2705" s="34"/>
      <c r="D2705" s="68" t="s">
        <v>17</v>
      </c>
      <c r="E2705" s="69" t="s">
        <v>27</v>
      </c>
      <c r="F2705" s="20" t="s">
        <v>533</v>
      </c>
      <c r="G2705" s="15"/>
      <c r="H2705" s="15"/>
      <c r="I2705" s="15"/>
      <c r="J2705" s="15"/>
      <c r="K2705" s="15"/>
      <c r="L2705" s="15"/>
      <c r="M2705" s="15"/>
      <c r="N2705" s="15"/>
      <c r="O2705" s="15"/>
      <c r="P2705" s="15"/>
      <c r="Q2705" s="15"/>
      <c r="R2705" s="15"/>
    </row>
    <row r="2706" spans="2:18" ht="13">
      <c r="B2706" s="33"/>
      <c r="C2706" s="34"/>
      <c r="D2706" s="68" t="s">
        <v>17</v>
      </c>
      <c r="E2706" s="69" t="s">
        <v>27</v>
      </c>
      <c r="F2706" s="20" t="s">
        <v>533</v>
      </c>
      <c r="G2706" s="15"/>
      <c r="H2706" s="15"/>
      <c r="I2706" s="15"/>
      <c r="J2706" s="15"/>
      <c r="K2706" s="15"/>
      <c r="L2706" s="15"/>
      <c r="M2706" s="15"/>
      <c r="N2706" s="15"/>
      <c r="O2706" s="15"/>
      <c r="P2706" s="15"/>
      <c r="Q2706" s="15"/>
      <c r="R2706" s="15"/>
    </row>
    <row r="2707" spans="2:18" ht="13">
      <c r="B2707" s="33"/>
      <c r="C2707" s="34"/>
      <c r="D2707" s="68" t="s">
        <v>17</v>
      </c>
      <c r="E2707" s="69" t="s">
        <v>27</v>
      </c>
      <c r="F2707" s="20" t="s">
        <v>533</v>
      </c>
      <c r="G2707" s="15"/>
      <c r="H2707" s="15"/>
      <c r="I2707" s="15"/>
      <c r="J2707" s="15"/>
      <c r="K2707" s="15"/>
      <c r="L2707" s="15"/>
      <c r="M2707" s="15"/>
      <c r="N2707" s="15"/>
      <c r="O2707" s="15"/>
      <c r="P2707" s="15"/>
      <c r="Q2707" s="15"/>
      <c r="R2707" s="15"/>
    </row>
    <row r="2708" spans="2:18" ht="13">
      <c r="B2708" s="33"/>
      <c r="C2708" s="34"/>
      <c r="D2708" s="68" t="s">
        <v>26</v>
      </c>
      <c r="E2708" s="69" t="s">
        <v>27</v>
      </c>
      <c r="F2708" s="20" t="s">
        <v>533</v>
      </c>
      <c r="G2708" s="15"/>
      <c r="H2708" s="15"/>
      <c r="I2708" s="15"/>
      <c r="J2708" s="15"/>
      <c r="K2708" s="15"/>
      <c r="L2708" s="15"/>
      <c r="M2708" s="15"/>
      <c r="N2708" s="15"/>
      <c r="O2708" s="15"/>
      <c r="P2708" s="15"/>
      <c r="Q2708" s="15"/>
      <c r="R2708" s="15"/>
    </row>
    <row r="2709" spans="2:18" ht="13">
      <c r="B2709" s="33"/>
      <c r="C2709" s="34"/>
      <c r="D2709" s="68" t="s">
        <v>17</v>
      </c>
      <c r="E2709" s="69" t="s">
        <v>27</v>
      </c>
      <c r="F2709" s="20" t="s">
        <v>533</v>
      </c>
      <c r="G2709" s="15"/>
      <c r="H2709" s="15"/>
      <c r="I2709" s="15"/>
      <c r="J2709" s="15"/>
      <c r="K2709" s="15"/>
      <c r="L2709" s="15"/>
      <c r="M2709" s="15"/>
      <c r="N2709" s="15"/>
      <c r="O2709" s="15"/>
      <c r="P2709" s="15"/>
      <c r="Q2709" s="15"/>
      <c r="R2709" s="15"/>
    </row>
    <row r="2710" spans="2:18" ht="13">
      <c r="B2710" s="33"/>
      <c r="C2710" s="34"/>
      <c r="D2710" s="68" t="s">
        <v>26</v>
      </c>
      <c r="E2710" s="69" t="s">
        <v>27</v>
      </c>
      <c r="F2710" s="20" t="s">
        <v>533</v>
      </c>
      <c r="G2710" s="15"/>
      <c r="H2710" s="15"/>
      <c r="I2710" s="15"/>
      <c r="J2710" s="15"/>
      <c r="K2710" s="15"/>
      <c r="L2710" s="15"/>
      <c r="M2710" s="15"/>
      <c r="N2710" s="15"/>
      <c r="O2710" s="15"/>
      <c r="P2710" s="15"/>
      <c r="Q2710" s="15"/>
      <c r="R2710" s="15"/>
    </row>
    <row r="2711" spans="2:18" ht="13">
      <c r="B2711" s="33"/>
      <c r="C2711" s="34"/>
      <c r="D2711" s="68" t="s">
        <v>17</v>
      </c>
      <c r="E2711" s="69" t="s">
        <v>27</v>
      </c>
      <c r="F2711" s="20" t="s">
        <v>533</v>
      </c>
      <c r="G2711" s="15"/>
      <c r="H2711" s="15"/>
      <c r="I2711" s="15"/>
      <c r="J2711" s="15"/>
      <c r="K2711" s="15"/>
      <c r="L2711" s="15"/>
      <c r="M2711" s="15"/>
      <c r="N2711" s="15"/>
      <c r="O2711" s="15"/>
      <c r="P2711" s="15"/>
      <c r="Q2711" s="15"/>
      <c r="R2711" s="15"/>
    </row>
    <row r="2712" spans="2:18" ht="13">
      <c r="B2712" s="33"/>
      <c r="C2712" s="34"/>
      <c r="D2712" s="68" t="s">
        <v>17</v>
      </c>
      <c r="E2712" s="69" t="s">
        <v>27</v>
      </c>
      <c r="F2712" s="20" t="s">
        <v>533</v>
      </c>
      <c r="G2712" s="15"/>
      <c r="H2712" s="15"/>
      <c r="I2712" s="15"/>
      <c r="J2712" s="15"/>
      <c r="K2712" s="15"/>
      <c r="L2712" s="15"/>
      <c r="M2712" s="15"/>
      <c r="N2712" s="15"/>
      <c r="O2712" s="15"/>
      <c r="P2712" s="15"/>
      <c r="Q2712" s="15"/>
      <c r="R2712" s="15"/>
    </row>
    <row r="2713" spans="2:18" ht="13">
      <c r="B2713" s="33"/>
      <c r="C2713" s="34"/>
      <c r="D2713" s="68" t="s">
        <v>17</v>
      </c>
      <c r="E2713" s="69" t="s">
        <v>27</v>
      </c>
      <c r="F2713" s="20" t="s">
        <v>533</v>
      </c>
      <c r="G2713" s="15"/>
      <c r="H2713" s="15"/>
      <c r="I2713" s="15"/>
      <c r="J2713" s="15"/>
      <c r="K2713" s="15"/>
      <c r="L2713" s="15"/>
      <c r="M2713" s="15"/>
      <c r="N2713" s="15"/>
      <c r="O2713" s="15"/>
      <c r="P2713" s="15"/>
      <c r="Q2713" s="15"/>
      <c r="R2713" s="15"/>
    </row>
    <row r="2714" spans="2:18" ht="13">
      <c r="B2714" s="33"/>
      <c r="C2714" s="34"/>
      <c r="D2714" s="68" t="s">
        <v>646</v>
      </c>
      <c r="E2714" s="69" t="s">
        <v>617</v>
      </c>
      <c r="F2714" s="20" t="s">
        <v>533</v>
      </c>
      <c r="G2714" s="15"/>
      <c r="H2714" s="15"/>
      <c r="I2714" s="15"/>
      <c r="J2714" s="15"/>
      <c r="K2714" s="15"/>
      <c r="L2714" s="15"/>
      <c r="M2714" s="15"/>
      <c r="N2714" s="15"/>
      <c r="O2714" s="15"/>
      <c r="P2714" s="15"/>
      <c r="Q2714" s="15"/>
      <c r="R2714" s="15"/>
    </row>
    <row r="2715" spans="2:18" ht="13">
      <c r="B2715" s="33"/>
      <c r="C2715" s="34"/>
      <c r="D2715" s="68" t="s">
        <v>26</v>
      </c>
      <c r="E2715" s="69" t="s">
        <v>27</v>
      </c>
      <c r="F2715" s="20" t="s">
        <v>533</v>
      </c>
      <c r="G2715" s="15"/>
      <c r="H2715" s="15"/>
      <c r="I2715" s="15"/>
      <c r="J2715" s="15"/>
      <c r="K2715" s="15"/>
      <c r="L2715" s="15"/>
      <c r="M2715" s="15"/>
      <c r="N2715" s="15"/>
      <c r="O2715" s="15"/>
      <c r="P2715" s="15"/>
      <c r="Q2715" s="15"/>
      <c r="R2715" s="15"/>
    </row>
    <row r="2716" spans="2:18" ht="13">
      <c r="B2716" s="33"/>
      <c r="C2716" s="34"/>
      <c r="D2716" s="68" t="s">
        <v>404</v>
      </c>
      <c r="E2716" s="69" t="s">
        <v>32</v>
      </c>
      <c r="F2716" s="20" t="s">
        <v>533</v>
      </c>
      <c r="G2716" s="15"/>
      <c r="H2716" s="15"/>
      <c r="I2716" s="15"/>
      <c r="J2716" s="15"/>
      <c r="K2716" s="15"/>
      <c r="L2716" s="15"/>
      <c r="M2716" s="15"/>
      <c r="N2716" s="15"/>
      <c r="O2716" s="15"/>
      <c r="P2716" s="15"/>
      <c r="Q2716" s="15"/>
      <c r="R2716" s="15"/>
    </row>
    <row r="2717" spans="2:18" ht="13">
      <c r="B2717" s="33"/>
      <c r="C2717" s="34"/>
      <c r="D2717" s="68" t="s">
        <v>26</v>
      </c>
      <c r="E2717" s="69" t="s">
        <v>27</v>
      </c>
      <c r="F2717" s="20" t="s">
        <v>533</v>
      </c>
      <c r="G2717" s="15"/>
      <c r="H2717" s="15"/>
      <c r="I2717" s="15"/>
      <c r="J2717" s="15"/>
      <c r="K2717" s="15"/>
      <c r="L2717" s="15"/>
      <c r="M2717" s="15"/>
      <c r="N2717" s="15"/>
      <c r="O2717" s="15"/>
      <c r="P2717" s="15"/>
      <c r="Q2717" s="15"/>
      <c r="R2717" s="15"/>
    </row>
    <row r="2718" spans="2:18" ht="13">
      <c r="B2718" s="33"/>
      <c r="C2718" s="34"/>
      <c r="D2718" s="68" t="s">
        <v>26</v>
      </c>
      <c r="E2718" s="69" t="s">
        <v>27</v>
      </c>
      <c r="F2718" s="20" t="s">
        <v>533</v>
      </c>
      <c r="G2718" s="15"/>
      <c r="H2718" s="15"/>
      <c r="I2718" s="15"/>
      <c r="J2718" s="15"/>
      <c r="K2718" s="15"/>
      <c r="L2718" s="15"/>
      <c r="M2718" s="15"/>
      <c r="N2718" s="15"/>
      <c r="O2718" s="15"/>
      <c r="P2718" s="15"/>
      <c r="Q2718" s="15"/>
      <c r="R2718" s="15"/>
    </row>
    <row r="2719" spans="2:18" ht="13">
      <c r="B2719" s="33"/>
      <c r="C2719" s="34"/>
      <c r="D2719" s="68" t="s">
        <v>17</v>
      </c>
      <c r="E2719" s="69" t="s">
        <v>27</v>
      </c>
      <c r="F2719" s="20" t="s">
        <v>533</v>
      </c>
      <c r="G2719" s="15"/>
      <c r="H2719" s="15"/>
      <c r="I2719" s="15"/>
      <c r="J2719" s="15"/>
      <c r="K2719" s="15"/>
      <c r="L2719" s="15"/>
      <c r="M2719" s="15"/>
      <c r="N2719" s="15"/>
      <c r="O2719" s="15"/>
      <c r="P2719" s="15"/>
      <c r="Q2719" s="15"/>
      <c r="R2719" s="15"/>
    </row>
    <row r="2720" spans="2:18" ht="13">
      <c r="B2720" s="33"/>
      <c r="C2720" s="34"/>
      <c r="D2720" s="68" t="s">
        <v>26</v>
      </c>
      <c r="E2720" s="69" t="s">
        <v>27</v>
      </c>
      <c r="F2720" s="20" t="s">
        <v>533</v>
      </c>
      <c r="G2720" s="15"/>
      <c r="H2720" s="15"/>
      <c r="I2720" s="15"/>
      <c r="J2720" s="15"/>
      <c r="K2720" s="15"/>
      <c r="L2720" s="15"/>
      <c r="M2720" s="15"/>
      <c r="N2720" s="15"/>
      <c r="O2720" s="15"/>
      <c r="P2720" s="15"/>
      <c r="Q2720" s="15"/>
      <c r="R2720" s="15"/>
    </row>
    <row r="2721" spans="2:18" ht="13">
      <c r="B2721" s="33"/>
      <c r="C2721" s="34"/>
      <c r="D2721" s="68" t="s">
        <v>26</v>
      </c>
      <c r="E2721" s="69" t="s">
        <v>27</v>
      </c>
      <c r="F2721" s="20" t="s">
        <v>533</v>
      </c>
      <c r="G2721" s="15"/>
      <c r="H2721" s="15"/>
      <c r="I2721" s="15"/>
      <c r="J2721" s="15"/>
      <c r="K2721" s="15"/>
      <c r="L2721" s="15"/>
      <c r="M2721" s="15"/>
      <c r="N2721" s="15"/>
      <c r="O2721" s="15"/>
      <c r="P2721" s="15"/>
      <c r="Q2721" s="15"/>
      <c r="R2721" s="15"/>
    </row>
    <row r="2722" spans="2:18" ht="13">
      <c r="B2722" s="33"/>
      <c r="C2722" s="34"/>
      <c r="D2722" s="68" t="s">
        <v>572</v>
      </c>
      <c r="E2722" s="69" t="s">
        <v>32</v>
      </c>
      <c r="F2722" s="20" t="s">
        <v>533</v>
      </c>
      <c r="G2722" s="15"/>
      <c r="H2722" s="15"/>
      <c r="I2722" s="15"/>
      <c r="J2722" s="15"/>
      <c r="K2722" s="15"/>
      <c r="L2722" s="15"/>
      <c r="M2722" s="15"/>
      <c r="N2722" s="15"/>
      <c r="O2722" s="15"/>
      <c r="P2722" s="15"/>
      <c r="Q2722" s="15"/>
      <c r="R2722" s="15"/>
    </row>
    <row r="2723" spans="2:18" ht="13">
      <c r="B2723" s="33"/>
      <c r="C2723" s="34"/>
      <c r="D2723" s="68" t="s">
        <v>17</v>
      </c>
      <c r="E2723" s="69" t="s">
        <v>27</v>
      </c>
      <c r="F2723" s="20" t="s">
        <v>533</v>
      </c>
      <c r="G2723" s="15"/>
      <c r="H2723" s="15"/>
      <c r="I2723" s="15"/>
      <c r="J2723" s="15"/>
      <c r="K2723" s="15"/>
      <c r="L2723" s="15"/>
      <c r="M2723" s="15"/>
      <c r="N2723" s="15"/>
      <c r="O2723" s="15"/>
      <c r="P2723" s="15"/>
      <c r="Q2723" s="15"/>
      <c r="R2723" s="15"/>
    </row>
    <row r="2724" spans="2:18" ht="13">
      <c r="B2724" s="33"/>
      <c r="C2724" s="34"/>
      <c r="D2724" s="68" t="s">
        <v>17</v>
      </c>
      <c r="E2724" s="69" t="s">
        <v>27</v>
      </c>
      <c r="F2724" s="20" t="s">
        <v>533</v>
      </c>
      <c r="G2724" s="15"/>
      <c r="H2724" s="15"/>
      <c r="I2724" s="15"/>
      <c r="J2724" s="15"/>
      <c r="K2724" s="15"/>
      <c r="L2724" s="15"/>
      <c r="M2724" s="15"/>
      <c r="N2724" s="15"/>
      <c r="O2724" s="15"/>
      <c r="P2724" s="15"/>
      <c r="Q2724" s="15"/>
      <c r="R2724" s="15"/>
    </row>
    <row r="2725" spans="2:18" ht="13">
      <c r="B2725" s="33"/>
      <c r="C2725" s="34"/>
      <c r="D2725" s="68" t="s">
        <v>17</v>
      </c>
      <c r="E2725" s="69" t="s">
        <v>27</v>
      </c>
      <c r="F2725" s="20" t="s">
        <v>533</v>
      </c>
      <c r="G2725" s="15"/>
      <c r="H2725" s="15"/>
      <c r="I2725" s="15"/>
      <c r="J2725" s="15"/>
      <c r="K2725" s="15"/>
      <c r="L2725" s="15"/>
      <c r="M2725" s="15"/>
      <c r="N2725" s="15"/>
      <c r="O2725" s="15"/>
      <c r="P2725" s="15"/>
      <c r="Q2725" s="15"/>
      <c r="R2725" s="15"/>
    </row>
    <row r="2726" spans="2:18" ht="13">
      <c r="B2726" s="33"/>
      <c r="C2726" s="34"/>
      <c r="D2726" s="68" t="s">
        <v>17</v>
      </c>
      <c r="E2726" s="69" t="s">
        <v>27</v>
      </c>
      <c r="F2726" s="20" t="s">
        <v>533</v>
      </c>
      <c r="G2726" s="15"/>
      <c r="H2726" s="15"/>
      <c r="I2726" s="15"/>
      <c r="J2726" s="15"/>
      <c r="K2726" s="15"/>
      <c r="L2726" s="15"/>
      <c r="M2726" s="15"/>
      <c r="N2726" s="15"/>
      <c r="O2726" s="15"/>
      <c r="P2726" s="15"/>
      <c r="Q2726" s="15"/>
      <c r="R2726" s="15"/>
    </row>
    <row r="2727" spans="2:18" ht="13">
      <c r="B2727" s="33"/>
      <c r="C2727" s="34"/>
      <c r="D2727" s="68" t="s">
        <v>17</v>
      </c>
      <c r="E2727" s="69" t="s">
        <v>27</v>
      </c>
      <c r="F2727" s="20" t="s">
        <v>533</v>
      </c>
      <c r="G2727" s="15"/>
      <c r="H2727" s="15"/>
      <c r="I2727" s="15"/>
      <c r="J2727" s="15"/>
      <c r="K2727" s="15"/>
      <c r="L2727" s="15"/>
      <c r="M2727" s="15"/>
      <c r="N2727" s="15"/>
      <c r="O2727" s="15"/>
      <c r="P2727" s="15"/>
      <c r="Q2727" s="15"/>
      <c r="R2727" s="15"/>
    </row>
    <row r="2728" spans="2:18" ht="13">
      <c r="B2728" s="33"/>
      <c r="C2728" s="34"/>
      <c r="D2728" s="68" t="s">
        <v>17</v>
      </c>
      <c r="E2728" s="69" t="s">
        <v>27</v>
      </c>
      <c r="F2728" s="20" t="s">
        <v>533</v>
      </c>
      <c r="G2728" s="15"/>
      <c r="H2728" s="15"/>
      <c r="I2728" s="15"/>
      <c r="J2728" s="15"/>
      <c r="K2728" s="15"/>
      <c r="L2728" s="15"/>
      <c r="M2728" s="15"/>
      <c r="N2728" s="15"/>
      <c r="O2728" s="15"/>
      <c r="P2728" s="15"/>
      <c r="Q2728" s="15"/>
      <c r="R2728" s="15"/>
    </row>
    <row r="2729" spans="2:18" ht="13">
      <c r="B2729" s="33"/>
      <c r="C2729" s="34"/>
      <c r="D2729" s="68" t="s">
        <v>26</v>
      </c>
      <c r="E2729" s="69" t="s">
        <v>27</v>
      </c>
      <c r="F2729" s="20" t="s">
        <v>533</v>
      </c>
      <c r="G2729" s="15"/>
      <c r="H2729" s="15"/>
      <c r="I2729" s="15"/>
      <c r="J2729" s="15"/>
      <c r="K2729" s="15"/>
      <c r="L2729" s="15"/>
      <c r="M2729" s="15"/>
      <c r="N2729" s="15"/>
      <c r="O2729" s="15"/>
      <c r="P2729" s="15"/>
      <c r="Q2729" s="15"/>
      <c r="R2729" s="15"/>
    </row>
    <row r="2730" spans="2:18" ht="13">
      <c r="B2730" s="33"/>
      <c r="C2730" s="34"/>
      <c r="D2730" s="68" t="s">
        <v>17</v>
      </c>
      <c r="E2730" s="69" t="s">
        <v>27</v>
      </c>
      <c r="F2730" s="20" t="s">
        <v>533</v>
      </c>
      <c r="G2730" s="15"/>
      <c r="H2730" s="15"/>
      <c r="I2730" s="15"/>
      <c r="J2730" s="15"/>
      <c r="K2730" s="15"/>
      <c r="L2730" s="15"/>
      <c r="M2730" s="15"/>
      <c r="N2730" s="15"/>
      <c r="O2730" s="15"/>
      <c r="P2730" s="15"/>
      <c r="Q2730" s="15"/>
      <c r="R2730" s="15"/>
    </row>
    <row r="2731" spans="2:18" ht="13">
      <c r="B2731" s="33"/>
      <c r="C2731" s="34"/>
      <c r="D2731" s="68" t="s">
        <v>404</v>
      </c>
      <c r="E2731" s="69" t="s">
        <v>32</v>
      </c>
      <c r="F2731" s="20" t="s">
        <v>533</v>
      </c>
      <c r="G2731" s="15"/>
      <c r="H2731" s="15"/>
      <c r="I2731" s="15"/>
      <c r="J2731" s="15"/>
      <c r="K2731" s="15"/>
      <c r="L2731" s="15"/>
      <c r="M2731" s="15"/>
      <c r="N2731" s="15"/>
      <c r="O2731" s="15"/>
      <c r="P2731" s="15"/>
      <c r="Q2731" s="15"/>
      <c r="R2731" s="15"/>
    </row>
    <row r="2732" spans="2:18" ht="13">
      <c r="B2732" s="33"/>
      <c r="C2732" s="34"/>
      <c r="D2732" s="68" t="s">
        <v>17</v>
      </c>
      <c r="E2732" s="69" t="s">
        <v>27</v>
      </c>
      <c r="F2732" s="20" t="s">
        <v>533</v>
      </c>
      <c r="G2732" s="15"/>
      <c r="H2732" s="15"/>
      <c r="I2732" s="15"/>
      <c r="J2732" s="15"/>
      <c r="K2732" s="15"/>
      <c r="L2732" s="15"/>
      <c r="M2732" s="15"/>
      <c r="N2732" s="15"/>
      <c r="O2732" s="15"/>
      <c r="P2732" s="15"/>
      <c r="Q2732" s="15"/>
      <c r="R2732" s="15"/>
    </row>
    <row r="2733" spans="2:18" ht="13">
      <c r="B2733" s="33"/>
      <c r="C2733" s="34"/>
      <c r="D2733" s="68" t="s">
        <v>17</v>
      </c>
      <c r="E2733" s="69" t="s">
        <v>27</v>
      </c>
      <c r="F2733" s="20" t="s">
        <v>533</v>
      </c>
      <c r="G2733" s="15"/>
      <c r="H2733" s="15"/>
      <c r="I2733" s="15"/>
      <c r="J2733" s="15"/>
      <c r="K2733" s="15"/>
      <c r="L2733" s="15"/>
      <c r="M2733" s="15"/>
      <c r="N2733" s="15"/>
      <c r="O2733" s="15"/>
      <c r="P2733" s="15"/>
      <c r="Q2733" s="15"/>
      <c r="R2733" s="15"/>
    </row>
    <row r="2734" spans="2:18" ht="13">
      <c r="B2734" s="33"/>
      <c r="C2734" s="34"/>
      <c r="D2734" s="68" t="s">
        <v>17</v>
      </c>
      <c r="E2734" s="69" t="s">
        <v>27</v>
      </c>
      <c r="F2734" s="20" t="s">
        <v>533</v>
      </c>
      <c r="G2734" s="15"/>
      <c r="H2734" s="15"/>
      <c r="I2734" s="15"/>
      <c r="J2734" s="15"/>
      <c r="K2734" s="15"/>
      <c r="L2734" s="15"/>
      <c r="M2734" s="15"/>
      <c r="N2734" s="15"/>
      <c r="O2734" s="15"/>
      <c r="P2734" s="15"/>
      <c r="Q2734" s="15"/>
      <c r="R2734" s="15"/>
    </row>
    <row r="2735" spans="2:18" ht="13">
      <c r="B2735" s="33"/>
      <c r="C2735" s="34"/>
      <c r="D2735" s="68" t="s">
        <v>594</v>
      </c>
      <c r="E2735" s="69" t="s">
        <v>32</v>
      </c>
      <c r="F2735" s="20" t="s">
        <v>533</v>
      </c>
      <c r="G2735" s="15"/>
      <c r="H2735" s="15"/>
      <c r="I2735" s="15"/>
      <c r="J2735" s="15"/>
      <c r="K2735" s="15"/>
      <c r="L2735" s="15"/>
      <c r="M2735" s="15"/>
      <c r="N2735" s="15"/>
      <c r="O2735" s="15"/>
      <c r="P2735" s="15"/>
      <c r="Q2735" s="15"/>
      <c r="R2735" s="15"/>
    </row>
    <row r="2736" spans="2:18" ht="13">
      <c r="B2736" s="33"/>
      <c r="C2736" s="34"/>
      <c r="D2736" s="68" t="s">
        <v>26</v>
      </c>
      <c r="E2736" s="69" t="s">
        <v>27</v>
      </c>
      <c r="F2736" s="20" t="s">
        <v>533</v>
      </c>
      <c r="G2736" s="15"/>
      <c r="H2736" s="15"/>
      <c r="I2736" s="15"/>
      <c r="J2736" s="15"/>
      <c r="K2736" s="15"/>
      <c r="L2736" s="15"/>
      <c r="M2736" s="15"/>
      <c r="N2736" s="15"/>
      <c r="O2736" s="15"/>
      <c r="P2736" s="15"/>
      <c r="Q2736" s="15"/>
      <c r="R2736" s="15"/>
    </row>
    <row r="2737" spans="2:18" ht="13">
      <c r="B2737" s="33"/>
      <c r="C2737" s="34"/>
      <c r="D2737" s="68" t="s">
        <v>583</v>
      </c>
      <c r="E2737" s="69" t="s">
        <v>124</v>
      </c>
      <c r="F2737" s="20" t="s">
        <v>533</v>
      </c>
      <c r="G2737" s="15"/>
      <c r="H2737" s="15"/>
      <c r="I2737" s="15"/>
      <c r="J2737" s="15"/>
      <c r="K2737" s="15"/>
      <c r="L2737" s="15"/>
      <c r="M2737" s="15"/>
      <c r="N2737" s="15"/>
      <c r="O2737" s="15"/>
      <c r="P2737" s="15"/>
      <c r="Q2737" s="15"/>
      <c r="R2737" s="15"/>
    </row>
    <row r="2738" spans="2:18" ht="13">
      <c r="B2738" s="33"/>
      <c r="C2738" s="34"/>
      <c r="D2738" s="68" t="s">
        <v>574</v>
      </c>
      <c r="E2738" s="69" t="s">
        <v>575</v>
      </c>
      <c r="F2738" s="20" t="s">
        <v>533</v>
      </c>
      <c r="G2738" s="15"/>
      <c r="H2738" s="15"/>
      <c r="I2738" s="15"/>
      <c r="J2738" s="15"/>
      <c r="K2738" s="15"/>
      <c r="L2738" s="15"/>
      <c r="M2738" s="15"/>
      <c r="N2738" s="15"/>
      <c r="O2738" s="15"/>
      <c r="P2738" s="15"/>
      <c r="Q2738" s="15"/>
      <c r="R2738" s="15"/>
    </row>
    <row r="2739" spans="2:18" ht="13">
      <c r="B2739" s="33"/>
      <c r="C2739" s="34"/>
      <c r="D2739" s="68" t="s">
        <v>570</v>
      </c>
      <c r="E2739" s="69" t="s">
        <v>124</v>
      </c>
      <c r="F2739" s="20" t="s">
        <v>533</v>
      </c>
      <c r="G2739" s="15"/>
      <c r="H2739" s="15"/>
      <c r="I2739" s="15"/>
      <c r="J2739" s="15"/>
      <c r="K2739" s="15"/>
      <c r="L2739" s="15"/>
      <c r="M2739" s="15"/>
      <c r="N2739" s="15"/>
      <c r="O2739" s="15"/>
      <c r="P2739" s="15"/>
      <c r="Q2739" s="15"/>
      <c r="R2739" s="15"/>
    </row>
    <row r="2740" spans="2:18" ht="13">
      <c r="B2740" s="33"/>
      <c r="C2740" s="34"/>
      <c r="D2740" s="68" t="s">
        <v>17</v>
      </c>
      <c r="E2740" s="69" t="s">
        <v>27</v>
      </c>
      <c r="F2740" s="20" t="s">
        <v>533</v>
      </c>
      <c r="G2740" s="15"/>
      <c r="H2740" s="15"/>
      <c r="I2740" s="15"/>
      <c r="J2740" s="15"/>
      <c r="K2740" s="15"/>
      <c r="L2740" s="15"/>
      <c r="M2740" s="15"/>
      <c r="N2740" s="15"/>
      <c r="O2740" s="15"/>
      <c r="P2740" s="15"/>
      <c r="Q2740" s="15"/>
      <c r="R2740" s="15"/>
    </row>
    <row r="2741" spans="2:18" ht="13">
      <c r="B2741" s="33"/>
      <c r="C2741" s="34"/>
      <c r="D2741" s="68" t="s">
        <v>17</v>
      </c>
      <c r="E2741" s="69" t="s">
        <v>27</v>
      </c>
      <c r="F2741" s="20" t="s">
        <v>533</v>
      </c>
      <c r="G2741" s="15"/>
      <c r="H2741" s="15"/>
      <c r="I2741" s="15"/>
      <c r="J2741" s="15"/>
      <c r="K2741" s="15"/>
      <c r="L2741" s="15"/>
      <c r="M2741" s="15"/>
      <c r="N2741" s="15"/>
      <c r="O2741" s="15"/>
      <c r="P2741" s="15"/>
      <c r="Q2741" s="15"/>
      <c r="R2741" s="15"/>
    </row>
    <row r="2742" spans="2:18" ht="13">
      <c r="B2742" s="33"/>
      <c r="C2742" s="34"/>
      <c r="D2742" s="68" t="s">
        <v>17</v>
      </c>
      <c r="E2742" s="69" t="s">
        <v>628</v>
      </c>
      <c r="F2742" s="20" t="s">
        <v>533</v>
      </c>
      <c r="G2742" s="15"/>
      <c r="H2742" s="15"/>
      <c r="I2742" s="15"/>
      <c r="J2742" s="15"/>
      <c r="K2742" s="15"/>
      <c r="L2742" s="15"/>
      <c r="M2742" s="15"/>
      <c r="N2742" s="15"/>
      <c r="O2742" s="15"/>
      <c r="P2742" s="15"/>
      <c r="Q2742" s="15"/>
      <c r="R2742" s="15"/>
    </row>
    <row r="2743" spans="2:18" ht="13">
      <c r="B2743" s="33"/>
      <c r="C2743" s="34"/>
      <c r="D2743" s="68" t="s">
        <v>17</v>
      </c>
      <c r="E2743" s="69" t="s">
        <v>27</v>
      </c>
      <c r="F2743" s="20" t="s">
        <v>533</v>
      </c>
      <c r="G2743" s="15"/>
      <c r="H2743" s="15"/>
      <c r="I2743" s="15"/>
      <c r="J2743" s="15"/>
      <c r="K2743" s="15"/>
      <c r="L2743" s="15"/>
      <c r="M2743" s="15"/>
      <c r="N2743" s="15"/>
      <c r="O2743" s="15"/>
      <c r="P2743" s="15"/>
      <c r="Q2743" s="15"/>
      <c r="R2743" s="15"/>
    </row>
    <row r="2744" spans="2:18" ht="13">
      <c r="B2744" s="33"/>
      <c r="C2744" s="34"/>
      <c r="D2744" s="68" t="s">
        <v>17</v>
      </c>
      <c r="E2744" s="69" t="s">
        <v>27</v>
      </c>
      <c r="F2744" s="20" t="s">
        <v>533</v>
      </c>
      <c r="G2744" s="15"/>
      <c r="H2744" s="15"/>
      <c r="I2744" s="15"/>
      <c r="J2744" s="15"/>
      <c r="K2744" s="15"/>
      <c r="L2744" s="15"/>
      <c r="M2744" s="15"/>
      <c r="N2744" s="15"/>
      <c r="O2744" s="15"/>
      <c r="P2744" s="15"/>
      <c r="Q2744" s="15"/>
      <c r="R2744" s="15"/>
    </row>
    <row r="2745" spans="2:18" ht="13">
      <c r="B2745" s="33"/>
      <c r="C2745" s="34"/>
      <c r="D2745" s="68" t="s">
        <v>17</v>
      </c>
      <c r="E2745" s="69" t="s">
        <v>27</v>
      </c>
      <c r="F2745" s="20" t="s">
        <v>533</v>
      </c>
      <c r="G2745" s="15"/>
      <c r="H2745" s="15"/>
      <c r="I2745" s="15"/>
      <c r="J2745" s="15"/>
      <c r="K2745" s="15"/>
      <c r="L2745" s="15"/>
      <c r="M2745" s="15"/>
      <c r="N2745" s="15"/>
      <c r="O2745" s="15"/>
      <c r="P2745" s="15"/>
      <c r="Q2745" s="15"/>
      <c r="R2745" s="15"/>
    </row>
    <row r="2746" spans="2:18" ht="13">
      <c r="B2746" s="33"/>
      <c r="C2746" s="34"/>
      <c r="D2746" s="68" t="s">
        <v>17</v>
      </c>
      <c r="E2746" s="69" t="s">
        <v>27</v>
      </c>
      <c r="F2746" s="20" t="s">
        <v>533</v>
      </c>
      <c r="G2746" s="15"/>
      <c r="H2746" s="15"/>
      <c r="I2746" s="15"/>
      <c r="J2746" s="15"/>
      <c r="K2746" s="15"/>
      <c r="L2746" s="15"/>
      <c r="M2746" s="15"/>
      <c r="N2746" s="15"/>
      <c r="O2746" s="15"/>
      <c r="P2746" s="15"/>
      <c r="Q2746" s="15"/>
      <c r="R2746" s="15"/>
    </row>
    <row r="2747" spans="2:18" ht="13">
      <c r="B2747" s="33"/>
      <c r="C2747" s="34"/>
      <c r="D2747" s="68" t="s">
        <v>17</v>
      </c>
      <c r="E2747" s="69" t="s">
        <v>27</v>
      </c>
      <c r="F2747" s="20" t="s">
        <v>533</v>
      </c>
      <c r="G2747" s="15"/>
      <c r="H2747" s="15"/>
      <c r="I2747" s="15"/>
      <c r="J2747" s="15"/>
      <c r="K2747" s="15"/>
      <c r="L2747" s="15"/>
      <c r="M2747" s="15"/>
      <c r="N2747" s="15"/>
      <c r="O2747" s="15"/>
      <c r="P2747" s="15"/>
      <c r="Q2747" s="15"/>
      <c r="R2747" s="15"/>
    </row>
    <row r="2748" spans="2:18" ht="13">
      <c r="B2748" s="33"/>
      <c r="C2748" s="34"/>
      <c r="D2748" s="68" t="s">
        <v>17</v>
      </c>
      <c r="E2748" s="69" t="s">
        <v>27</v>
      </c>
      <c r="F2748" s="20" t="s">
        <v>533</v>
      </c>
      <c r="G2748" s="15"/>
      <c r="H2748" s="15"/>
      <c r="I2748" s="15"/>
      <c r="J2748" s="15"/>
      <c r="K2748" s="15"/>
      <c r="L2748" s="15"/>
      <c r="M2748" s="15"/>
      <c r="N2748" s="15"/>
      <c r="O2748" s="15"/>
      <c r="P2748" s="15"/>
      <c r="Q2748" s="15"/>
      <c r="R2748" s="15"/>
    </row>
    <row r="2749" spans="2:18" ht="13">
      <c r="B2749" s="33"/>
      <c r="C2749" s="34"/>
      <c r="D2749" s="68" t="s">
        <v>605</v>
      </c>
      <c r="E2749" s="69" t="s">
        <v>32</v>
      </c>
      <c r="F2749" s="20" t="s">
        <v>533</v>
      </c>
      <c r="G2749" s="15"/>
      <c r="H2749" s="15"/>
      <c r="I2749" s="15"/>
      <c r="J2749" s="15"/>
      <c r="K2749" s="15"/>
      <c r="L2749" s="15"/>
      <c r="M2749" s="15"/>
      <c r="N2749" s="15"/>
      <c r="O2749" s="15"/>
      <c r="P2749" s="15"/>
      <c r="Q2749" s="15"/>
      <c r="R2749" s="15"/>
    </row>
    <row r="2750" spans="2:18" ht="13">
      <c r="B2750" s="33"/>
      <c r="C2750" s="34"/>
      <c r="D2750" s="68" t="s">
        <v>17</v>
      </c>
      <c r="E2750" s="69" t="s">
        <v>27</v>
      </c>
      <c r="F2750" s="20" t="s">
        <v>533</v>
      </c>
      <c r="G2750" s="15"/>
      <c r="H2750" s="15"/>
      <c r="I2750" s="15"/>
      <c r="J2750" s="15"/>
      <c r="K2750" s="15"/>
      <c r="L2750" s="15"/>
      <c r="M2750" s="15"/>
      <c r="N2750" s="15"/>
      <c r="O2750" s="15"/>
      <c r="P2750" s="15"/>
      <c r="Q2750" s="15"/>
      <c r="R2750" s="15"/>
    </row>
    <row r="2751" spans="2:18" ht="13">
      <c r="B2751" s="33"/>
      <c r="C2751" s="34"/>
      <c r="D2751" s="68" t="s">
        <v>86</v>
      </c>
      <c r="E2751" s="69" t="s">
        <v>163</v>
      </c>
      <c r="F2751" s="20" t="s">
        <v>533</v>
      </c>
      <c r="G2751" s="15"/>
      <c r="H2751" s="15"/>
      <c r="I2751" s="15"/>
      <c r="J2751" s="15"/>
      <c r="K2751" s="15"/>
      <c r="L2751" s="15"/>
      <c r="M2751" s="15"/>
      <c r="N2751" s="15"/>
      <c r="O2751" s="15"/>
      <c r="P2751" s="15"/>
      <c r="Q2751" s="15"/>
      <c r="R2751" s="15"/>
    </row>
    <row r="2752" spans="2:18" ht="13">
      <c r="B2752" s="33"/>
      <c r="C2752" s="34"/>
      <c r="D2752" s="68" t="s">
        <v>86</v>
      </c>
      <c r="E2752" s="69" t="s">
        <v>124</v>
      </c>
      <c r="F2752" s="20" t="s">
        <v>533</v>
      </c>
      <c r="G2752" s="15"/>
      <c r="H2752" s="15"/>
      <c r="I2752" s="15"/>
      <c r="J2752" s="15"/>
      <c r="K2752" s="15"/>
      <c r="L2752" s="15"/>
      <c r="M2752" s="15"/>
      <c r="N2752" s="15"/>
      <c r="O2752" s="15"/>
      <c r="P2752" s="15"/>
      <c r="Q2752" s="15"/>
      <c r="R2752" s="15"/>
    </row>
    <row r="2753" spans="2:18" ht="13">
      <c r="B2753" s="33"/>
      <c r="C2753" s="34"/>
      <c r="D2753" s="68" t="s">
        <v>595</v>
      </c>
      <c r="E2753" s="69" t="s">
        <v>32</v>
      </c>
      <c r="F2753" s="20" t="s">
        <v>533</v>
      </c>
      <c r="G2753" s="15"/>
      <c r="H2753" s="15"/>
      <c r="I2753" s="15"/>
      <c r="J2753" s="15"/>
      <c r="K2753" s="15"/>
      <c r="L2753" s="15"/>
      <c r="M2753" s="15"/>
      <c r="N2753" s="15"/>
      <c r="O2753" s="15"/>
      <c r="P2753" s="15"/>
      <c r="Q2753" s="15"/>
      <c r="R2753" s="15"/>
    </row>
    <row r="2754" spans="2:18" ht="13">
      <c r="B2754" s="33"/>
      <c r="C2754" s="34"/>
      <c r="D2754" s="68" t="s">
        <v>17</v>
      </c>
      <c r="E2754" s="69" t="s">
        <v>27</v>
      </c>
      <c r="F2754" s="20" t="s">
        <v>533</v>
      </c>
      <c r="G2754" s="15"/>
      <c r="H2754" s="15"/>
      <c r="I2754" s="15"/>
      <c r="J2754" s="15"/>
      <c r="K2754" s="15"/>
      <c r="L2754" s="15"/>
      <c r="M2754" s="15"/>
      <c r="N2754" s="15"/>
      <c r="O2754" s="15"/>
      <c r="P2754" s="15"/>
      <c r="Q2754" s="15"/>
      <c r="R2754" s="15"/>
    </row>
    <row r="2755" spans="2:18" ht="13">
      <c r="B2755" s="33"/>
      <c r="C2755" s="34"/>
      <c r="D2755" s="68" t="s">
        <v>17</v>
      </c>
      <c r="E2755" s="69" t="s">
        <v>27</v>
      </c>
      <c r="F2755" s="20" t="s">
        <v>533</v>
      </c>
      <c r="G2755" s="15"/>
      <c r="H2755" s="15"/>
      <c r="I2755" s="15"/>
      <c r="J2755" s="15"/>
      <c r="K2755" s="15"/>
      <c r="L2755" s="15"/>
      <c r="M2755" s="15"/>
      <c r="N2755" s="15"/>
      <c r="O2755" s="15"/>
      <c r="P2755" s="15"/>
      <c r="Q2755" s="15"/>
      <c r="R2755" s="15"/>
    </row>
    <row r="2756" spans="2:18" ht="13">
      <c r="B2756" s="33"/>
      <c r="C2756" s="34"/>
      <c r="D2756" s="68" t="s">
        <v>17</v>
      </c>
      <c r="E2756" s="69" t="s">
        <v>27</v>
      </c>
      <c r="F2756" s="20" t="s">
        <v>533</v>
      </c>
      <c r="G2756" s="15"/>
      <c r="H2756" s="15"/>
      <c r="I2756" s="15"/>
      <c r="J2756" s="15"/>
      <c r="K2756" s="15"/>
      <c r="L2756" s="15"/>
      <c r="M2756" s="15"/>
      <c r="N2756" s="15"/>
      <c r="O2756" s="15"/>
      <c r="P2756" s="15"/>
      <c r="Q2756" s="15"/>
      <c r="R2756" s="15"/>
    </row>
    <row r="2757" spans="2:18" ht="13">
      <c r="B2757" s="33"/>
      <c r="C2757" s="34"/>
      <c r="D2757" s="68" t="s">
        <v>26</v>
      </c>
      <c r="E2757" s="69" t="s">
        <v>27</v>
      </c>
      <c r="F2757" s="20" t="s">
        <v>533</v>
      </c>
      <c r="G2757" s="15"/>
      <c r="H2757" s="15"/>
      <c r="I2757" s="15"/>
      <c r="J2757" s="15"/>
      <c r="K2757" s="15"/>
      <c r="L2757" s="15"/>
      <c r="M2757" s="15"/>
      <c r="N2757" s="15"/>
      <c r="O2757" s="15"/>
      <c r="P2757" s="15"/>
      <c r="Q2757" s="15"/>
      <c r="R2757" s="15"/>
    </row>
    <row r="2758" spans="2:18" ht="13">
      <c r="B2758" s="33"/>
      <c r="C2758" s="34"/>
      <c r="D2758" s="68" t="s">
        <v>174</v>
      </c>
      <c r="E2758" s="69" t="s">
        <v>175</v>
      </c>
      <c r="F2758" s="20" t="s">
        <v>533</v>
      </c>
      <c r="G2758" s="15"/>
      <c r="H2758" s="15"/>
      <c r="I2758" s="15"/>
      <c r="J2758" s="15"/>
      <c r="K2758" s="15"/>
      <c r="L2758" s="15"/>
      <c r="M2758" s="15"/>
      <c r="N2758" s="15"/>
      <c r="O2758" s="15"/>
      <c r="P2758" s="15"/>
      <c r="Q2758" s="15"/>
      <c r="R2758" s="15"/>
    </row>
    <row r="2759" spans="2:18" ht="13">
      <c r="B2759" s="33"/>
      <c r="C2759" s="34"/>
      <c r="D2759" s="68" t="s">
        <v>17</v>
      </c>
      <c r="E2759" s="69" t="s">
        <v>27</v>
      </c>
      <c r="F2759" s="20" t="s">
        <v>533</v>
      </c>
      <c r="G2759" s="15"/>
      <c r="H2759" s="15"/>
      <c r="I2759" s="15"/>
      <c r="J2759" s="15"/>
      <c r="K2759" s="15"/>
      <c r="L2759" s="15"/>
      <c r="M2759" s="15"/>
      <c r="N2759" s="15"/>
      <c r="O2759" s="15"/>
      <c r="P2759" s="15"/>
      <c r="Q2759" s="15"/>
      <c r="R2759" s="15"/>
    </row>
    <row r="2760" spans="2:18" ht="13">
      <c r="B2760" s="33"/>
      <c r="C2760" s="34"/>
      <c r="D2760" s="68" t="s">
        <v>26</v>
      </c>
      <c r="E2760" s="69" t="s">
        <v>27</v>
      </c>
      <c r="F2760" s="20" t="s">
        <v>533</v>
      </c>
      <c r="G2760" s="15"/>
      <c r="H2760" s="15"/>
      <c r="I2760" s="15"/>
      <c r="J2760" s="15"/>
      <c r="K2760" s="15"/>
      <c r="L2760" s="15"/>
      <c r="M2760" s="15"/>
      <c r="N2760" s="15"/>
      <c r="O2760" s="15"/>
      <c r="P2760" s="15"/>
      <c r="Q2760" s="15"/>
      <c r="R2760" s="15"/>
    </row>
    <row r="2761" spans="2:18" ht="13">
      <c r="B2761" s="33"/>
      <c r="C2761" s="34"/>
      <c r="D2761" s="68" t="s">
        <v>17</v>
      </c>
      <c r="E2761" s="69" t="s">
        <v>27</v>
      </c>
      <c r="F2761" s="20" t="s">
        <v>533</v>
      </c>
      <c r="G2761" s="15"/>
      <c r="H2761" s="15"/>
      <c r="I2761" s="15"/>
      <c r="J2761" s="15"/>
      <c r="K2761" s="15"/>
      <c r="L2761" s="15"/>
      <c r="M2761" s="15"/>
      <c r="N2761" s="15"/>
      <c r="O2761" s="15"/>
      <c r="P2761" s="15"/>
      <c r="Q2761" s="15"/>
      <c r="R2761" s="15"/>
    </row>
    <row r="2762" spans="2:18" ht="13">
      <c r="B2762" s="33"/>
      <c r="C2762" s="34"/>
      <c r="D2762" s="68" t="s">
        <v>17</v>
      </c>
      <c r="E2762" s="69" t="s">
        <v>27</v>
      </c>
      <c r="F2762" s="20" t="s">
        <v>533</v>
      </c>
      <c r="G2762" s="15"/>
      <c r="H2762" s="15"/>
      <c r="I2762" s="15"/>
      <c r="J2762" s="15"/>
      <c r="K2762" s="15"/>
      <c r="L2762" s="15"/>
      <c r="M2762" s="15"/>
      <c r="N2762" s="15"/>
      <c r="O2762" s="15"/>
      <c r="P2762" s="15"/>
      <c r="Q2762" s="15"/>
      <c r="R2762" s="15"/>
    </row>
    <row r="2763" spans="2:18" ht="13">
      <c r="B2763" s="33"/>
      <c r="C2763" s="34"/>
      <c r="D2763" s="68" t="s">
        <v>17</v>
      </c>
      <c r="E2763" s="69" t="s">
        <v>27</v>
      </c>
      <c r="F2763" s="20" t="s">
        <v>533</v>
      </c>
      <c r="G2763" s="15"/>
      <c r="H2763" s="15"/>
      <c r="I2763" s="15"/>
      <c r="J2763" s="15"/>
      <c r="K2763" s="15"/>
      <c r="L2763" s="15"/>
      <c r="M2763" s="15"/>
      <c r="N2763" s="15"/>
      <c r="O2763" s="15"/>
      <c r="P2763" s="15"/>
      <c r="Q2763" s="15"/>
      <c r="R2763" s="15"/>
    </row>
    <row r="2764" spans="2:18" ht="13">
      <c r="B2764" s="33"/>
      <c r="C2764" s="34"/>
      <c r="D2764" s="68" t="s">
        <v>616</v>
      </c>
      <c r="E2764" s="69" t="s">
        <v>163</v>
      </c>
      <c r="F2764" s="20" t="s">
        <v>533</v>
      </c>
      <c r="G2764" s="15"/>
      <c r="H2764" s="15"/>
      <c r="I2764" s="15"/>
      <c r="J2764" s="15"/>
      <c r="K2764" s="15"/>
      <c r="L2764" s="15"/>
      <c r="M2764" s="15"/>
      <c r="N2764" s="15"/>
      <c r="O2764" s="15"/>
      <c r="P2764" s="15"/>
      <c r="Q2764" s="15"/>
      <c r="R2764" s="15"/>
    </row>
    <row r="2765" spans="2:18" ht="13">
      <c r="B2765" s="33"/>
      <c r="C2765" s="34"/>
      <c r="D2765" s="68" t="s">
        <v>26</v>
      </c>
      <c r="E2765" s="69" t="s">
        <v>27</v>
      </c>
      <c r="F2765" s="20" t="s">
        <v>533</v>
      </c>
      <c r="G2765" s="15"/>
      <c r="H2765" s="15"/>
      <c r="I2765" s="15"/>
      <c r="J2765" s="15"/>
      <c r="K2765" s="15"/>
      <c r="L2765" s="15"/>
      <c r="M2765" s="15"/>
      <c r="N2765" s="15"/>
      <c r="O2765" s="15"/>
      <c r="P2765" s="15"/>
      <c r="Q2765" s="15"/>
      <c r="R2765" s="15"/>
    </row>
    <row r="2766" spans="2:18" ht="13">
      <c r="B2766" s="33"/>
      <c r="C2766" s="34"/>
      <c r="D2766" s="68" t="s">
        <v>17</v>
      </c>
      <c r="E2766" s="69" t="s">
        <v>27</v>
      </c>
      <c r="F2766" s="20" t="s">
        <v>533</v>
      </c>
      <c r="G2766" s="15"/>
      <c r="H2766" s="15"/>
      <c r="I2766" s="15"/>
      <c r="J2766" s="15"/>
      <c r="K2766" s="15"/>
      <c r="L2766" s="15"/>
      <c r="M2766" s="15"/>
      <c r="N2766" s="15"/>
      <c r="O2766" s="15"/>
      <c r="P2766" s="15"/>
      <c r="Q2766" s="15"/>
      <c r="R2766" s="15"/>
    </row>
    <row r="2767" spans="2:18" ht="13">
      <c r="B2767" s="33"/>
      <c r="C2767" s="34"/>
      <c r="D2767" s="68" t="s">
        <v>17</v>
      </c>
      <c r="E2767" s="69" t="s">
        <v>27</v>
      </c>
      <c r="F2767" s="20" t="s">
        <v>533</v>
      </c>
      <c r="G2767" s="15"/>
      <c r="H2767" s="15"/>
      <c r="I2767" s="15"/>
      <c r="J2767" s="15"/>
      <c r="K2767" s="15"/>
      <c r="L2767" s="15"/>
      <c r="M2767" s="15"/>
      <c r="N2767" s="15"/>
      <c r="O2767" s="15"/>
      <c r="P2767" s="15"/>
      <c r="Q2767" s="15"/>
      <c r="R2767" s="15"/>
    </row>
    <row r="2768" spans="2:18" ht="13">
      <c r="B2768" s="33"/>
      <c r="C2768" s="34"/>
      <c r="D2768" s="68" t="s">
        <v>26</v>
      </c>
      <c r="E2768" s="69" t="s">
        <v>27</v>
      </c>
      <c r="F2768" s="20" t="s">
        <v>533</v>
      </c>
      <c r="G2768" s="15"/>
      <c r="H2768" s="15"/>
      <c r="I2768" s="15"/>
      <c r="J2768" s="15"/>
      <c r="K2768" s="15"/>
      <c r="L2768" s="15"/>
      <c r="M2768" s="15"/>
      <c r="N2768" s="15"/>
      <c r="O2768" s="15"/>
      <c r="P2768" s="15"/>
      <c r="Q2768" s="15"/>
      <c r="R2768" s="15"/>
    </row>
    <row r="2769" spans="2:18" ht="13">
      <c r="B2769" s="33"/>
      <c r="C2769" s="34"/>
      <c r="D2769" s="68" t="s">
        <v>17</v>
      </c>
      <c r="E2769" s="69" t="s">
        <v>27</v>
      </c>
      <c r="F2769" s="20" t="s">
        <v>533</v>
      </c>
      <c r="G2769" s="15"/>
      <c r="H2769" s="15"/>
      <c r="I2769" s="15"/>
      <c r="J2769" s="15"/>
      <c r="K2769" s="15"/>
      <c r="L2769" s="15"/>
      <c r="M2769" s="15"/>
      <c r="N2769" s="15"/>
      <c r="O2769" s="15"/>
      <c r="P2769" s="15"/>
      <c r="Q2769" s="15"/>
      <c r="R2769" s="15"/>
    </row>
    <row r="2770" spans="2:18" ht="13">
      <c r="B2770" s="33"/>
      <c r="C2770" s="34"/>
      <c r="D2770" s="68" t="s">
        <v>17</v>
      </c>
      <c r="E2770" s="69" t="s">
        <v>27</v>
      </c>
      <c r="F2770" s="20" t="s">
        <v>533</v>
      </c>
      <c r="G2770" s="15"/>
      <c r="H2770" s="15"/>
      <c r="I2770" s="15"/>
      <c r="J2770" s="15"/>
      <c r="K2770" s="15"/>
      <c r="L2770" s="15"/>
      <c r="M2770" s="15"/>
      <c r="N2770" s="15"/>
      <c r="O2770" s="15"/>
      <c r="P2770" s="15"/>
      <c r="Q2770" s="15"/>
      <c r="R2770" s="15"/>
    </row>
    <row r="2771" spans="2:18" ht="13">
      <c r="B2771" s="33"/>
      <c r="C2771" s="34"/>
      <c r="D2771" s="68" t="s">
        <v>17</v>
      </c>
      <c r="E2771" s="69" t="s">
        <v>27</v>
      </c>
      <c r="F2771" s="20" t="s">
        <v>533</v>
      </c>
      <c r="G2771" s="15"/>
      <c r="H2771" s="15"/>
      <c r="I2771" s="15"/>
      <c r="J2771" s="15"/>
      <c r="K2771" s="15"/>
      <c r="L2771" s="15"/>
      <c r="M2771" s="15"/>
      <c r="N2771" s="15"/>
      <c r="O2771" s="15"/>
      <c r="P2771" s="15"/>
      <c r="Q2771" s="15"/>
      <c r="R2771" s="15"/>
    </row>
    <row r="2772" spans="2:18" ht="13">
      <c r="B2772" s="33"/>
      <c r="C2772" s="34"/>
      <c r="D2772" s="68" t="s">
        <v>606</v>
      </c>
      <c r="E2772" s="69" t="s">
        <v>32</v>
      </c>
      <c r="F2772" s="20" t="s">
        <v>533</v>
      </c>
      <c r="G2772" s="15"/>
      <c r="H2772" s="15"/>
      <c r="I2772" s="15"/>
      <c r="J2772" s="15"/>
      <c r="K2772" s="15"/>
      <c r="L2772" s="15"/>
      <c r="M2772" s="15"/>
      <c r="N2772" s="15"/>
      <c r="O2772" s="15"/>
      <c r="P2772" s="15"/>
      <c r="Q2772" s="15"/>
      <c r="R2772" s="15"/>
    </row>
    <row r="2773" spans="2:18" ht="13">
      <c r="B2773" s="33"/>
      <c r="C2773" s="34"/>
      <c r="D2773" s="68" t="s">
        <v>17</v>
      </c>
      <c r="E2773" s="69" t="s">
        <v>27</v>
      </c>
      <c r="F2773" s="20" t="s">
        <v>533</v>
      </c>
      <c r="G2773" s="15"/>
      <c r="H2773" s="15"/>
      <c r="I2773" s="15"/>
      <c r="J2773" s="15"/>
      <c r="K2773" s="15"/>
      <c r="L2773" s="15"/>
      <c r="M2773" s="15"/>
      <c r="N2773" s="15"/>
      <c r="O2773" s="15"/>
      <c r="P2773" s="15"/>
      <c r="Q2773" s="15"/>
      <c r="R2773" s="15"/>
    </row>
    <row r="2774" spans="2:18" ht="13">
      <c r="B2774" s="33"/>
      <c r="C2774" s="34"/>
      <c r="D2774" s="68" t="s">
        <v>404</v>
      </c>
      <c r="E2774" s="69" t="s">
        <v>32</v>
      </c>
      <c r="F2774" s="20" t="s">
        <v>533</v>
      </c>
      <c r="G2774" s="15"/>
      <c r="H2774" s="15"/>
      <c r="I2774" s="15"/>
      <c r="J2774" s="15"/>
      <c r="K2774" s="15"/>
      <c r="L2774" s="15"/>
      <c r="M2774" s="15"/>
      <c r="N2774" s="15"/>
      <c r="O2774" s="15"/>
      <c r="P2774" s="15"/>
      <c r="Q2774" s="15"/>
      <c r="R2774" s="15"/>
    </row>
    <row r="2775" spans="2:18" ht="13">
      <c r="B2775" s="33"/>
      <c r="C2775" s="34"/>
      <c r="D2775" s="68" t="s">
        <v>17</v>
      </c>
      <c r="E2775" s="69" t="s">
        <v>27</v>
      </c>
      <c r="F2775" s="20" t="s">
        <v>533</v>
      </c>
      <c r="G2775" s="15"/>
      <c r="H2775" s="15"/>
      <c r="I2775" s="15"/>
      <c r="J2775" s="15"/>
      <c r="K2775" s="15"/>
      <c r="L2775" s="15"/>
      <c r="M2775" s="15"/>
      <c r="N2775" s="15"/>
      <c r="O2775" s="15"/>
      <c r="P2775" s="15"/>
      <c r="Q2775" s="15"/>
      <c r="R2775" s="15"/>
    </row>
    <row r="2776" spans="2:18" ht="13">
      <c r="B2776" s="33"/>
      <c r="C2776" s="34"/>
      <c r="D2776" s="68" t="s">
        <v>53</v>
      </c>
      <c r="E2776" s="69" t="s">
        <v>32</v>
      </c>
      <c r="F2776" s="20" t="s">
        <v>533</v>
      </c>
      <c r="G2776" s="15"/>
      <c r="H2776" s="15"/>
      <c r="I2776" s="15"/>
      <c r="J2776" s="15"/>
      <c r="K2776" s="15"/>
      <c r="L2776" s="15"/>
      <c r="M2776" s="15"/>
      <c r="N2776" s="15"/>
      <c r="O2776" s="15"/>
      <c r="P2776" s="15"/>
      <c r="Q2776" s="15"/>
      <c r="R2776" s="15"/>
    </row>
    <row r="2777" spans="2:18" ht="13">
      <c r="B2777" s="33"/>
      <c r="C2777" s="34"/>
      <c r="D2777" s="68" t="s">
        <v>17</v>
      </c>
      <c r="E2777" s="69" t="s">
        <v>27</v>
      </c>
      <c r="F2777" s="20" t="s">
        <v>533</v>
      </c>
      <c r="G2777" s="15"/>
      <c r="H2777" s="15"/>
      <c r="I2777" s="15"/>
      <c r="J2777" s="15"/>
      <c r="K2777" s="15"/>
      <c r="L2777" s="15"/>
      <c r="M2777" s="15"/>
      <c r="N2777" s="15"/>
      <c r="O2777" s="15"/>
      <c r="P2777" s="15"/>
      <c r="Q2777" s="15"/>
      <c r="R2777" s="15"/>
    </row>
    <row r="2778" spans="2:18" ht="13">
      <c r="B2778" s="33"/>
      <c r="C2778" s="34"/>
      <c r="D2778" s="68" t="s">
        <v>17</v>
      </c>
      <c r="E2778" s="69" t="s">
        <v>27</v>
      </c>
      <c r="F2778" s="20" t="s">
        <v>533</v>
      </c>
      <c r="G2778" s="15"/>
      <c r="H2778" s="15"/>
      <c r="I2778" s="15"/>
      <c r="J2778" s="15"/>
      <c r="K2778" s="15"/>
      <c r="L2778" s="15"/>
      <c r="M2778" s="15"/>
      <c r="N2778" s="15"/>
      <c r="O2778" s="15"/>
      <c r="P2778" s="15"/>
      <c r="Q2778" s="15"/>
      <c r="R2778" s="15"/>
    </row>
    <row r="2779" spans="2:18" ht="13">
      <c r="B2779" s="33"/>
      <c r="C2779" s="34"/>
      <c r="D2779" s="68" t="s">
        <v>17</v>
      </c>
      <c r="E2779" s="69" t="s">
        <v>27</v>
      </c>
      <c r="F2779" s="20" t="s">
        <v>533</v>
      </c>
      <c r="G2779" s="15"/>
      <c r="H2779" s="15"/>
      <c r="I2779" s="15"/>
      <c r="J2779" s="15"/>
      <c r="K2779" s="15"/>
      <c r="L2779" s="15"/>
      <c r="M2779" s="15"/>
      <c r="N2779" s="15"/>
      <c r="O2779" s="15"/>
      <c r="P2779" s="15"/>
      <c r="Q2779" s="15"/>
      <c r="R2779" s="15"/>
    </row>
    <row r="2780" spans="2:18" ht="13">
      <c r="B2780" s="33"/>
      <c r="C2780" s="34"/>
      <c r="D2780" s="68" t="s">
        <v>17</v>
      </c>
      <c r="E2780" s="69" t="s">
        <v>27</v>
      </c>
      <c r="F2780" s="20" t="s">
        <v>533</v>
      </c>
      <c r="G2780" s="15"/>
      <c r="H2780" s="15"/>
      <c r="I2780" s="15"/>
      <c r="J2780" s="15"/>
      <c r="K2780" s="15"/>
      <c r="L2780" s="15"/>
      <c r="M2780" s="15"/>
      <c r="N2780" s="15"/>
      <c r="O2780" s="15"/>
      <c r="P2780" s="15"/>
      <c r="Q2780" s="15"/>
      <c r="R2780" s="15"/>
    </row>
    <row r="2781" spans="2:18" ht="13">
      <c r="B2781" s="33"/>
      <c r="C2781" s="34"/>
      <c r="D2781" s="68" t="s">
        <v>17</v>
      </c>
      <c r="E2781" s="69" t="s">
        <v>27</v>
      </c>
      <c r="F2781" s="20" t="s">
        <v>533</v>
      </c>
      <c r="G2781" s="15"/>
      <c r="H2781" s="15"/>
      <c r="I2781" s="15"/>
      <c r="J2781" s="15"/>
      <c r="K2781" s="15"/>
      <c r="L2781" s="15"/>
      <c r="M2781" s="15"/>
      <c r="N2781" s="15"/>
      <c r="O2781" s="15"/>
      <c r="P2781" s="15"/>
      <c r="Q2781" s="15"/>
      <c r="R2781" s="15"/>
    </row>
    <row r="2782" spans="2:18" ht="13">
      <c r="B2782" s="33"/>
      <c r="C2782" s="34"/>
      <c r="D2782" s="68" t="s">
        <v>17</v>
      </c>
      <c r="E2782" s="69" t="s">
        <v>27</v>
      </c>
      <c r="F2782" s="20" t="s">
        <v>533</v>
      </c>
      <c r="G2782" s="15"/>
      <c r="H2782" s="15"/>
      <c r="I2782" s="15"/>
      <c r="J2782" s="15"/>
      <c r="K2782" s="15"/>
      <c r="L2782" s="15"/>
      <c r="M2782" s="15"/>
      <c r="N2782" s="15"/>
      <c r="O2782" s="15"/>
      <c r="P2782" s="15"/>
      <c r="Q2782" s="15"/>
      <c r="R2782" s="15"/>
    </row>
    <row r="2783" spans="2:18" ht="13">
      <c r="B2783" s="33"/>
      <c r="C2783" s="34"/>
      <c r="D2783" s="68" t="s">
        <v>608</v>
      </c>
      <c r="E2783" s="69" t="s">
        <v>32</v>
      </c>
      <c r="F2783" s="20" t="s">
        <v>533</v>
      </c>
      <c r="G2783" s="15"/>
      <c r="H2783" s="15"/>
      <c r="I2783" s="15"/>
      <c r="J2783" s="15"/>
      <c r="K2783" s="15"/>
      <c r="L2783" s="15"/>
      <c r="M2783" s="15"/>
      <c r="N2783" s="15"/>
      <c r="O2783" s="15"/>
      <c r="P2783" s="15"/>
      <c r="Q2783" s="15"/>
      <c r="R2783" s="15"/>
    </row>
    <row r="2784" spans="2:18" ht="13">
      <c r="B2784" s="33"/>
      <c r="C2784" s="34"/>
      <c r="D2784" s="68" t="s">
        <v>17</v>
      </c>
      <c r="E2784" s="69" t="s">
        <v>564</v>
      </c>
      <c r="F2784" s="20" t="s">
        <v>533</v>
      </c>
      <c r="G2784" s="15"/>
      <c r="H2784" s="15"/>
      <c r="I2784" s="15"/>
      <c r="J2784" s="15"/>
      <c r="K2784" s="15"/>
      <c r="L2784" s="15"/>
      <c r="M2784" s="15"/>
      <c r="N2784" s="15"/>
      <c r="O2784" s="15"/>
      <c r="P2784" s="15"/>
      <c r="Q2784" s="15"/>
      <c r="R2784" s="15"/>
    </row>
    <row r="2785" spans="2:18" ht="13">
      <c r="B2785" s="33"/>
      <c r="C2785" s="34"/>
      <c r="D2785" s="68" t="s">
        <v>17</v>
      </c>
      <c r="E2785" s="69" t="s">
        <v>27</v>
      </c>
      <c r="F2785" s="20" t="s">
        <v>533</v>
      </c>
      <c r="G2785" s="15"/>
      <c r="H2785" s="15"/>
      <c r="I2785" s="15"/>
      <c r="J2785" s="15"/>
      <c r="K2785" s="15"/>
      <c r="L2785" s="15"/>
      <c r="M2785" s="15"/>
      <c r="N2785" s="15"/>
      <c r="O2785" s="15"/>
      <c r="P2785" s="15"/>
      <c r="Q2785" s="15"/>
      <c r="R2785" s="15"/>
    </row>
    <row r="2786" spans="2:18" ht="13">
      <c r="B2786" s="33"/>
      <c r="C2786" s="34"/>
      <c r="D2786" s="68" t="s">
        <v>17</v>
      </c>
      <c r="E2786" s="69" t="s">
        <v>27</v>
      </c>
      <c r="F2786" s="20" t="s">
        <v>533</v>
      </c>
      <c r="G2786" s="15"/>
      <c r="H2786" s="15"/>
      <c r="I2786" s="15"/>
      <c r="J2786" s="15"/>
      <c r="K2786" s="15"/>
      <c r="L2786" s="15"/>
      <c r="M2786" s="15"/>
      <c r="N2786" s="15"/>
      <c r="O2786" s="15"/>
      <c r="P2786" s="15"/>
      <c r="Q2786" s="15"/>
      <c r="R2786" s="15"/>
    </row>
    <row r="2787" spans="2:18" ht="13">
      <c r="B2787" s="33"/>
      <c r="C2787" s="34"/>
      <c r="D2787" s="68" t="s">
        <v>17</v>
      </c>
      <c r="E2787" s="69" t="s">
        <v>27</v>
      </c>
      <c r="F2787" s="20" t="s">
        <v>533</v>
      </c>
      <c r="G2787" s="15"/>
      <c r="H2787" s="15"/>
      <c r="I2787" s="15"/>
      <c r="J2787" s="15"/>
      <c r="K2787" s="15"/>
      <c r="L2787" s="15"/>
      <c r="M2787" s="15"/>
      <c r="N2787" s="15"/>
      <c r="O2787" s="15"/>
      <c r="P2787" s="15"/>
      <c r="Q2787" s="15"/>
      <c r="R2787" s="15"/>
    </row>
    <row r="2788" spans="2:18" ht="13">
      <c r="B2788" s="33"/>
      <c r="C2788" s="34"/>
      <c r="D2788" s="68" t="s">
        <v>17</v>
      </c>
      <c r="E2788" s="69" t="s">
        <v>27</v>
      </c>
      <c r="F2788" s="20" t="s">
        <v>533</v>
      </c>
      <c r="G2788" s="15"/>
      <c r="H2788" s="15"/>
      <c r="I2788" s="15"/>
      <c r="J2788" s="15"/>
      <c r="K2788" s="15"/>
      <c r="L2788" s="15"/>
      <c r="M2788" s="15"/>
      <c r="N2788" s="15"/>
      <c r="O2788" s="15"/>
      <c r="P2788" s="15"/>
      <c r="Q2788" s="15"/>
      <c r="R2788" s="15"/>
    </row>
    <row r="2789" spans="2:18" ht="13">
      <c r="B2789" s="33"/>
      <c r="C2789" s="34"/>
      <c r="D2789" s="68" t="s">
        <v>594</v>
      </c>
      <c r="E2789" s="69" t="s">
        <v>32</v>
      </c>
      <c r="F2789" s="20" t="s">
        <v>533</v>
      </c>
      <c r="G2789" s="15"/>
      <c r="H2789" s="15"/>
      <c r="I2789" s="15"/>
      <c r="J2789" s="15"/>
      <c r="K2789" s="15"/>
      <c r="L2789" s="15"/>
      <c r="M2789" s="15"/>
      <c r="N2789" s="15"/>
      <c r="O2789" s="15"/>
      <c r="P2789" s="15"/>
      <c r="Q2789" s="15"/>
      <c r="R2789" s="15"/>
    </row>
    <row r="2790" spans="2:18" ht="13">
      <c r="B2790" s="33"/>
      <c r="C2790" s="34"/>
      <c r="D2790" s="68" t="s">
        <v>290</v>
      </c>
      <c r="E2790" s="69" t="s">
        <v>32</v>
      </c>
      <c r="F2790" s="20" t="s">
        <v>533</v>
      </c>
      <c r="G2790" s="15"/>
      <c r="H2790" s="15"/>
      <c r="I2790" s="15"/>
      <c r="J2790" s="15"/>
      <c r="K2790" s="15"/>
      <c r="L2790" s="15"/>
      <c r="M2790" s="15"/>
      <c r="N2790" s="15"/>
      <c r="O2790" s="15"/>
      <c r="P2790" s="15"/>
      <c r="Q2790" s="15"/>
      <c r="R2790" s="15"/>
    </row>
    <row r="2791" spans="2:18" ht="13">
      <c r="B2791" s="33"/>
      <c r="C2791" s="34"/>
      <c r="D2791" s="68" t="s">
        <v>17</v>
      </c>
      <c r="E2791" s="69" t="s">
        <v>27</v>
      </c>
      <c r="F2791" s="20" t="s">
        <v>533</v>
      </c>
      <c r="G2791" s="15"/>
      <c r="H2791" s="15"/>
      <c r="I2791" s="15"/>
      <c r="J2791" s="15"/>
      <c r="K2791" s="15"/>
      <c r="L2791" s="15"/>
      <c r="M2791" s="15"/>
      <c r="N2791" s="15"/>
      <c r="O2791" s="15"/>
      <c r="P2791" s="15"/>
      <c r="Q2791" s="15"/>
      <c r="R2791" s="15"/>
    </row>
    <row r="2792" spans="2:18" ht="13">
      <c r="B2792" s="33"/>
      <c r="C2792" s="34"/>
      <c r="D2792" s="68" t="s">
        <v>26</v>
      </c>
      <c r="E2792" s="69" t="s">
        <v>27</v>
      </c>
      <c r="F2792" s="20" t="s">
        <v>533</v>
      </c>
      <c r="G2792" s="15"/>
      <c r="H2792" s="15"/>
      <c r="I2792" s="15"/>
      <c r="J2792" s="15"/>
      <c r="K2792" s="15"/>
      <c r="L2792" s="15"/>
      <c r="M2792" s="15"/>
      <c r="N2792" s="15"/>
      <c r="O2792" s="15"/>
      <c r="P2792" s="15"/>
      <c r="Q2792" s="15"/>
      <c r="R2792" s="15"/>
    </row>
    <row r="2793" spans="2:18" ht="13">
      <c r="B2793" s="33"/>
      <c r="C2793" s="34"/>
      <c r="D2793" s="68" t="s">
        <v>611</v>
      </c>
      <c r="E2793" s="69" t="s">
        <v>163</v>
      </c>
      <c r="F2793" s="20" t="s">
        <v>533</v>
      </c>
      <c r="G2793" s="15"/>
      <c r="H2793" s="15"/>
      <c r="I2793" s="15"/>
      <c r="J2793" s="15"/>
      <c r="K2793" s="15"/>
      <c r="L2793" s="15"/>
      <c r="M2793" s="15"/>
      <c r="N2793" s="15"/>
      <c r="O2793" s="15"/>
      <c r="P2793" s="15"/>
      <c r="Q2793" s="15"/>
      <c r="R2793" s="15"/>
    </row>
    <row r="2794" spans="2:18" ht="13">
      <c r="B2794" s="33"/>
      <c r="C2794" s="34"/>
      <c r="D2794" s="68" t="s">
        <v>547</v>
      </c>
      <c r="E2794" s="69" t="s">
        <v>124</v>
      </c>
      <c r="F2794" s="20" t="s">
        <v>533</v>
      </c>
      <c r="G2794" s="15"/>
      <c r="H2794" s="15"/>
      <c r="I2794" s="15"/>
      <c r="J2794" s="15"/>
      <c r="K2794" s="15"/>
      <c r="L2794" s="15"/>
      <c r="M2794" s="15"/>
      <c r="N2794" s="15"/>
      <c r="O2794" s="15"/>
      <c r="P2794" s="15"/>
      <c r="Q2794" s="15"/>
      <c r="R2794" s="15"/>
    </row>
    <row r="2795" spans="2:18" ht="13">
      <c r="B2795" s="33"/>
      <c r="C2795" s="34"/>
      <c r="D2795" s="68" t="s">
        <v>17</v>
      </c>
      <c r="E2795" s="69" t="s">
        <v>116</v>
      </c>
      <c r="F2795" s="20" t="s">
        <v>533</v>
      </c>
      <c r="G2795" s="15"/>
      <c r="H2795" s="15"/>
      <c r="I2795" s="15"/>
      <c r="J2795" s="15"/>
      <c r="K2795" s="15"/>
      <c r="L2795" s="15"/>
      <c r="M2795" s="15"/>
      <c r="N2795" s="15"/>
      <c r="O2795" s="15"/>
      <c r="P2795" s="15"/>
      <c r="Q2795" s="15"/>
      <c r="R2795" s="15"/>
    </row>
    <row r="2796" spans="2:18" ht="13">
      <c r="B2796" s="33"/>
      <c r="C2796" s="34"/>
      <c r="D2796" s="68" t="s">
        <v>560</v>
      </c>
      <c r="E2796" s="69" t="s">
        <v>121</v>
      </c>
      <c r="F2796" s="20" t="s">
        <v>533</v>
      </c>
      <c r="G2796" s="15"/>
      <c r="H2796" s="15"/>
      <c r="I2796" s="15"/>
      <c r="J2796" s="15"/>
      <c r="K2796" s="15"/>
      <c r="L2796" s="15"/>
      <c r="M2796" s="15"/>
      <c r="N2796" s="15"/>
      <c r="O2796" s="15"/>
      <c r="P2796" s="15"/>
      <c r="Q2796" s="15"/>
      <c r="R2796" s="15"/>
    </row>
    <row r="2797" spans="2:18" ht="13">
      <c r="B2797" s="33"/>
      <c r="C2797" s="34"/>
      <c r="D2797" s="68" t="s">
        <v>26</v>
      </c>
      <c r="E2797" s="69" t="s">
        <v>27</v>
      </c>
      <c r="F2797" s="20" t="s">
        <v>533</v>
      </c>
      <c r="G2797" s="15"/>
      <c r="H2797" s="15"/>
      <c r="I2797" s="15"/>
      <c r="J2797" s="15"/>
      <c r="K2797" s="15"/>
      <c r="L2797" s="15"/>
      <c r="M2797" s="15"/>
      <c r="N2797" s="15"/>
      <c r="O2797" s="15"/>
      <c r="P2797" s="15"/>
      <c r="Q2797" s="15"/>
      <c r="R2797" s="15"/>
    </row>
    <row r="2798" spans="2:18" ht="13">
      <c r="B2798" s="33"/>
      <c r="C2798" s="34"/>
      <c r="D2798" s="68" t="s">
        <v>17</v>
      </c>
      <c r="E2798" s="69" t="s">
        <v>27</v>
      </c>
      <c r="F2798" s="20" t="s">
        <v>533</v>
      </c>
      <c r="G2798" s="15"/>
      <c r="H2798" s="15"/>
      <c r="I2798" s="15"/>
      <c r="J2798" s="15"/>
      <c r="K2798" s="15"/>
      <c r="L2798" s="15"/>
      <c r="M2798" s="15"/>
      <c r="N2798" s="15"/>
      <c r="O2798" s="15"/>
      <c r="P2798" s="15"/>
      <c r="Q2798" s="15"/>
      <c r="R2798" s="15"/>
    </row>
    <row r="2799" spans="2:18" ht="13">
      <c r="B2799" s="33"/>
      <c r="C2799" s="34"/>
      <c r="D2799" s="68" t="s">
        <v>26</v>
      </c>
      <c r="E2799" s="69" t="s">
        <v>27</v>
      </c>
      <c r="F2799" s="20" t="s">
        <v>533</v>
      </c>
      <c r="G2799" s="15"/>
      <c r="H2799" s="15"/>
      <c r="I2799" s="15"/>
      <c r="J2799" s="15"/>
      <c r="K2799" s="15"/>
      <c r="L2799" s="15"/>
      <c r="M2799" s="15"/>
      <c r="N2799" s="15"/>
      <c r="O2799" s="15"/>
      <c r="P2799" s="15"/>
      <c r="Q2799" s="15"/>
      <c r="R2799" s="15"/>
    </row>
    <row r="2800" spans="2:18" ht="13">
      <c r="B2800" s="33"/>
      <c r="C2800" s="34"/>
      <c r="D2800" s="68" t="s">
        <v>663</v>
      </c>
      <c r="E2800" s="69" t="s">
        <v>163</v>
      </c>
      <c r="F2800" s="20" t="s">
        <v>533</v>
      </c>
      <c r="G2800" s="15"/>
      <c r="H2800" s="15"/>
      <c r="I2800" s="15"/>
      <c r="J2800" s="15"/>
      <c r="K2800" s="15"/>
      <c r="L2800" s="15"/>
      <c r="M2800" s="15"/>
      <c r="N2800" s="15"/>
      <c r="O2800" s="15"/>
      <c r="P2800" s="15"/>
      <c r="Q2800" s="15"/>
      <c r="R2800" s="15"/>
    </row>
    <row r="2801" spans="2:18" ht="13">
      <c r="B2801" s="33"/>
      <c r="C2801" s="34"/>
      <c r="D2801" s="68" t="s">
        <v>86</v>
      </c>
      <c r="E2801" s="69" t="s">
        <v>163</v>
      </c>
      <c r="F2801" s="20" t="s">
        <v>533</v>
      </c>
      <c r="G2801" s="15"/>
      <c r="H2801" s="15"/>
      <c r="I2801" s="15"/>
      <c r="J2801" s="15"/>
      <c r="K2801" s="15"/>
      <c r="L2801" s="15"/>
      <c r="M2801" s="15"/>
      <c r="N2801" s="15"/>
      <c r="O2801" s="15"/>
      <c r="P2801" s="15"/>
      <c r="Q2801" s="15"/>
      <c r="R2801" s="15"/>
    </row>
    <row r="2802" spans="2:18" ht="13">
      <c r="B2802" s="33"/>
      <c r="C2802" s="34"/>
      <c r="D2802" s="68" t="s">
        <v>17</v>
      </c>
      <c r="E2802" s="69" t="s">
        <v>27</v>
      </c>
      <c r="F2802" s="20" t="s">
        <v>533</v>
      </c>
      <c r="G2802" s="15"/>
      <c r="H2802" s="15"/>
      <c r="I2802" s="15"/>
      <c r="J2802" s="15"/>
      <c r="K2802" s="15"/>
      <c r="L2802" s="15"/>
      <c r="M2802" s="15"/>
      <c r="N2802" s="15"/>
      <c r="O2802" s="15"/>
      <c r="P2802" s="15"/>
      <c r="Q2802" s="15"/>
      <c r="R2802" s="15"/>
    </row>
    <row r="2803" spans="2:18" ht="13">
      <c r="B2803" s="33"/>
      <c r="C2803" s="34"/>
      <c r="D2803" s="68" t="s">
        <v>602</v>
      </c>
      <c r="E2803" s="69" t="s">
        <v>121</v>
      </c>
      <c r="F2803" s="20" t="s">
        <v>533</v>
      </c>
      <c r="G2803" s="15"/>
      <c r="H2803" s="15"/>
      <c r="I2803" s="15"/>
      <c r="J2803" s="15"/>
      <c r="K2803" s="15"/>
      <c r="L2803" s="15"/>
      <c r="M2803" s="15"/>
      <c r="N2803" s="15"/>
      <c r="O2803" s="15"/>
      <c r="P2803" s="15"/>
      <c r="Q2803" s="15"/>
      <c r="R2803" s="15"/>
    </row>
    <row r="2804" spans="2:18" ht="13">
      <c r="B2804" s="33"/>
      <c r="C2804" s="34"/>
      <c r="D2804" s="68" t="s">
        <v>630</v>
      </c>
      <c r="E2804" s="69" t="s">
        <v>27</v>
      </c>
      <c r="F2804" s="20" t="s">
        <v>533</v>
      </c>
      <c r="G2804" s="15"/>
      <c r="H2804" s="15"/>
      <c r="I2804" s="15"/>
      <c r="J2804" s="15"/>
      <c r="K2804" s="15"/>
      <c r="L2804" s="15"/>
      <c r="M2804" s="15"/>
      <c r="N2804" s="15"/>
      <c r="O2804" s="15"/>
      <c r="P2804" s="15"/>
      <c r="Q2804" s="15"/>
      <c r="R2804" s="15"/>
    </row>
    <row r="2805" spans="2:18" ht="13">
      <c r="B2805" s="33"/>
      <c r="C2805" s="34"/>
      <c r="D2805" s="68" t="s">
        <v>577</v>
      </c>
      <c r="E2805" s="69" t="s">
        <v>124</v>
      </c>
      <c r="F2805" s="20" t="s">
        <v>533</v>
      </c>
      <c r="G2805" s="15"/>
      <c r="H2805" s="15"/>
      <c r="I2805" s="15"/>
      <c r="J2805" s="15"/>
      <c r="K2805" s="15"/>
      <c r="L2805" s="15"/>
      <c r="M2805" s="15"/>
      <c r="N2805" s="15"/>
      <c r="O2805" s="15"/>
      <c r="P2805" s="15"/>
      <c r="Q2805" s="15"/>
      <c r="R2805" s="15"/>
    </row>
    <row r="2806" spans="2:18" ht="13">
      <c r="B2806" s="33"/>
      <c r="C2806" s="34"/>
      <c r="D2806" s="68" t="s">
        <v>26</v>
      </c>
      <c r="E2806" s="69" t="s">
        <v>564</v>
      </c>
      <c r="F2806" s="20" t="s">
        <v>533</v>
      </c>
      <c r="G2806" s="15"/>
      <c r="H2806" s="15"/>
      <c r="I2806" s="15"/>
      <c r="J2806" s="15"/>
      <c r="K2806" s="15"/>
      <c r="L2806" s="15"/>
      <c r="M2806" s="15"/>
      <c r="N2806" s="15"/>
      <c r="O2806" s="15"/>
      <c r="P2806" s="15"/>
      <c r="Q2806" s="15"/>
      <c r="R2806" s="15"/>
    </row>
    <row r="2807" spans="2:18" ht="13">
      <c r="B2807" s="33"/>
      <c r="C2807" s="34"/>
      <c r="D2807" s="68" t="s">
        <v>106</v>
      </c>
      <c r="E2807" s="69" t="s">
        <v>37</v>
      </c>
      <c r="F2807" s="20" t="s">
        <v>533</v>
      </c>
      <c r="G2807" s="15"/>
      <c r="H2807" s="15"/>
      <c r="I2807" s="15"/>
      <c r="J2807" s="15"/>
      <c r="K2807" s="15"/>
      <c r="L2807" s="15"/>
      <c r="M2807" s="15"/>
      <c r="N2807" s="15"/>
      <c r="O2807" s="15"/>
      <c r="P2807" s="15"/>
      <c r="Q2807" s="15"/>
      <c r="R2807" s="15"/>
    </row>
    <row r="2808" spans="2:18" ht="13">
      <c r="B2808" s="33"/>
      <c r="C2808" s="34"/>
      <c r="D2808" s="68" t="s">
        <v>26</v>
      </c>
      <c r="E2808" s="69" t="s">
        <v>27</v>
      </c>
      <c r="F2808" s="20" t="s">
        <v>533</v>
      </c>
      <c r="G2808" s="15"/>
      <c r="H2808" s="15"/>
      <c r="I2808" s="15"/>
      <c r="J2808" s="15"/>
      <c r="K2808" s="15"/>
      <c r="L2808" s="15"/>
      <c r="M2808" s="15"/>
      <c r="N2808" s="15"/>
      <c r="O2808" s="15"/>
      <c r="P2808" s="15"/>
      <c r="Q2808" s="15"/>
      <c r="R2808" s="15"/>
    </row>
    <row r="2809" spans="2:18" ht="13">
      <c r="B2809" s="33"/>
      <c r="C2809" s="34"/>
      <c r="D2809" s="68" t="s">
        <v>26</v>
      </c>
      <c r="E2809" s="69" t="s">
        <v>27</v>
      </c>
      <c r="F2809" s="20" t="s">
        <v>533</v>
      </c>
      <c r="G2809" s="15"/>
      <c r="H2809" s="15"/>
      <c r="I2809" s="15"/>
      <c r="J2809" s="15"/>
      <c r="K2809" s="15"/>
      <c r="L2809" s="15"/>
      <c r="M2809" s="15"/>
      <c r="N2809" s="15"/>
      <c r="O2809" s="15"/>
      <c r="P2809" s="15"/>
      <c r="Q2809" s="15"/>
      <c r="R2809" s="15"/>
    </row>
    <row r="2810" spans="2:18" ht="13">
      <c r="B2810" s="33"/>
      <c r="C2810" s="34"/>
      <c r="D2810" s="68" t="s">
        <v>17</v>
      </c>
      <c r="E2810" s="69" t="s">
        <v>27</v>
      </c>
      <c r="F2810" s="20" t="s">
        <v>533</v>
      </c>
      <c r="G2810" s="15"/>
      <c r="H2810" s="15"/>
      <c r="I2810" s="15"/>
      <c r="J2810" s="15"/>
      <c r="K2810" s="15"/>
      <c r="L2810" s="15"/>
      <c r="M2810" s="15"/>
      <c r="N2810" s="15"/>
      <c r="O2810" s="15"/>
      <c r="P2810" s="15"/>
      <c r="Q2810" s="15"/>
      <c r="R2810" s="15"/>
    </row>
    <row r="2811" spans="2:18" ht="13">
      <c r="B2811" s="33"/>
      <c r="C2811" s="34"/>
      <c r="D2811" s="68" t="s">
        <v>17</v>
      </c>
      <c r="E2811" s="69" t="s">
        <v>27</v>
      </c>
      <c r="F2811" s="20" t="s">
        <v>533</v>
      </c>
      <c r="G2811" s="15"/>
      <c r="H2811" s="15"/>
      <c r="I2811" s="15"/>
      <c r="J2811" s="15"/>
      <c r="K2811" s="15"/>
      <c r="L2811" s="15"/>
      <c r="M2811" s="15"/>
      <c r="N2811" s="15"/>
      <c r="O2811" s="15"/>
      <c r="P2811" s="15"/>
      <c r="Q2811" s="15"/>
      <c r="R2811" s="15"/>
    </row>
    <row r="2812" spans="2:18" ht="13">
      <c r="B2812" s="33"/>
      <c r="C2812" s="34"/>
      <c r="D2812" s="68" t="s">
        <v>17</v>
      </c>
      <c r="E2812" s="69" t="s">
        <v>27</v>
      </c>
      <c r="F2812" s="20" t="s">
        <v>533</v>
      </c>
      <c r="G2812" s="15"/>
      <c r="H2812" s="15"/>
      <c r="I2812" s="15"/>
      <c r="J2812" s="15"/>
      <c r="K2812" s="15"/>
      <c r="L2812" s="15"/>
      <c r="M2812" s="15"/>
      <c r="N2812" s="15"/>
      <c r="O2812" s="15"/>
      <c r="P2812" s="15"/>
      <c r="Q2812" s="15"/>
      <c r="R2812" s="15"/>
    </row>
    <row r="2813" spans="2:18" ht="13">
      <c r="B2813" s="33"/>
      <c r="C2813" s="34"/>
      <c r="D2813" s="68" t="s">
        <v>17</v>
      </c>
      <c r="E2813" s="69" t="s">
        <v>27</v>
      </c>
      <c r="F2813" s="20" t="s">
        <v>533</v>
      </c>
      <c r="G2813" s="15"/>
      <c r="H2813" s="15"/>
      <c r="I2813" s="15"/>
      <c r="J2813" s="15"/>
      <c r="K2813" s="15"/>
      <c r="L2813" s="15"/>
      <c r="M2813" s="15"/>
      <c r="N2813" s="15"/>
      <c r="O2813" s="15"/>
      <c r="P2813" s="15"/>
      <c r="Q2813" s="15"/>
      <c r="R2813" s="15"/>
    </row>
    <row r="2814" spans="2:18" ht="13">
      <c r="B2814" s="33"/>
      <c r="C2814" s="34"/>
      <c r="D2814" s="68" t="s">
        <v>17</v>
      </c>
      <c r="E2814" s="69" t="s">
        <v>27</v>
      </c>
      <c r="F2814" s="20" t="s">
        <v>533</v>
      </c>
      <c r="G2814" s="15"/>
      <c r="H2814" s="15"/>
      <c r="I2814" s="15"/>
      <c r="J2814" s="15"/>
      <c r="K2814" s="15"/>
      <c r="L2814" s="15"/>
      <c r="M2814" s="15"/>
      <c r="N2814" s="15"/>
      <c r="O2814" s="15"/>
      <c r="P2814" s="15"/>
      <c r="Q2814" s="15"/>
      <c r="R2814" s="15"/>
    </row>
    <row r="2815" spans="2:18" ht="13">
      <c r="B2815" s="33"/>
      <c r="C2815" s="34"/>
      <c r="D2815" s="68" t="s">
        <v>17</v>
      </c>
      <c r="E2815" s="69" t="s">
        <v>27</v>
      </c>
      <c r="F2815" s="20" t="s">
        <v>533</v>
      </c>
      <c r="G2815" s="15"/>
      <c r="H2815" s="15"/>
      <c r="I2815" s="15"/>
      <c r="J2815" s="15"/>
      <c r="K2815" s="15"/>
      <c r="L2815" s="15"/>
      <c r="M2815" s="15"/>
      <c r="N2815" s="15"/>
      <c r="O2815" s="15"/>
      <c r="P2815" s="15"/>
      <c r="Q2815" s="15"/>
      <c r="R2815" s="15"/>
    </row>
    <row r="2816" spans="2:18" ht="13">
      <c r="B2816" s="33"/>
      <c r="C2816" s="34"/>
      <c r="D2816" s="68" t="s">
        <v>17</v>
      </c>
      <c r="E2816" s="69" t="s">
        <v>27</v>
      </c>
      <c r="F2816" s="20" t="s">
        <v>533</v>
      </c>
      <c r="G2816" s="15"/>
      <c r="H2816" s="15"/>
      <c r="I2816" s="15"/>
      <c r="J2816" s="15"/>
      <c r="K2816" s="15"/>
      <c r="L2816" s="15"/>
      <c r="M2816" s="15"/>
      <c r="N2816" s="15"/>
      <c r="O2816" s="15"/>
      <c r="P2816" s="15"/>
      <c r="Q2816" s="15"/>
      <c r="R2816" s="15"/>
    </row>
    <row r="2817" spans="2:18" ht="13">
      <c r="B2817" s="33"/>
      <c r="C2817" s="34"/>
      <c r="D2817" s="68" t="s">
        <v>17</v>
      </c>
      <c r="E2817" s="69" t="s">
        <v>27</v>
      </c>
      <c r="F2817" s="20" t="s">
        <v>533</v>
      </c>
      <c r="G2817" s="15"/>
      <c r="H2817" s="15"/>
      <c r="I2817" s="15"/>
      <c r="J2817" s="15"/>
      <c r="K2817" s="15"/>
      <c r="L2817" s="15"/>
      <c r="M2817" s="15"/>
      <c r="N2817" s="15"/>
      <c r="O2817" s="15"/>
      <c r="P2817" s="15"/>
      <c r="Q2817" s="15"/>
      <c r="R2817" s="15"/>
    </row>
    <row r="2818" spans="2:18" ht="13">
      <c r="B2818" s="33"/>
      <c r="C2818" s="34"/>
      <c r="D2818" s="68" t="s">
        <v>17</v>
      </c>
      <c r="E2818" s="69" t="s">
        <v>27</v>
      </c>
      <c r="F2818" s="20" t="s">
        <v>533</v>
      </c>
      <c r="G2818" s="15"/>
      <c r="H2818" s="15"/>
      <c r="I2818" s="15"/>
      <c r="J2818" s="15"/>
      <c r="K2818" s="15"/>
      <c r="L2818" s="15"/>
      <c r="M2818" s="15"/>
      <c r="N2818" s="15"/>
      <c r="O2818" s="15"/>
      <c r="P2818" s="15"/>
      <c r="Q2818" s="15"/>
      <c r="R2818" s="15"/>
    </row>
    <row r="2819" spans="2:18" ht="13">
      <c r="B2819" s="33"/>
      <c r="C2819" s="34"/>
      <c r="D2819" s="68" t="s">
        <v>17</v>
      </c>
      <c r="E2819" s="69" t="s">
        <v>27</v>
      </c>
      <c r="F2819" s="20" t="s">
        <v>533</v>
      </c>
      <c r="G2819" s="15"/>
      <c r="H2819" s="15"/>
      <c r="I2819" s="15"/>
      <c r="J2819" s="15"/>
      <c r="K2819" s="15"/>
      <c r="L2819" s="15"/>
      <c r="M2819" s="15"/>
      <c r="N2819" s="15"/>
      <c r="O2819" s="15"/>
      <c r="P2819" s="15"/>
      <c r="Q2819" s="15"/>
      <c r="R2819" s="15"/>
    </row>
    <row r="2820" spans="2:18" ht="13">
      <c r="B2820" s="33"/>
      <c r="C2820" s="34"/>
      <c r="D2820" s="68" t="s">
        <v>17</v>
      </c>
      <c r="E2820" s="69" t="s">
        <v>27</v>
      </c>
      <c r="F2820" s="20" t="s">
        <v>533</v>
      </c>
      <c r="G2820" s="15"/>
      <c r="H2820" s="15"/>
      <c r="I2820" s="15"/>
      <c r="J2820" s="15"/>
      <c r="K2820" s="15"/>
      <c r="L2820" s="15"/>
      <c r="M2820" s="15"/>
      <c r="N2820" s="15"/>
      <c r="O2820" s="15"/>
      <c r="P2820" s="15"/>
      <c r="Q2820" s="15"/>
      <c r="R2820" s="15"/>
    </row>
    <row r="2821" spans="2:18" ht="13">
      <c r="B2821" s="33"/>
      <c r="C2821" s="34"/>
      <c r="D2821" s="68" t="s">
        <v>17</v>
      </c>
      <c r="E2821" s="69" t="s">
        <v>27</v>
      </c>
      <c r="F2821" s="20" t="s">
        <v>533</v>
      </c>
      <c r="G2821" s="15"/>
      <c r="H2821" s="15"/>
      <c r="I2821" s="15"/>
      <c r="J2821" s="15"/>
      <c r="K2821" s="15"/>
      <c r="L2821" s="15"/>
      <c r="M2821" s="15"/>
      <c r="N2821" s="15"/>
      <c r="O2821" s="15"/>
      <c r="P2821" s="15"/>
      <c r="Q2821" s="15"/>
      <c r="R2821" s="15"/>
    </row>
    <row r="2822" spans="2:18" ht="13">
      <c r="B2822" s="33"/>
      <c r="C2822" s="34"/>
      <c r="D2822" s="68" t="s">
        <v>17</v>
      </c>
      <c r="E2822" s="69" t="s">
        <v>27</v>
      </c>
      <c r="F2822" s="20" t="s">
        <v>533</v>
      </c>
      <c r="G2822" s="15"/>
      <c r="H2822" s="15"/>
      <c r="I2822" s="15"/>
      <c r="J2822" s="15"/>
      <c r="K2822" s="15"/>
      <c r="L2822" s="15"/>
      <c r="M2822" s="15"/>
      <c r="N2822" s="15"/>
      <c r="O2822" s="15"/>
      <c r="P2822" s="15"/>
      <c r="Q2822" s="15"/>
      <c r="R2822" s="15"/>
    </row>
    <row r="2823" spans="2:18" ht="13">
      <c r="B2823" s="33"/>
      <c r="C2823" s="34"/>
      <c r="D2823" s="68" t="s">
        <v>17</v>
      </c>
      <c r="E2823" s="69" t="s">
        <v>27</v>
      </c>
      <c r="F2823" s="20" t="s">
        <v>533</v>
      </c>
      <c r="G2823" s="15"/>
      <c r="H2823" s="15"/>
      <c r="I2823" s="15"/>
      <c r="J2823" s="15"/>
      <c r="K2823" s="15"/>
      <c r="L2823" s="15"/>
      <c r="M2823" s="15"/>
      <c r="N2823" s="15"/>
      <c r="O2823" s="15"/>
      <c r="P2823" s="15"/>
      <c r="Q2823" s="15"/>
      <c r="R2823" s="15"/>
    </row>
    <row r="2824" spans="2:18" ht="13">
      <c r="B2824" s="33"/>
      <c r="C2824" s="34"/>
      <c r="D2824" s="68" t="s">
        <v>17</v>
      </c>
      <c r="E2824" s="69" t="s">
        <v>27</v>
      </c>
      <c r="F2824" s="20" t="s">
        <v>533</v>
      </c>
      <c r="G2824" s="15"/>
      <c r="H2824" s="15"/>
      <c r="I2824" s="15"/>
      <c r="J2824" s="15"/>
      <c r="K2824" s="15"/>
      <c r="L2824" s="15"/>
      <c r="M2824" s="15"/>
      <c r="N2824" s="15"/>
      <c r="O2824" s="15"/>
      <c r="P2824" s="15"/>
      <c r="Q2824" s="15"/>
      <c r="R2824" s="15"/>
    </row>
    <row r="2825" spans="2:18" ht="13">
      <c r="B2825" s="33"/>
      <c r="C2825" s="34"/>
      <c r="D2825" s="68" t="s">
        <v>593</v>
      </c>
      <c r="E2825" s="69" t="s">
        <v>32</v>
      </c>
      <c r="F2825" s="20" t="s">
        <v>533</v>
      </c>
      <c r="G2825" s="15"/>
      <c r="H2825" s="15"/>
      <c r="I2825" s="15"/>
      <c r="J2825" s="15"/>
      <c r="K2825" s="15"/>
      <c r="L2825" s="15"/>
      <c r="M2825" s="15"/>
      <c r="N2825" s="15"/>
      <c r="O2825" s="15"/>
      <c r="P2825" s="15"/>
      <c r="Q2825" s="15"/>
      <c r="R2825" s="15"/>
    </row>
    <row r="2826" spans="2:18" ht="13">
      <c r="B2826" s="33"/>
      <c r="C2826" s="34"/>
      <c r="D2826" s="68" t="s">
        <v>26</v>
      </c>
      <c r="E2826" s="69" t="s">
        <v>27</v>
      </c>
      <c r="F2826" s="20" t="s">
        <v>533</v>
      </c>
      <c r="G2826" s="15"/>
      <c r="H2826" s="15"/>
      <c r="I2826" s="15"/>
      <c r="J2826" s="15"/>
      <c r="K2826" s="15"/>
      <c r="L2826" s="15"/>
      <c r="M2826" s="15"/>
      <c r="N2826" s="15"/>
      <c r="O2826" s="15"/>
      <c r="P2826" s="15"/>
      <c r="Q2826" s="15"/>
      <c r="R2826" s="15"/>
    </row>
    <row r="2827" spans="2:18" ht="13">
      <c r="B2827" s="33"/>
      <c r="C2827" s="34"/>
      <c r="D2827" s="68" t="s">
        <v>17</v>
      </c>
      <c r="E2827" s="69" t="s">
        <v>27</v>
      </c>
      <c r="F2827" s="20" t="s">
        <v>533</v>
      </c>
      <c r="G2827" s="15"/>
      <c r="H2827" s="15"/>
      <c r="I2827" s="15"/>
      <c r="J2827" s="15"/>
      <c r="K2827" s="15"/>
      <c r="L2827" s="15"/>
      <c r="M2827" s="15"/>
      <c r="N2827" s="15"/>
      <c r="O2827" s="15"/>
      <c r="P2827" s="15"/>
      <c r="Q2827" s="15"/>
      <c r="R2827" s="15"/>
    </row>
    <row r="2828" spans="2:18" ht="13">
      <c r="B2828" s="33"/>
      <c r="C2828" s="34"/>
      <c r="D2828" s="68" t="s">
        <v>17</v>
      </c>
      <c r="E2828" s="69" t="s">
        <v>27</v>
      </c>
      <c r="F2828" s="20" t="s">
        <v>533</v>
      </c>
      <c r="G2828" s="15"/>
      <c r="H2828" s="15"/>
      <c r="I2828" s="15"/>
      <c r="J2828" s="15"/>
      <c r="K2828" s="15"/>
      <c r="L2828" s="15"/>
      <c r="M2828" s="15"/>
      <c r="N2828" s="15"/>
      <c r="O2828" s="15"/>
      <c r="P2828" s="15"/>
      <c r="Q2828" s="15"/>
      <c r="R2828" s="15"/>
    </row>
    <row r="2829" spans="2:18" ht="13">
      <c r="B2829" s="33"/>
      <c r="C2829" s="34"/>
      <c r="D2829" s="68" t="s">
        <v>17</v>
      </c>
      <c r="E2829" s="69" t="s">
        <v>27</v>
      </c>
      <c r="F2829" s="20" t="s">
        <v>533</v>
      </c>
      <c r="G2829" s="15"/>
      <c r="H2829" s="15"/>
      <c r="I2829" s="15"/>
      <c r="J2829" s="15"/>
      <c r="K2829" s="15"/>
      <c r="L2829" s="15"/>
      <c r="M2829" s="15"/>
      <c r="N2829" s="15"/>
      <c r="O2829" s="15"/>
      <c r="P2829" s="15"/>
      <c r="Q2829" s="15"/>
      <c r="R2829" s="15"/>
    </row>
    <row r="2830" spans="2:18" ht="13">
      <c r="B2830" s="33"/>
      <c r="C2830" s="34"/>
      <c r="D2830" s="68" t="s">
        <v>17</v>
      </c>
      <c r="E2830" s="69" t="s">
        <v>27</v>
      </c>
      <c r="F2830" s="20" t="s">
        <v>533</v>
      </c>
      <c r="G2830" s="15"/>
      <c r="H2830" s="15"/>
      <c r="I2830" s="15"/>
      <c r="J2830" s="15"/>
      <c r="K2830" s="15"/>
      <c r="L2830" s="15"/>
      <c r="M2830" s="15"/>
      <c r="N2830" s="15"/>
      <c r="O2830" s="15"/>
      <c r="P2830" s="15"/>
      <c r="Q2830" s="15"/>
      <c r="R2830" s="15"/>
    </row>
    <row r="2831" spans="2:18" ht="13">
      <c r="B2831" s="33"/>
      <c r="C2831" s="34"/>
      <c r="D2831" s="68" t="s">
        <v>17</v>
      </c>
      <c r="E2831" s="69" t="s">
        <v>116</v>
      </c>
      <c r="F2831" s="20" t="s">
        <v>533</v>
      </c>
      <c r="G2831" s="15"/>
      <c r="H2831" s="15"/>
      <c r="I2831" s="15"/>
      <c r="J2831" s="15"/>
      <c r="K2831" s="15"/>
      <c r="L2831" s="15"/>
      <c r="M2831" s="15"/>
      <c r="N2831" s="15"/>
      <c r="O2831" s="15"/>
      <c r="P2831" s="15"/>
      <c r="Q2831" s="15"/>
      <c r="R2831" s="15"/>
    </row>
    <row r="2832" spans="2:18" ht="13">
      <c r="B2832" s="33"/>
      <c r="C2832" s="34"/>
      <c r="D2832" s="68" t="s">
        <v>86</v>
      </c>
      <c r="E2832" s="69" t="s">
        <v>121</v>
      </c>
      <c r="F2832" s="20" t="s">
        <v>533</v>
      </c>
      <c r="G2832" s="15"/>
      <c r="H2832" s="15"/>
      <c r="I2832" s="15"/>
      <c r="J2832" s="15"/>
      <c r="K2832" s="15"/>
      <c r="L2832" s="15"/>
      <c r="M2832" s="15"/>
      <c r="N2832" s="15"/>
      <c r="O2832" s="15"/>
      <c r="P2832" s="15"/>
      <c r="Q2832" s="15"/>
      <c r="R2832" s="15"/>
    </row>
    <row r="2833" spans="2:18" ht="13">
      <c r="B2833" s="33"/>
      <c r="C2833" s="34"/>
      <c r="D2833" s="68" t="s">
        <v>17</v>
      </c>
      <c r="E2833" s="69" t="s">
        <v>27</v>
      </c>
      <c r="F2833" s="20" t="s">
        <v>533</v>
      </c>
      <c r="G2833" s="15"/>
      <c r="H2833" s="15"/>
      <c r="I2833" s="15"/>
      <c r="J2833" s="15"/>
      <c r="K2833" s="15"/>
      <c r="L2833" s="15"/>
      <c r="M2833" s="15"/>
      <c r="N2833" s="15"/>
      <c r="O2833" s="15"/>
      <c r="P2833" s="15"/>
      <c r="Q2833" s="15"/>
      <c r="R2833" s="15"/>
    </row>
    <row r="2834" spans="2:18" ht="13">
      <c r="B2834" s="33"/>
      <c r="C2834" s="34"/>
      <c r="D2834" s="68" t="s">
        <v>17</v>
      </c>
      <c r="E2834" s="69" t="s">
        <v>27</v>
      </c>
      <c r="F2834" s="20" t="s">
        <v>533</v>
      </c>
      <c r="G2834" s="15"/>
      <c r="H2834" s="15"/>
      <c r="I2834" s="15"/>
      <c r="J2834" s="15"/>
      <c r="K2834" s="15"/>
      <c r="L2834" s="15"/>
      <c r="M2834" s="15"/>
      <c r="N2834" s="15"/>
      <c r="O2834" s="15"/>
      <c r="P2834" s="15"/>
      <c r="Q2834" s="15"/>
      <c r="R2834" s="15"/>
    </row>
    <row r="2835" spans="2:18" ht="13">
      <c r="B2835" s="33"/>
      <c r="C2835" s="34"/>
      <c r="D2835" s="68" t="s">
        <v>17</v>
      </c>
      <c r="E2835" s="69" t="s">
        <v>27</v>
      </c>
      <c r="F2835" s="20" t="s">
        <v>533</v>
      </c>
      <c r="G2835" s="15"/>
      <c r="H2835" s="15"/>
      <c r="I2835" s="15"/>
      <c r="J2835" s="15"/>
      <c r="K2835" s="15"/>
      <c r="L2835" s="15"/>
      <c r="M2835" s="15"/>
      <c r="N2835" s="15"/>
      <c r="O2835" s="15"/>
      <c r="P2835" s="15"/>
      <c r="Q2835" s="15"/>
      <c r="R2835" s="15"/>
    </row>
    <row r="2836" spans="2:18" ht="13">
      <c r="B2836" s="33"/>
      <c r="C2836" s="34"/>
      <c r="D2836" s="68" t="s">
        <v>17</v>
      </c>
      <c r="E2836" s="69" t="s">
        <v>27</v>
      </c>
      <c r="F2836" s="20" t="s">
        <v>533</v>
      </c>
      <c r="G2836" s="15"/>
      <c r="H2836" s="15"/>
      <c r="I2836" s="15"/>
      <c r="J2836" s="15"/>
      <c r="K2836" s="15"/>
      <c r="L2836" s="15"/>
      <c r="M2836" s="15"/>
      <c r="N2836" s="15"/>
      <c r="O2836" s="15"/>
      <c r="P2836" s="15"/>
      <c r="Q2836" s="15"/>
      <c r="R2836" s="15"/>
    </row>
    <row r="2837" spans="2:18" ht="13">
      <c r="B2837" s="33"/>
      <c r="C2837" s="34"/>
      <c r="D2837" s="68" t="s">
        <v>17</v>
      </c>
      <c r="E2837" s="69" t="s">
        <v>27</v>
      </c>
      <c r="F2837" s="20" t="s">
        <v>533</v>
      </c>
      <c r="G2837" s="15"/>
      <c r="H2837" s="15"/>
      <c r="I2837" s="15"/>
      <c r="J2837" s="15"/>
      <c r="K2837" s="15"/>
      <c r="L2837" s="15"/>
      <c r="M2837" s="15"/>
      <c r="N2837" s="15"/>
      <c r="O2837" s="15"/>
      <c r="P2837" s="15"/>
      <c r="Q2837" s="15"/>
      <c r="R2837" s="15"/>
    </row>
    <row r="2838" spans="2:18" ht="13">
      <c r="B2838" s="33"/>
      <c r="C2838" s="34"/>
      <c r="D2838" s="68" t="s">
        <v>17</v>
      </c>
      <c r="E2838" s="69" t="s">
        <v>27</v>
      </c>
      <c r="F2838" s="20" t="s">
        <v>533</v>
      </c>
      <c r="G2838" s="15"/>
      <c r="H2838" s="15"/>
      <c r="I2838" s="15"/>
      <c r="J2838" s="15"/>
      <c r="K2838" s="15"/>
      <c r="L2838" s="15"/>
      <c r="M2838" s="15"/>
      <c r="N2838" s="15"/>
      <c r="O2838" s="15"/>
      <c r="P2838" s="15"/>
      <c r="Q2838" s="15"/>
      <c r="R2838" s="15"/>
    </row>
    <row r="2839" spans="2:18" ht="13">
      <c r="B2839" s="33"/>
      <c r="C2839" s="34"/>
      <c r="D2839" s="68" t="s">
        <v>17</v>
      </c>
      <c r="E2839" s="69" t="s">
        <v>27</v>
      </c>
      <c r="F2839" s="20" t="s">
        <v>533</v>
      </c>
      <c r="G2839" s="15"/>
      <c r="H2839" s="15"/>
      <c r="I2839" s="15"/>
      <c r="J2839" s="15"/>
      <c r="K2839" s="15"/>
      <c r="L2839" s="15"/>
      <c r="M2839" s="15"/>
      <c r="N2839" s="15"/>
      <c r="O2839" s="15"/>
      <c r="P2839" s="15"/>
      <c r="Q2839" s="15"/>
      <c r="R2839" s="15"/>
    </row>
    <row r="2840" spans="2:18" ht="13">
      <c r="B2840" s="33"/>
      <c r="C2840" s="34"/>
      <c r="D2840" s="68" t="s">
        <v>17</v>
      </c>
      <c r="E2840" s="69" t="s">
        <v>27</v>
      </c>
      <c r="F2840" s="20" t="s">
        <v>533</v>
      </c>
      <c r="G2840" s="15"/>
      <c r="H2840" s="15"/>
      <c r="I2840" s="15"/>
      <c r="J2840" s="15"/>
      <c r="K2840" s="15"/>
      <c r="L2840" s="15"/>
      <c r="M2840" s="15"/>
      <c r="N2840" s="15"/>
      <c r="O2840" s="15"/>
      <c r="P2840" s="15"/>
      <c r="Q2840" s="15"/>
      <c r="R2840" s="15"/>
    </row>
    <row r="2841" spans="2:18" ht="13">
      <c r="B2841" s="33"/>
      <c r="C2841" s="34"/>
      <c r="D2841" s="68" t="s">
        <v>31</v>
      </c>
      <c r="E2841" s="69" t="s">
        <v>32</v>
      </c>
      <c r="F2841" s="20" t="s">
        <v>533</v>
      </c>
      <c r="G2841" s="15"/>
      <c r="H2841" s="15"/>
      <c r="I2841" s="15"/>
      <c r="J2841" s="15"/>
      <c r="K2841" s="15"/>
      <c r="L2841" s="15"/>
      <c r="M2841" s="15"/>
      <c r="N2841" s="15"/>
      <c r="O2841" s="15"/>
      <c r="P2841" s="15"/>
      <c r="Q2841" s="15"/>
      <c r="R2841" s="15"/>
    </row>
    <row r="2842" spans="2:18" ht="13">
      <c r="B2842" s="33"/>
      <c r="C2842" s="34"/>
      <c r="D2842" s="68" t="s">
        <v>17</v>
      </c>
      <c r="E2842" s="69" t="s">
        <v>27</v>
      </c>
      <c r="F2842" s="20" t="s">
        <v>533</v>
      </c>
      <c r="G2842" s="15"/>
      <c r="H2842" s="15"/>
      <c r="I2842" s="15"/>
      <c r="J2842" s="15"/>
      <c r="K2842" s="15"/>
      <c r="L2842" s="15"/>
      <c r="M2842" s="15"/>
      <c r="N2842" s="15"/>
      <c r="O2842" s="15"/>
      <c r="P2842" s="15"/>
      <c r="Q2842" s="15"/>
      <c r="R2842" s="15"/>
    </row>
    <row r="2843" spans="2:18" ht="13">
      <c r="B2843" s="33"/>
      <c r="C2843" s="34"/>
      <c r="D2843" s="68" t="s">
        <v>17</v>
      </c>
      <c r="E2843" s="69" t="s">
        <v>116</v>
      </c>
      <c r="F2843" s="20" t="s">
        <v>533</v>
      </c>
      <c r="G2843" s="15"/>
      <c r="H2843" s="15"/>
      <c r="I2843" s="15"/>
      <c r="J2843" s="15"/>
      <c r="K2843" s="15"/>
      <c r="L2843" s="15"/>
      <c r="M2843" s="15"/>
      <c r="N2843" s="15"/>
      <c r="O2843" s="15"/>
      <c r="P2843" s="15"/>
      <c r="Q2843" s="15"/>
      <c r="R2843" s="15"/>
    </row>
    <row r="2844" spans="2:18" ht="13">
      <c r="B2844" s="33"/>
      <c r="C2844" s="34"/>
      <c r="D2844" s="68" t="s">
        <v>26</v>
      </c>
      <c r="E2844" s="69" t="s">
        <v>27</v>
      </c>
      <c r="F2844" s="20" t="s">
        <v>533</v>
      </c>
      <c r="G2844" s="15"/>
      <c r="H2844" s="15"/>
      <c r="I2844" s="15"/>
      <c r="J2844" s="15"/>
      <c r="K2844" s="15"/>
      <c r="L2844" s="15"/>
      <c r="M2844" s="15"/>
      <c r="N2844" s="15"/>
      <c r="O2844" s="15"/>
      <c r="P2844" s="15"/>
      <c r="Q2844" s="15"/>
      <c r="R2844" s="15"/>
    </row>
    <row r="2845" spans="2:18" ht="13">
      <c r="B2845" s="33"/>
      <c r="C2845" s="34"/>
      <c r="D2845" s="68" t="s">
        <v>17</v>
      </c>
      <c r="E2845" s="69" t="s">
        <v>27</v>
      </c>
      <c r="F2845" s="20" t="s">
        <v>533</v>
      </c>
      <c r="G2845" s="15"/>
      <c r="H2845" s="15"/>
      <c r="I2845" s="15"/>
      <c r="J2845" s="15"/>
      <c r="K2845" s="15"/>
      <c r="L2845" s="15"/>
      <c r="M2845" s="15"/>
      <c r="N2845" s="15"/>
      <c r="O2845" s="15"/>
      <c r="P2845" s="15"/>
      <c r="Q2845" s="15"/>
      <c r="R2845" s="15"/>
    </row>
    <row r="2846" spans="2:18" ht="13">
      <c r="B2846" s="33"/>
      <c r="C2846" s="34"/>
      <c r="D2846" s="68" t="s">
        <v>17</v>
      </c>
      <c r="E2846" s="69" t="s">
        <v>27</v>
      </c>
      <c r="F2846" s="20" t="s">
        <v>533</v>
      </c>
      <c r="G2846" s="15"/>
      <c r="H2846" s="15"/>
      <c r="I2846" s="15"/>
      <c r="J2846" s="15"/>
      <c r="K2846" s="15"/>
      <c r="L2846" s="15"/>
      <c r="M2846" s="15"/>
      <c r="N2846" s="15"/>
      <c r="O2846" s="15"/>
      <c r="P2846" s="15"/>
      <c r="Q2846" s="15"/>
      <c r="R2846" s="15"/>
    </row>
    <row r="2847" spans="2:18" ht="13">
      <c r="B2847" s="33"/>
      <c r="C2847" s="34"/>
      <c r="D2847" s="68" t="s">
        <v>17</v>
      </c>
      <c r="E2847" s="69" t="s">
        <v>27</v>
      </c>
      <c r="F2847" s="20" t="s">
        <v>533</v>
      </c>
      <c r="G2847" s="15"/>
      <c r="H2847" s="15"/>
      <c r="I2847" s="15"/>
      <c r="J2847" s="15"/>
      <c r="K2847" s="15"/>
      <c r="L2847" s="15"/>
      <c r="M2847" s="15"/>
      <c r="N2847" s="15"/>
      <c r="O2847" s="15"/>
      <c r="P2847" s="15"/>
      <c r="Q2847" s="15"/>
      <c r="R2847" s="15"/>
    </row>
    <row r="2848" spans="2:18" ht="13">
      <c r="B2848" s="33"/>
      <c r="C2848" s="34"/>
      <c r="D2848" s="68" t="s">
        <v>17</v>
      </c>
      <c r="E2848" s="69" t="s">
        <v>27</v>
      </c>
      <c r="F2848" s="20" t="s">
        <v>533</v>
      </c>
      <c r="G2848" s="15"/>
      <c r="H2848" s="15"/>
      <c r="I2848" s="15"/>
      <c r="J2848" s="15"/>
      <c r="K2848" s="15"/>
      <c r="L2848" s="15"/>
      <c r="M2848" s="15"/>
      <c r="N2848" s="15"/>
      <c r="O2848" s="15"/>
      <c r="P2848" s="15"/>
      <c r="Q2848" s="15"/>
      <c r="R2848" s="15"/>
    </row>
    <row r="2849" spans="2:18" ht="13">
      <c r="B2849" s="33"/>
      <c r="C2849" s="34"/>
      <c r="D2849" s="68" t="s">
        <v>17</v>
      </c>
      <c r="E2849" s="69" t="s">
        <v>27</v>
      </c>
      <c r="F2849" s="20" t="s">
        <v>533</v>
      </c>
      <c r="G2849" s="15"/>
      <c r="H2849" s="15"/>
      <c r="I2849" s="15"/>
      <c r="J2849" s="15"/>
      <c r="K2849" s="15"/>
      <c r="L2849" s="15"/>
      <c r="M2849" s="15"/>
      <c r="N2849" s="15"/>
      <c r="O2849" s="15"/>
      <c r="P2849" s="15"/>
      <c r="Q2849" s="15"/>
      <c r="R2849" s="15"/>
    </row>
    <row r="2850" spans="2:18" ht="13">
      <c r="B2850" s="33"/>
      <c r="C2850" s="34"/>
      <c r="D2850" s="68" t="s">
        <v>17</v>
      </c>
      <c r="E2850" s="69" t="s">
        <v>27</v>
      </c>
      <c r="F2850" s="20" t="s">
        <v>533</v>
      </c>
      <c r="G2850" s="15"/>
      <c r="H2850" s="15"/>
      <c r="I2850" s="15"/>
      <c r="J2850" s="15"/>
      <c r="K2850" s="15"/>
      <c r="L2850" s="15"/>
      <c r="M2850" s="15"/>
      <c r="N2850" s="15"/>
      <c r="O2850" s="15"/>
      <c r="P2850" s="15"/>
      <c r="Q2850" s="15"/>
      <c r="R2850" s="15"/>
    </row>
    <row r="2851" spans="2:18" ht="13">
      <c r="B2851" s="33"/>
      <c r="C2851" s="34"/>
      <c r="D2851" s="68" t="s">
        <v>574</v>
      </c>
      <c r="E2851" s="69" t="s">
        <v>575</v>
      </c>
      <c r="F2851" s="20" t="s">
        <v>533</v>
      </c>
      <c r="G2851" s="15"/>
      <c r="H2851" s="15"/>
      <c r="I2851" s="15"/>
      <c r="J2851" s="15"/>
      <c r="K2851" s="15"/>
      <c r="L2851" s="15"/>
      <c r="M2851" s="15"/>
      <c r="N2851" s="15"/>
      <c r="O2851" s="15"/>
      <c r="P2851" s="15"/>
      <c r="Q2851" s="15"/>
      <c r="R2851" s="15"/>
    </row>
    <row r="2852" spans="2:18" ht="13">
      <c r="B2852" s="33"/>
      <c r="C2852" s="34"/>
      <c r="D2852" s="68" t="s">
        <v>17</v>
      </c>
      <c r="E2852" s="69" t="s">
        <v>27</v>
      </c>
      <c r="F2852" s="20" t="s">
        <v>533</v>
      </c>
      <c r="G2852" s="15"/>
      <c r="H2852" s="15"/>
      <c r="I2852" s="15"/>
      <c r="J2852" s="15"/>
      <c r="K2852" s="15"/>
      <c r="L2852" s="15"/>
      <c r="M2852" s="15"/>
      <c r="N2852" s="15"/>
      <c r="O2852" s="15"/>
      <c r="P2852" s="15"/>
      <c r="Q2852" s="15"/>
      <c r="R2852" s="15"/>
    </row>
    <row r="2853" spans="2:18" ht="13">
      <c r="B2853" s="33"/>
      <c r="C2853" s="34"/>
      <c r="D2853" s="68" t="s">
        <v>26</v>
      </c>
      <c r="E2853" s="69" t="s">
        <v>27</v>
      </c>
      <c r="F2853" s="20" t="s">
        <v>533</v>
      </c>
      <c r="G2853" s="15"/>
      <c r="H2853" s="15"/>
      <c r="I2853" s="15"/>
      <c r="J2853" s="15"/>
      <c r="K2853" s="15"/>
      <c r="L2853" s="15"/>
      <c r="M2853" s="15"/>
      <c r="N2853" s="15"/>
      <c r="O2853" s="15"/>
      <c r="P2853" s="15"/>
      <c r="Q2853" s="15"/>
      <c r="R2853" s="15"/>
    </row>
    <row r="2854" spans="2:18" ht="13">
      <c r="B2854" s="33"/>
      <c r="C2854" s="34"/>
      <c r="D2854" s="68" t="s">
        <v>17</v>
      </c>
      <c r="E2854" s="69" t="s">
        <v>27</v>
      </c>
      <c r="F2854" s="20" t="s">
        <v>533</v>
      </c>
      <c r="G2854" s="15"/>
      <c r="H2854" s="15"/>
      <c r="I2854" s="15"/>
      <c r="J2854" s="15"/>
      <c r="K2854" s="15"/>
      <c r="L2854" s="15"/>
      <c r="M2854" s="15"/>
      <c r="N2854" s="15"/>
      <c r="O2854" s="15"/>
      <c r="P2854" s="15"/>
      <c r="Q2854" s="15"/>
      <c r="R2854" s="15"/>
    </row>
    <row r="2855" spans="2:18" ht="13">
      <c r="B2855" s="33"/>
      <c r="C2855" s="34"/>
      <c r="D2855" s="68" t="s">
        <v>17</v>
      </c>
      <c r="E2855" s="69" t="s">
        <v>27</v>
      </c>
      <c r="F2855" s="20" t="s">
        <v>533</v>
      </c>
      <c r="G2855" s="15"/>
      <c r="H2855" s="15"/>
      <c r="I2855" s="15"/>
      <c r="J2855" s="15"/>
      <c r="K2855" s="15"/>
      <c r="L2855" s="15"/>
      <c r="M2855" s="15"/>
      <c r="N2855" s="15"/>
      <c r="O2855" s="15"/>
      <c r="P2855" s="15"/>
      <c r="Q2855" s="15"/>
      <c r="R2855" s="15"/>
    </row>
    <row r="2856" spans="2:18" ht="13">
      <c r="B2856" s="33"/>
      <c r="C2856" s="34"/>
      <c r="D2856" s="68" t="s">
        <v>26</v>
      </c>
      <c r="E2856" s="69" t="s">
        <v>27</v>
      </c>
      <c r="F2856" s="20" t="s">
        <v>533</v>
      </c>
      <c r="G2856" s="15"/>
      <c r="H2856" s="15"/>
      <c r="I2856" s="15"/>
      <c r="J2856" s="15"/>
      <c r="K2856" s="15"/>
      <c r="L2856" s="15"/>
      <c r="M2856" s="15"/>
      <c r="N2856" s="15"/>
      <c r="O2856" s="15"/>
      <c r="P2856" s="15"/>
      <c r="Q2856" s="15"/>
      <c r="R2856" s="15"/>
    </row>
    <row r="2857" spans="2:18" ht="13">
      <c r="B2857" s="33"/>
      <c r="C2857" s="34"/>
      <c r="D2857" s="68" t="s">
        <v>26</v>
      </c>
      <c r="E2857" s="69" t="s">
        <v>27</v>
      </c>
      <c r="F2857" s="20" t="s">
        <v>533</v>
      </c>
      <c r="G2857" s="15"/>
      <c r="H2857" s="15"/>
      <c r="I2857" s="15"/>
      <c r="J2857" s="15"/>
      <c r="K2857" s="15"/>
      <c r="L2857" s="15"/>
      <c r="M2857" s="15"/>
      <c r="N2857" s="15"/>
      <c r="O2857" s="15"/>
      <c r="P2857" s="15"/>
      <c r="Q2857" s="15"/>
      <c r="R2857" s="15"/>
    </row>
    <row r="2858" spans="2:18" ht="13">
      <c r="B2858" s="33"/>
      <c r="C2858" s="34"/>
      <c r="D2858" s="68" t="s">
        <v>17</v>
      </c>
      <c r="E2858" s="69" t="s">
        <v>27</v>
      </c>
      <c r="F2858" s="20" t="s">
        <v>533</v>
      </c>
      <c r="G2858" s="15"/>
      <c r="H2858" s="15"/>
      <c r="I2858" s="15"/>
      <c r="J2858" s="15"/>
      <c r="K2858" s="15"/>
      <c r="L2858" s="15"/>
      <c r="M2858" s="15"/>
      <c r="N2858" s="15"/>
      <c r="O2858" s="15"/>
      <c r="P2858" s="15"/>
      <c r="Q2858" s="15"/>
      <c r="R2858" s="15"/>
    </row>
    <row r="2859" spans="2:18" ht="13">
      <c r="B2859" s="33"/>
      <c r="C2859" s="34"/>
      <c r="D2859" s="68" t="s">
        <v>17</v>
      </c>
      <c r="E2859" s="69" t="s">
        <v>27</v>
      </c>
      <c r="F2859" s="20" t="s">
        <v>533</v>
      </c>
      <c r="G2859" s="15"/>
      <c r="H2859" s="15"/>
      <c r="I2859" s="15"/>
      <c r="J2859" s="15"/>
      <c r="K2859" s="15"/>
      <c r="L2859" s="15"/>
      <c r="M2859" s="15"/>
      <c r="N2859" s="15"/>
      <c r="O2859" s="15"/>
      <c r="P2859" s="15"/>
      <c r="Q2859" s="15"/>
      <c r="R2859" s="15"/>
    </row>
    <row r="2860" spans="2:18" ht="13">
      <c r="B2860" s="33"/>
      <c r="C2860" s="34"/>
      <c r="D2860" s="68" t="s">
        <v>26</v>
      </c>
      <c r="E2860" s="69" t="s">
        <v>27</v>
      </c>
      <c r="F2860" s="20" t="s">
        <v>533</v>
      </c>
      <c r="G2860" s="15"/>
      <c r="H2860" s="15"/>
      <c r="I2860" s="15"/>
      <c r="J2860" s="15"/>
      <c r="K2860" s="15"/>
      <c r="L2860" s="15"/>
      <c r="M2860" s="15"/>
      <c r="N2860" s="15"/>
      <c r="O2860" s="15"/>
      <c r="P2860" s="15"/>
      <c r="Q2860" s="15"/>
      <c r="R2860" s="15"/>
    </row>
    <row r="2861" spans="2:18" ht="13">
      <c r="B2861" s="33"/>
      <c r="C2861" s="34"/>
      <c r="D2861" s="68" t="s">
        <v>26</v>
      </c>
      <c r="E2861" s="69" t="s">
        <v>27</v>
      </c>
      <c r="F2861" s="20" t="s">
        <v>533</v>
      </c>
      <c r="G2861" s="15"/>
      <c r="H2861" s="15"/>
      <c r="I2861" s="15"/>
      <c r="J2861" s="15"/>
      <c r="K2861" s="15"/>
      <c r="L2861" s="15"/>
      <c r="M2861" s="15"/>
      <c r="N2861" s="15"/>
      <c r="O2861" s="15"/>
      <c r="P2861" s="15"/>
      <c r="Q2861" s="15"/>
      <c r="R2861" s="15"/>
    </row>
    <row r="2862" spans="2:18" ht="13">
      <c r="B2862" s="33"/>
      <c r="C2862" s="34"/>
      <c r="D2862" s="68" t="s">
        <v>26</v>
      </c>
      <c r="E2862" s="69" t="s">
        <v>27</v>
      </c>
      <c r="F2862" s="20" t="s">
        <v>533</v>
      </c>
      <c r="G2862" s="15"/>
      <c r="H2862" s="15"/>
      <c r="I2862" s="15"/>
      <c r="J2862" s="15"/>
      <c r="K2862" s="15"/>
      <c r="L2862" s="15"/>
      <c r="M2862" s="15"/>
      <c r="N2862" s="15"/>
      <c r="O2862" s="15"/>
      <c r="P2862" s="15"/>
      <c r="Q2862" s="15"/>
      <c r="R2862" s="15"/>
    </row>
    <row r="2863" spans="2:18" ht="13">
      <c r="B2863" s="33"/>
      <c r="C2863" s="34"/>
      <c r="D2863" s="68" t="s">
        <v>17</v>
      </c>
      <c r="E2863" s="69" t="s">
        <v>27</v>
      </c>
      <c r="F2863" s="20" t="s">
        <v>533</v>
      </c>
      <c r="G2863" s="15"/>
      <c r="H2863" s="15"/>
      <c r="I2863" s="15"/>
      <c r="J2863" s="15"/>
      <c r="K2863" s="15"/>
      <c r="L2863" s="15"/>
      <c r="M2863" s="15"/>
      <c r="N2863" s="15"/>
      <c r="O2863" s="15"/>
      <c r="P2863" s="15"/>
      <c r="Q2863" s="15"/>
      <c r="R2863" s="15"/>
    </row>
    <row r="2864" spans="2:18" ht="13">
      <c r="B2864" s="33"/>
      <c r="C2864" s="34"/>
      <c r="D2864" s="68" t="s">
        <v>17</v>
      </c>
      <c r="E2864" s="69" t="s">
        <v>27</v>
      </c>
      <c r="F2864" s="20" t="s">
        <v>533</v>
      </c>
      <c r="G2864" s="15"/>
      <c r="H2864" s="15"/>
      <c r="I2864" s="15"/>
      <c r="J2864" s="15"/>
      <c r="K2864" s="15"/>
      <c r="L2864" s="15"/>
      <c r="M2864" s="15"/>
      <c r="N2864" s="15"/>
      <c r="O2864" s="15"/>
      <c r="P2864" s="15"/>
      <c r="Q2864" s="15"/>
      <c r="R2864" s="15"/>
    </row>
    <row r="2865" spans="2:18" ht="13">
      <c r="B2865" s="33"/>
      <c r="C2865" s="34"/>
      <c r="D2865" s="68" t="s">
        <v>569</v>
      </c>
      <c r="E2865" s="69" t="s">
        <v>32</v>
      </c>
      <c r="F2865" s="20" t="s">
        <v>533</v>
      </c>
      <c r="G2865" s="15"/>
      <c r="H2865" s="15"/>
      <c r="I2865" s="15"/>
      <c r="J2865" s="15"/>
      <c r="K2865" s="15"/>
      <c r="L2865" s="15"/>
      <c r="M2865" s="15"/>
      <c r="N2865" s="15"/>
      <c r="O2865" s="15"/>
      <c r="P2865" s="15"/>
      <c r="Q2865" s="15"/>
      <c r="R2865" s="15"/>
    </row>
    <row r="2866" spans="2:18" ht="13">
      <c r="B2866" s="33"/>
      <c r="C2866" s="34"/>
      <c r="D2866" s="68" t="s">
        <v>17</v>
      </c>
      <c r="E2866" s="69" t="s">
        <v>27</v>
      </c>
      <c r="F2866" s="20" t="s">
        <v>533</v>
      </c>
      <c r="G2866" s="15"/>
      <c r="H2866" s="15"/>
      <c r="I2866" s="15"/>
      <c r="J2866" s="15"/>
      <c r="K2866" s="15"/>
      <c r="L2866" s="15"/>
      <c r="M2866" s="15"/>
      <c r="N2866" s="15"/>
      <c r="O2866" s="15"/>
      <c r="P2866" s="15"/>
      <c r="Q2866" s="15"/>
      <c r="R2866" s="15"/>
    </row>
    <row r="2867" spans="2:18" ht="13">
      <c r="B2867" s="33"/>
      <c r="C2867" s="34"/>
      <c r="D2867" s="68" t="s">
        <v>26</v>
      </c>
      <c r="E2867" s="69" t="s">
        <v>27</v>
      </c>
      <c r="F2867" s="20" t="s">
        <v>533</v>
      </c>
      <c r="G2867" s="15"/>
      <c r="H2867" s="15"/>
      <c r="I2867" s="15"/>
      <c r="J2867" s="15"/>
      <c r="K2867" s="15"/>
      <c r="L2867" s="15"/>
      <c r="M2867" s="15"/>
      <c r="N2867" s="15"/>
      <c r="O2867" s="15"/>
      <c r="P2867" s="15"/>
      <c r="Q2867" s="15"/>
      <c r="R2867" s="15"/>
    </row>
    <row r="2868" spans="2:18" ht="13">
      <c r="B2868" s="33"/>
      <c r="C2868" s="34"/>
      <c r="D2868" s="68" t="s">
        <v>404</v>
      </c>
      <c r="E2868" s="69" t="s">
        <v>32</v>
      </c>
      <c r="F2868" s="20" t="s">
        <v>533</v>
      </c>
      <c r="G2868" s="15"/>
      <c r="H2868" s="15"/>
      <c r="I2868" s="15"/>
      <c r="J2868" s="15"/>
      <c r="K2868" s="15"/>
      <c r="L2868" s="15"/>
      <c r="M2868" s="15"/>
      <c r="N2868" s="15"/>
      <c r="O2868" s="15"/>
      <c r="P2868" s="15"/>
      <c r="Q2868" s="15"/>
      <c r="R2868" s="15"/>
    </row>
    <row r="2869" spans="2:18" ht="13">
      <c r="B2869" s="33"/>
      <c r="C2869" s="34"/>
      <c r="D2869" s="68" t="s">
        <v>17</v>
      </c>
      <c r="E2869" s="69" t="s">
        <v>27</v>
      </c>
      <c r="F2869" s="20" t="s">
        <v>533</v>
      </c>
      <c r="G2869" s="15"/>
      <c r="H2869" s="15"/>
      <c r="I2869" s="15"/>
      <c r="J2869" s="15"/>
      <c r="K2869" s="15"/>
      <c r="L2869" s="15"/>
      <c r="M2869" s="15"/>
      <c r="N2869" s="15"/>
      <c r="O2869" s="15"/>
      <c r="P2869" s="15"/>
      <c r="Q2869" s="15"/>
      <c r="R2869" s="15"/>
    </row>
    <row r="2870" spans="2:18" ht="13">
      <c r="B2870" s="33"/>
      <c r="C2870" s="34"/>
      <c r="D2870" s="68" t="s">
        <v>17</v>
      </c>
      <c r="E2870" s="69" t="s">
        <v>27</v>
      </c>
      <c r="F2870" s="20" t="s">
        <v>533</v>
      </c>
      <c r="G2870" s="15"/>
      <c r="H2870" s="15"/>
      <c r="I2870" s="15"/>
      <c r="J2870" s="15"/>
      <c r="K2870" s="15"/>
      <c r="L2870" s="15"/>
      <c r="M2870" s="15"/>
      <c r="N2870" s="15"/>
      <c r="O2870" s="15"/>
      <c r="P2870" s="15"/>
      <c r="Q2870" s="15"/>
      <c r="R2870" s="15"/>
    </row>
    <row r="2871" spans="2:18" ht="13">
      <c r="B2871" s="33"/>
      <c r="C2871" s="34"/>
      <c r="D2871" s="68" t="s">
        <v>17</v>
      </c>
      <c r="E2871" s="69" t="s">
        <v>27</v>
      </c>
      <c r="F2871" s="20" t="s">
        <v>533</v>
      </c>
      <c r="G2871" s="15"/>
      <c r="H2871" s="15"/>
      <c r="I2871" s="15"/>
      <c r="J2871" s="15"/>
      <c r="K2871" s="15"/>
      <c r="L2871" s="15"/>
      <c r="M2871" s="15"/>
      <c r="N2871" s="15"/>
      <c r="O2871" s="15"/>
      <c r="P2871" s="15"/>
      <c r="Q2871" s="15"/>
      <c r="R2871" s="15"/>
    </row>
    <row r="2872" spans="2:18" ht="13">
      <c r="B2872" s="33"/>
      <c r="C2872" s="34"/>
      <c r="D2872" s="68" t="s">
        <v>26</v>
      </c>
      <c r="E2872" s="69" t="s">
        <v>27</v>
      </c>
      <c r="F2872" s="20" t="s">
        <v>533</v>
      </c>
      <c r="G2872" s="15"/>
      <c r="H2872" s="15"/>
      <c r="I2872" s="15"/>
      <c r="J2872" s="15"/>
      <c r="K2872" s="15"/>
      <c r="L2872" s="15"/>
      <c r="M2872" s="15"/>
      <c r="N2872" s="15"/>
      <c r="O2872" s="15"/>
      <c r="P2872" s="15"/>
      <c r="Q2872" s="15"/>
      <c r="R2872" s="15"/>
    </row>
    <row r="2873" spans="2:18" ht="13">
      <c r="B2873" s="33"/>
      <c r="C2873" s="34"/>
      <c r="D2873" s="68" t="s">
        <v>17</v>
      </c>
      <c r="E2873" s="69" t="s">
        <v>27</v>
      </c>
      <c r="F2873" s="20" t="s">
        <v>533</v>
      </c>
      <c r="G2873" s="15"/>
      <c r="H2873" s="15"/>
      <c r="I2873" s="15"/>
      <c r="J2873" s="15"/>
      <c r="K2873" s="15"/>
      <c r="L2873" s="15"/>
      <c r="M2873" s="15"/>
      <c r="N2873" s="15"/>
      <c r="O2873" s="15"/>
      <c r="P2873" s="15"/>
      <c r="Q2873" s="15"/>
      <c r="R2873" s="15"/>
    </row>
    <row r="2874" spans="2:18" ht="13">
      <c r="B2874" s="33"/>
      <c r="C2874" s="34"/>
      <c r="D2874" s="68" t="s">
        <v>17</v>
      </c>
      <c r="E2874" s="69" t="s">
        <v>27</v>
      </c>
      <c r="F2874" s="20" t="s">
        <v>533</v>
      </c>
      <c r="G2874" s="15"/>
      <c r="H2874" s="15"/>
      <c r="I2874" s="15"/>
      <c r="J2874" s="15"/>
      <c r="K2874" s="15"/>
      <c r="L2874" s="15"/>
      <c r="M2874" s="15"/>
      <c r="N2874" s="15"/>
      <c r="O2874" s="15"/>
      <c r="P2874" s="15"/>
      <c r="Q2874" s="15"/>
      <c r="R2874" s="15"/>
    </row>
    <row r="2875" spans="2:18" ht="13">
      <c r="B2875" s="33"/>
      <c r="C2875" s="34"/>
      <c r="D2875" s="68" t="s">
        <v>404</v>
      </c>
      <c r="E2875" s="69" t="s">
        <v>32</v>
      </c>
      <c r="F2875" s="20" t="s">
        <v>533</v>
      </c>
      <c r="G2875" s="15"/>
      <c r="H2875" s="15"/>
      <c r="I2875" s="15"/>
      <c r="J2875" s="15"/>
      <c r="K2875" s="15"/>
      <c r="L2875" s="15"/>
      <c r="M2875" s="15"/>
      <c r="N2875" s="15"/>
      <c r="O2875" s="15"/>
      <c r="P2875" s="15"/>
      <c r="Q2875" s="15"/>
      <c r="R2875" s="15"/>
    </row>
    <row r="2876" spans="2:18" ht="13">
      <c r="B2876" s="33"/>
      <c r="C2876" s="34"/>
      <c r="D2876" s="68" t="s">
        <v>17</v>
      </c>
      <c r="E2876" s="69" t="s">
        <v>27</v>
      </c>
      <c r="F2876" s="20" t="s">
        <v>533</v>
      </c>
      <c r="G2876" s="15"/>
      <c r="H2876" s="15"/>
      <c r="I2876" s="15"/>
      <c r="J2876" s="15"/>
      <c r="K2876" s="15"/>
      <c r="L2876" s="15"/>
      <c r="M2876" s="15"/>
      <c r="N2876" s="15"/>
      <c r="O2876" s="15"/>
      <c r="P2876" s="15"/>
      <c r="Q2876" s="15"/>
      <c r="R2876" s="15"/>
    </row>
    <row r="2877" spans="2:18" ht="13">
      <c r="B2877" s="33"/>
      <c r="C2877" s="34"/>
      <c r="D2877" s="68" t="s">
        <v>36</v>
      </c>
      <c r="E2877" s="69" t="s">
        <v>37</v>
      </c>
      <c r="F2877" s="20" t="s">
        <v>533</v>
      </c>
      <c r="G2877" s="15"/>
      <c r="H2877" s="15"/>
      <c r="I2877" s="15"/>
      <c r="J2877" s="15"/>
      <c r="K2877" s="15"/>
      <c r="L2877" s="15"/>
      <c r="M2877" s="15"/>
      <c r="N2877" s="15"/>
      <c r="O2877" s="15"/>
      <c r="P2877" s="15"/>
      <c r="Q2877" s="15"/>
      <c r="R2877" s="15"/>
    </row>
    <row r="2878" spans="2:18" ht="13">
      <c r="B2878" s="33"/>
      <c r="C2878" s="34"/>
      <c r="D2878" s="68" t="s">
        <v>17</v>
      </c>
      <c r="E2878" s="69" t="s">
        <v>27</v>
      </c>
      <c r="F2878" s="20" t="s">
        <v>533</v>
      </c>
      <c r="G2878" s="15"/>
      <c r="H2878" s="15"/>
      <c r="I2878" s="15"/>
      <c r="J2878" s="15"/>
      <c r="K2878" s="15"/>
      <c r="L2878" s="15"/>
      <c r="M2878" s="15"/>
      <c r="N2878" s="15"/>
      <c r="O2878" s="15"/>
      <c r="P2878" s="15"/>
      <c r="Q2878" s="15"/>
      <c r="R2878" s="15"/>
    </row>
    <row r="2879" spans="2:18" ht="13">
      <c r="B2879" s="33"/>
      <c r="C2879" s="34"/>
      <c r="D2879" s="68" t="s">
        <v>17</v>
      </c>
      <c r="E2879" s="69" t="s">
        <v>27</v>
      </c>
      <c r="F2879" s="20" t="s">
        <v>533</v>
      </c>
      <c r="G2879" s="15"/>
      <c r="H2879" s="15"/>
      <c r="I2879" s="15"/>
      <c r="J2879" s="15"/>
      <c r="K2879" s="15"/>
      <c r="L2879" s="15"/>
      <c r="M2879" s="15"/>
      <c r="N2879" s="15"/>
      <c r="O2879" s="15"/>
      <c r="P2879" s="15"/>
      <c r="Q2879" s="15"/>
      <c r="R2879" s="15"/>
    </row>
    <row r="2880" spans="2:18" ht="13">
      <c r="B2880" s="33"/>
      <c r="C2880" s="34"/>
      <c r="D2880" s="68" t="s">
        <v>17</v>
      </c>
      <c r="E2880" s="69" t="s">
        <v>27</v>
      </c>
      <c r="F2880" s="20" t="s">
        <v>533</v>
      </c>
      <c r="G2880" s="15"/>
      <c r="H2880" s="15"/>
      <c r="I2880" s="15"/>
      <c r="J2880" s="15"/>
      <c r="K2880" s="15"/>
      <c r="L2880" s="15"/>
      <c r="M2880" s="15"/>
      <c r="N2880" s="15"/>
      <c r="O2880" s="15"/>
      <c r="P2880" s="15"/>
      <c r="Q2880" s="15"/>
      <c r="R2880" s="15"/>
    </row>
    <row r="2881" spans="2:18" ht="13">
      <c r="B2881" s="33"/>
      <c r="C2881" s="34"/>
      <c r="D2881" s="68" t="s">
        <v>26</v>
      </c>
      <c r="E2881" s="69" t="s">
        <v>27</v>
      </c>
      <c r="F2881" s="20" t="s">
        <v>533</v>
      </c>
      <c r="G2881" s="15"/>
      <c r="H2881" s="15"/>
      <c r="I2881" s="15"/>
      <c r="J2881" s="15"/>
      <c r="K2881" s="15"/>
      <c r="L2881" s="15"/>
      <c r="M2881" s="15"/>
      <c r="N2881" s="15"/>
      <c r="O2881" s="15"/>
      <c r="P2881" s="15"/>
      <c r="Q2881" s="15"/>
      <c r="R2881" s="15"/>
    </row>
    <row r="2882" spans="2:18" ht="13">
      <c r="B2882" s="33"/>
      <c r="C2882" s="34"/>
      <c r="D2882" s="68" t="s">
        <v>26</v>
      </c>
      <c r="E2882" s="69" t="s">
        <v>27</v>
      </c>
      <c r="F2882" s="20" t="s">
        <v>533</v>
      </c>
      <c r="G2882" s="15"/>
      <c r="H2882" s="15"/>
      <c r="I2882" s="15"/>
      <c r="J2882" s="15"/>
      <c r="K2882" s="15"/>
      <c r="L2882" s="15"/>
      <c r="M2882" s="15"/>
      <c r="N2882" s="15"/>
      <c r="O2882" s="15"/>
      <c r="P2882" s="15"/>
      <c r="Q2882" s="15"/>
      <c r="R2882" s="15"/>
    </row>
    <row r="2883" spans="2:18" ht="13">
      <c r="B2883" s="33"/>
      <c r="C2883" s="34"/>
      <c r="D2883" s="68" t="s">
        <v>17</v>
      </c>
      <c r="E2883" s="69" t="s">
        <v>27</v>
      </c>
      <c r="F2883" s="20" t="s">
        <v>533</v>
      </c>
      <c r="G2883" s="15"/>
      <c r="H2883" s="15"/>
      <c r="I2883" s="15"/>
      <c r="J2883" s="15"/>
      <c r="K2883" s="15"/>
      <c r="L2883" s="15"/>
      <c r="M2883" s="15"/>
      <c r="N2883" s="15"/>
      <c r="O2883" s="15"/>
      <c r="P2883" s="15"/>
      <c r="Q2883" s="15"/>
      <c r="R2883" s="15"/>
    </row>
    <row r="2884" spans="2:18" ht="13">
      <c r="B2884" s="33"/>
      <c r="C2884" s="34"/>
      <c r="D2884" s="68" t="s">
        <v>590</v>
      </c>
      <c r="E2884" s="69" t="s">
        <v>32</v>
      </c>
      <c r="F2884" s="20" t="s">
        <v>533</v>
      </c>
      <c r="G2884" s="15"/>
      <c r="H2884" s="15"/>
      <c r="I2884" s="15"/>
      <c r="J2884" s="15"/>
      <c r="K2884" s="15"/>
      <c r="L2884" s="15"/>
      <c r="M2884" s="15"/>
      <c r="N2884" s="15"/>
      <c r="O2884" s="15"/>
      <c r="P2884" s="15"/>
      <c r="Q2884" s="15"/>
      <c r="R2884" s="15"/>
    </row>
    <row r="2885" spans="2:18" ht="13">
      <c r="B2885" s="33"/>
      <c r="C2885" s="34"/>
      <c r="D2885" s="68" t="s">
        <v>17</v>
      </c>
      <c r="E2885" s="69" t="s">
        <v>27</v>
      </c>
      <c r="F2885" s="20" t="s">
        <v>533</v>
      </c>
      <c r="G2885" s="15"/>
      <c r="H2885" s="15"/>
      <c r="I2885" s="15"/>
      <c r="J2885" s="15"/>
      <c r="K2885" s="15"/>
      <c r="L2885" s="15"/>
      <c r="M2885" s="15"/>
      <c r="N2885" s="15"/>
      <c r="O2885" s="15"/>
      <c r="P2885" s="15"/>
      <c r="Q2885" s="15"/>
      <c r="R2885" s="15"/>
    </row>
    <row r="2886" spans="2:18" ht="13">
      <c r="B2886" s="33"/>
      <c r="C2886" s="34"/>
      <c r="D2886" s="68" t="s">
        <v>17</v>
      </c>
      <c r="E2886" s="69" t="s">
        <v>27</v>
      </c>
      <c r="F2886" s="20" t="s">
        <v>533</v>
      </c>
      <c r="G2886" s="15"/>
      <c r="H2886" s="15"/>
      <c r="I2886" s="15"/>
      <c r="J2886" s="15"/>
      <c r="K2886" s="15"/>
      <c r="L2886" s="15"/>
      <c r="M2886" s="15"/>
      <c r="N2886" s="15"/>
      <c r="O2886" s="15"/>
      <c r="P2886" s="15"/>
      <c r="Q2886" s="15"/>
      <c r="R2886" s="15"/>
    </row>
    <row r="2887" spans="2:18" ht="13">
      <c r="B2887" s="33"/>
      <c r="C2887" s="34"/>
      <c r="D2887" s="68" t="s">
        <v>17</v>
      </c>
      <c r="E2887" s="69" t="s">
        <v>27</v>
      </c>
      <c r="F2887" s="20" t="s">
        <v>533</v>
      </c>
      <c r="G2887" s="15"/>
      <c r="H2887" s="15"/>
      <c r="I2887" s="15"/>
      <c r="J2887" s="15"/>
      <c r="K2887" s="15"/>
      <c r="L2887" s="15"/>
      <c r="M2887" s="15"/>
      <c r="N2887" s="15"/>
      <c r="O2887" s="15"/>
      <c r="P2887" s="15"/>
      <c r="Q2887" s="15"/>
      <c r="R2887" s="15"/>
    </row>
    <row r="2888" spans="2:18" ht="13">
      <c r="B2888" s="33"/>
      <c r="C2888" s="34"/>
      <c r="D2888" s="68" t="s">
        <v>544</v>
      </c>
      <c r="E2888" s="69" t="s">
        <v>121</v>
      </c>
      <c r="F2888" s="20" t="s">
        <v>533</v>
      </c>
      <c r="G2888" s="15"/>
      <c r="H2888" s="15"/>
      <c r="I2888" s="15"/>
      <c r="J2888" s="15"/>
      <c r="K2888" s="15"/>
      <c r="L2888" s="15"/>
      <c r="M2888" s="15"/>
      <c r="N2888" s="15"/>
      <c r="O2888" s="15"/>
      <c r="P2888" s="15"/>
      <c r="Q2888" s="15"/>
      <c r="R2888" s="15"/>
    </row>
    <row r="2889" spans="2:18" ht="13">
      <c r="B2889" s="33"/>
      <c r="C2889" s="34"/>
      <c r="D2889" s="68" t="s">
        <v>17</v>
      </c>
      <c r="E2889" s="69" t="s">
        <v>27</v>
      </c>
      <c r="F2889" s="20" t="s">
        <v>533</v>
      </c>
      <c r="G2889" s="15"/>
      <c r="H2889" s="15"/>
      <c r="I2889" s="15"/>
      <c r="J2889" s="15"/>
      <c r="K2889" s="15"/>
      <c r="L2889" s="15"/>
      <c r="M2889" s="15"/>
      <c r="N2889" s="15"/>
      <c r="O2889" s="15"/>
      <c r="P2889" s="15"/>
      <c r="Q2889" s="15"/>
      <c r="R2889" s="15"/>
    </row>
    <row r="2890" spans="2:18" ht="13">
      <c r="B2890" s="33"/>
      <c r="C2890" s="34"/>
      <c r="D2890" s="68" t="s">
        <v>17</v>
      </c>
      <c r="E2890" s="69" t="s">
        <v>27</v>
      </c>
      <c r="F2890" s="20" t="s">
        <v>533</v>
      </c>
      <c r="G2890" s="15"/>
      <c r="H2890" s="15"/>
      <c r="I2890" s="15"/>
      <c r="J2890" s="15"/>
      <c r="K2890" s="15"/>
      <c r="L2890" s="15"/>
      <c r="M2890" s="15"/>
      <c r="N2890" s="15"/>
      <c r="O2890" s="15"/>
      <c r="P2890" s="15"/>
      <c r="Q2890" s="15"/>
      <c r="R2890" s="15"/>
    </row>
    <row r="2891" spans="2:18" ht="13">
      <c r="B2891" s="33"/>
      <c r="C2891" s="34"/>
      <c r="D2891" s="68" t="s">
        <v>17</v>
      </c>
      <c r="E2891" s="69" t="s">
        <v>27</v>
      </c>
      <c r="F2891" s="20" t="s">
        <v>533</v>
      </c>
      <c r="G2891" s="15"/>
      <c r="H2891" s="15"/>
      <c r="I2891" s="15"/>
      <c r="J2891" s="15"/>
      <c r="K2891" s="15"/>
      <c r="L2891" s="15"/>
      <c r="M2891" s="15"/>
      <c r="N2891" s="15"/>
      <c r="O2891" s="15"/>
      <c r="P2891" s="15"/>
      <c r="Q2891" s="15"/>
      <c r="R2891" s="15"/>
    </row>
    <row r="2892" spans="2:18" ht="13">
      <c r="B2892" s="33"/>
      <c r="C2892" s="34"/>
      <c r="D2892" s="68" t="s">
        <v>26</v>
      </c>
      <c r="E2892" s="69" t="s">
        <v>27</v>
      </c>
      <c r="F2892" s="20" t="s">
        <v>533</v>
      </c>
      <c r="G2892" s="15"/>
      <c r="H2892" s="15"/>
      <c r="I2892" s="15"/>
      <c r="J2892" s="15"/>
      <c r="K2892" s="15"/>
      <c r="L2892" s="15"/>
      <c r="M2892" s="15"/>
      <c r="N2892" s="15"/>
      <c r="O2892" s="15"/>
      <c r="P2892" s="15"/>
      <c r="Q2892" s="15"/>
      <c r="R2892" s="15"/>
    </row>
    <row r="2893" spans="2:18" ht="13">
      <c r="B2893" s="33"/>
      <c r="C2893" s="34"/>
      <c r="D2893" s="68" t="s">
        <v>262</v>
      </c>
      <c r="E2893" s="69" t="s">
        <v>163</v>
      </c>
      <c r="F2893" s="20" t="s">
        <v>533</v>
      </c>
      <c r="G2893" s="15"/>
      <c r="H2893" s="15"/>
      <c r="I2893" s="15"/>
      <c r="J2893" s="15"/>
      <c r="K2893" s="15"/>
      <c r="L2893" s="15"/>
      <c r="M2893" s="15"/>
      <c r="N2893" s="15"/>
      <c r="O2893" s="15"/>
      <c r="P2893" s="15"/>
      <c r="Q2893" s="15"/>
      <c r="R2893" s="15"/>
    </row>
    <row r="2894" spans="2:18" ht="13">
      <c r="B2894" s="33"/>
      <c r="C2894" s="34"/>
      <c r="D2894" s="68" t="s">
        <v>17</v>
      </c>
      <c r="E2894" s="69" t="s">
        <v>27</v>
      </c>
      <c r="F2894" s="20" t="s">
        <v>533</v>
      </c>
      <c r="G2894" s="15"/>
      <c r="H2894" s="15"/>
      <c r="I2894" s="15"/>
      <c r="J2894" s="15"/>
      <c r="K2894" s="15"/>
      <c r="L2894" s="15"/>
      <c r="M2894" s="15"/>
      <c r="N2894" s="15"/>
      <c r="O2894" s="15"/>
      <c r="P2894" s="15"/>
      <c r="Q2894" s="15"/>
      <c r="R2894" s="15"/>
    </row>
    <row r="2895" spans="2:18" ht="13">
      <c r="B2895" s="33"/>
      <c r="C2895" s="34"/>
      <c r="D2895" s="68" t="s">
        <v>17</v>
      </c>
      <c r="E2895" s="69" t="s">
        <v>27</v>
      </c>
      <c r="F2895" s="20" t="s">
        <v>533</v>
      </c>
      <c r="G2895" s="15"/>
      <c r="H2895" s="15"/>
      <c r="I2895" s="15"/>
      <c r="J2895" s="15"/>
      <c r="K2895" s="15"/>
      <c r="L2895" s="15"/>
      <c r="M2895" s="15"/>
      <c r="N2895" s="15"/>
      <c r="O2895" s="15"/>
      <c r="P2895" s="15"/>
      <c r="Q2895" s="15"/>
      <c r="R2895" s="15"/>
    </row>
    <row r="2896" spans="2:18" ht="13">
      <c r="B2896" s="33"/>
      <c r="C2896" s="34"/>
      <c r="D2896" s="68" t="s">
        <v>86</v>
      </c>
      <c r="E2896" s="69" t="s">
        <v>32</v>
      </c>
      <c r="F2896" s="20" t="s">
        <v>533</v>
      </c>
      <c r="G2896" s="15"/>
      <c r="H2896" s="15"/>
      <c r="I2896" s="15"/>
      <c r="J2896" s="15"/>
      <c r="K2896" s="15"/>
      <c r="L2896" s="15"/>
      <c r="M2896" s="15"/>
      <c r="N2896" s="15"/>
      <c r="O2896" s="15"/>
      <c r="P2896" s="15"/>
      <c r="Q2896" s="15"/>
      <c r="R2896" s="15"/>
    </row>
    <row r="2897" spans="2:18" ht="13">
      <c r="B2897" s="33"/>
      <c r="C2897" s="34"/>
      <c r="D2897" s="68" t="s">
        <v>577</v>
      </c>
      <c r="E2897" s="69" t="s">
        <v>124</v>
      </c>
      <c r="F2897" s="20" t="s">
        <v>533</v>
      </c>
      <c r="G2897" s="15"/>
      <c r="H2897" s="15"/>
      <c r="I2897" s="15"/>
      <c r="J2897" s="15"/>
      <c r="K2897" s="15"/>
      <c r="L2897" s="15"/>
      <c r="M2897" s="15"/>
      <c r="N2897" s="15"/>
      <c r="O2897" s="15"/>
      <c r="P2897" s="15"/>
      <c r="Q2897" s="15"/>
      <c r="R2897" s="15"/>
    </row>
    <row r="2898" spans="2:18" ht="13">
      <c r="B2898" s="33"/>
      <c r="C2898" s="34"/>
      <c r="D2898" s="68" t="s">
        <v>17</v>
      </c>
      <c r="E2898" s="69" t="s">
        <v>27</v>
      </c>
      <c r="F2898" s="20" t="s">
        <v>533</v>
      </c>
      <c r="G2898" s="15"/>
      <c r="H2898" s="15"/>
      <c r="I2898" s="15"/>
      <c r="J2898" s="15"/>
      <c r="K2898" s="15"/>
      <c r="L2898" s="15"/>
      <c r="M2898" s="15"/>
      <c r="N2898" s="15"/>
      <c r="O2898" s="15"/>
      <c r="P2898" s="15"/>
      <c r="Q2898" s="15"/>
      <c r="R2898" s="15"/>
    </row>
    <row r="2899" spans="2:18" ht="13">
      <c r="B2899" s="33"/>
      <c r="C2899" s="34"/>
      <c r="D2899" s="68" t="s">
        <v>17</v>
      </c>
      <c r="E2899" s="69" t="s">
        <v>27</v>
      </c>
      <c r="F2899" s="20" t="s">
        <v>533</v>
      </c>
      <c r="G2899" s="15"/>
      <c r="H2899" s="15"/>
      <c r="I2899" s="15"/>
      <c r="J2899" s="15"/>
      <c r="K2899" s="15"/>
      <c r="L2899" s="15"/>
      <c r="M2899" s="15"/>
      <c r="N2899" s="15"/>
      <c r="O2899" s="15"/>
      <c r="P2899" s="15"/>
      <c r="Q2899" s="15"/>
      <c r="R2899" s="15"/>
    </row>
    <row r="2900" spans="2:18" ht="13">
      <c r="B2900" s="33"/>
      <c r="C2900" s="34"/>
      <c r="D2900" s="68" t="s">
        <v>643</v>
      </c>
      <c r="E2900" s="69" t="s">
        <v>626</v>
      </c>
      <c r="F2900" s="20" t="s">
        <v>533</v>
      </c>
      <c r="G2900" s="15"/>
      <c r="H2900" s="15"/>
      <c r="I2900" s="15"/>
      <c r="J2900" s="15"/>
      <c r="K2900" s="15"/>
      <c r="L2900" s="15"/>
      <c r="M2900" s="15"/>
      <c r="N2900" s="15"/>
      <c r="O2900" s="15"/>
      <c r="P2900" s="15"/>
      <c r="Q2900" s="15"/>
      <c r="R2900" s="15"/>
    </row>
    <row r="2901" spans="2:18" ht="13">
      <c r="B2901" s="33"/>
      <c r="C2901" s="34"/>
      <c r="D2901" s="68" t="s">
        <v>26</v>
      </c>
      <c r="E2901" s="69" t="s">
        <v>27</v>
      </c>
      <c r="F2901" s="20" t="s">
        <v>533</v>
      </c>
      <c r="G2901" s="15"/>
      <c r="H2901" s="15"/>
      <c r="I2901" s="15"/>
      <c r="J2901" s="15"/>
      <c r="K2901" s="15"/>
      <c r="L2901" s="15"/>
      <c r="M2901" s="15"/>
      <c r="N2901" s="15"/>
      <c r="O2901" s="15"/>
      <c r="P2901" s="15"/>
      <c r="Q2901" s="15"/>
      <c r="R2901" s="15"/>
    </row>
    <row r="2902" spans="2:18" ht="13">
      <c r="B2902" s="33"/>
      <c r="C2902" s="34"/>
      <c r="D2902" s="68" t="s">
        <v>576</v>
      </c>
      <c r="E2902" s="69" t="s">
        <v>124</v>
      </c>
      <c r="F2902" s="20" t="s">
        <v>533</v>
      </c>
      <c r="G2902" s="15"/>
      <c r="H2902" s="15"/>
      <c r="I2902" s="15"/>
      <c r="J2902" s="15"/>
      <c r="K2902" s="15"/>
      <c r="L2902" s="15"/>
      <c r="M2902" s="15"/>
      <c r="N2902" s="15"/>
      <c r="O2902" s="15"/>
      <c r="P2902" s="15"/>
      <c r="Q2902" s="15"/>
      <c r="R2902" s="15"/>
    </row>
    <row r="2903" spans="2:18" ht="13">
      <c r="B2903" s="33"/>
      <c r="C2903" s="34"/>
      <c r="D2903" s="68" t="s">
        <v>86</v>
      </c>
      <c r="E2903" s="69" t="s">
        <v>121</v>
      </c>
      <c r="F2903" s="20" t="s">
        <v>533</v>
      </c>
      <c r="G2903" s="15"/>
      <c r="H2903" s="15"/>
      <c r="I2903" s="15"/>
      <c r="J2903" s="15"/>
      <c r="K2903" s="15"/>
      <c r="L2903" s="15"/>
      <c r="M2903" s="15"/>
      <c r="N2903" s="15"/>
      <c r="O2903" s="15"/>
      <c r="P2903" s="15"/>
      <c r="Q2903" s="15"/>
      <c r="R2903" s="15"/>
    </row>
    <row r="2904" spans="2:18" ht="13">
      <c r="B2904" s="33"/>
      <c r="C2904" s="34"/>
      <c r="D2904" s="68" t="s">
        <v>86</v>
      </c>
      <c r="E2904" s="69" t="s">
        <v>124</v>
      </c>
      <c r="F2904" s="20" t="s">
        <v>533</v>
      </c>
      <c r="G2904" s="15"/>
      <c r="H2904" s="15"/>
      <c r="I2904" s="15"/>
      <c r="J2904" s="15"/>
      <c r="K2904" s="15"/>
      <c r="L2904" s="15"/>
      <c r="M2904" s="15"/>
      <c r="N2904" s="15"/>
      <c r="O2904" s="15"/>
      <c r="P2904" s="15"/>
      <c r="Q2904" s="15"/>
      <c r="R2904" s="15"/>
    </row>
    <row r="2905" spans="2:18" ht="13">
      <c r="B2905" s="33"/>
      <c r="C2905" s="34"/>
      <c r="D2905" s="68" t="s">
        <v>591</v>
      </c>
      <c r="E2905" s="69" t="s">
        <v>121</v>
      </c>
      <c r="F2905" s="20" t="s">
        <v>533</v>
      </c>
      <c r="G2905" s="15"/>
      <c r="H2905" s="15"/>
      <c r="I2905" s="15"/>
      <c r="J2905" s="15"/>
      <c r="K2905" s="15"/>
      <c r="L2905" s="15"/>
      <c r="M2905" s="15"/>
      <c r="N2905" s="15"/>
      <c r="O2905" s="15"/>
      <c r="P2905" s="15"/>
      <c r="Q2905" s="15"/>
      <c r="R2905" s="15"/>
    </row>
    <row r="2906" spans="2:18" ht="13">
      <c r="B2906" s="33"/>
      <c r="C2906" s="34"/>
      <c r="D2906" s="68" t="s">
        <v>17</v>
      </c>
      <c r="E2906" s="69" t="s">
        <v>27</v>
      </c>
      <c r="F2906" s="20" t="s">
        <v>533</v>
      </c>
      <c r="G2906" s="15"/>
      <c r="H2906" s="15"/>
      <c r="I2906" s="15"/>
      <c r="J2906" s="15"/>
      <c r="K2906" s="15"/>
      <c r="L2906" s="15"/>
      <c r="M2906" s="15"/>
      <c r="N2906" s="15"/>
      <c r="O2906" s="15"/>
      <c r="P2906" s="15"/>
      <c r="Q2906" s="15"/>
      <c r="R2906" s="15"/>
    </row>
    <row r="2907" spans="2:18" ht="13">
      <c r="B2907" s="33"/>
      <c r="C2907" s="34"/>
      <c r="D2907" s="68" t="s">
        <v>17</v>
      </c>
      <c r="E2907" s="69" t="s">
        <v>27</v>
      </c>
      <c r="F2907" s="20" t="s">
        <v>533</v>
      </c>
      <c r="G2907" s="15"/>
      <c r="H2907" s="15"/>
      <c r="I2907" s="15"/>
      <c r="J2907" s="15"/>
      <c r="K2907" s="15"/>
      <c r="L2907" s="15"/>
      <c r="M2907" s="15"/>
      <c r="N2907" s="15"/>
      <c r="O2907" s="15"/>
      <c r="P2907" s="15"/>
      <c r="Q2907" s="15"/>
      <c r="R2907" s="15"/>
    </row>
    <row r="2908" spans="2:18" ht="13">
      <c r="B2908" s="33"/>
      <c r="C2908" s="34"/>
      <c r="D2908" s="68" t="s">
        <v>17</v>
      </c>
      <c r="E2908" s="69" t="s">
        <v>27</v>
      </c>
      <c r="F2908" s="20" t="s">
        <v>533</v>
      </c>
      <c r="G2908" s="15"/>
      <c r="H2908" s="15"/>
      <c r="I2908" s="15"/>
      <c r="J2908" s="15"/>
      <c r="K2908" s="15"/>
      <c r="L2908" s="15"/>
      <c r="M2908" s="15"/>
      <c r="N2908" s="15"/>
      <c r="O2908" s="15"/>
      <c r="P2908" s="15"/>
      <c r="Q2908" s="15"/>
      <c r="R2908" s="15"/>
    </row>
    <row r="2909" spans="2:18" ht="13">
      <c r="B2909" s="33"/>
      <c r="C2909" s="34"/>
      <c r="D2909" s="68" t="s">
        <v>17</v>
      </c>
      <c r="E2909" s="69" t="s">
        <v>27</v>
      </c>
      <c r="F2909" s="20" t="s">
        <v>533</v>
      </c>
      <c r="G2909" s="15"/>
      <c r="H2909" s="15"/>
      <c r="I2909" s="15"/>
      <c r="J2909" s="15"/>
      <c r="K2909" s="15"/>
      <c r="L2909" s="15"/>
      <c r="M2909" s="15"/>
      <c r="N2909" s="15"/>
      <c r="O2909" s="15"/>
      <c r="P2909" s="15"/>
      <c r="Q2909" s="15"/>
      <c r="R2909" s="15"/>
    </row>
    <row r="2910" spans="2:18" ht="13">
      <c r="B2910" s="33"/>
      <c r="C2910" s="34"/>
      <c r="D2910" s="68" t="s">
        <v>26</v>
      </c>
      <c r="E2910" s="69" t="s">
        <v>27</v>
      </c>
      <c r="F2910" s="20" t="s">
        <v>533</v>
      </c>
      <c r="G2910" s="15"/>
      <c r="H2910" s="15"/>
      <c r="I2910" s="15"/>
      <c r="J2910" s="15"/>
      <c r="K2910" s="15"/>
      <c r="L2910" s="15"/>
      <c r="M2910" s="15"/>
      <c r="N2910" s="15"/>
      <c r="O2910" s="15"/>
      <c r="P2910" s="15"/>
      <c r="Q2910" s="15"/>
      <c r="R2910" s="15"/>
    </row>
    <row r="2911" spans="2:18" ht="13">
      <c r="B2911" s="33"/>
      <c r="C2911" s="34"/>
      <c r="D2911" s="68" t="s">
        <v>86</v>
      </c>
      <c r="E2911" s="69" t="s">
        <v>124</v>
      </c>
      <c r="F2911" s="20" t="s">
        <v>533</v>
      </c>
      <c r="G2911" s="15"/>
      <c r="H2911" s="15"/>
      <c r="I2911" s="15"/>
      <c r="J2911" s="15"/>
      <c r="K2911" s="15"/>
      <c r="L2911" s="15"/>
      <c r="M2911" s="15"/>
      <c r="N2911" s="15"/>
      <c r="O2911" s="15"/>
      <c r="P2911" s="15"/>
      <c r="Q2911" s="15"/>
      <c r="R2911" s="15"/>
    </row>
    <row r="2912" spans="2:18" ht="13">
      <c r="B2912" s="33"/>
      <c r="C2912" s="34"/>
      <c r="D2912" s="68" t="s">
        <v>17</v>
      </c>
      <c r="E2912" s="69" t="s">
        <v>27</v>
      </c>
      <c r="F2912" s="20" t="s">
        <v>533</v>
      </c>
      <c r="G2912" s="15"/>
      <c r="H2912" s="15"/>
      <c r="I2912" s="15"/>
      <c r="J2912" s="15"/>
      <c r="K2912" s="15"/>
      <c r="L2912" s="15"/>
      <c r="M2912" s="15"/>
      <c r="N2912" s="15"/>
      <c r="O2912" s="15"/>
      <c r="P2912" s="15"/>
      <c r="Q2912" s="15"/>
      <c r="R2912" s="15"/>
    </row>
    <row r="2913" spans="2:18" ht="13">
      <c r="B2913" s="33"/>
      <c r="C2913" s="34"/>
      <c r="D2913" s="68" t="s">
        <v>404</v>
      </c>
      <c r="E2913" s="69" t="s">
        <v>32</v>
      </c>
      <c r="F2913" s="20" t="s">
        <v>533</v>
      </c>
      <c r="G2913" s="15"/>
      <c r="H2913" s="15"/>
      <c r="I2913" s="15"/>
      <c r="J2913" s="15"/>
      <c r="K2913" s="15"/>
      <c r="L2913" s="15"/>
      <c r="M2913" s="15"/>
      <c r="N2913" s="15"/>
      <c r="O2913" s="15"/>
      <c r="P2913" s="15"/>
      <c r="Q2913" s="15"/>
      <c r="R2913" s="15"/>
    </row>
    <row r="2914" spans="2:18" ht="13">
      <c r="B2914" s="33"/>
      <c r="C2914" s="34"/>
      <c r="D2914" s="68" t="s">
        <v>664</v>
      </c>
      <c r="E2914" s="69" t="s">
        <v>27</v>
      </c>
      <c r="F2914" s="20" t="s">
        <v>533</v>
      </c>
      <c r="G2914" s="15"/>
      <c r="H2914" s="15"/>
      <c r="I2914" s="15"/>
      <c r="J2914" s="15"/>
      <c r="K2914" s="15"/>
      <c r="L2914" s="15"/>
      <c r="M2914" s="15"/>
      <c r="N2914" s="15"/>
      <c r="O2914" s="15"/>
      <c r="P2914" s="15"/>
      <c r="Q2914" s="15"/>
      <c r="R2914" s="15"/>
    </row>
    <row r="2915" spans="2:18" ht="13">
      <c r="B2915" s="33"/>
      <c r="C2915" s="34"/>
      <c r="D2915" s="68" t="s">
        <v>17</v>
      </c>
      <c r="E2915" s="69" t="s">
        <v>27</v>
      </c>
      <c r="F2915" s="20" t="s">
        <v>533</v>
      </c>
      <c r="G2915" s="15"/>
      <c r="H2915" s="15"/>
      <c r="I2915" s="15"/>
      <c r="J2915" s="15"/>
      <c r="K2915" s="15"/>
      <c r="L2915" s="15"/>
      <c r="M2915" s="15"/>
      <c r="N2915" s="15"/>
      <c r="O2915" s="15"/>
      <c r="P2915" s="15"/>
      <c r="Q2915" s="15"/>
      <c r="R2915" s="15"/>
    </row>
    <row r="2916" spans="2:18" ht="13">
      <c r="B2916" s="33"/>
      <c r="C2916" s="34"/>
      <c r="D2916" s="68" t="s">
        <v>17</v>
      </c>
      <c r="E2916" s="69" t="s">
        <v>27</v>
      </c>
      <c r="F2916" s="20" t="s">
        <v>533</v>
      </c>
      <c r="G2916" s="15"/>
      <c r="H2916" s="15"/>
      <c r="I2916" s="15"/>
      <c r="J2916" s="15"/>
      <c r="K2916" s="15"/>
      <c r="L2916" s="15"/>
      <c r="M2916" s="15"/>
      <c r="N2916" s="15"/>
      <c r="O2916" s="15"/>
      <c r="P2916" s="15"/>
      <c r="Q2916" s="15"/>
      <c r="R2916" s="15"/>
    </row>
    <row r="2917" spans="2:18" ht="13">
      <c r="B2917" s="33"/>
      <c r="C2917" s="34"/>
      <c r="D2917" s="68" t="s">
        <v>17</v>
      </c>
      <c r="E2917" s="69" t="s">
        <v>27</v>
      </c>
      <c r="F2917" s="20" t="s">
        <v>533</v>
      </c>
      <c r="G2917" s="15"/>
      <c r="H2917" s="15"/>
      <c r="I2917" s="15"/>
      <c r="J2917" s="15"/>
      <c r="K2917" s="15"/>
      <c r="L2917" s="15"/>
      <c r="M2917" s="15"/>
      <c r="N2917" s="15"/>
      <c r="O2917" s="15"/>
      <c r="P2917" s="15"/>
      <c r="Q2917" s="15"/>
      <c r="R2917" s="15"/>
    </row>
    <row r="2918" spans="2:18" ht="13">
      <c r="B2918" s="33"/>
      <c r="C2918" s="34"/>
      <c r="D2918" s="68" t="s">
        <v>17</v>
      </c>
      <c r="E2918" s="69" t="s">
        <v>27</v>
      </c>
      <c r="F2918" s="20" t="s">
        <v>533</v>
      </c>
      <c r="G2918" s="15"/>
      <c r="H2918" s="15"/>
      <c r="I2918" s="15"/>
      <c r="J2918" s="15"/>
      <c r="K2918" s="15"/>
      <c r="L2918" s="15"/>
      <c r="M2918" s="15"/>
      <c r="N2918" s="15"/>
      <c r="O2918" s="15"/>
      <c r="P2918" s="15"/>
      <c r="Q2918" s="15"/>
      <c r="R2918" s="15"/>
    </row>
    <row r="2919" spans="2:18" ht="13">
      <c r="B2919" s="33"/>
      <c r="C2919" s="34"/>
      <c r="D2919" s="68" t="s">
        <v>26</v>
      </c>
      <c r="E2919" s="69" t="s">
        <v>27</v>
      </c>
      <c r="F2919" s="20" t="s">
        <v>533</v>
      </c>
      <c r="G2919" s="15"/>
      <c r="H2919" s="15"/>
      <c r="I2919" s="15"/>
      <c r="J2919" s="15"/>
      <c r="K2919" s="15"/>
      <c r="L2919" s="15"/>
      <c r="M2919" s="15"/>
      <c r="N2919" s="15"/>
      <c r="O2919" s="15"/>
      <c r="P2919" s="15"/>
      <c r="Q2919" s="15"/>
      <c r="R2919" s="15"/>
    </row>
    <row r="2920" spans="2:18" ht="13">
      <c r="B2920" s="33"/>
      <c r="C2920" s="34"/>
      <c r="D2920" s="68" t="s">
        <v>17</v>
      </c>
      <c r="E2920" s="69" t="s">
        <v>27</v>
      </c>
      <c r="F2920" s="20" t="s">
        <v>533</v>
      </c>
      <c r="G2920" s="15"/>
      <c r="H2920" s="15"/>
      <c r="I2920" s="15"/>
      <c r="J2920" s="15"/>
      <c r="K2920" s="15"/>
      <c r="L2920" s="15"/>
      <c r="M2920" s="15"/>
      <c r="N2920" s="15"/>
      <c r="O2920" s="15"/>
      <c r="P2920" s="15"/>
      <c r="Q2920" s="15"/>
      <c r="R2920" s="15"/>
    </row>
    <row r="2921" spans="2:18" ht="13">
      <c r="B2921" s="33"/>
      <c r="C2921" s="34"/>
      <c r="D2921" s="68" t="s">
        <v>290</v>
      </c>
      <c r="E2921" s="69" t="s">
        <v>32</v>
      </c>
      <c r="F2921" s="20" t="s">
        <v>533</v>
      </c>
      <c r="G2921" s="15"/>
      <c r="H2921" s="15"/>
      <c r="I2921" s="15"/>
      <c r="J2921" s="15"/>
      <c r="K2921" s="15"/>
      <c r="L2921" s="15"/>
      <c r="M2921" s="15"/>
      <c r="N2921" s="15"/>
      <c r="O2921" s="15"/>
      <c r="P2921" s="15"/>
      <c r="Q2921" s="15"/>
      <c r="R2921" s="15"/>
    </row>
    <row r="2922" spans="2:18" ht="13">
      <c r="B2922" s="33"/>
      <c r="C2922" s="34"/>
      <c r="D2922" s="68" t="s">
        <v>17</v>
      </c>
      <c r="E2922" s="69" t="s">
        <v>27</v>
      </c>
      <c r="F2922" s="20" t="s">
        <v>533</v>
      </c>
      <c r="G2922" s="15"/>
      <c r="H2922" s="15"/>
      <c r="I2922" s="15"/>
      <c r="J2922" s="15"/>
      <c r="K2922" s="15"/>
      <c r="L2922" s="15"/>
      <c r="M2922" s="15"/>
      <c r="N2922" s="15"/>
      <c r="O2922" s="15"/>
      <c r="P2922" s="15"/>
      <c r="Q2922" s="15"/>
      <c r="R2922" s="15"/>
    </row>
    <row r="2923" spans="2:18" ht="13">
      <c r="B2923" s="33"/>
      <c r="C2923" s="34"/>
      <c r="D2923" s="68" t="s">
        <v>574</v>
      </c>
      <c r="E2923" s="69" t="s">
        <v>575</v>
      </c>
      <c r="F2923" s="20" t="s">
        <v>533</v>
      </c>
      <c r="G2923" s="15"/>
      <c r="H2923" s="15"/>
      <c r="I2923" s="15"/>
      <c r="J2923" s="15"/>
      <c r="K2923" s="15"/>
      <c r="L2923" s="15"/>
      <c r="M2923" s="15"/>
      <c r="N2923" s="15"/>
      <c r="O2923" s="15"/>
      <c r="P2923" s="15"/>
      <c r="Q2923" s="15"/>
      <c r="R2923" s="15"/>
    </row>
    <row r="2924" spans="2:18" ht="13">
      <c r="B2924" s="33"/>
      <c r="C2924" s="34"/>
      <c r="D2924" s="68" t="s">
        <v>106</v>
      </c>
      <c r="E2924" s="69" t="s">
        <v>37</v>
      </c>
      <c r="F2924" s="20" t="s">
        <v>533</v>
      </c>
      <c r="G2924" s="15"/>
      <c r="H2924" s="15"/>
      <c r="I2924" s="15"/>
      <c r="J2924" s="15"/>
      <c r="K2924" s="15"/>
      <c r="L2924" s="15"/>
      <c r="M2924" s="15"/>
      <c r="N2924" s="15"/>
      <c r="O2924" s="15"/>
      <c r="P2924" s="15"/>
      <c r="Q2924" s="15"/>
      <c r="R2924" s="15"/>
    </row>
    <row r="2925" spans="2:18" ht="13">
      <c r="B2925" s="33"/>
      <c r="C2925" s="34"/>
      <c r="D2925" s="68" t="s">
        <v>17</v>
      </c>
      <c r="E2925" s="69" t="s">
        <v>564</v>
      </c>
      <c r="F2925" s="20" t="s">
        <v>533</v>
      </c>
      <c r="G2925" s="15"/>
      <c r="H2925" s="15"/>
      <c r="I2925" s="15"/>
      <c r="J2925" s="15"/>
      <c r="K2925" s="15"/>
      <c r="L2925" s="15"/>
      <c r="M2925" s="15"/>
      <c r="N2925" s="15"/>
      <c r="O2925" s="15"/>
      <c r="P2925" s="15"/>
      <c r="Q2925" s="15"/>
      <c r="R2925" s="15"/>
    </row>
    <row r="2926" spans="2:18" ht="13">
      <c r="B2926" s="33"/>
      <c r="C2926" s="34"/>
      <c r="D2926" s="68" t="s">
        <v>36</v>
      </c>
      <c r="E2926" s="69" t="s">
        <v>37</v>
      </c>
      <c r="F2926" s="20" t="s">
        <v>533</v>
      </c>
      <c r="G2926" s="15"/>
      <c r="H2926" s="15"/>
      <c r="I2926" s="15"/>
      <c r="J2926" s="15"/>
      <c r="K2926" s="15"/>
      <c r="L2926" s="15"/>
      <c r="M2926" s="15"/>
      <c r="N2926" s="15"/>
      <c r="O2926" s="15"/>
      <c r="P2926" s="15"/>
      <c r="Q2926" s="15"/>
      <c r="R2926" s="15"/>
    </row>
    <row r="2927" spans="2:18" ht="13">
      <c r="B2927" s="33"/>
      <c r="C2927" s="34"/>
      <c r="D2927" s="68" t="s">
        <v>17</v>
      </c>
      <c r="E2927" s="69" t="s">
        <v>27</v>
      </c>
      <c r="F2927" s="20" t="s">
        <v>533</v>
      </c>
      <c r="G2927" s="15"/>
      <c r="H2927" s="15"/>
      <c r="I2927" s="15"/>
      <c r="J2927" s="15"/>
      <c r="K2927" s="15"/>
      <c r="L2927" s="15"/>
      <c r="M2927" s="15"/>
      <c r="N2927" s="15"/>
      <c r="O2927" s="15"/>
      <c r="P2927" s="15"/>
      <c r="Q2927" s="15"/>
      <c r="R2927" s="15"/>
    </row>
    <row r="2928" spans="2:18" ht="13">
      <c r="B2928" s="33"/>
      <c r="C2928" s="34"/>
      <c r="D2928" s="68" t="s">
        <v>17</v>
      </c>
      <c r="E2928" s="69" t="s">
        <v>27</v>
      </c>
      <c r="F2928" s="20" t="s">
        <v>533</v>
      </c>
      <c r="G2928" s="15"/>
      <c r="H2928" s="15"/>
      <c r="I2928" s="15"/>
      <c r="J2928" s="15"/>
      <c r="K2928" s="15"/>
      <c r="L2928" s="15"/>
      <c r="M2928" s="15"/>
      <c r="N2928" s="15"/>
      <c r="O2928" s="15"/>
      <c r="P2928" s="15"/>
      <c r="Q2928" s="15"/>
      <c r="R2928" s="15"/>
    </row>
    <row r="2929" spans="2:18" ht="13">
      <c r="B2929" s="33"/>
      <c r="C2929" s="34"/>
      <c r="D2929" s="68" t="s">
        <v>17</v>
      </c>
      <c r="E2929" s="69" t="s">
        <v>27</v>
      </c>
      <c r="F2929" s="20" t="s">
        <v>533</v>
      </c>
      <c r="G2929" s="15"/>
      <c r="H2929" s="15"/>
      <c r="I2929" s="15"/>
      <c r="J2929" s="15"/>
      <c r="K2929" s="15"/>
      <c r="L2929" s="15"/>
      <c r="M2929" s="15"/>
      <c r="N2929" s="15"/>
      <c r="O2929" s="15"/>
      <c r="P2929" s="15"/>
      <c r="Q2929" s="15"/>
      <c r="R2929" s="15"/>
    </row>
    <row r="2930" spans="2:18" ht="13">
      <c r="B2930" s="33"/>
      <c r="C2930" s="34"/>
      <c r="D2930" s="68" t="s">
        <v>17</v>
      </c>
      <c r="E2930" s="69" t="s">
        <v>27</v>
      </c>
      <c r="F2930" s="20" t="s">
        <v>533</v>
      </c>
      <c r="G2930" s="15"/>
      <c r="H2930" s="15"/>
      <c r="I2930" s="15"/>
      <c r="J2930" s="15"/>
      <c r="K2930" s="15"/>
      <c r="L2930" s="15"/>
      <c r="M2930" s="15"/>
      <c r="N2930" s="15"/>
      <c r="O2930" s="15"/>
      <c r="P2930" s="15"/>
      <c r="Q2930" s="15"/>
      <c r="R2930" s="15"/>
    </row>
    <row r="2931" spans="2:18" ht="13">
      <c r="B2931" s="33"/>
      <c r="C2931" s="34"/>
      <c r="D2931" s="68" t="s">
        <v>174</v>
      </c>
      <c r="E2931" s="69" t="s">
        <v>27</v>
      </c>
      <c r="F2931" s="20" t="s">
        <v>533</v>
      </c>
      <c r="G2931" s="15"/>
      <c r="H2931" s="15"/>
      <c r="I2931" s="15"/>
      <c r="J2931" s="15"/>
      <c r="K2931" s="15"/>
      <c r="L2931" s="15"/>
      <c r="M2931" s="15"/>
      <c r="N2931" s="15"/>
      <c r="O2931" s="15"/>
      <c r="P2931" s="15"/>
      <c r="Q2931" s="15"/>
      <c r="R2931" s="15"/>
    </row>
    <row r="2932" spans="2:18" ht="13">
      <c r="B2932" s="33"/>
      <c r="C2932" s="34"/>
      <c r="D2932" s="68" t="s">
        <v>17</v>
      </c>
      <c r="E2932" s="69" t="s">
        <v>27</v>
      </c>
      <c r="F2932" s="20" t="s">
        <v>533</v>
      </c>
      <c r="G2932" s="15"/>
      <c r="H2932" s="15"/>
      <c r="I2932" s="15"/>
      <c r="J2932" s="15"/>
      <c r="K2932" s="15"/>
      <c r="L2932" s="15"/>
      <c r="M2932" s="15"/>
      <c r="N2932" s="15"/>
      <c r="O2932" s="15"/>
      <c r="P2932" s="15"/>
      <c r="Q2932" s="15"/>
      <c r="R2932" s="15"/>
    </row>
    <row r="2933" spans="2:18" ht="13">
      <c r="B2933" s="33"/>
      <c r="C2933" s="34"/>
      <c r="D2933" s="68" t="s">
        <v>593</v>
      </c>
      <c r="E2933" s="69" t="s">
        <v>32</v>
      </c>
      <c r="F2933" s="20" t="s">
        <v>533</v>
      </c>
      <c r="G2933" s="15"/>
      <c r="H2933" s="15"/>
      <c r="I2933" s="15"/>
      <c r="J2933" s="15"/>
      <c r="K2933" s="15"/>
      <c r="L2933" s="15"/>
      <c r="M2933" s="15"/>
      <c r="N2933" s="15"/>
      <c r="O2933" s="15"/>
      <c r="P2933" s="15"/>
      <c r="Q2933" s="15"/>
      <c r="R2933" s="15"/>
    </row>
    <row r="2934" spans="2:18" ht="13">
      <c r="B2934" s="33"/>
      <c r="C2934" s="34"/>
      <c r="D2934" s="68" t="s">
        <v>17</v>
      </c>
      <c r="E2934" s="69" t="s">
        <v>27</v>
      </c>
      <c r="F2934" s="20" t="s">
        <v>533</v>
      </c>
      <c r="G2934" s="15"/>
      <c r="H2934" s="15"/>
      <c r="I2934" s="15"/>
      <c r="J2934" s="15"/>
      <c r="K2934" s="15"/>
      <c r="L2934" s="15"/>
      <c r="M2934" s="15"/>
      <c r="N2934" s="15"/>
      <c r="O2934" s="15"/>
      <c r="P2934" s="15"/>
      <c r="Q2934" s="15"/>
      <c r="R2934" s="15"/>
    </row>
    <row r="2935" spans="2:18" ht="13">
      <c r="B2935" s="33"/>
      <c r="C2935" s="34"/>
      <c r="D2935" s="68" t="s">
        <v>26</v>
      </c>
      <c r="E2935" s="69" t="s">
        <v>27</v>
      </c>
      <c r="F2935" s="20" t="s">
        <v>533</v>
      </c>
      <c r="G2935" s="15"/>
      <c r="H2935" s="15"/>
      <c r="I2935" s="15"/>
      <c r="J2935" s="15"/>
      <c r="K2935" s="15"/>
      <c r="L2935" s="15"/>
      <c r="M2935" s="15"/>
      <c r="N2935" s="15"/>
      <c r="O2935" s="15"/>
      <c r="P2935" s="15"/>
      <c r="Q2935" s="15"/>
      <c r="R2935" s="15"/>
    </row>
    <row r="2936" spans="2:18" ht="13">
      <c r="B2936" s="33"/>
      <c r="C2936" s="34"/>
      <c r="D2936" s="68" t="s">
        <v>168</v>
      </c>
      <c r="E2936" s="69" t="s">
        <v>27</v>
      </c>
      <c r="F2936" s="20" t="s">
        <v>533</v>
      </c>
      <c r="G2936" s="15"/>
      <c r="H2936" s="15"/>
      <c r="I2936" s="15"/>
      <c r="J2936" s="15"/>
      <c r="K2936" s="15"/>
      <c r="L2936" s="15"/>
      <c r="M2936" s="15"/>
      <c r="N2936" s="15"/>
      <c r="O2936" s="15"/>
      <c r="P2936" s="15"/>
      <c r="Q2936" s="15"/>
      <c r="R2936" s="15"/>
    </row>
    <row r="2937" spans="2:18" ht="13">
      <c r="B2937" s="33"/>
      <c r="C2937" s="34"/>
      <c r="D2937" s="68" t="s">
        <v>26</v>
      </c>
      <c r="E2937" s="69" t="s">
        <v>27</v>
      </c>
      <c r="F2937" s="20" t="s">
        <v>533</v>
      </c>
      <c r="G2937" s="15"/>
      <c r="H2937" s="15"/>
      <c r="I2937" s="15"/>
      <c r="J2937" s="15"/>
      <c r="K2937" s="15"/>
      <c r="L2937" s="15"/>
      <c r="M2937" s="15"/>
      <c r="N2937" s="15"/>
      <c r="O2937" s="15"/>
      <c r="P2937" s="15"/>
      <c r="Q2937" s="15"/>
      <c r="R2937" s="15"/>
    </row>
    <row r="2938" spans="2:18" ht="13">
      <c r="B2938" s="33"/>
      <c r="C2938" s="34"/>
      <c r="D2938" s="68" t="s">
        <v>17</v>
      </c>
      <c r="E2938" s="69" t="s">
        <v>27</v>
      </c>
      <c r="F2938" s="20" t="s">
        <v>533</v>
      </c>
      <c r="G2938" s="15"/>
      <c r="H2938" s="15"/>
      <c r="I2938" s="15"/>
      <c r="J2938" s="15"/>
      <c r="K2938" s="15"/>
      <c r="L2938" s="15"/>
      <c r="M2938" s="15"/>
      <c r="N2938" s="15"/>
      <c r="O2938" s="15"/>
      <c r="P2938" s="15"/>
      <c r="Q2938" s="15"/>
      <c r="R2938" s="15"/>
    </row>
    <row r="2939" spans="2:18" ht="13">
      <c r="B2939" s="33"/>
      <c r="C2939" s="34"/>
      <c r="D2939" s="68" t="s">
        <v>17</v>
      </c>
      <c r="E2939" s="69" t="s">
        <v>27</v>
      </c>
      <c r="F2939" s="20" t="s">
        <v>533</v>
      </c>
      <c r="G2939" s="15"/>
      <c r="H2939" s="15"/>
      <c r="I2939" s="15"/>
      <c r="J2939" s="15"/>
      <c r="K2939" s="15"/>
      <c r="L2939" s="15"/>
      <c r="M2939" s="15"/>
      <c r="N2939" s="15"/>
      <c r="O2939" s="15"/>
      <c r="P2939" s="15"/>
      <c r="Q2939" s="15"/>
      <c r="R2939" s="15"/>
    </row>
    <row r="2940" spans="2:18" ht="13">
      <c r="B2940" s="33"/>
      <c r="C2940" s="34"/>
      <c r="D2940" s="68" t="s">
        <v>26</v>
      </c>
      <c r="E2940" s="69" t="s">
        <v>27</v>
      </c>
      <c r="F2940" s="20" t="s">
        <v>533</v>
      </c>
      <c r="G2940" s="15"/>
      <c r="H2940" s="15"/>
      <c r="I2940" s="15"/>
      <c r="J2940" s="15"/>
      <c r="K2940" s="15"/>
      <c r="L2940" s="15"/>
      <c r="M2940" s="15"/>
      <c r="N2940" s="15"/>
      <c r="O2940" s="15"/>
      <c r="P2940" s="15"/>
      <c r="Q2940" s="15"/>
      <c r="R2940" s="15"/>
    </row>
    <row r="2941" spans="2:18" ht="13">
      <c r="B2941" s="33"/>
      <c r="C2941" s="34"/>
      <c r="D2941" s="68" t="s">
        <v>17</v>
      </c>
      <c r="E2941" s="69" t="s">
        <v>27</v>
      </c>
      <c r="F2941" s="20" t="s">
        <v>533</v>
      </c>
      <c r="G2941" s="15"/>
      <c r="H2941" s="15"/>
      <c r="I2941" s="15"/>
      <c r="J2941" s="15"/>
      <c r="K2941" s="15"/>
      <c r="L2941" s="15"/>
      <c r="M2941" s="15"/>
      <c r="N2941" s="15"/>
      <c r="O2941" s="15"/>
      <c r="P2941" s="15"/>
      <c r="Q2941" s="15"/>
      <c r="R2941" s="15"/>
    </row>
    <row r="2942" spans="2:18" ht="13">
      <c r="B2942" s="33"/>
      <c r="C2942" s="34"/>
      <c r="D2942" s="68" t="s">
        <v>168</v>
      </c>
      <c r="E2942" s="69" t="s">
        <v>27</v>
      </c>
      <c r="F2942" s="20" t="s">
        <v>533</v>
      </c>
      <c r="G2942" s="15"/>
      <c r="H2942" s="15"/>
      <c r="I2942" s="15"/>
      <c r="J2942" s="15"/>
      <c r="K2942" s="15"/>
      <c r="L2942" s="15"/>
      <c r="M2942" s="15"/>
      <c r="N2942" s="15"/>
      <c r="O2942" s="15"/>
      <c r="P2942" s="15"/>
      <c r="Q2942" s="15"/>
      <c r="R2942" s="15"/>
    </row>
    <row r="2943" spans="2:18" ht="13">
      <c r="B2943" s="33"/>
      <c r="C2943" s="34"/>
      <c r="D2943" s="68" t="s">
        <v>570</v>
      </c>
      <c r="E2943" s="69" t="s">
        <v>124</v>
      </c>
      <c r="F2943" s="20" t="s">
        <v>533</v>
      </c>
      <c r="G2943" s="15"/>
      <c r="H2943" s="15"/>
      <c r="I2943" s="15"/>
      <c r="J2943" s="15"/>
      <c r="K2943" s="15"/>
      <c r="L2943" s="15"/>
      <c r="M2943" s="15"/>
      <c r="N2943" s="15"/>
      <c r="O2943" s="15"/>
      <c r="P2943" s="15"/>
      <c r="Q2943" s="15"/>
      <c r="R2943" s="15"/>
    </row>
    <row r="2944" spans="2:18" ht="13">
      <c r="B2944" s="33"/>
      <c r="C2944" s="34"/>
      <c r="D2944" s="68" t="s">
        <v>17</v>
      </c>
      <c r="E2944" s="69" t="s">
        <v>27</v>
      </c>
      <c r="F2944" s="20" t="s">
        <v>533</v>
      </c>
      <c r="G2944" s="15"/>
      <c r="H2944" s="15"/>
      <c r="I2944" s="15"/>
      <c r="J2944" s="15"/>
      <c r="K2944" s="15"/>
      <c r="L2944" s="15"/>
      <c r="M2944" s="15"/>
      <c r="N2944" s="15"/>
      <c r="O2944" s="15"/>
      <c r="P2944" s="15"/>
      <c r="Q2944" s="15"/>
      <c r="R2944" s="15"/>
    </row>
    <row r="2945" spans="2:18" ht="13">
      <c r="B2945" s="33"/>
      <c r="C2945" s="34"/>
      <c r="D2945" s="68" t="s">
        <v>17</v>
      </c>
      <c r="E2945" s="69" t="s">
        <v>27</v>
      </c>
      <c r="F2945" s="20" t="s">
        <v>533</v>
      </c>
      <c r="G2945" s="15"/>
      <c r="H2945" s="15"/>
      <c r="I2945" s="15"/>
      <c r="J2945" s="15"/>
      <c r="K2945" s="15"/>
      <c r="L2945" s="15"/>
      <c r="M2945" s="15"/>
      <c r="N2945" s="15"/>
      <c r="O2945" s="15"/>
      <c r="P2945" s="15"/>
      <c r="Q2945" s="15"/>
      <c r="R2945" s="15"/>
    </row>
    <row r="2946" spans="2:18" ht="13">
      <c r="B2946" s="33"/>
      <c r="C2946" s="34"/>
      <c r="D2946" s="68" t="s">
        <v>26</v>
      </c>
      <c r="E2946" s="69" t="s">
        <v>27</v>
      </c>
      <c r="F2946" s="20" t="s">
        <v>533</v>
      </c>
      <c r="G2946" s="15"/>
      <c r="H2946" s="15"/>
      <c r="I2946" s="15"/>
      <c r="J2946" s="15"/>
      <c r="K2946" s="15"/>
      <c r="L2946" s="15"/>
      <c r="M2946" s="15"/>
      <c r="N2946" s="15"/>
      <c r="O2946" s="15"/>
      <c r="P2946" s="15"/>
      <c r="Q2946" s="15"/>
      <c r="R2946" s="15"/>
    </row>
    <row r="2947" spans="2:18" ht="13">
      <c r="B2947" s="33"/>
      <c r="C2947" s="34"/>
      <c r="D2947" s="68" t="s">
        <v>17</v>
      </c>
      <c r="E2947" s="69" t="s">
        <v>27</v>
      </c>
      <c r="F2947" s="20" t="s">
        <v>533</v>
      </c>
      <c r="G2947" s="15"/>
      <c r="H2947" s="15"/>
      <c r="I2947" s="15"/>
      <c r="J2947" s="15"/>
      <c r="K2947" s="15"/>
      <c r="L2947" s="15"/>
      <c r="M2947" s="15"/>
      <c r="N2947" s="15"/>
      <c r="O2947" s="15"/>
      <c r="P2947" s="15"/>
      <c r="Q2947" s="15"/>
      <c r="R2947" s="15"/>
    </row>
    <row r="2948" spans="2:18" ht="13">
      <c r="B2948" s="33"/>
      <c r="C2948" s="34"/>
      <c r="D2948" s="68" t="s">
        <v>26</v>
      </c>
      <c r="E2948" s="69" t="s">
        <v>27</v>
      </c>
      <c r="F2948" s="20" t="s">
        <v>533</v>
      </c>
      <c r="G2948" s="15"/>
      <c r="H2948" s="15"/>
      <c r="I2948" s="15"/>
      <c r="J2948" s="15"/>
      <c r="K2948" s="15"/>
      <c r="L2948" s="15"/>
      <c r="M2948" s="15"/>
      <c r="N2948" s="15"/>
      <c r="O2948" s="15"/>
      <c r="P2948" s="15"/>
      <c r="Q2948" s="15"/>
      <c r="R2948" s="15"/>
    </row>
    <row r="2949" spans="2:18" ht="13">
      <c r="B2949" s="33"/>
      <c r="C2949" s="34"/>
      <c r="D2949" s="68" t="s">
        <v>556</v>
      </c>
      <c r="E2949" s="69" t="s">
        <v>37</v>
      </c>
      <c r="F2949" s="20" t="s">
        <v>533</v>
      </c>
      <c r="G2949" s="15"/>
      <c r="H2949" s="15"/>
      <c r="I2949" s="15"/>
      <c r="J2949" s="15"/>
      <c r="K2949" s="15"/>
      <c r="L2949" s="15"/>
      <c r="M2949" s="15"/>
      <c r="N2949" s="15"/>
      <c r="O2949" s="15"/>
      <c r="P2949" s="15"/>
      <c r="Q2949" s="15"/>
      <c r="R2949" s="15"/>
    </row>
    <row r="2950" spans="2:18" ht="13">
      <c r="B2950" s="33"/>
      <c r="C2950" s="34"/>
      <c r="D2950" s="68" t="s">
        <v>17</v>
      </c>
      <c r="E2950" s="69" t="s">
        <v>27</v>
      </c>
      <c r="F2950" s="20" t="s">
        <v>533</v>
      </c>
      <c r="G2950" s="15"/>
      <c r="H2950" s="15"/>
      <c r="I2950" s="15"/>
      <c r="J2950" s="15"/>
      <c r="K2950" s="15"/>
      <c r="L2950" s="15"/>
      <c r="M2950" s="15"/>
      <c r="N2950" s="15"/>
      <c r="O2950" s="15"/>
      <c r="P2950" s="15"/>
      <c r="Q2950" s="15"/>
      <c r="R2950" s="15"/>
    </row>
    <row r="2951" spans="2:18" ht="13">
      <c r="B2951" s="33"/>
      <c r="C2951" s="34"/>
      <c r="D2951" s="68" t="s">
        <v>17</v>
      </c>
      <c r="E2951" s="69" t="s">
        <v>27</v>
      </c>
      <c r="F2951" s="20" t="s">
        <v>533</v>
      </c>
      <c r="G2951" s="15"/>
      <c r="H2951" s="15"/>
      <c r="I2951" s="15"/>
      <c r="J2951" s="15"/>
      <c r="K2951" s="15"/>
      <c r="L2951" s="15"/>
      <c r="M2951" s="15"/>
      <c r="N2951" s="15"/>
      <c r="O2951" s="15"/>
      <c r="P2951" s="15"/>
      <c r="Q2951" s="15"/>
      <c r="R2951" s="15"/>
    </row>
    <row r="2952" spans="2:18" ht="13">
      <c r="B2952" s="33"/>
      <c r="C2952" s="34"/>
      <c r="D2952" s="68" t="s">
        <v>17</v>
      </c>
      <c r="E2952" s="69" t="s">
        <v>27</v>
      </c>
      <c r="F2952" s="20" t="s">
        <v>533</v>
      </c>
      <c r="G2952" s="15"/>
      <c r="H2952" s="15"/>
      <c r="I2952" s="15"/>
      <c r="J2952" s="15"/>
      <c r="K2952" s="15"/>
      <c r="L2952" s="15"/>
      <c r="M2952" s="15"/>
      <c r="N2952" s="15"/>
      <c r="O2952" s="15"/>
      <c r="P2952" s="15"/>
      <c r="Q2952" s="15"/>
      <c r="R2952" s="15"/>
    </row>
    <row r="2953" spans="2:18" ht="13">
      <c r="B2953" s="33"/>
      <c r="C2953" s="34"/>
      <c r="D2953" s="68" t="s">
        <v>17</v>
      </c>
      <c r="E2953" s="69" t="s">
        <v>27</v>
      </c>
      <c r="F2953" s="20" t="s">
        <v>533</v>
      </c>
      <c r="G2953" s="15"/>
      <c r="H2953" s="15"/>
      <c r="I2953" s="15"/>
      <c r="J2953" s="15"/>
      <c r="K2953" s="15"/>
      <c r="L2953" s="15"/>
      <c r="M2953" s="15"/>
      <c r="N2953" s="15"/>
      <c r="O2953" s="15"/>
      <c r="P2953" s="15"/>
      <c r="Q2953" s="15"/>
      <c r="R2953" s="15"/>
    </row>
    <row r="2954" spans="2:18" ht="13">
      <c r="B2954" s="33"/>
      <c r="C2954" s="34"/>
      <c r="D2954" s="68" t="s">
        <v>17</v>
      </c>
      <c r="E2954" s="69" t="s">
        <v>27</v>
      </c>
      <c r="F2954" s="20" t="s">
        <v>533</v>
      </c>
      <c r="G2954" s="15"/>
      <c r="H2954" s="15"/>
      <c r="I2954" s="15"/>
      <c r="J2954" s="15"/>
      <c r="K2954" s="15"/>
      <c r="L2954" s="15"/>
      <c r="M2954" s="15"/>
      <c r="N2954" s="15"/>
      <c r="O2954" s="15"/>
      <c r="P2954" s="15"/>
      <c r="Q2954" s="15"/>
      <c r="R2954" s="15"/>
    </row>
    <row r="2955" spans="2:18" ht="13">
      <c r="B2955" s="33"/>
      <c r="C2955" s="34"/>
      <c r="D2955" s="68" t="s">
        <v>26</v>
      </c>
      <c r="E2955" s="69" t="s">
        <v>27</v>
      </c>
      <c r="F2955" s="20" t="s">
        <v>533</v>
      </c>
      <c r="G2955" s="15"/>
      <c r="H2955" s="15"/>
      <c r="I2955" s="15"/>
      <c r="J2955" s="15"/>
      <c r="K2955" s="15"/>
      <c r="L2955" s="15"/>
      <c r="M2955" s="15"/>
      <c r="N2955" s="15"/>
      <c r="O2955" s="15"/>
      <c r="P2955" s="15"/>
      <c r="Q2955" s="15"/>
      <c r="R2955" s="15"/>
    </row>
    <row r="2956" spans="2:18" ht="13">
      <c r="B2956" s="33"/>
      <c r="C2956" s="34"/>
      <c r="D2956" s="68" t="s">
        <v>26</v>
      </c>
      <c r="E2956" s="69" t="s">
        <v>27</v>
      </c>
      <c r="F2956" s="20" t="s">
        <v>533</v>
      </c>
      <c r="G2956" s="15"/>
      <c r="H2956" s="15"/>
      <c r="I2956" s="15"/>
      <c r="J2956" s="15"/>
      <c r="K2956" s="15"/>
      <c r="L2956" s="15"/>
      <c r="M2956" s="15"/>
      <c r="N2956" s="15"/>
      <c r="O2956" s="15"/>
      <c r="P2956" s="15"/>
      <c r="Q2956" s="15"/>
      <c r="R2956" s="15"/>
    </row>
    <row r="2957" spans="2:18" ht="13">
      <c r="B2957" s="33"/>
      <c r="C2957" s="34"/>
      <c r="D2957" s="68" t="s">
        <v>17</v>
      </c>
      <c r="E2957" s="69" t="s">
        <v>27</v>
      </c>
      <c r="F2957" s="20" t="s">
        <v>533</v>
      </c>
      <c r="G2957" s="15"/>
      <c r="H2957" s="15"/>
      <c r="I2957" s="15"/>
      <c r="J2957" s="15"/>
      <c r="K2957" s="15"/>
      <c r="L2957" s="15"/>
      <c r="M2957" s="15"/>
      <c r="N2957" s="15"/>
      <c r="O2957" s="15"/>
      <c r="P2957" s="15"/>
      <c r="Q2957" s="15"/>
      <c r="R2957" s="15"/>
    </row>
    <row r="2958" spans="2:18" ht="13">
      <c r="B2958" s="33"/>
      <c r="C2958" s="34"/>
      <c r="D2958" s="68" t="s">
        <v>17</v>
      </c>
      <c r="E2958" s="69" t="s">
        <v>27</v>
      </c>
      <c r="F2958" s="20" t="s">
        <v>533</v>
      </c>
      <c r="G2958" s="15"/>
      <c r="H2958" s="15"/>
      <c r="I2958" s="15"/>
      <c r="J2958" s="15"/>
      <c r="K2958" s="15"/>
      <c r="L2958" s="15"/>
      <c r="M2958" s="15"/>
      <c r="N2958" s="15"/>
      <c r="O2958" s="15"/>
      <c r="P2958" s="15"/>
      <c r="Q2958" s="15"/>
      <c r="R2958" s="15"/>
    </row>
    <row r="2959" spans="2:18" ht="13">
      <c r="B2959" s="33"/>
      <c r="C2959" s="34"/>
      <c r="D2959" s="68" t="s">
        <v>17</v>
      </c>
      <c r="E2959" s="69" t="s">
        <v>27</v>
      </c>
      <c r="F2959" s="20" t="s">
        <v>533</v>
      </c>
      <c r="G2959" s="15"/>
      <c r="H2959" s="15"/>
      <c r="I2959" s="15"/>
      <c r="J2959" s="15"/>
      <c r="K2959" s="15"/>
      <c r="L2959" s="15"/>
      <c r="M2959" s="15"/>
      <c r="N2959" s="15"/>
      <c r="O2959" s="15"/>
      <c r="P2959" s="15"/>
      <c r="Q2959" s="15"/>
      <c r="R2959" s="15"/>
    </row>
    <row r="2960" spans="2:18" ht="13">
      <c r="B2960" s="33"/>
      <c r="C2960" s="34"/>
      <c r="D2960" s="68" t="s">
        <v>17</v>
      </c>
      <c r="E2960" s="69" t="s">
        <v>27</v>
      </c>
      <c r="F2960" s="20" t="s">
        <v>533</v>
      </c>
      <c r="G2960" s="15"/>
      <c r="H2960" s="15"/>
      <c r="I2960" s="15"/>
      <c r="J2960" s="15"/>
      <c r="K2960" s="15"/>
      <c r="L2960" s="15"/>
      <c r="M2960" s="15"/>
      <c r="N2960" s="15"/>
      <c r="O2960" s="15"/>
      <c r="P2960" s="15"/>
      <c r="Q2960" s="15"/>
      <c r="R2960" s="15"/>
    </row>
    <row r="2961" spans="2:18" ht="13">
      <c r="B2961" s="33"/>
      <c r="C2961" s="34"/>
      <c r="D2961" s="68" t="s">
        <v>290</v>
      </c>
      <c r="E2961" s="69" t="s">
        <v>32</v>
      </c>
      <c r="F2961" s="20" t="s">
        <v>533</v>
      </c>
      <c r="G2961" s="15"/>
      <c r="H2961" s="15"/>
      <c r="I2961" s="15"/>
      <c r="J2961" s="15"/>
      <c r="K2961" s="15"/>
      <c r="L2961" s="15"/>
      <c r="M2961" s="15"/>
      <c r="N2961" s="15"/>
      <c r="O2961" s="15"/>
      <c r="P2961" s="15"/>
      <c r="Q2961" s="15"/>
      <c r="R2961" s="15"/>
    </row>
    <row r="2962" spans="2:18" ht="13">
      <c r="B2962" s="33"/>
      <c r="C2962" s="34"/>
      <c r="D2962" s="68" t="s">
        <v>17</v>
      </c>
      <c r="E2962" s="69" t="s">
        <v>27</v>
      </c>
      <c r="F2962" s="20" t="s">
        <v>533</v>
      </c>
      <c r="G2962" s="15"/>
      <c r="H2962" s="15"/>
      <c r="I2962" s="15"/>
      <c r="J2962" s="15"/>
      <c r="K2962" s="15"/>
      <c r="L2962" s="15"/>
      <c r="M2962" s="15"/>
      <c r="N2962" s="15"/>
      <c r="O2962" s="15"/>
      <c r="P2962" s="15"/>
      <c r="Q2962" s="15"/>
      <c r="R2962" s="15"/>
    </row>
    <row r="2963" spans="2:18" ht="13">
      <c r="B2963" s="33"/>
      <c r="C2963" s="34"/>
      <c r="D2963" s="68" t="s">
        <v>17</v>
      </c>
      <c r="E2963" s="69" t="s">
        <v>27</v>
      </c>
      <c r="F2963" s="20" t="s">
        <v>533</v>
      </c>
      <c r="G2963" s="15"/>
      <c r="H2963" s="15"/>
      <c r="I2963" s="15"/>
      <c r="J2963" s="15"/>
      <c r="K2963" s="15"/>
      <c r="L2963" s="15"/>
      <c r="M2963" s="15"/>
      <c r="N2963" s="15"/>
      <c r="O2963" s="15"/>
      <c r="P2963" s="15"/>
      <c r="Q2963" s="15"/>
      <c r="R2963" s="15"/>
    </row>
    <row r="2964" spans="2:18" ht="13">
      <c r="B2964" s="33"/>
      <c r="C2964" s="34"/>
      <c r="D2964" s="68" t="s">
        <v>26</v>
      </c>
      <c r="E2964" s="69" t="s">
        <v>27</v>
      </c>
      <c r="F2964" s="20" t="s">
        <v>533</v>
      </c>
      <c r="G2964" s="15"/>
      <c r="H2964" s="15"/>
      <c r="I2964" s="15"/>
      <c r="J2964" s="15"/>
      <c r="K2964" s="15"/>
      <c r="L2964" s="15"/>
      <c r="M2964" s="15"/>
      <c r="N2964" s="15"/>
      <c r="O2964" s="15"/>
      <c r="P2964" s="15"/>
      <c r="Q2964" s="15"/>
      <c r="R2964" s="15"/>
    </row>
    <row r="2965" spans="2:18" ht="13">
      <c r="B2965" s="33"/>
      <c r="C2965" s="34"/>
      <c r="D2965" s="68" t="s">
        <v>17</v>
      </c>
      <c r="E2965" s="69" t="s">
        <v>27</v>
      </c>
      <c r="F2965" s="20" t="s">
        <v>533</v>
      </c>
      <c r="G2965" s="15"/>
      <c r="H2965" s="15"/>
      <c r="I2965" s="15"/>
      <c r="J2965" s="15"/>
      <c r="K2965" s="15"/>
      <c r="L2965" s="15"/>
      <c r="M2965" s="15"/>
      <c r="N2965" s="15"/>
      <c r="O2965" s="15"/>
      <c r="P2965" s="15"/>
      <c r="Q2965" s="15"/>
      <c r="R2965" s="15"/>
    </row>
    <row r="2966" spans="2:18" ht="13">
      <c r="B2966" s="33"/>
      <c r="C2966" s="34"/>
      <c r="D2966" s="68" t="s">
        <v>26</v>
      </c>
      <c r="E2966" s="69" t="s">
        <v>27</v>
      </c>
      <c r="F2966" s="20" t="s">
        <v>533</v>
      </c>
      <c r="G2966" s="15"/>
      <c r="H2966" s="15"/>
      <c r="I2966" s="15"/>
      <c r="J2966" s="15"/>
      <c r="K2966" s="15"/>
      <c r="L2966" s="15"/>
      <c r="M2966" s="15"/>
      <c r="N2966" s="15"/>
      <c r="O2966" s="15"/>
      <c r="P2966" s="15"/>
      <c r="Q2966" s="15"/>
      <c r="R2966" s="15"/>
    </row>
    <row r="2967" spans="2:18" ht="13">
      <c r="B2967" s="33"/>
      <c r="C2967" s="34"/>
      <c r="D2967" s="68" t="s">
        <v>53</v>
      </c>
      <c r="E2967" s="69" t="s">
        <v>32</v>
      </c>
      <c r="F2967" s="20" t="s">
        <v>533</v>
      </c>
      <c r="G2967" s="15"/>
      <c r="H2967" s="15"/>
      <c r="I2967" s="15"/>
      <c r="J2967" s="15"/>
      <c r="K2967" s="15"/>
      <c r="L2967" s="15"/>
      <c r="M2967" s="15"/>
      <c r="N2967" s="15"/>
      <c r="O2967" s="15"/>
      <c r="P2967" s="15"/>
      <c r="Q2967" s="15"/>
      <c r="R2967" s="15"/>
    </row>
    <row r="2968" spans="2:18" ht="13">
      <c r="B2968" s="33"/>
      <c r="C2968" s="34"/>
      <c r="D2968" s="68" t="s">
        <v>574</v>
      </c>
      <c r="E2968" s="69" t="s">
        <v>575</v>
      </c>
      <c r="F2968" s="20" t="s">
        <v>533</v>
      </c>
      <c r="G2968" s="15"/>
      <c r="H2968" s="15"/>
      <c r="I2968" s="15"/>
      <c r="J2968" s="15"/>
      <c r="K2968" s="15"/>
      <c r="L2968" s="15"/>
      <c r="M2968" s="15"/>
      <c r="N2968" s="15"/>
      <c r="O2968" s="15"/>
      <c r="P2968" s="15"/>
      <c r="Q2968" s="15"/>
      <c r="R2968" s="15"/>
    </row>
    <row r="2969" spans="2:18" ht="13">
      <c r="B2969" s="33"/>
      <c r="C2969" s="34"/>
      <c r="D2969" s="68" t="s">
        <v>17</v>
      </c>
      <c r="E2969" s="69" t="s">
        <v>27</v>
      </c>
      <c r="F2969" s="20" t="s">
        <v>533</v>
      </c>
      <c r="G2969" s="15"/>
      <c r="H2969" s="15"/>
      <c r="I2969" s="15"/>
      <c r="J2969" s="15"/>
      <c r="K2969" s="15"/>
      <c r="L2969" s="15"/>
      <c r="M2969" s="15"/>
      <c r="N2969" s="15"/>
      <c r="O2969" s="15"/>
      <c r="P2969" s="15"/>
      <c r="Q2969" s="15"/>
      <c r="R2969" s="15"/>
    </row>
    <row r="2970" spans="2:18" ht="13">
      <c r="B2970" s="33"/>
      <c r="C2970" s="34"/>
      <c r="D2970" s="68" t="s">
        <v>17</v>
      </c>
      <c r="E2970" s="69" t="s">
        <v>27</v>
      </c>
      <c r="F2970" s="20" t="s">
        <v>533</v>
      </c>
      <c r="G2970" s="15"/>
      <c r="H2970" s="15"/>
      <c r="I2970" s="15"/>
      <c r="J2970" s="15"/>
      <c r="K2970" s="15"/>
      <c r="L2970" s="15"/>
      <c r="M2970" s="15"/>
      <c r="N2970" s="15"/>
      <c r="O2970" s="15"/>
      <c r="P2970" s="15"/>
      <c r="Q2970" s="15"/>
      <c r="R2970" s="15"/>
    </row>
    <row r="2971" spans="2:18" ht="13">
      <c r="B2971" s="33"/>
      <c r="C2971" s="34"/>
      <c r="D2971" s="68" t="s">
        <v>574</v>
      </c>
      <c r="E2971" s="69" t="s">
        <v>575</v>
      </c>
      <c r="F2971" s="20" t="s">
        <v>533</v>
      </c>
      <c r="G2971" s="15"/>
      <c r="H2971" s="15"/>
      <c r="I2971" s="15"/>
      <c r="J2971" s="15"/>
      <c r="K2971" s="15"/>
      <c r="L2971" s="15"/>
      <c r="M2971" s="15"/>
      <c r="N2971" s="15"/>
      <c r="O2971" s="15"/>
      <c r="P2971" s="15"/>
      <c r="Q2971" s="15"/>
      <c r="R2971" s="15"/>
    </row>
    <row r="2972" spans="2:18" ht="13">
      <c r="B2972" s="33"/>
      <c r="C2972" s="34"/>
      <c r="D2972" s="68" t="s">
        <v>17</v>
      </c>
      <c r="E2972" s="69" t="s">
        <v>27</v>
      </c>
      <c r="F2972" s="20" t="s">
        <v>533</v>
      </c>
      <c r="G2972" s="15"/>
      <c r="H2972" s="15"/>
      <c r="I2972" s="15"/>
      <c r="J2972" s="15"/>
      <c r="K2972" s="15"/>
      <c r="L2972" s="15"/>
      <c r="M2972" s="15"/>
      <c r="N2972" s="15"/>
      <c r="O2972" s="15"/>
      <c r="P2972" s="15"/>
      <c r="Q2972" s="15"/>
      <c r="R2972" s="15"/>
    </row>
    <row r="2973" spans="2:18" ht="13">
      <c r="B2973" s="33"/>
      <c r="C2973" s="34"/>
      <c r="D2973" s="68" t="s">
        <v>26</v>
      </c>
      <c r="E2973" s="69" t="s">
        <v>27</v>
      </c>
      <c r="F2973" s="20" t="s">
        <v>533</v>
      </c>
      <c r="G2973" s="15"/>
      <c r="H2973" s="15"/>
      <c r="I2973" s="15"/>
      <c r="J2973" s="15"/>
      <c r="K2973" s="15"/>
      <c r="L2973" s="15"/>
      <c r="M2973" s="15"/>
      <c r="N2973" s="15"/>
      <c r="O2973" s="15"/>
      <c r="P2973" s="15"/>
      <c r="Q2973" s="15"/>
      <c r="R2973" s="15"/>
    </row>
    <row r="2974" spans="2:18" ht="13">
      <c r="B2974" s="33"/>
      <c r="C2974" s="34"/>
      <c r="D2974" s="68" t="s">
        <v>17</v>
      </c>
      <c r="E2974" s="69" t="s">
        <v>27</v>
      </c>
      <c r="F2974" s="20" t="s">
        <v>533</v>
      </c>
      <c r="G2974" s="15"/>
      <c r="H2974" s="15"/>
      <c r="I2974" s="15"/>
      <c r="J2974" s="15"/>
      <c r="K2974" s="15"/>
      <c r="L2974" s="15"/>
      <c r="M2974" s="15"/>
      <c r="N2974" s="15"/>
      <c r="O2974" s="15"/>
      <c r="P2974" s="15"/>
      <c r="Q2974" s="15"/>
      <c r="R2974" s="15"/>
    </row>
    <row r="2975" spans="2:18" ht="13">
      <c r="B2975" s="33"/>
      <c r="C2975" s="34"/>
      <c r="D2975" s="68" t="s">
        <v>17</v>
      </c>
      <c r="E2975" s="69" t="s">
        <v>27</v>
      </c>
      <c r="F2975" s="20" t="s">
        <v>533</v>
      </c>
      <c r="G2975" s="15"/>
      <c r="H2975" s="15"/>
      <c r="I2975" s="15"/>
      <c r="J2975" s="15"/>
      <c r="K2975" s="15"/>
      <c r="L2975" s="15"/>
      <c r="M2975" s="15"/>
      <c r="N2975" s="15"/>
      <c r="O2975" s="15"/>
      <c r="P2975" s="15"/>
      <c r="Q2975" s="15"/>
      <c r="R2975" s="15"/>
    </row>
    <row r="2976" spans="2:18" ht="13">
      <c r="B2976" s="33"/>
      <c r="C2976" s="34"/>
      <c r="D2976" s="68" t="s">
        <v>17</v>
      </c>
      <c r="E2976" s="69" t="s">
        <v>27</v>
      </c>
      <c r="F2976" s="20" t="s">
        <v>533</v>
      </c>
      <c r="G2976" s="15"/>
      <c r="H2976" s="15"/>
      <c r="I2976" s="15"/>
      <c r="J2976" s="15"/>
      <c r="K2976" s="15"/>
      <c r="L2976" s="15"/>
      <c r="M2976" s="15"/>
      <c r="N2976" s="15"/>
      <c r="O2976" s="15"/>
      <c r="P2976" s="15"/>
      <c r="Q2976" s="15"/>
      <c r="R2976" s="15"/>
    </row>
    <row r="2977" spans="2:18" ht="13">
      <c r="B2977" s="33"/>
      <c r="C2977" s="34"/>
      <c r="D2977" s="68" t="s">
        <v>17</v>
      </c>
      <c r="E2977" s="69" t="s">
        <v>27</v>
      </c>
      <c r="F2977" s="20" t="s">
        <v>533</v>
      </c>
      <c r="G2977" s="15"/>
      <c r="H2977" s="15"/>
      <c r="I2977" s="15"/>
      <c r="J2977" s="15"/>
      <c r="K2977" s="15"/>
      <c r="L2977" s="15"/>
      <c r="M2977" s="15"/>
      <c r="N2977" s="15"/>
      <c r="O2977" s="15"/>
      <c r="P2977" s="15"/>
      <c r="Q2977" s="15"/>
      <c r="R2977" s="15"/>
    </row>
    <row r="2978" spans="2:18" ht="13">
      <c r="B2978" s="33"/>
      <c r="C2978" s="34"/>
      <c r="D2978" s="68" t="s">
        <v>574</v>
      </c>
      <c r="E2978" s="69" t="s">
        <v>575</v>
      </c>
      <c r="F2978" s="20" t="s">
        <v>533</v>
      </c>
      <c r="G2978" s="15"/>
      <c r="H2978" s="15"/>
      <c r="I2978" s="15"/>
      <c r="J2978" s="15"/>
      <c r="K2978" s="15"/>
      <c r="L2978" s="15"/>
      <c r="M2978" s="15"/>
      <c r="N2978" s="15"/>
      <c r="O2978" s="15"/>
      <c r="P2978" s="15"/>
      <c r="Q2978" s="15"/>
      <c r="R2978" s="15"/>
    </row>
    <row r="2979" spans="2:18" ht="13">
      <c r="B2979" s="33"/>
      <c r="C2979" s="34"/>
      <c r="D2979" s="68" t="s">
        <v>17</v>
      </c>
      <c r="E2979" s="69" t="s">
        <v>27</v>
      </c>
      <c r="F2979" s="20" t="s">
        <v>533</v>
      </c>
      <c r="G2979" s="15"/>
      <c r="H2979" s="15"/>
      <c r="I2979" s="15"/>
      <c r="J2979" s="15"/>
      <c r="K2979" s="15"/>
      <c r="L2979" s="15"/>
      <c r="M2979" s="15"/>
      <c r="N2979" s="15"/>
      <c r="O2979" s="15"/>
      <c r="P2979" s="15"/>
      <c r="Q2979" s="15"/>
      <c r="R2979" s="15"/>
    </row>
    <row r="2980" spans="2:18" ht="13">
      <c r="B2980" s="33"/>
      <c r="C2980" s="34"/>
      <c r="D2980" s="68" t="s">
        <v>17</v>
      </c>
      <c r="E2980" s="69" t="s">
        <v>27</v>
      </c>
      <c r="F2980" s="20" t="s">
        <v>533</v>
      </c>
      <c r="G2980" s="15"/>
      <c r="H2980" s="15"/>
      <c r="I2980" s="15"/>
      <c r="J2980" s="15"/>
      <c r="K2980" s="15"/>
      <c r="L2980" s="15"/>
      <c r="M2980" s="15"/>
      <c r="N2980" s="15"/>
      <c r="O2980" s="15"/>
      <c r="P2980" s="15"/>
      <c r="Q2980" s="15"/>
      <c r="R2980" s="15"/>
    </row>
    <row r="2981" spans="2:18" ht="13">
      <c r="B2981" s="33"/>
      <c r="C2981" s="34"/>
      <c r="D2981" s="68" t="s">
        <v>17</v>
      </c>
      <c r="E2981" s="69" t="s">
        <v>27</v>
      </c>
      <c r="F2981" s="20" t="s">
        <v>533</v>
      </c>
      <c r="G2981" s="15"/>
      <c r="H2981" s="15"/>
      <c r="I2981" s="15"/>
      <c r="J2981" s="15"/>
      <c r="K2981" s="15"/>
      <c r="L2981" s="15"/>
      <c r="M2981" s="15"/>
      <c r="N2981" s="15"/>
      <c r="O2981" s="15"/>
      <c r="P2981" s="15"/>
      <c r="Q2981" s="15"/>
      <c r="R2981" s="15"/>
    </row>
    <row r="2982" spans="2:18" ht="13">
      <c r="B2982" s="33"/>
      <c r="C2982" s="34"/>
      <c r="D2982" s="68" t="s">
        <v>17</v>
      </c>
      <c r="E2982" s="69" t="s">
        <v>27</v>
      </c>
      <c r="F2982" s="20" t="s">
        <v>533</v>
      </c>
      <c r="G2982" s="15"/>
      <c r="H2982" s="15"/>
      <c r="I2982" s="15"/>
      <c r="J2982" s="15"/>
      <c r="K2982" s="15"/>
      <c r="L2982" s="15"/>
      <c r="M2982" s="15"/>
      <c r="N2982" s="15"/>
      <c r="O2982" s="15"/>
      <c r="P2982" s="15"/>
      <c r="Q2982" s="15"/>
      <c r="R2982" s="15"/>
    </row>
    <row r="2983" spans="2:18" ht="13">
      <c r="B2983" s="33"/>
      <c r="C2983" s="34"/>
      <c r="D2983" s="68" t="s">
        <v>26</v>
      </c>
      <c r="E2983" s="69" t="s">
        <v>27</v>
      </c>
      <c r="F2983" s="20" t="s">
        <v>533</v>
      </c>
      <c r="G2983" s="15"/>
      <c r="H2983" s="15"/>
      <c r="I2983" s="15"/>
      <c r="J2983" s="15"/>
      <c r="K2983" s="15"/>
      <c r="L2983" s="15"/>
      <c r="M2983" s="15"/>
      <c r="N2983" s="15"/>
      <c r="O2983" s="15"/>
      <c r="P2983" s="15"/>
      <c r="Q2983" s="15"/>
      <c r="R2983" s="15"/>
    </row>
    <row r="2984" spans="2:18" ht="13">
      <c r="B2984" s="33"/>
      <c r="C2984" s="34"/>
      <c r="D2984" s="68" t="s">
        <v>17</v>
      </c>
      <c r="E2984" s="69" t="s">
        <v>27</v>
      </c>
      <c r="F2984" s="20" t="s">
        <v>533</v>
      </c>
      <c r="G2984" s="15"/>
      <c r="H2984" s="15"/>
      <c r="I2984" s="15"/>
      <c r="J2984" s="15"/>
      <c r="K2984" s="15"/>
      <c r="L2984" s="15"/>
      <c r="M2984" s="15"/>
      <c r="N2984" s="15"/>
      <c r="O2984" s="15"/>
      <c r="P2984" s="15"/>
      <c r="Q2984" s="15"/>
      <c r="R2984" s="15"/>
    </row>
    <row r="2985" spans="2:18" ht="13">
      <c r="B2985" s="33"/>
      <c r="C2985" s="34"/>
      <c r="D2985" s="68" t="s">
        <v>584</v>
      </c>
      <c r="E2985" s="69" t="s">
        <v>32</v>
      </c>
      <c r="F2985" s="20" t="s">
        <v>533</v>
      </c>
      <c r="G2985" s="15"/>
      <c r="H2985" s="15"/>
      <c r="I2985" s="15"/>
      <c r="J2985" s="15"/>
      <c r="K2985" s="15"/>
      <c r="L2985" s="15"/>
      <c r="M2985" s="15"/>
      <c r="N2985" s="15"/>
      <c r="O2985" s="15"/>
      <c r="P2985" s="15"/>
      <c r="Q2985" s="15"/>
      <c r="R2985" s="15"/>
    </row>
    <row r="2986" spans="2:18" ht="13">
      <c r="B2986" s="33"/>
      <c r="C2986" s="34"/>
      <c r="D2986" s="68" t="s">
        <v>569</v>
      </c>
      <c r="E2986" s="69" t="s">
        <v>32</v>
      </c>
      <c r="F2986" s="20" t="s">
        <v>533</v>
      </c>
      <c r="G2986" s="15"/>
      <c r="H2986" s="15"/>
      <c r="I2986" s="15"/>
      <c r="J2986" s="15"/>
      <c r="K2986" s="15"/>
      <c r="L2986" s="15"/>
      <c r="M2986" s="15"/>
      <c r="N2986" s="15"/>
      <c r="O2986" s="15"/>
      <c r="P2986" s="15"/>
      <c r="Q2986" s="15"/>
      <c r="R2986" s="15"/>
    </row>
    <row r="2987" spans="2:18" ht="13">
      <c r="B2987" s="33"/>
      <c r="C2987" s="34"/>
      <c r="D2987" s="68" t="s">
        <v>26</v>
      </c>
      <c r="E2987" s="69" t="s">
        <v>27</v>
      </c>
      <c r="F2987" s="20" t="s">
        <v>533</v>
      </c>
      <c r="G2987" s="15"/>
      <c r="H2987" s="15"/>
      <c r="I2987" s="15"/>
      <c r="J2987" s="15"/>
      <c r="K2987" s="15"/>
      <c r="L2987" s="15"/>
      <c r="M2987" s="15"/>
      <c r="N2987" s="15"/>
      <c r="O2987" s="15"/>
      <c r="P2987" s="15"/>
      <c r="Q2987" s="15"/>
      <c r="R2987" s="15"/>
    </row>
    <row r="2988" spans="2:18" ht="13">
      <c r="B2988" s="33"/>
      <c r="C2988" s="34"/>
      <c r="D2988" s="68" t="s">
        <v>17</v>
      </c>
      <c r="E2988" s="69" t="s">
        <v>614</v>
      </c>
      <c r="F2988" s="20" t="s">
        <v>533</v>
      </c>
      <c r="G2988" s="15"/>
      <c r="H2988" s="15"/>
      <c r="I2988" s="15"/>
      <c r="J2988" s="15"/>
      <c r="K2988" s="15"/>
      <c r="L2988" s="15"/>
      <c r="M2988" s="15"/>
      <c r="N2988" s="15"/>
      <c r="O2988" s="15"/>
      <c r="P2988" s="15"/>
      <c r="Q2988" s="15"/>
      <c r="R2988" s="15"/>
    </row>
    <row r="2989" spans="2:18" ht="13">
      <c r="B2989" s="33"/>
      <c r="C2989" s="34"/>
      <c r="D2989" s="68" t="s">
        <v>26</v>
      </c>
      <c r="E2989" s="69" t="s">
        <v>27</v>
      </c>
      <c r="F2989" s="20" t="s">
        <v>533</v>
      </c>
      <c r="G2989" s="15"/>
      <c r="H2989" s="15"/>
      <c r="I2989" s="15"/>
      <c r="J2989" s="15"/>
      <c r="K2989" s="15"/>
      <c r="L2989" s="15"/>
      <c r="M2989" s="15"/>
      <c r="N2989" s="15"/>
      <c r="O2989" s="15"/>
      <c r="P2989" s="15"/>
      <c r="Q2989" s="15"/>
      <c r="R2989" s="15"/>
    </row>
    <row r="2990" spans="2:18" ht="13">
      <c r="B2990" s="33"/>
      <c r="C2990" s="34"/>
      <c r="D2990" s="68" t="s">
        <v>17</v>
      </c>
      <c r="E2990" s="69" t="s">
        <v>27</v>
      </c>
      <c r="F2990" s="20" t="s">
        <v>533</v>
      </c>
      <c r="G2990" s="15"/>
      <c r="H2990" s="15"/>
      <c r="I2990" s="15"/>
      <c r="J2990" s="15"/>
      <c r="K2990" s="15"/>
      <c r="L2990" s="15"/>
      <c r="M2990" s="15"/>
      <c r="N2990" s="15"/>
      <c r="O2990" s="15"/>
      <c r="P2990" s="15"/>
      <c r="Q2990" s="15"/>
      <c r="R2990" s="15"/>
    </row>
    <row r="2991" spans="2:18" ht="13">
      <c r="B2991" s="33"/>
      <c r="C2991" s="34"/>
      <c r="D2991" s="68" t="s">
        <v>17</v>
      </c>
      <c r="E2991" s="69" t="s">
        <v>27</v>
      </c>
      <c r="F2991" s="20" t="s">
        <v>533</v>
      </c>
      <c r="G2991" s="15"/>
      <c r="H2991" s="15"/>
      <c r="I2991" s="15"/>
      <c r="J2991" s="15"/>
      <c r="K2991" s="15"/>
      <c r="L2991" s="15"/>
      <c r="M2991" s="15"/>
      <c r="N2991" s="15"/>
      <c r="O2991" s="15"/>
      <c r="P2991" s="15"/>
      <c r="Q2991" s="15"/>
      <c r="R2991" s="15"/>
    </row>
    <row r="2992" spans="2:18" ht="13">
      <c r="B2992" s="33"/>
      <c r="C2992" s="34"/>
      <c r="D2992" s="68" t="s">
        <v>26</v>
      </c>
      <c r="E2992" s="69" t="s">
        <v>27</v>
      </c>
      <c r="F2992" s="20" t="s">
        <v>533</v>
      </c>
      <c r="G2992" s="15"/>
      <c r="H2992" s="15"/>
      <c r="I2992" s="15"/>
      <c r="J2992" s="15"/>
      <c r="K2992" s="15"/>
      <c r="L2992" s="15"/>
      <c r="M2992" s="15"/>
      <c r="N2992" s="15"/>
      <c r="O2992" s="15"/>
      <c r="P2992" s="15"/>
      <c r="Q2992" s="15"/>
      <c r="R2992" s="15"/>
    </row>
    <row r="2993" spans="2:18" ht="13">
      <c r="B2993" s="33"/>
      <c r="C2993" s="34"/>
      <c r="D2993" s="68" t="s">
        <v>17</v>
      </c>
      <c r="E2993" s="69" t="s">
        <v>27</v>
      </c>
      <c r="F2993" s="20" t="s">
        <v>533</v>
      </c>
      <c r="G2993" s="15"/>
      <c r="H2993" s="15"/>
      <c r="I2993" s="15"/>
      <c r="J2993" s="15"/>
      <c r="K2993" s="15"/>
      <c r="L2993" s="15"/>
      <c r="M2993" s="15"/>
      <c r="N2993" s="15"/>
      <c r="O2993" s="15"/>
      <c r="P2993" s="15"/>
      <c r="Q2993" s="15"/>
      <c r="R2993" s="15"/>
    </row>
    <row r="2994" spans="2:18" ht="13">
      <c r="B2994" s="33"/>
      <c r="C2994" s="34"/>
      <c r="D2994" s="68" t="s">
        <v>17</v>
      </c>
      <c r="E2994" s="69" t="s">
        <v>27</v>
      </c>
      <c r="F2994" s="20" t="s">
        <v>533</v>
      </c>
      <c r="G2994" s="15"/>
      <c r="H2994" s="15"/>
      <c r="I2994" s="15"/>
      <c r="J2994" s="15"/>
      <c r="K2994" s="15"/>
      <c r="L2994" s="15"/>
      <c r="M2994" s="15"/>
      <c r="N2994" s="15"/>
      <c r="O2994" s="15"/>
      <c r="P2994" s="15"/>
      <c r="Q2994" s="15"/>
      <c r="R2994" s="15"/>
    </row>
    <row r="2995" spans="2:18" ht="13">
      <c r="B2995" s="33"/>
      <c r="C2995" s="34"/>
      <c r="D2995" s="68" t="s">
        <v>17</v>
      </c>
      <c r="E2995" s="69" t="s">
        <v>27</v>
      </c>
      <c r="F2995" s="20" t="s">
        <v>533</v>
      </c>
      <c r="G2995" s="15"/>
      <c r="H2995" s="15"/>
      <c r="I2995" s="15"/>
      <c r="J2995" s="15"/>
      <c r="K2995" s="15"/>
      <c r="L2995" s="15"/>
      <c r="M2995" s="15"/>
      <c r="N2995" s="15"/>
      <c r="O2995" s="15"/>
      <c r="P2995" s="15"/>
      <c r="Q2995" s="15"/>
      <c r="R2995" s="15"/>
    </row>
    <row r="2996" spans="2:18" ht="13">
      <c r="B2996" s="33"/>
      <c r="C2996" s="34"/>
      <c r="D2996" s="68" t="s">
        <v>404</v>
      </c>
      <c r="E2996" s="69" t="s">
        <v>32</v>
      </c>
      <c r="F2996" s="20" t="s">
        <v>533</v>
      </c>
      <c r="G2996" s="15"/>
      <c r="H2996" s="15"/>
      <c r="I2996" s="15"/>
      <c r="J2996" s="15"/>
      <c r="K2996" s="15"/>
      <c r="L2996" s="15"/>
      <c r="M2996" s="15"/>
      <c r="N2996" s="15"/>
      <c r="O2996" s="15"/>
      <c r="P2996" s="15"/>
      <c r="Q2996" s="15"/>
      <c r="R2996" s="15"/>
    </row>
    <row r="2997" spans="2:18" ht="13">
      <c r="B2997" s="33"/>
      <c r="C2997" s="34"/>
      <c r="D2997" s="68" t="s">
        <v>26</v>
      </c>
      <c r="E2997" s="69" t="s">
        <v>27</v>
      </c>
      <c r="F2997" s="20" t="s">
        <v>533</v>
      </c>
      <c r="G2997" s="15"/>
      <c r="H2997" s="15"/>
      <c r="I2997" s="15"/>
      <c r="J2997" s="15"/>
      <c r="K2997" s="15"/>
      <c r="L2997" s="15"/>
      <c r="M2997" s="15"/>
      <c r="N2997" s="15"/>
      <c r="O2997" s="15"/>
      <c r="P2997" s="15"/>
      <c r="Q2997" s="15"/>
      <c r="R2997" s="15"/>
    </row>
    <row r="2998" spans="2:18" ht="13">
      <c r="B2998" s="33"/>
      <c r="C2998" s="34"/>
      <c r="D2998" s="68" t="s">
        <v>619</v>
      </c>
      <c r="E2998" s="69" t="s">
        <v>121</v>
      </c>
      <c r="F2998" s="20" t="s">
        <v>533</v>
      </c>
      <c r="G2998" s="15"/>
      <c r="H2998" s="15"/>
      <c r="I2998" s="15"/>
      <c r="J2998" s="15"/>
      <c r="K2998" s="15"/>
      <c r="L2998" s="15"/>
      <c r="M2998" s="15"/>
      <c r="N2998" s="15"/>
      <c r="O2998" s="15"/>
      <c r="P2998" s="15"/>
      <c r="Q2998" s="15"/>
      <c r="R2998" s="15"/>
    </row>
    <row r="2999" spans="2:18" ht="13">
      <c r="B2999" s="33"/>
      <c r="C2999" s="34"/>
      <c r="D2999" s="68" t="s">
        <v>36</v>
      </c>
      <c r="E2999" s="69" t="s">
        <v>37</v>
      </c>
      <c r="F2999" s="20" t="s">
        <v>533</v>
      </c>
      <c r="G2999" s="15"/>
      <c r="H2999" s="15"/>
      <c r="I2999" s="15"/>
      <c r="J2999" s="15"/>
      <c r="K2999" s="15"/>
      <c r="L2999" s="15"/>
      <c r="M2999" s="15"/>
      <c r="N2999" s="15"/>
      <c r="O2999" s="15"/>
      <c r="P2999" s="15"/>
      <c r="Q2999" s="15"/>
      <c r="R2999" s="15"/>
    </row>
    <row r="3000" spans="2:18" ht="13">
      <c r="B3000" s="33"/>
      <c r="C3000" s="34"/>
      <c r="D3000" s="68" t="s">
        <v>17</v>
      </c>
      <c r="E3000" s="69" t="s">
        <v>27</v>
      </c>
      <c r="F3000" s="20" t="s">
        <v>533</v>
      </c>
      <c r="G3000" s="15"/>
      <c r="H3000" s="15"/>
      <c r="I3000" s="15"/>
      <c r="J3000" s="15"/>
      <c r="K3000" s="15"/>
      <c r="L3000" s="15"/>
      <c r="M3000" s="15"/>
      <c r="N3000" s="15"/>
      <c r="O3000" s="15"/>
      <c r="P3000" s="15"/>
      <c r="Q3000" s="15"/>
      <c r="R3000" s="15"/>
    </row>
    <row r="3001" spans="2:18" ht="13">
      <c r="B3001" s="33"/>
      <c r="C3001" s="34"/>
      <c r="D3001" s="68" t="s">
        <v>17</v>
      </c>
      <c r="E3001" s="69" t="s">
        <v>27</v>
      </c>
      <c r="F3001" s="20" t="s">
        <v>533</v>
      </c>
      <c r="G3001" s="15"/>
      <c r="H3001" s="15"/>
      <c r="I3001" s="15"/>
      <c r="J3001" s="15"/>
      <c r="K3001" s="15"/>
      <c r="L3001" s="15"/>
      <c r="M3001" s="15"/>
      <c r="N3001" s="15"/>
      <c r="O3001" s="15"/>
      <c r="P3001" s="15"/>
      <c r="Q3001" s="15"/>
      <c r="R3001" s="15"/>
    </row>
    <row r="3002" spans="2:18" ht="13">
      <c r="B3002" s="33"/>
      <c r="C3002" s="34"/>
      <c r="D3002" s="68" t="s">
        <v>36</v>
      </c>
      <c r="E3002" s="69" t="s">
        <v>37</v>
      </c>
      <c r="F3002" s="20" t="s">
        <v>533</v>
      </c>
      <c r="G3002" s="15"/>
      <c r="H3002" s="15"/>
      <c r="I3002" s="15"/>
      <c r="J3002" s="15"/>
      <c r="K3002" s="15"/>
      <c r="L3002" s="15"/>
      <c r="M3002" s="15"/>
      <c r="N3002" s="15"/>
      <c r="O3002" s="15"/>
      <c r="P3002" s="15"/>
      <c r="Q3002" s="15"/>
      <c r="R3002" s="15"/>
    </row>
    <row r="3003" spans="2:18" ht="13">
      <c r="B3003" s="33"/>
      <c r="C3003" s="34"/>
      <c r="D3003" s="68" t="s">
        <v>17</v>
      </c>
      <c r="E3003" s="69" t="s">
        <v>27</v>
      </c>
      <c r="F3003" s="20" t="s">
        <v>533</v>
      </c>
      <c r="G3003" s="15"/>
      <c r="H3003" s="15"/>
      <c r="I3003" s="15"/>
      <c r="J3003" s="15"/>
      <c r="K3003" s="15"/>
      <c r="L3003" s="15"/>
      <c r="M3003" s="15"/>
      <c r="N3003" s="15"/>
      <c r="O3003" s="15"/>
      <c r="P3003" s="15"/>
      <c r="Q3003" s="15"/>
      <c r="R3003" s="15"/>
    </row>
    <row r="3004" spans="2:18" ht="13">
      <c r="B3004" s="33"/>
      <c r="C3004" s="34"/>
      <c r="D3004" s="68" t="s">
        <v>544</v>
      </c>
      <c r="E3004" s="69" t="s">
        <v>121</v>
      </c>
      <c r="F3004" s="20" t="s">
        <v>533</v>
      </c>
      <c r="G3004" s="15"/>
      <c r="H3004" s="15"/>
      <c r="I3004" s="15"/>
      <c r="J3004" s="15"/>
      <c r="K3004" s="15"/>
      <c r="L3004" s="15"/>
      <c r="M3004" s="15"/>
      <c r="N3004" s="15"/>
      <c r="O3004" s="15"/>
      <c r="P3004" s="15"/>
      <c r="Q3004" s="15"/>
      <c r="R3004" s="15"/>
    </row>
    <row r="3005" spans="2:18" ht="13">
      <c r="B3005" s="33"/>
      <c r="C3005" s="34"/>
      <c r="D3005" s="68" t="s">
        <v>17</v>
      </c>
      <c r="E3005" s="69" t="s">
        <v>27</v>
      </c>
      <c r="F3005" s="20" t="s">
        <v>533</v>
      </c>
      <c r="G3005" s="15"/>
      <c r="H3005" s="15"/>
      <c r="I3005" s="15"/>
      <c r="J3005" s="15"/>
      <c r="K3005" s="15"/>
      <c r="L3005" s="15"/>
      <c r="M3005" s="15"/>
      <c r="N3005" s="15"/>
      <c r="O3005" s="15"/>
      <c r="P3005" s="15"/>
      <c r="Q3005" s="15"/>
      <c r="R3005" s="15"/>
    </row>
    <row r="3006" spans="2:18" ht="13">
      <c r="B3006" s="33"/>
      <c r="C3006" s="34"/>
      <c r="D3006" s="68" t="s">
        <v>17</v>
      </c>
      <c r="E3006" s="69" t="s">
        <v>27</v>
      </c>
      <c r="F3006" s="20" t="s">
        <v>533</v>
      </c>
      <c r="G3006" s="15"/>
      <c r="H3006" s="15"/>
      <c r="I3006" s="15"/>
      <c r="J3006" s="15"/>
      <c r="K3006" s="15"/>
      <c r="L3006" s="15"/>
      <c r="M3006" s="15"/>
      <c r="N3006" s="15"/>
      <c r="O3006" s="15"/>
      <c r="P3006" s="15"/>
      <c r="Q3006" s="15"/>
      <c r="R3006" s="15"/>
    </row>
    <row r="3007" spans="2:18" ht="13">
      <c r="B3007" s="33"/>
      <c r="C3007" s="34"/>
      <c r="D3007" s="68" t="s">
        <v>26</v>
      </c>
      <c r="E3007" s="69" t="s">
        <v>27</v>
      </c>
      <c r="F3007" s="20" t="s">
        <v>533</v>
      </c>
      <c r="G3007" s="15"/>
      <c r="H3007" s="15"/>
      <c r="I3007" s="15"/>
      <c r="J3007" s="15"/>
      <c r="K3007" s="15"/>
      <c r="L3007" s="15"/>
      <c r="M3007" s="15"/>
      <c r="N3007" s="15"/>
      <c r="O3007" s="15"/>
      <c r="P3007" s="15"/>
      <c r="Q3007" s="15"/>
      <c r="R3007" s="15"/>
    </row>
    <row r="3008" spans="2:18" ht="13">
      <c r="B3008" s="33"/>
      <c r="C3008" s="34"/>
      <c r="D3008" s="68" t="s">
        <v>17</v>
      </c>
      <c r="E3008" s="69" t="s">
        <v>27</v>
      </c>
      <c r="F3008" s="20" t="s">
        <v>533</v>
      </c>
      <c r="G3008" s="15"/>
      <c r="H3008" s="15"/>
      <c r="I3008" s="15"/>
      <c r="J3008" s="15"/>
      <c r="K3008" s="15"/>
      <c r="L3008" s="15"/>
      <c r="M3008" s="15"/>
      <c r="N3008" s="15"/>
      <c r="O3008" s="15"/>
      <c r="P3008" s="15"/>
      <c r="Q3008" s="15"/>
      <c r="R3008" s="15"/>
    </row>
    <row r="3009" spans="2:18" ht="13">
      <c r="B3009" s="33"/>
      <c r="C3009" s="34"/>
      <c r="D3009" s="68" t="s">
        <v>17</v>
      </c>
      <c r="E3009" s="69" t="s">
        <v>27</v>
      </c>
      <c r="F3009" s="20" t="s">
        <v>533</v>
      </c>
      <c r="G3009" s="15"/>
      <c r="H3009" s="15"/>
      <c r="I3009" s="15"/>
      <c r="J3009" s="15"/>
      <c r="K3009" s="15"/>
      <c r="L3009" s="15"/>
      <c r="M3009" s="15"/>
      <c r="N3009" s="15"/>
      <c r="O3009" s="15"/>
      <c r="P3009" s="15"/>
      <c r="Q3009" s="15"/>
      <c r="R3009" s="15"/>
    </row>
    <row r="3010" spans="2:18" ht="13">
      <c r="B3010" s="33"/>
      <c r="C3010" s="34"/>
      <c r="D3010" s="68" t="s">
        <v>590</v>
      </c>
      <c r="E3010" s="69" t="s">
        <v>32</v>
      </c>
      <c r="F3010" s="20" t="s">
        <v>533</v>
      </c>
      <c r="G3010" s="15"/>
      <c r="H3010" s="15"/>
      <c r="I3010" s="15"/>
      <c r="J3010" s="15"/>
      <c r="K3010" s="15"/>
      <c r="L3010" s="15"/>
      <c r="M3010" s="15"/>
      <c r="N3010" s="15"/>
      <c r="O3010" s="15"/>
      <c r="P3010" s="15"/>
      <c r="Q3010" s="15"/>
      <c r="R3010" s="15"/>
    </row>
    <row r="3011" spans="2:18" ht="13">
      <c r="B3011" s="33"/>
      <c r="C3011" s="34"/>
      <c r="D3011" s="68" t="s">
        <v>26</v>
      </c>
      <c r="E3011" s="69" t="s">
        <v>27</v>
      </c>
      <c r="F3011" s="20" t="s">
        <v>533</v>
      </c>
      <c r="G3011" s="15"/>
      <c r="H3011" s="15"/>
      <c r="I3011" s="15"/>
      <c r="J3011" s="15"/>
      <c r="K3011" s="15"/>
      <c r="L3011" s="15"/>
      <c r="M3011" s="15"/>
      <c r="N3011" s="15"/>
      <c r="O3011" s="15"/>
      <c r="P3011" s="15"/>
      <c r="Q3011" s="15"/>
      <c r="R3011" s="15"/>
    </row>
    <row r="3012" spans="2:18" ht="13">
      <c r="B3012" s="33"/>
      <c r="C3012" s="34"/>
      <c r="D3012" s="68" t="s">
        <v>26</v>
      </c>
      <c r="E3012" s="69" t="s">
        <v>27</v>
      </c>
      <c r="F3012" s="20" t="s">
        <v>533</v>
      </c>
      <c r="G3012" s="15"/>
      <c r="H3012" s="15"/>
      <c r="I3012" s="15"/>
      <c r="J3012" s="15"/>
      <c r="K3012" s="15"/>
      <c r="L3012" s="15"/>
      <c r="M3012" s="15"/>
      <c r="N3012" s="15"/>
      <c r="O3012" s="15"/>
      <c r="P3012" s="15"/>
      <c r="Q3012" s="15"/>
      <c r="R3012" s="15"/>
    </row>
    <row r="3013" spans="2:18" ht="13">
      <c r="B3013" s="33"/>
      <c r="C3013" s="34"/>
      <c r="D3013" s="68" t="s">
        <v>26</v>
      </c>
      <c r="E3013" s="69" t="s">
        <v>27</v>
      </c>
      <c r="F3013" s="20" t="s">
        <v>533</v>
      </c>
      <c r="G3013" s="15"/>
      <c r="H3013" s="15"/>
      <c r="I3013" s="15"/>
      <c r="J3013" s="15"/>
      <c r="K3013" s="15"/>
      <c r="L3013" s="15"/>
      <c r="M3013" s="15"/>
      <c r="N3013" s="15"/>
      <c r="O3013" s="15"/>
      <c r="P3013" s="15"/>
      <c r="Q3013" s="15"/>
      <c r="R3013" s="15"/>
    </row>
    <row r="3014" spans="2:18" ht="13">
      <c r="B3014" s="33"/>
      <c r="C3014" s="34"/>
      <c r="D3014" s="68" t="s">
        <v>17</v>
      </c>
      <c r="E3014" s="69" t="s">
        <v>27</v>
      </c>
      <c r="F3014" s="20" t="s">
        <v>533</v>
      </c>
      <c r="G3014" s="15"/>
      <c r="H3014" s="15"/>
      <c r="I3014" s="15"/>
      <c r="J3014" s="15"/>
      <c r="K3014" s="15"/>
      <c r="L3014" s="15"/>
      <c r="M3014" s="15"/>
      <c r="N3014" s="15"/>
      <c r="O3014" s="15"/>
      <c r="P3014" s="15"/>
      <c r="Q3014" s="15"/>
      <c r="R3014" s="15"/>
    </row>
    <row r="3015" spans="2:18" ht="13">
      <c r="B3015" s="33"/>
      <c r="C3015" s="34"/>
      <c r="D3015" s="68" t="s">
        <v>17</v>
      </c>
      <c r="E3015" s="69" t="s">
        <v>27</v>
      </c>
      <c r="F3015" s="20" t="s">
        <v>533</v>
      </c>
      <c r="G3015" s="15"/>
      <c r="H3015" s="15"/>
      <c r="I3015" s="15"/>
      <c r="J3015" s="15"/>
      <c r="K3015" s="15"/>
      <c r="L3015" s="15"/>
      <c r="M3015" s="15"/>
      <c r="N3015" s="15"/>
      <c r="O3015" s="15"/>
      <c r="P3015" s="15"/>
      <c r="Q3015" s="15"/>
      <c r="R3015" s="15"/>
    </row>
    <row r="3016" spans="2:18" ht="13">
      <c r="B3016" s="33"/>
      <c r="C3016" s="34"/>
      <c r="D3016" s="68" t="s">
        <v>17</v>
      </c>
      <c r="E3016" s="69" t="s">
        <v>564</v>
      </c>
      <c r="F3016" s="20" t="s">
        <v>533</v>
      </c>
      <c r="G3016" s="15"/>
      <c r="H3016" s="15"/>
      <c r="I3016" s="15"/>
      <c r="J3016" s="15"/>
      <c r="K3016" s="15"/>
      <c r="L3016" s="15"/>
      <c r="M3016" s="15"/>
      <c r="N3016" s="15"/>
      <c r="O3016" s="15"/>
      <c r="P3016" s="15"/>
      <c r="Q3016" s="15"/>
      <c r="R3016" s="15"/>
    </row>
    <row r="3017" spans="2:18" ht="13">
      <c r="B3017" s="33"/>
      <c r="C3017" s="34"/>
      <c r="D3017" s="68" t="s">
        <v>17</v>
      </c>
      <c r="E3017" s="69" t="s">
        <v>27</v>
      </c>
      <c r="F3017" s="20" t="s">
        <v>533</v>
      </c>
      <c r="G3017" s="15"/>
      <c r="H3017" s="15"/>
      <c r="I3017" s="15"/>
      <c r="J3017" s="15"/>
      <c r="K3017" s="15"/>
      <c r="L3017" s="15"/>
      <c r="M3017" s="15"/>
      <c r="N3017" s="15"/>
      <c r="O3017" s="15"/>
      <c r="P3017" s="15"/>
      <c r="Q3017" s="15"/>
      <c r="R3017" s="15"/>
    </row>
    <row r="3018" spans="2:18" ht="13">
      <c r="B3018" s="33"/>
      <c r="C3018" s="34"/>
      <c r="D3018" s="68" t="s">
        <v>26</v>
      </c>
      <c r="E3018" s="69" t="s">
        <v>27</v>
      </c>
      <c r="F3018" s="20" t="s">
        <v>533</v>
      </c>
      <c r="G3018" s="15"/>
      <c r="H3018" s="15"/>
      <c r="I3018" s="15"/>
      <c r="J3018" s="15"/>
      <c r="K3018" s="15"/>
      <c r="L3018" s="15"/>
      <c r="M3018" s="15"/>
      <c r="N3018" s="15"/>
      <c r="O3018" s="15"/>
      <c r="P3018" s="15"/>
      <c r="Q3018" s="15"/>
      <c r="R3018" s="15"/>
    </row>
    <row r="3019" spans="2:18" ht="13">
      <c r="B3019" s="33"/>
      <c r="C3019" s="34"/>
      <c r="D3019" s="68" t="s">
        <v>26</v>
      </c>
      <c r="E3019" s="69" t="s">
        <v>27</v>
      </c>
      <c r="F3019" s="20" t="s">
        <v>533</v>
      </c>
      <c r="G3019" s="15"/>
      <c r="H3019" s="15"/>
      <c r="I3019" s="15"/>
      <c r="J3019" s="15"/>
      <c r="K3019" s="15"/>
      <c r="L3019" s="15"/>
      <c r="M3019" s="15"/>
      <c r="N3019" s="15"/>
      <c r="O3019" s="15"/>
      <c r="P3019" s="15"/>
      <c r="Q3019" s="15"/>
      <c r="R3019" s="15"/>
    </row>
    <row r="3020" spans="2:18" ht="13">
      <c r="B3020" s="33"/>
      <c r="C3020" s="34"/>
      <c r="D3020" s="68" t="s">
        <v>17</v>
      </c>
      <c r="E3020" s="69" t="s">
        <v>27</v>
      </c>
      <c r="F3020" s="20" t="s">
        <v>533</v>
      </c>
      <c r="G3020" s="15"/>
      <c r="H3020" s="15"/>
      <c r="I3020" s="15"/>
      <c r="J3020" s="15"/>
      <c r="K3020" s="15"/>
      <c r="L3020" s="15"/>
      <c r="M3020" s="15"/>
      <c r="N3020" s="15"/>
      <c r="O3020" s="15"/>
      <c r="P3020" s="15"/>
      <c r="Q3020" s="15"/>
      <c r="R3020" s="15"/>
    </row>
    <row r="3021" spans="2:18" ht="13">
      <c r="B3021" s="33"/>
      <c r="C3021" s="34"/>
      <c r="D3021" s="68" t="s">
        <v>17</v>
      </c>
      <c r="E3021" s="69" t="s">
        <v>27</v>
      </c>
      <c r="F3021" s="20" t="s">
        <v>533</v>
      </c>
      <c r="G3021" s="15"/>
      <c r="H3021" s="15"/>
      <c r="I3021" s="15"/>
      <c r="J3021" s="15"/>
      <c r="K3021" s="15"/>
      <c r="L3021" s="15"/>
      <c r="M3021" s="15"/>
      <c r="N3021" s="15"/>
      <c r="O3021" s="15"/>
      <c r="P3021" s="15"/>
      <c r="Q3021" s="15"/>
      <c r="R3021" s="15"/>
    </row>
    <row r="3022" spans="2:18" ht="13">
      <c r="B3022" s="33"/>
      <c r="C3022" s="34"/>
      <c r="D3022" s="68" t="s">
        <v>17</v>
      </c>
      <c r="E3022" s="69" t="s">
        <v>27</v>
      </c>
      <c r="F3022" s="20" t="s">
        <v>533</v>
      </c>
      <c r="G3022" s="15"/>
      <c r="H3022" s="15"/>
      <c r="I3022" s="15"/>
      <c r="J3022" s="15"/>
      <c r="K3022" s="15"/>
      <c r="L3022" s="15"/>
      <c r="M3022" s="15"/>
      <c r="N3022" s="15"/>
      <c r="O3022" s="15"/>
      <c r="P3022" s="15"/>
      <c r="Q3022" s="15"/>
      <c r="R3022" s="15"/>
    </row>
    <row r="3023" spans="2:18" ht="13">
      <c r="B3023" s="33"/>
      <c r="C3023" s="34"/>
      <c r="D3023" s="68" t="s">
        <v>17</v>
      </c>
      <c r="E3023" s="69" t="s">
        <v>27</v>
      </c>
      <c r="F3023" s="20" t="s">
        <v>533</v>
      </c>
      <c r="G3023" s="15"/>
      <c r="H3023" s="15"/>
      <c r="I3023" s="15"/>
      <c r="J3023" s="15"/>
      <c r="K3023" s="15"/>
      <c r="L3023" s="15"/>
      <c r="M3023" s="15"/>
      <c r="N3023" s="15"/>
      <c r="O3023" s="15"/>
      <c r="P3023" s="15"/>
      <c r="Q3023" s="15"/>
      <c r="R3023" s="15"/>
    </row>
    <row r="3024" spans="2:18" ht="13">
      <c r="B3024" s="33"/>
      <c r="C3024" s="34"/>
      <c r="D3024" s="68" t="s">
        <v>26</v>
      </c>
      <c r="E3024" s="69" t="s">
        <v>27</v>
      </c>
      <c r="F3024" s="20" t="s">
        <v>533</v>
      </c>
      <c r="G3024" s="15"/>
      <c r="H3024" s="15"/>
      <c r="I3024" s="15"/>
      <c r="J3024" s="15"/>
      <c r="K3024" s="15"/>
      <c r="L3024" s="15"/>
      <c r="M3024" s="15"/>
      <c r="N3024" s="15"/>
      <c r="O3024" s="15"/>
      <c r="P3024" s="15"/>
      <c r="Q3024" s="15"/>
      <c r="R3024" s="15"/>
    </row>
    <row r="3025" spans="2:18" ht="13">
      <c r="B3025" s="33"/>
      <c r="C3025" s="34"/>
      <c r="D3025" s="68" t="s">
        <v>17</v>
      </c>
      <c r="E3025" s="69" t="s">
        <v>18</v>
      </c>
      <c r="F3025" s="20" t="s">
        <v>533</v>
      </c>
      <c r="G3025" s="15"/>
      <c r="H3025" s="15"/>
      <c r="I3025" s="15"/>
      <c r="J3025" s="15"/>
      <c r="K3025" s="15"/>
      <c r="L3025" s="15"/>
      <c r="M3025" s="15"/>
      <c r="N3025" s="15"/>
      <c r="O3025" s="15"/>
      <c r="P3025" s="15"/>
      <c r="Q3025" s="15"/>
      <c r="R3025" s="15"/>
    </row>
    <row r="3026" spans="2:18" ht="13">
      <c r="B3026" s="33"/>
      <c r="C3026" s="34"/>
      <c r="D3026" s="68" t="s">
        <v>26</v>
      </c>
      <c r="E3026" s="69" t="s">
        <v>27</v>
      </c>
      <c r="F3026" s="20" t="s">
        <v>533</v>
      </c>
      <c r="G3026" s="15"/>
      <c r="H3026" s="15"/>
      <c r="I3026" s="15"/>
      <c r="J3026" s="15"/>
      <c r="K3026" s="15"/>
      <c r="L3026" s="15"/>
      <c r="M3026" s="15"/>
      <c r="N3026" s="15"/>
      <c r="O3026" s="15"/>
      <c r="P3026" s="15"/>
      <c r="Q3026" s="15"/>
      <c r="R3026" s="15"/>
    </row>
    <row r="3027" spans="2:18" ht="13">
      <c r="B3027" s="33"/>
      <c r="C3027" s="34"/>
      <c r="D3027" s="68" t="s">
        <v>17</v>
      </c>
      <c r="E3027" s="69" t="s">
        <v>27</v>
      </c>
      <c r="F3027" s="20" t="s">
        <v>533</v>
      </c>
      <c r="G3027" s="15"/>
      <c r="H3027" s="15"/>
      <c r="I3027" s="15"/>
      <c r="J3027" s="15"/>
      <c r="K3027" s="15"/>
      <c r="L3027" s="15"/>
      <c r="M3027" s="15"/>
      <c r="N3027" s="15"/>
      <c r="O3027" s="15"/>
      <c r="P3027" s="15"/>
      <c r="Q3027" s="15"/>
      <c r="R3027" s="15"/>
    </row>
    <row r="3028" spans="2:18" ht="13">
      <c r="B3028" s="33"/>
      <c r="C3028" s="34"/>
      <c r="D3028" s="68" t="s">
        <v>17</v>
      </c>
      <c r="E3028" s="69" t="s">
        <v>27</v>
      </c>
      <c r="F3028" s="20" t="s">
        <v>533</v>
      </c>
      <c r="G3028" s="15"/>
      <c r="H3028" s="15"/>
      <c r="I3028" s="15"/>
      <c r="J3028" s="15"/>
      <c r="K3028" s="15"/>
      <c r="L3028" s="15"/>
      <c r="M3028" s="15"/>
      <c r="N3028" s="15"/>
      <c r="O3028" s="15"/>
      <c r="P3028" s="15"/>
      <c r="Q3028" s="15"/>
      <c r="R3028" s="15"/>
    </row>
    <row r="3029" spans="2:18" ht="13">
      <c r="B3029" s="33"/>
      <c r="C3029" s="34"/>
      <c r="D3029" s="68" t="s">
        <v>36</v>
      </c>
      <c r="E3029" s="69" t="s">
        <v>37</v>
      </c>
      <c r="F3029" s="20" t="s">
        <v>533</v>
      </c>
      <c r="G3029" s="15"/>
      <c r="H3029" s="15"/>
      <c r="I3029" s="15"/>
      <c r="J3029" s="15"/>
      <c r="K3029" s="15"/>
      <c r="L3029" s="15"/>
      <c r="M3029" s="15"/>
      <c r="N3029" s="15"/>
      <c r="O3029" s="15"/>
      <c r="P3029" s="15"/>
      <c r="Q3029" s="15"/>
      <c r="R3029" s="15"/>
    </row>
    <row r="3030" spans="2:18" ht="13">
      <c r="B3030" s="33"/>
      <c r="C3030" s="34"/>
      <c r="D3030" s="68" t="s">
        <v>26</v>
      </c>
      <c r="E3030" s="69" t="s">
        <v>27</v>
      </c>
      <c r="F3030" s="20" t="s">
        <v>533</v>
      </c>
      <c r="G3030" s="15"/>
      <c r="H3030" s="15"/>
      <c r="I3030" s="15"/>
      <c r="J3030" s="15"/>
      <c r="K3030" s="15"/>
      <c r="L3030" s="15"/>
      <c r="M3030" s="15"/>
      <c r="N3030" s="15"/>
      <c r="O3030" s="15"/>
      <c r="P3030" s="15"/>
      <c r="Q3030" s="15"/>
      <c r="R3030" s="15"/>
    </row>
    <row r="3031" spans="2:18" ht="13">
      <c r="B3031" s="33"/>
      <c r="C3031" s="34"/>
      <c r="D3031" s="68" t="s">
        <v>17</v>
      </c>
      <c r="E3031" s="69" t="s">
        <v>27</v>
      </c>
      <c r="F3031" s="20" t="s">
        <v>533</v>
      </c>
      <c r="G3031" s="15"/>
      <c r="H3031" s="15"/>
      <c r="I3031" s="15"/>
      <c r="J3031" s="15"/>
      <c r="K3031" s="15"/>
      <c r="L3031" s="15"/>
      <c r="M3031" s="15"/>
      <c r="N3031" s="15"/>
      <c r="O3031" s="15"/>
      <c r="P3031" s="15"/>
      <c r="Q3031" s="15"/>
      <c r="R3031" s="15"/>
    </row>
    <row r="3032" spans="2:18" ht="13">
      <c r="B3032" s="33"/>
      <c r="C3032" s="34"/>
      <c r="D3032" s="68" t="s">
        <v>17</v>
      </c>
      <c r="E3032" s="69" t="s">
        <v>27</v>
      </c>
      <c r="F3032" s="20" t="s">
        <v>533</v>
      </c>
      <c r="G3032" s="15"/>
      <c r="H3032" s="15"/>
      <c r="I3032" s="15"/>
      <c r="J3032" s="15"/>
      <c r="K3032" s="15"/>
      <c r="L3032" s="15"/>
      <c r="M3032" s="15"/>
      <c r="N3032" s="15"/>
      <c r="O3032" s="15"/>
      <c r="P3032" s="15"/>
      <c r="Q3032" s="15"/>
      <c r="R3032" s="15"/>
    </row>
    <row r="3033" spans="2:18" ht="13">
      <c r="B3033" s="33"/>
      <c r="C3033" s="34"/>
      <c r="D3033" s="68" t="s">
        <v>17</v>
      </c>
      <c r="E3033" s="69" t="s">
        <v>27</v>
      </c>
      <c r="F3033" s="20" t="s">
        <v>533</v>
      </c>
      <c r="G3033" s="15"/>
      <c r="H3033" s="15"/>
      <c r="I3033" s="15"/>
      <c r="J3033" s="15"/>
      <c r="K3033" s="15"/>
      <c r="L3033" s="15"/>
      <c r="M3033" s="15"/>
      <c r="N3033" s="15"/>
      <c r="O3033" s="15"/>
      <c r="P3033" s="15"/>
      <c r="Q3033" s="15"/>
      <c r="R3033" s="15"/>
    </row>
    <row r="3034" spans="2:18" ht="13">
      <c r="B3034" s="33"/>
      <c r="C3034" s="34"/>
      <c r="D3034" s="68" t="s">
        <v>17</v>
      </c>
      <c r="E3034" s="69" t="s">
        <v>27</v>
      </c>
      <c r="F3034" s="20" t="s">
        <v>533</v>
      </c>
      <c r="G3034" s="15"/>
      <c r="H3034" s="15"/>
      <c r="I3034" s="15"/>
      <c r="J3034" s="15"/>
      <c r="K3034" s="15"/>
      <c r="L3034" s="15"/>
      <c r="M3034" s="15"/>
      <c r="N3034" s="15"/>
      <c r="O3034" s="15"/>
      <c r="P3034" s="15"/>
      <c r="Q3034" s="15"/>
      <c r="R3034" s="15"/>
    </row>
    <row r="3035" spans="2:18" ht="13">
      <c r="B3035" s="33"/>
      <c r="C3035" s="34"/>
      <c r="D3035" s="68" t="s">
        <v>17</v>
      </c>
      <c r="E3035" s="69" t="s">
        <v>27</v>
      </c>
      <c r="F3035" s="20" t="s">
        <v>533</v>
      </c>
      <c r="G3035" s="15"/>
      <c r="H3035" s="15"/>
      <c r="I3035" s="15"/>
      <c r="J3035" s="15"/>
      <c r="K3035" s="15"/>
      <c r="L3035" s="15"/>
      <c r="M3035" s="15"/>
      <c r="N3035" s="15"/>
      <c r="O3035" s="15"/>
      <c r="P3035" s="15"/>
      <c r="Q3035" s="15"/>
      <c r="R3035" s="15"/>
    </row>
    <row r="3036" spans="2:18" ht="13">
      <c r="B3036" s="33"/>
      <c r="C3036" s="34"/>
      <c r="D3036" s="68" t="s">
        <v>17</v>
      </c>
      <c r="E3036" s="69" t="s">
        <v>27</v>
      </c>
      <c r="F3036" s="20" t="s">
        <v>533</v>
      </c>
      <c r="G3036" s="15"/>
      <c r="H3036" s="15"/>
      <c r="I3036" s="15"/>
      <c r="J3036" s="15"/>
      <c r="K3036" s="15"/>
      <c r="L3036" s="15"/>
      <c r="M3036" s="15"/>
      <c r="N3036" s="15"/>
      <c r="O3036" s="15"/>
      <c r="P3036" s="15"/>
      <c r="Q3036" s="15"/>
      <c r="R3036" s="15"/>
    </row>
    <row r="3037" spans="2:18" ht="13">
      <c r="B3037" s="33"/>
      <c r="C3037" s="34"/>
      <c r="D3037" s="68" t="s">
        <v>17</v>
      </c>
      <c r="E3037" s="69" t="s">
        <v>27</v>
      </c>
      <c r="F3037" s="20" t="s">
        <v>533</v>
      </c>
      <c r="G3037" s="15"/>
      <c r="H3037" s="15"/>
      <c r="I3037" s="15"/>
      <c r="J3037" s="15"/>
      <c r="K3037" s="15"/>
      <c r="L3037" s="15"/>
      <c r="M3037" s="15"/>
      <c r="N3037" s="15"/>
      <c r="O3037" s="15"/>
      <c r="P3037" s="15"/>
      <c r="Q3037" s="15"/>
      <c r="R3037" s="15"/>
    </row>
    <row r="3038" spans="2:18" ht="13">
      <c r="B3038" s="33"/>
      <c r="C3038" s="34"/>
      <c r="D3038" s="68" t="s">
        <v>17</v>
      </c>
      <c r="E3038" s="69" t="s">
        <v>27</v>
      </c>
      <c r="F3038" s="20" t="s">
        <v>533</v>
      </c>
      <c r="G3038" s="15"/>
      <c r="H3038" s="15"/>
      <c r="I3038" s="15"/>
      <c r="J3038" s="15"/>
      <c r="K3038" s="15"/>
      <c r="L3038" s="15"/>
      <c r="M3038" s="15"/>
      <c r="N3038" s="15"/>
      <c r="O3038" s="15"/>
      <c r="P3038" s="15"/>
      <c r="Q3038" s="15"/>
      <c r="R3038" s="15"/>
    </row>
    <row r="3039" spans="2:18" ht="13">
      <c r="B3039" s="33"/>
      <c r="C3039" s="34"/>
      <c r="D3039" s="68" t="s">
        <v>17</v>
      </c>
      <c r="E3039" s="69" t="s">
        <v>27</v>
      </c>
      <c r="F3039" s="20" t="s">
        <v>533</v>
      </c>
      <c r="G3039" s="15"/>
      <c r="H3039" s="15"/>
      <c r="I3039" s="15"/>
      <c r="J3039" s="15"/>
      <c r="K3039" s="15"/>
      <c r="L3039" s="15"/>
      <c r="M3039" s="15"/>
      <c r="N3039" s="15"/>
      <c r="O3039" s="15"/>
      <c r="P3039" s="15"/>
      <c r="Q3039" s="15"/>
      <c r="R3039" s="15"/>
    </row>
    <row r="3040" spans="2:18" ht="13">
      <c r="B3040" s="33"/>
      <c r="C3040" s="34"/>
      <c r="D3040" s="68" t="s">
        <v>17</v>
      </c>
      <c r="E3040" s="69" t="s">
        <v>27</v>
      </c>
      <c r="F3040" s="20" t="s">
        <v>533</v>
      </c>
      <c r="G3040" s="15"/>
      <c r="H3040" s="15"/>
      <c r="I3040" s="15"/>
      <c r="J3040" s="15"/>
      <c r="K3040" s="15"/>
      <c r="L3040" s="15"/>
      <c r="M3040" s="15"/>
      <c r="N3040" s="15"/>
      <c r="O3040" s="15"/>
      <c r="P3040" s="15"/>
      <c r="Q3040" s="15"/>
      <c r="R3040" s="15"/>
    </row>
    <row r="3041" spans="2:18" ht="13">
      <c r="B3041" s="33"/>
      <c r="C3041" s="34"/>
      <c r="D3041" s="68" t="s">
        <v>544</v>
      </c>
      <c r="E3041" s="69" t="s">
        <v>121</v>
      </c>
      <c r="F3041" s="20" t="s">
        <v>533</v>
      </c>
      <c r="G3041" s="15"/>
      <c r="H3041" s="15"/>
      <c r="I3041" s="15"/>
      <c r="J3041" s="15"/>
      <c r="K3041" s="15"/>
      <c r="L3041" s="15"/>
      <c r="M3041" s="15"/>
      <c r="N3041" s="15"/>
      <c r="O3041" s="15"/>
      <c r="P3041" s="15"/>
      <c r="Q3041" s="15"/>
      <c r="R3041" s="15"/>
    </row>
    <row r="3042" spans="2:18" ht="13">
      <c r="B3042" s="33"/>
      <c r="C3042" s="34"/>
      <c r="D3042" s="68" t="s">
        <v>26</v>
      </c>
      <c r="E3042" s="69" t="s">
        <v>564</v>
      </c>
      <c r="F3042" s="20" t="s">
        <v>533</v>
      </c>
      <c r="G3042" s="15"/>
      <c r="H3042" s="15"/>
      <c r="I3042" s="15"/>
      <c r="J3042" s="15"/>
      <c r="K3042" s="15"/>
      <c r="L3042" s="15"/>
      <c r="M3042" s="15"/>
      <c r="N3042" s="15"/>
      <c r="O3042" s="15"/>
      <c r="P3042" s="15"/>
      <c r="Q3042" s="15"/>
      <c r="R3042" s="15"/>
    </row>
    <row r="3043" spans="2:18" ht="13">
      <c r="B3043" s="33"/>
      <c r="C3043" s="34"/>
      <c r="D3043" s="68" t="s">
        <v>17</v>
      </c>
      <c r="E3043" s="69" t="s">
        <v>27</v>
      </c>
      <c r="F3043" s="20" t="s">
        <v>533</v>
      </c>
      <c r="G3043" s="15"/>
      <c r="H3043" s="15"/>
      <c r="I3043" s="15"/>
      <c r="J3043" s="15"/>
      <c r="K3043" s="15"/>
      <c r="L3043" s="15"/>
      <c r="M3043" s="15"/>
      <c r="N3043" s="15"/>
      <c r="O3043" s="15"/>
      <c r="P3043" s="15"/>
      <c r="Q3043" s="15"/>
      <c r="R3043" s="15"/>
    </row>
    <row r="3044" spans="2:18" ht="13">
      <c r="B3044" s="33"/>
      <c r="C3044" s="34"/>
      <c r="D3044" s="68" t="s">
        <v>17</v>
      </c>
      <c r="E3044" s="69" t="s">
        <v>27</v>
      </c>
      <c r="F3044" s="20" t="s">
        <v>533</v>
      </c>
      <c r="G3044" s="15"/>
      <c r="H3044" s="15"/>
      <c r="I3044" s="15"/>
      <c r="J3044" s="15"/>
      <c r="K3044" s="15"/>
      <c r="L3044" s="15"/>
      <c r="M3044" s="15"/>
      <c r="N3044" s="15"/>
      <c r="O3044" s="15"/>
      <c r="P3044" s="15"/>
      <c r="Q3044" s="15"/>
      <c r="R3044" s="15"/>
    </row>
    <row r="3045" spans="2:18" ht="13">
      <c r="B3045" s="33"/>
      <c r="C3045" s="34"/>
      <c r="D3045" s="68" t="s">
        <v>566</v>
      </c>
      <c r="E3045" s="69" t="s">
        <v>32</v>
      </c>
      <c r="F3045" s="20" t="s">
        <v>533</v>
      </c>
      <c r="G3045" s="15"/>
      <c r="H3045" s="15"/>
      <c r="I3045" s="15"/>
      <c r="J3045" s="15"/>
      <c r="K3045" s="15"/>
      <c r="L3045" s="15"/>
      <c r="M3045" s="15"/>
      <c r="N3045" s="15"/>
      <c r="O3045" s="15"/>
      <c r="P3045" s="15"/>
      <c r="Q3045" s="15"/>
      <c r="R3045" s="15"/>
    </row>
    <row r="3046" spans="2:18" ht="13">
      <c r="B3046" s="33"/>
      <c r="C3046" s="34"/>
      <c r="D3046" s="68" t="s">
        <v>17</v>
      </c>
      <c r="E3046" s="69" t="s">
        <v>27</v>
      </c>
      <c r="F3046" s="20" t="s">
        <v>533</v>
      </c>
      <c r="G3046" s="15"/>
      <c r="H3046" s="15"/>
      <c r="I3046" s="15"/>
      <c r="J3046" s="15"/>
      <c r="K3046" s="15"/>
      <c r="L3046" s="15"/>
      <c r="M3046" s="15"/>
      <c r="N3046" s="15"/>
      <c r="O3046" s="15"/>
      <c r="P3046" s="15"/>
      <c r="Q3046" s="15"/>
      <c r="R3046" s="15"/>
    </row>
    <row r="3047" spans="2:18" ht="13">
      <c r="B3047" s="33"/>
      <c r="C3047" s="34"/>
      <c r="D3047" s="68" t="s">
        <v>17</v>
      </c>
      <c r="E3047" s="69" t="s">
        <v>27</v>
      </c>
      <c r="F3047" s="20" t="s">
        <v>533</v>
      </c>
      <c r="G3047" s="15"/>
      <c r="H3047" s="15"/>
      <c r="I3047" s="15"/>
      <c r="J3047" s="15"/>
      <c r="K3047" s="15"/>
      <c r="L3047" s="15"/>
      <c r="M3047" s="15"/>
      <c r="N3047" s="15"/>
      <c r="O3047" s="15"/>
      <c r="P3047" s="15"/>
      <c r="Q3047" s="15"/>
      <c r="R3047" s="15"/>
    </row>
    <row r="3048" spans="2:18" ht="13">
      <c r="B3048" s="33"/>
      <c r="C3048" s="34"/>
      <c r="D3048" s="68" t="s">
        <v>17</v>
      </c>
      <c r="E3048" s="69" t="s">
        <v>27</v>
      </c>
      <c r="F3048" s="20" t="s">
        <v>533</v>
      </c>
      <c r="G3048" s="15"/>
      <c r="H3048" s="15"/>
      <c r="I3048" s="15"/>
      <c r="J3048" s="15"/>
      <c r="K3048" s="15"/>
      <c r="L3048" s="15"/>
      <c r="M3048" s="15"/>
      <c r="N3048" s="15"/>
      <c r="O3048" s="15"/>
      <c r="P3048" s="15"/>
      <c r="Q3048" s="15"/>
      <c r="R3048" s="15"/>
    </row>
    <row r="3049" spans="2:18" ht="13">
      <c r="B3049" s="33"/>
      <c r="C3049" s="34"/>
      <c r="D3049" s="68" t="s">
        <v>17</v>
      </c>
      <c r="E3049" s="69" t="s">
        <v>27</v>
      </c>
      <c r="F3049" s="20" t="s">
        <v>533</v>
      </c>
      <c r="G3049" s="15"/>
      <c r="H3049" s="15"/>
      <c r="I3049" s="15"/>
      <c r="J3049" s="15"/>
      <c r="K3049" s="15"/>
      <c r="L3049" s="15"/>
      <c r="M3049" s="15"/>
      <c r="N3049" s="15"/>
      <c r="O3049" s="15"/>
      <c r="P3049" s="15"/>
      <c r="Q3049" s="15"/>
      <c r="R3049" s="15"/>
    </row>
    <row r="3050" spans="2:18" ht="13">
      <c r="B3050" s="33"/>
      <c r="C3050" s="34"/>
      <c r="D3050" s="68" t="s">
        <v>17</v>
      </c>
      <c r="E3050" s="69" t="s">
        <v>27</v>
      </c>
      <c r="F3050" s="20" t="s">
        <v>533</v>
      </c>
      <c r="G3050" s="15"/>
      <c r="H3050" s="15"/>
      <c r="I3050" s="15"/>
      <c r="J3050" s="15"/>
      <c r="K3050" s="15"/>
      <c r="L3050" s="15"/>
      <c r="M3050" s="15"/>
      <c r="N3050" s="15"/>
      <c r="O3050" s="15"/>
      <c r="P3050" s="15"/>
      <c r="Q3050" s="15"/>
      <c r="R3050" s="15"/>
    </row>
    <row r="3051" spans="2:18" ht="13">
      <c r="B3051" s="33"/>
      <c r="C3051" s="34"/>
      <c r="D3051" s="68" t="s">
        <v>17</v>
      </c>
      <c r="E3051" s="69" t="s">
        <v>27</v>
      </c>
      <c r="F3051" s="20" t="s">
        <v>533</v>
      </c>
      <c r="G3051" s="15"/>
      <c r="H3051" s="15"/>
      <c r="I3051" s="15"/>
      <c r="J3051" s="15"/>
      <c r="K3051" s="15"/>
      <c r="L3051" s="15"/>
      <c r="M3051" s="15"/>
      <c r="N3051" s="15"/>
      <c r="O3051" s="15"/>
      <c r="P3051" s="15"/>
      <c r="Q3051" s="15"/>
      <c r="R3051" s="15"/>
    </row>
    <row r="3052" spans="2:18" ht="13">
      <c r="B3052" s="33"/>
      <c r="C3052" s="34"/>
      <c r="D3052" s="68" t="s">
        <v>17</v>
      </c>
      <c r="E3052" s="69" t="s">
        <v>27</v>
      </c>
      <c r="F3052" s="20" t="s">
        <v>533</v>
      </c>
      <c r="G3052" s="15"/>
      <c r="H3052" s="15"/>
      <c r="I3052" s="15"/>
      <c r="J3052" s="15"/>
      <c r="K3052" s="15"/>
      <c r="L3052" s="15"/>
      <c r="M3052" s="15"/>
      <c r="N3052" s="15"/>
      <c r="O3052" s="15"/>
      <c r="P3052" s="15"/>
      <c r="Q3052" s="15"/>
      <c r="R3052" s="15"/>
    </row>
    <row r="3053" spans="2:18" ht="13">
      <c r="B3053" s="33"/>
      <c r="C3053" s="34"/>
      <c r="D3053" s="68" t="s">
        <v>17</v>
      </c>
      <c r="E3053" s="69" t="s">
        <v>27</v>
      </c>
      <c r="F3053" s="20" t="s">
        <v>533</v>
      </c>
      <c r="G3053" s="15"/>
      <c r="H3053" s="15"/>
      <c r="I3053" s="15"/>
      <c r="J3053" s="15"/>
      <c r="K3053" s="15"/>
      <c r="L3053" s="15"/>
      <c r="M3053" s="15"/>
      <c r="N3053" s="15"/>
      <c r="O3053" s="15"/>
      <c r="P3053" s="15"/>
      <c r="Q3053" s="15"/>
      <c r="R3053" s="15"/>
    </row>
    <row r="3054" spans="2:18" ht="13">
      <c r="B3054" s="33"/>
      <c r="C3054" s="34"/>
      <c r="D3054" s="68" t="s">
        <v>17</v>
      </c>
      <c r="E3054" s="69" t="s">
        <v>27</v>
      </c>
      <c r="F3054" s="20" t="s">
        <v>533</v>
      </c>
      <c r="G3054" s="15"/>
      <c r="H3054" s="15"/>
      <c r="I3054" s="15"/>
      <c r="J3054" s="15"/>
      <c r="K3054" s="15"/>
      <c r="L3054" s="15"/>
      <c r="M3054" s="15"/>
      <c r="N3054" s="15"/>
      <c r="O3054" s="15"/>
      <c r="P3054" s="15"/>
      <c r="Q3054" s="15"/>
      <c r="R3054" s="15"/>
    </row>
    <row r="3055" spans="2:18" ht="13">
      <c r="B3055" s="33"/>
      <c r="C3055" s="34"/>
      <c r="D3055" s="68" t="s">
        <v>26</v>
      </c>
      <c r="E3055" s="69" t="s">
        <v>564</v>
      </c>
      <c r="F3055" s="20" t="s">
        <v>533</v>
      </c>
      <c r="G3055" s="15"/>
      <c r="H3055" s="15"/>
      <c r="I3055" s="15"/>
      <c r="J3055" s="15"/>
      <c r="K3055" s="15"/>
      <c r="L3055" s="15"/>
      <c r="M3055" s="15"/>
      <c r="N3055" s="15"/>
      <c r="O3055" s="15"/>
      <c r="P3055" s="15"/>
      <c r="Q3055" s="15"/>
      <c r="R3055" s="15"/>
    </row>
    <row r="3056" spans="2:18" ht="13">
      <c r="B3056" s="33"/>
      <c r="C3056" s="34"/>
      <c r="D3056" s="68" t="s">
        <v>17</v>
      </c>
      <c r="E3056" s="69" t="s">
        <v>27</v>
      </c>
      <c r="F3056" s="20" t="s">
        <v>533</v>
      </c>
      <c r="G3056" s="15"/>
      <c r="H3056" s="15"/>
      <c r="I3056" s="15"/>
      <c r="J3056" s="15"/>
      <c r="K3056" s="15"/>
      <c r="L3056" s="15"/>
      <c r="M3056" s="15"/>
      <c r="N3056" s="15"/>
      <c r="O3056" s="15"/>
      <c r="P3056" s="15"/>
      <c r="Q3056" s="15"/>
      <c r="R3056" s="15"/>
    </row>
    <row r="3057" spans="2:18" ht="13">
      <c r="B3057" s="33"/>
      <c r="C3057" s="34"/>
      <c r="D3057" s="68" t="s">
        <v>544</v>
      </c>
      <c r="E3057" s="69" t="s">
        <v>121</v>
      </c>
      <c r="F3057" s="20" t="s">
        <v>533</v>
      </c>
      <c r="G3057" s="15"/>
      <c r="H3057" s="15"/>
      <c r="I3057" s="15"/>
      <c r="J3057" s="15"/>
      <c r="K3057" s="15"/>
      <c r="L3057" s="15"/>
      <c r="M3057" s="15"/>
      <c r="N3057" s="15"/>
      <c r="O3057" s="15"/>
      <c r="P3057" s="15"/>
      <c r="Q3057" s="15"/>
      <c r="R3057" s="15"/>
    </row>
    <row r="3058" spans="2:18" ht="13">
      <c r="B3058" s="33"/>
      <c r="C3058" s="34"/>
      <c r="D3058" s="68" t="s">
        <v>17</v>
      </c>
      <c r="E3058" s="69" t="s">
        <v>27</v>
      </c>
      <c r="F3058" s="20" t="s">
        <v>533</v>
      </c>
      <c r="G3058" s="15"/>
      <c r="H3058" s="15"/>
      <c r="I3058" s="15"/>
      <c r="J3058" s="15"/>
      <c r="K3058" s="15"/>
      <c r="L3058" s="15"/>
      <c r="M3058" s="15"/>
      <c r="N3058" s="15"/>
      <c r="O3058" s="15"/>
      <c r="P3058" s="15"/>
      <c r="Q3058" s="15"/>
      <c r="R3058" s="15"/>
    </row>
    <row r="3059" spans="2:18" ht="13">
      <c r="B3059" s="33"/>
      <c r="C3059" s="34"/>
      <c r="D3059" s="68" t="s">
        <v>17</v>
      </c>
      <c r="E3059" s="69" t="s">
        <v>27</v>
      </c>
      <c r="F3059" s="20" t="s">
        <v>533</v>
      </c>
      <c r="G3059" s="15"/>
      <c r="H3059" s="15"/>
      <c r="I3059" s="15"/>
      <c r="J3059" s="15"/>
      <c r="K3059" s="15"/>
      <c r="L3059" s="15"/>
      <c r="M3059" s="15"/>
      <c r="N3059" s="15"/>
      <c r="O3059" s="15"/>
      <c r="P3059" s="15"/>
      <c r="Q3059" s="15"/>
      <c r="R3059" s="15"/>
    </row>
    <row r="3060" spans="2:18" ht="13">
      <c r="B3060" s="33"/>
      <c r="C3060" s="34"/>
      <c r="D3060" s="68" t="s">
        <v>26</v>
      </c>
      <c r="E3060" s="69" t="s">
        <v>27</v>
      </c>
      <c r="F3060" s="20" t="s">
        <v>533</v>
      </c>
      <c r="G3060" s="15"/>
      <c r="H3060" s="15"/>
      <c r="I3060" s="15"/>
      <c r="J3060" s="15"/>
      <c r="K3060" s="15"/>
      <c r="L3060" s="15"/>
      <c r="M3060" s="15"/>
      <c r="N3060" s="15"/>
      <c r="O3060" s="15"/>
      <c r="P3060" s="15"/>
      <c r="Q3060" s="15"/>
      <c r="R3060" s="15"/>
    </row>
    <row r="3061" spans="2:18" ht="13">
      <c r="B3061" s="33"/>
      <c r="C3061" s="34"/>
      <c r="D3061" s="68" t="s">
        <v>26</v>
      </c>
      <c r="E3061" s="69" t="s">
        <v>27</v>
      </c>
      <c r="F3061" s="20" t="s">
        <v>533</v>
      </c>
      <c r="G3061" s="15"/>
      <c r="H3061" s="15"/>
      <c r="I3061" s="15"/>
      <c r="J3061" s="15"/>
      <c r="K3061" s="15"/>
      <c r="L3061" s="15"/>
      <c r="M3061" s="15"/>
      <c r="N3061" s="15"/>
      <c r="O3061" s="15"/>
      <c r="P3061" s="15"/>
      <c r="Q3061" s="15"/>
      <c r="R3061" s="15"/>
    </row>
    <row r="3062" spans="2:18" ht="13">
      <c r="B3062" s="33"/>
      <c r="C3062" s="34"/>
      <c r="D3062" s="68" t="s">
        <v>26</v>
      </c>
      <c r="E3062" s="69" t="s">
        <v>27</v>
      </c>
      <c r="F3062" s="20" t="s">
        <v>533</v>
      </c>
      <c r="G3062" s="15"/>
      <c r="H3062" s="15"/>
      <c r="I3062" s="15"/>
      <c r="J3062" s="15"/>
      <c r="K3062" s="15"/>
      <c r="L3062" s="15"/>
      <c r="M3062" s="15"/>
      <c r="N3062" s="15"/>
      <c r="O3062" s="15"/>
      <c r="P3062" s="15"/>
      <c r="Q3062" s="15"/>
      <c r="R3062" s="15"/>
    </row>
    <row r="3063" spans="2:18" ht="13">
      <c r="B3063" s="33"/>
      <c r="C3063" s="34"/>
      <c r="D3063" s="68" t="s">
        <v>17</v>
      </c>
      <c r="E3063" s="69" t="s">
        <v>27</v>
      </c>
      <c r="F3063" s="20" t="s">
        <v>533</v>
      </c>
      <c r="G3063" s="15"/>
      <c r="H3063" s="15"/>
      <c r="I3063" s="15"/>
      <c r="J3063" s="15"/>
      <c r="K3063" s="15"/>
      <c r="L3063" s="15"/>
      <c r="M3063" s="15"/>
      <c r="N3063" s="15"/>
      <c r="O3063" s="15"/>
      <c r="P3063" s="15"/>
      <c r="Q3063" s="15"/>
      <c r="R3063" s="15"/>
    </row>
    <row r="3064" spans="2:18" ht="13">
      <c r="B3064" s="33"/>
      <c r="C3064" s="34"/>
      <c r="D3064" s="68" t="s">
        <v>17</v>
      </c>
      <c r="E3064" s="69" t="s">
        <v>27</v>
      </c>
      <c r="F3064" s="20" t="s">
        <v>533</v>
      </c>
      <c r="G3064" s="15"/>
      <c r="H3064" s="15"/>
      <c r="I3064" s="15"/>
      <c r="J3064" s="15"/>
      <c r="K3064" s="15"/>
      <c r="L3064" s="15"/>
      <c r="M3064" s="15"/>
      <c r="N3064" s="15"/>
      <c r="O3064" s="15"/>
      <c r="P3064" s="15"/>
      <c r="Q3064" s="15"/>
      <c r="R3064" s="15"/>
    </row>
    <row r="3065" spans="2:18" ht="13">
      <c r="B3065" s="33"/>
      <c r="C3065" s="34"/>
      <c r="D3065" s="68" t="s">
        <v>544</v>
      </c>
      <c r="E3065" s="69" t="s">
        <v>121</v>
      </c>
      <c r="F3065" s="20" t="s">
        <v>533</v>
      </c>
      <c r="G3065" s="15"/>
      <c r="H3065" s="15"/>
      <c r="I3065" s="15"/>
      <c r="J3065" s="15"/>
      <c r="K3065" s="15"/>
      <c r="L3065" s="15"/>
      <c r="M3065" s="15"/>
      <c r="N3065" s="15"/>
      <c r="O3065" s="15"/>
      <c r="P3065" s="15"/>
      <c r="Q3065" s="15"/>
      <c r="R3065" s="15"/>
    </row>
    <row r="3066" spans="2:18" ht="13">
      <c r="B3066" s="33"/>
      <c r="C3066" s="34"/>
      <c r="D3066" s="68" t="s">
        <v>17</v>
      </c>
      <c r="E3066" s="69" t="s">
        <v>27</v>
      </c>
      <c r="F3066" s="20" t="s">
        <v>533</v>
      </c>
      <c r="G3066" s="15"/>
      <c r="H3066" s="15"/>
      <c r="I3066" s="15"/>
      <c r="J3066" s="15"/>
      <c r="K3066" s="15"/>
      <c r="L3066" s="15"/>
      <c r="M3066" s="15"/>
      <c r="N3066" s="15"/>
      <c r="O3066" s="15"/>
      <c r="P3066" s="15"/>
      <c r="Q3066" s="15"/>
      <c r="R3066" s="15"/>
    </row>
    <row r="3067" spans="2:18" ht="13">
      <c r="B3067" s="33"/>
      <c r="C3067" s="34"/>
      <c r="D3067" s="68" t="s">
        <v>17</v>
      </c>
      <c r="E3067" s="69" t="s">
        <v>27</v>
      </c>
      <c r="F3067" s="20" t="s">
        <v>533</v>
      </c>
      <c r="G3067" s="15"/>
      <c r="H3067" s="15"/>
      <c r="I3067" s="15"/>
      <c r="J3067" s="15"/>
      <c r="K3067" s="15"/>
      <c r="L3067" s="15"/>
      <c r="M3067" s="15"/>
      <c r="N3067" s="15"/>
      <c r="O3067" s="15"/>
      <c r="P3067" s="15"/>
      <c r="Q3067" s="15"/>
      <c r="R3067" s="15"/>
    </row>
    <row r="3068" spans="2:18" ht="13">
      <c r="B3068" s="33"/>
      <c r="C3068" s="34"/>
      <c r="D3068" s="68" t="s">
        <v>36</v>
      </c>
      <c r="E3068" s="69" t="s">
        <v>37</v>
      </c>
      <c r="F3068" s="20" t="s">
        <v>533</v>
      </c>
      <c r="G3068" s="15"/>
      <c r="H3068" s="15"/>
      <c r="I3068" s="15"/>
      <c r="J3068" s="15"/>
      <c r="K3068" s="15"/>
      <c r="L3068" s="15"/>
      <c r="M3068" s="15"/>
      <c r="N3068" s="15"/>
      <c r="O3068" s="15"/>
      <c r="P3068" s="15"/>
      <c r="Q3068" s="15"/>
      <c r="R3068" s="15"/>
    </row>
    <row r="3069" spans="2:18" ht="13">
      <c r="B3069" s="33"/>
      <c r="C3069" s="34"/>
      <c r="D3069" s="68" t="s">
        <v>17</v>
      </c>
      <c r="E3069" s="69" t="s">
        <v>27</v>
      </c>
      <c r="F3069" s="20" t="s">
        <v>533</v>
      </c>
      <c r="G3069" s="15"/>
      <c r="H3069" s="15"/>
      <c r="I3069" s="15"/>
      <c r="J3069" s="15"/>
      <c r="K3069" s="15"/>
      <c r="L3069" s="15"/>
      <c r="M3069" s="15"/>
      <c r="N3069" s="15"/>
      <c r="O3069" s="15"/>
      <c r="P3069" s="15"/>
      <c r="Q3069" s="15"/>
      <c r="R3069" s="15"/>
    </row>
    <row r="3070" spans="2:18" ht="13">
      <c r="B3070" s="33"/>
      <c r="C3070" s="34"/>
      <c r="D3070" s="68" t="s">
        <v>17</v>
      </c>
      <c r="E3070" s="69" t="s">
        <v>27</v>
      </c>
      <c r="F3070" s="20" t="s">
        <v>533</v>
      </c>
      <c r="G3070" s="15"/>
      <c r="H3070" s="15"/>
      <c r="I3070" s="15"/>
      <c r="J3070" s="15"/>
      <c r="K3070" s="15"/>
      <c r="L3070" s="15"/>
      <c r="M3070" s="15"/>
      <c r="N3070" s="15"/>
      <c r="O3070" s="15"/>
      <c r="P3070" s="15"/>
      <c r="Q3070" s="15"/>
      <c r="R3070" s="15"/>
    </row>
    <row r="3071" spans="2:18" ht="13">
      <c r="B3071" s="33"/>
      <c r="C3071" s="34"/>
      <c r="D3071" s="68" t="s">
        <v>17</v>
      </c>
      <c r="E3071" s="69" t="s">
        <v>27</v>
      </c>
      <c r="F3071" s="20" t="s">
        <v>533</v>
      </c>
      <c r="G3071" s="15"/>
      <c r="H3071" s="15"/>
      <c r="I3071" s="15"/>
      <c r="J3071" s="15"/>
      <c r="K3071" s="15"/>
      <c r="L3071" s="15"/>
      <c r="M3071" s="15"/>
      <c r="N3071" s="15"/>
      <c r="O3071" s="15"/>
      <c r="P3071" s="15"/>
      <c r="Q3071" s="15"/>
      <c r="R3071" s="15"/>
    </row>
    <row r="3072" spans="2:18" ht="13">
      <c r="B3072" s="33"/>
      <c r="C3072" s="34"/>
      <c r="D3072" s="68" t="s">
        <v>17</v>
      </c>
      <c r="E3072" s="69" t="s">
        <v>27</v>
      </c>
      <c r="F3072" s="20" t="s">
        <v>533</v>
      </c>
      <c r="G3072" s="15"/>
      <c r="H3072" s="15"/>
      <c r="I3072" s="15"/>
      <c r="J3072" s="15"/>
      <c r="K3072" s="15"/>
      <c r="L3072" s="15"/>
      <c r="M3072" s="15"/>
      <c r="N3072" s="15"/>
      <c r="O3072" s="15"/>
      <c r="P3072" s="15"/>
      <c r="Q3072" s="15"/>
      <c r="R3072" s="15"/>
    </row>
    <row r="3073" spans="2:18" ht="13">
      <c r="B3073" s="33"/>
      <c r="C3073" s="34"/>
      <c r="D3073" s="68" t="s">
        <v>17</v>
      </c>
      <c r="E3073" s="69" t="s">
        <v>27</v>
      </c>
      <c r="F3073" s="20" t="s">
        <v>533</v>
      </c>
      <c r="G3073" s="15"/>
      <c r="H3073" s="15"/>
      <c r="I3073" s="15"/>
      <c r="J3073" s="15"/>
      <c r="K3073" s="15"/>
      <c r="L3073" s="15"/>
      <c r="M3073" s="15"/>
      <c r="N3073" s="15"/>
      <c r="O3073" s="15"/>
      <c r="P3073" s="15"/>
      <c r="Q3073" s="15"/>
      <c r="R3073" s="15"/>
    </row>
    <row r="3074" spans="2:18" ht="13">
      <c r="B3074" s="33"/>
      <c r="C3074" s="34"/>
      <c r="D3074" s="68" t="s">
        <v>26</v>
      </c>
      <c r="E3074" s="69" t="s">
        <v>27</v>
      </c>
      <c r="F3074" s="20" t="s">
        <v>533</v>
      </c>
      <c r="G3074" s="15"/>
      <c r="H3074" s="15"/>
      <c r="I3074" s="15"/>
      <c r="J3074" s="15"/>
      <c r="K3074" s="15"/>
      <c r="L3074" s="15"/>
      <c r="M3074" s="15"/>
      <c r="N3074" s="15"/>
      <c r="O3074" s="15"/>
      <c r="P3074" s="15"/>
      <c r="Q3074" s="15"/>
      <c r="R3074" s="15"/>
    </row>
    <row r="3075" spans="2:18" ht="13">
      <c r="B3075" s="33"/>
      <c r="C3075" s="34"/>
      <c r="D3075" s="68" t="s">
        <v>26</v>
      </c>
      <c r="E3075" s="69" t="s">
        <v>27</v>
      </c>
      <c r="F3075" s="20" t="s">
        <v>533</v>
      </c>
      <c r="G3075" s="15"/>
      <c r="H3075" s="15"/>
      <c r="I3075" s="15"/>
      <c r="J3075" s="15"/>
      <c r="K3075" s="15"/>
      <c r="L3075" s="15"/>
      <c r="M3075" s="15"/>
      <c r="N3075" s="15"/>
      <c r="O3075" s="15"/>
      <c r="P3075" s="15"/>
      <c r="Q3075" s="15"/>
      <c r="R3075" s="15"/>
    </row>
    <row r="3076" spans="2:18" ht="13">
      <c r="B3076" s="33"/>
      <c r="C3076" s="34"/>
      <c r="D3076" s="68" t="s">
        <v>26</v>
      </c>
      <c r="E3076" s="69" t="s">
        <v>27</v>
      </c>
      <c r="F3076" s="20" t="s">
        <v>533</v>
      </c>
      <c r="G3076" s="15"/>
      <c r="H3076" s="15"/>
      <c r="I3076" s="15"/>
      <c r="J3076" s="15"/>
      <c r="K3076" s="15"/>
      <c r="L3076" s="15"/>
      <c r="M3076" s="15"/>
      <c r="N3076" s="15"/>
      <c r="O3076" s="15"/>
      <c r="P3076" s="15"/>
      <c r="Q3076" s="15"/>
      <c r="R3076" s="15"/>
    </row>
    <row r="3077" spans="2:18" ht="13">
      <c r="B3077" s="33"/>
      <c r="C3077" s="34"/>
      <c r="D3077" s="68" t="s">
        <v>17</v>
      </c>
      <c r="E3077" s="69" t="s">
        <v>27</v>
      </c>
      <c r="F3077" s="20" t="s">
        <v>533</v>
      </c>
      <c r="G3077" s="15"/>
      <c r="H3077" s="15"/>
      <c r="I3077" s="15"/>
      <c r="J3077" s="15"/>
      <c r="K3077" s="15"/>
      <c r="L3077" s="15"/>
      <c r="M3077" s="15"/>
      <c r="N3077" s="15"/>
      <c r="O3077" s="15"/>
      <c r="P3077" s="15"/>
      <c r="Q3077" s="15"/>
      <c r="R3077" s="15"/>
    </row>
    <row r="3078" spans="2:18" ht="13">
      <c r="B3078" s="33"/>
      <c r="C3078" s="34"/>
      <c r="D3078" s="68" t="s">
        <v>663</v>
      </c>
      <c r="E3078" s="69" t="s">
        <v>163</v>
      </c>
      <c r="F3078" s="20" t="s">
        <v>533</v>
      </c>
      <c r="G3078" s="15"/>
      <c r="H3078" s="15"/>
      <c r="I3078" s="15"/>
      <c r="J3078" s="15"/>
      <c r="K3078" s="15"/>
      <c r="L3078" s="15"/>
      <c r="M3078" s="15"/>
      <c r="N3078" s="15"/>
      <c r="O3078" s="15"/>
      <c r="P3078" s="15"/>
      <c r="Q3078" s="15"/>
      <c r="R3078" s="15"/>
    </row>
    <row r="3079" spans="2:18" ht="13">
      <c r="B3079" s="33"/>
      <c r="C3079" s="34"/>
      <c r="D3079" s="68" t="s">
        <v>17</v>
      </c>
      <c r="E3079" s="69" t="s">
        <v>27</v>
      </c>
      <c r="F3079" s="20" t="s">
        <v>533</v>
      </c>
      <c r="G3079" s="15"/>
      <c r="H3079" s="15"/>
      <c r="I3079" s="15"/>
      <c r="J3079" s="15"/>
      <c r="K3079" s="15"/>
      <c r="L3079" s="15"/>
      <c r="M3079" s="15"/>
      <c r="N3079" s="15"/>
      <c r="O3079" s="15"/>
      <c r="P3079" s="15"/>
      <c r="Q3079" s="15"/>
      <c r="R3079" s="15"/>
    </row>
    <row r="3080" spans="2:18" ht="13">
      <c r="B3080" s="33"/>
      <c r="C3080" s="34"/>
      <c r="D3080" s="68" t="s">
        <v>17</v>
      </c>
      <c r="E3080" s="69" t="s">
        <v>27</v>
      </c>
      <c r="F3080" s="20" t="s">
        <v>533</v>
      </c>
      <c r="G3080" s="15"/>
      <c r="H3080" s="15"/>
      <c r="I3080" s="15"/>
      <c r="J3080" s="15"/>
      <c r="K3080" s="15"/>
      <c r="L3080" s="15"/>
      <c r="M3080" s="15"/>
      <c r="N3080" s="15"/>
      <c r="O3080" s="15"/>
      <c r="P3080" s="15"/>
      <c r="Q3080" s="15"/>
      <c r="R3080" s="15"/>
    </row>
    <row r="3081" spans="2:18" ht="13">
      <c r="B3081" s="33"/>
      <c r="C3081" s="34"/>
      <c r="D3081" s="68" t="s">
        <v>17</v>
      </c>
      <c r="E3081" s="69" t="s">
        <v>27</v>
      </c>
      <c r="F3081" s="20" t="s">
        <v>533</v>
      </c>
      <c r="G3081" s="15"/>
      <c r="H3081" s="15"/>
      <c r="I3081" s="15"/>
      <c r="J3081" s="15"/>
      <c r="K3081" s="15"/>
      <c r="L3081" s="15"/>
      <c r="M3081" s="15"/>
      <c r="N3081" s="15"/>
      <c r="O3081" s="15"/>
      <c r="P3081" s="15"/>
      <c r="Q3081" s="15"/>
      <c r="R3081" s="15"/>
    </row>
    <row r="3082" spans="2:18" ht="13">
      <c r="B3082" s="33"/>
      <c r="C3082" s="34"/>
      <c r="D3082" s="68" t="s">
        <v>17</v>
      </c>
      <c r="E3082" s="69" t="s">
        <v>27</v>
      </c>
      <c r="F3082" s="20" t="s">
        <v>533</v>
      </c>
      <c r="G3082" s="15"/>
      <c r="H3082" s="15"/>
      <c r="I3082" s="15"/>
      <c r="J3082" s="15"/>
      <c r="K3082" s="15"/>
      <c r="L3082" s="15"/>
      <c r="M3082" s="15"/>
      <c r="N3082" s="15"/>
      <c r="O3082" s="15"/>
      <c r="P3082" s="15"/>
      <c r="Q3082" s="15"/>
      <c r="R3082" s="15"/>
    </row>
    <row r="3083" spans="2:18" ht="13">
      <c r="B3083" s="33"/>
      <c r="C3083" s="34"/>
      <c r="D3083" s="68" t="s">
        <v>17</v>
      </c>
      <c r="E3083" s="69" t="s">
        <v>564</v>
      </c>
      <c r="F3083" s="20" t="s">
        <v>533</v>
      </c>
      <c r="G3083" s="15"/>
      <c r="H3083" s="15"/>
      <c r="I3083" s="15"/>
      <c r="J3083" s="15"/>
      <c r="K3083" s="15"/>
      <c r="L3083" s="15"/>
      <c r="M3083" s="15"/>
      <c r="N3083" s="15"/>
      <c r="O3083" s="15"/>
      <c r="P3083" s="15"/>
      <c r="Q3083" s="15"/>
      <c r="R3083" s="15"/>
    </row>
    <row r="3084" spans="2:18" ht="13">
      <c r="B3084" s="33"/>
      <c r="C3084" s="34"/>
      <c r="D3084" s="68" t="s">
        <v>17</v>
      </c>
      <c r="E3084" s="69" t="s">
        <v>27</v>
      </c>
      <c r="F3084" s="20" t="s">
        <v>533</v>
      </c>
      <c r="G3084" s="15"/>
      <c r="H3084" s="15"/>
      <c r="I3084" s="15"/>
      <c r="J3084" s="15"/>
      <c r="K3084" s="15"/>
      <c r="L3084" s="15"/>
      <c r="M3084" s="15"/>
      <c r="N3084" s="15"/>
      <c r="O3084" s="15"/>
      <c r="P3084" s="15"/>
      <c r="Q3084" s="15"/>
      <c r="R3084" s="15"/>
    </row>
    <row r="3085" spans="2:18" ht="13">
      <c r="B3085" s="33"/>
      <c r="C3085" s="34"/>
      <c r="D3085" s="68" t="s">
        <v>26</v>
      </c>
      <c r="E3085" s="69" t="s">
        <v>27</v>
      </c>
      <c r="F3085" s="20" t="s">
        <v>533</v>
      </c>
      <c r="G3085" s="15"/>
      <c r="H3085" s="15"/>
      <c r="I3085" s="15"/>
      <c r="J3085" s="15"/>
      <c r="K3085" s="15"/>
      <c r="L3085" s="15"/>
      <c r="M3085" s="15"/>
      <c r="N3085" s="15"/>
      <c r="O3085" s="15"/>
      <c r="P3085" s="15"/>
      <c r="Q3085" s="15"/>
      <c r="R3085" s="15"/>
    </row>
    <row r="3086" spans="2:18" ht="13">
      <c r="B3086" s="33"/>
      <c r="C3086" s="34"/>
      <c r="D3086" s="68" t="s">
        <v>17</v>
      </c>
      <c r="E3086" s="69" t="s">
        <v>18</v>
      </c>
      <c r="F3086" s="20" t="s">
        <v>533</v>
      </c>
      <c r="G3086" s="15"/>
      <c r="H3086" s="15"/>
      <c r="I3086" s="15"/>
      <c r="J3086" s="15"/>
      <c r="K3086" s="15"/>
      <c r="L3086" s="15"/>
      <c r="M3086" s="15"/>
      <c r="N3086" s="15"/>
      <c r="O3086" s="15"/>
      <c r="P3086" s="15"/>
      <c r="Q3086" s="15"/>
      <c r="R3086" s="15"/>
    </row>
    <row r="3087" spans="2:18" ht="13">
      <c r="B3087" s="33"/>
      <c r="C3087" s="34"/>
      <c r="D3087" s="68" t="s">
        <v>17</v>
      </c>
      <c r="E3087" s="69" t="s">
        <v>27</v>
      </c>
      <c r="F3087" s="20" t="s">
        <v>533</v>
      </c>
      <c r="G3087" s="15"/>
      <c r="H3087" s="15"/>
      <c r="I3087" s="15"/>
      <c r="J3087" s="15"/>
      <c r="K3087" s="15"/>
      <c r="L3087" s="15"/>
      <c r="M3087" s="15"/>
      <c r="N3087" s="15"/>
      <c r="O3087" s="15"/>
      <c r="P3087" s="15"/>
      <c r="Q3087" s="15"/>
      <c r="R3087" s="15"/>
    </row>
    <row r="3088" spans="2:18" ht="13">
      <c r="B3088" s="33"/>
      <c r="C3088" s="34"/>
      <c r="D3088" s="68" t="s">
        <v>17</v>
      </c>
      <c r="E3088" s="69" t="s">
        <v>27</v>
      </c>
      <c r="F3088" s="20" t="s">
        <v>533</v>
      </c>
      <c r="G3088" s="15"/>
      <c r="H3088" s="15"/>
      <c r="I3088" s="15"/>
      <c r="J3088" s="15"/>
      <c r="K3088" s="15"/>
      <c r="L3088" s="15"/>
      <c r="M3088" s="15"/>
      <c r="N3088" s="15"/>
      <c r="O3088" s="15"/>
      <c r="P3088" s="15"/>
      <c r="Q3088" s="15"/>
      <c r="R3088" s="15"/>
    </row>
    <row r="3089" spans="2:18" ht="13">
      <c r="B3089" s="33"/>
      <c r="C3089" s="34"/>
      <c r="D3089" s="68" t="s">
        <v>26</v>
      </c>
      <c r="E3089" s="69" t="s">
        <v>27</v>
      </c>
      <c r="F3089" s="20" t="s">
        <v>533</v>
      </c>
      <c r="G3089" s="15"/>
      <c r="H3089" s="15"/>
      <c r="I3089" s="15"/>
      <c r="J3089" s="15"/>
      <c r="K3089" s="15"/>
      <c r="L3089" s="15"/>
      <c r="M3089" s="15"/>
      <c r="N3089" s="15"/>
      <c r="O3089" s="15"/>
      <c r="P3089" s="15"/>
      <c r="Q3089" s="15"/>
      <c r="R3089" s="15"/>
    </row>
    <row r="3090" spans="2:18" ht="13">
      <c r="B3090" s="33"/>
      <c r="C3090" s="34"/>
      <c r="D3090" s="68" t="s">
        <v>26</v>
      </c>
      <c r="E3090" s="69" t="s">
        <v>27</v>
      </c>
      <c r="F3090" s="20" t="s">
        <v>533</v>
      </c>
      <c r="G3090" s="15"/>
      <c r="H3090" s="15"/>
      <c r="I3090" s="15"/>
      <c r="J3090" s="15"/>
      <c r="K3090" s="15"/>
      <c r="L3090" s="15"/>
      <c r="M3090" s="15"/>
      <c r="N3090" s="15"/>
      <c r="O3090" s="15"/>
      <c r="P3090" s="15"/>
      <c r="Q3090" s="15"/>
      <c r="R3090" s="15"/>
    </row>
    <row r="3091" spans="2:18" ht="13">
      <c r="B3091" s="33"/>
      <c r="C3091" s="34"/>
      <c r="D3091" s="68" t="s">
        <v>544</v>
      </c>
      <c r="E3091" s="69" t="s">
        <v>121</v>
      </c>
      <c r="F3091" s="20" t="s">
        <v>533</v>
      </c>
      <c r="G3091" s="15"/>
      <c r="H3091" s="15"/>
      <c r="I3091" s="15"/>
      <c r="J3091" s="15"/>
      <c r="K3091" s="15"/>
      <c r="L3091" s="15"/>
      <c r="M3091" s="15"/>
      <c r="N3091" s="15"/>
      <c r="O3091" s="15"/>
      <c r="P3091" s="15"/>
      <c r="Q3091" s="15"/>
      <c r="R3091" s="15"/>
    </row>
    <row r="3092" spans="2:18" ht="13">
      <c r="B3092" s="33"/>
      <c r="C3092" s="34"/>
      <c r="D3092" s="68" t="s">
        <v>17</v>
      </c>
      <c r="E3092" s="69" t="s">
        <v>27</v>
      </c>
      <c r="F3092" s="20" t="s">
        <v>533</v>
      </c>
      <c r="G3092" s="15"/>
      <c r="H3092" s="15"/>
      <c r="I3092" s="15"/>
      <c r="J3092" s="15"/>
      <c r="K3092" s="15"/>
      <c r="L3092" s="15"/>
      <c r="M3092" s="15"/>
      <c r="N3092" s="15"/>
      <c r="O3092" s="15"/>
      <c r="P3092" s="15"/>
      <c r="Q3092" s="15"/>
      <c r="R3092" s="15"/>
    </row>
    <row r="3093" spans="2:18" ht="13">
      <c r="B3093" s="33"/>
      <c r="C3093" s="34"/>
      <c r="D3093" s="68" t="s">
        <v>26</v>
      </c>
      <c r="E3093" s="69" t="s">
        <v>27</v>
      </c>
      <c r="F3093" s="20" t="s">
        <v>533</v>
      </c>
      <c r="G3093" s="15"/>
      <c r="H3093" s="15"/>
      <c r="I3093" s="15"/>
      <c r="J3093" s="15"/>
      <c r="K3093" s="15"/>
      <c r="L3093" s="15"/>
      <c r="M3093" s="15"/>
      <c r="N3093" s="15"/>
      <c r="O3093" s="15"/>
      <c r="P3093" s="15"/>
      <c r="Q3093" s="15"/>
      <c r="R3093" s="15"/>
    </row>
    <row r="3094" spans="2:18" ht="13">
      <c r="B3094" s="33"/>
      <c r="C3094" s="34"/>
      <c r="D3094" s="68" t="s">
        <v>17</v>
      </c>
      <c r="E3094" s="69" t="s">
        <v>27</v>
      </c>
      <c r="F3094" s="20" t="s">
        <v>533</v>
      </c>
      <c r="G3094" s="15"/>
      <c r="H3094" s="15"/>
      <c r="I3094" s="15"/>
      <c r="J3094" s="15"/>
      <c r="K3094" s="15"/>
      <c r="L3094" s="15"/>
      <c r="M3094" s="15"/>
      <c r="N3094" s="15"/>
      <c r="O3094" s="15"/>
      <c r="P3094" s="15"/>
      <c r="Q3094" s="15"/>
      <c r="R3094" s="15"/>
    </row>
    <row r="3095" spans="2:18" ht="13">
      <c r="B3095" s="33"/>
      <c r="C3095" s="34"/>
      <c r="D3095" s="68" t="s">
        <v>17</v>
      </c>
      <c r="E3095" s="69" t="s">
        <v>27</v>
      </c>
      <c r="F3095" s="20" t="s">
        <v>533</v>
      </c>
      <c r="G3095" s="15"/>
      <c r="H3095" s="15"/>
      <c r="I3095" s="15"/>
      <c r="J3095" s="15"/>
      <c r="K3095" s="15"/>
      <c r="L3095" s="15"/>
      <c r="M3095" s="15"/>
      <c r="N3095" s="15"/>
      <c r="O3095" s="15"/>
      <c r="P3095" s="15"/>
      <c r="Q3095" s="15"/>
      <c r="R3095" s="15"/>
    </row>
    <row r="3096" spans="2:18" ht="13">
      <c r="B3096" s="33"/>
      <c r="C3096" s="34"/>
      <c r="D3096" s="68" t="s">
        <v>17</v>
      </c>
      <c r="E3096" s="69" t="s">
        <v>27</v>
      </c>
      <c r="F3096" s="20" t="s">
        <v>533</v>
      </c>
      <c r="G3096" s="15"/>
      <c r="H3096" s="15"/>
      <c r="I3096" s="15"/>
      <c r="J3096" s="15"/>
      <c r="K3096" s="15"/>
      <c r="L3096" s="15"/>
      <c r="M3096" s="15"/>
      <c r="N3096" s="15"/>
      <c r="O3096" s="15"/>
      <c r="P3096" s="15"/>
      <c r="Q3096" s="15"/>
      <c r="R3096" s="15"/>
    </row>
    <row r="3097" spans="2:18" ht="13">
      <c r="B3097" s="33"/>
      <c r="C3097" s="34"/>
      <c r="D3097" s="68" t="s">
        <v>17</v>
      </c>
      <c r="E3097" s="69" t="s">
        <v>27</v>
      </c>
      <c r="F3097" s="20" t="s">
        <v>533</v>
      </c>
      <c r="G3097" s="15"/>
      <c r="H3097" s="15"/>
      <c r="I3097" s="15"/>
      <c r="J3097" s="15"/>
      <c r="K3097" s="15"/>
      <c r="L3097" s="15"/>
      <c r="M3097" s="15"/>
      <c r="N3097" s="15"/>
      <c r="O3097" s="15"/>
      <c r="P3097" s="15"/>
      <c r="Q3097" s="15"/>
      <c r="R3097" s="15"/>
    </row>
    <row r="3098" spans="2:18" ht="13">
      <c r="B3098" s="33"/>
      <c r="C3098" s="34"/>
      <c r="D3098" s="68" t="s">
        <v>17</v>
      </c>
      <c r="E3098" s="69" t="s">
        <v>27</v>
      </c>
      <c r="F3098" s="20" t="s">
        <v>533</v>
      </c>
      <c r="G3098" s="15"/>
      <c r="H3098" s="15"/>
      <c r="I3098" s="15"/>
      <c r="J3098" s="15"/>
      <c r="K3098" s="15"/>
      <c r="L3098" s="15"/>
      <c r="M3098" s="15"/>
      <c r="N3098" s="15"/>
      <c r="O3098" s="15"/>
      <c r="P3098" s="15"/>
      <c r="Q3098" s="15"/>
      <c r="R3098" s="15"/>
    </row>
    <row r="3099" spans="2:18" ht="13">
      <c r="B3099" s="33"/>
      <c r="C3099" s="34"/>
      <c r="D3099" s="68" t="s">
        <v>17</v>
      </c>
      <c r="E3099" s="69" t="s">
        <v>27</v>
      </c>
      <c r="F3099" s="20" t="s">
        <v>533</v>
      </c>
      <c r="G3099" s="15"/>
      <c r="H3099" s="15"/>
      <c r="I3099" s="15"/>
      <c r="J3099" s="15"/>
      <c r="K3099" s="15"/>
      <c r="L3099" s="15"/>
      <c r="M3099" s="15"/>
      <c r="N3099" s="15"/>
      <c r="O3099" s="15"/>
      <c r="P3099" s="15"/>
      <c r="Q3099" s="15"/>
      <c r="R3099" s="15"/>
    </row>
    <row r="3100" spans="2:18" ht="13">
      <c r="B3100" s="33"/>
      <c r="C3100" s="34"/>
      <c r="D3100" s="68" t="s">
        <v>17</v>
      </c>
      <c r="E3100" s="69" t="s">
        <v>27</v>
      </c>
      <c r="F3100" s="20" t="s">
        <v>533</v>
      </c>
      <c r="G3100" s="15"/>
      <c r="H3100" s="15"/>
      <c r="I3100" s="15"/>
      <c r="J3100" s="15"/>
      <c r="K3100" s="15"/>
      <c r="L3100" s="15"/>
      <c r="M3100" s="15"/>
      <c r="N3100" s="15"/>
      <c r="O3100" s="15"/>
      <c r="P3100" s="15"/>
      <c r="Q3100" s="15"/>
      <c r="R3100" s="15"/>
    </row>
    <row r="3101" spans="2:18" ht="13">
      <c r="B3101" s="33"/>
      <c r="C3101" s="34"/>
      <c r="D3101" s="68" t="s">
        <v>577</v>
      </c>
      <c r="E3101" s="69" t="s">
        <v>124</v>
      </c>
      <c r="F3101" s="20" t="s">
        <v>533</v>
      </c>
      <c r="G3101" s="15"/>
      <c r="H3101" s="15"/>
      <c r="I3101" s="15"/>
      <c r="J3101" s="15"/>
      <c r="K3101" s="15"/>
      <c r="L3101" s="15"/>
      <c r="M3101" s="15"/>
      <c r="N3101" s="15"/>
      <c r="O3101" s="15"/>
      <c r="P3101" s="15"/>
      <c r="Q3101" s="15"/>
      <c r="R3101" s="15"/>
    </row>
    <row r="3102" spans="2:18" ht="13">
      <c r="B3102" s="33"/>
      <c r="C3102" s="34"/>
      <c r="D3102" s="68" t="s">
        <v>17</v>
      </c>
      <c r="E3102" s="69" t="s">
        <v>27</v>
      </c>
      <c r="F3102" s="20" t="s">
        <v>533</v>
      </c>
      <c r="G3102" s="15"/>
      <c r="H3102" s="15"/>
      <c r="I3102" s="15"/>
      <c r="J3102" s="15"/>
      <c r="K3102" s="15"/>
      <c r="L3102" s="15"/>
      <c r="M3102" s="15"/>
      <c r="N3102" s="15"/>
      <c r="O3102" s="15"/>
      <c r="P3102" s="15"/>
      <c r="Q3102" s="15"/>
      <c r="R3102" s="15"/>
    </row>
    <row r="3103" spans="2:18" ht="13">
      <c r="B3103" s="33"/>
      <c r="C3103" s="34"/>
      <c r="D3103" s="68" t="s">
        <v>17</v>
      </c>
      <c r="E3103" s="69" t="s">
        <v>27</v>
      </c>
      <c r="F3103" s="20" t="s">
        <v>533</v>
      </c>
      <c r="G3103" s="15"/>
      <c r="H3103" s="15"/>
      <c r="I3103" s="15"/>
      <c r="J3103" s="15"/>
      <c r="K3103" s="15"/>
      <c r="L3103" s="15"/>
      <c r="M3103" s="15"/>
      <c r="N3103" s="15"/>
      <c r="O3103" s="15"/>
      <c r="P3103" s="15"/>
      <c r="Q3103" s="15"/>
      <c r="R3103" s="15"/>
    </row>
    <row r="3104" spans="2:18" ht="13">
      <c r="B3104" s="33"/>
      <c r="C3104" s="34"/>
      <c r="D3104" s="68" t="s">
        <v>17</v>
      </c>
      <c r="E3104" s="69" t="s">
        <v>27</v>
      </c>
      <c r="F3104" s="20" t="s">
        <v>533</v>
      </c>
      <c r="G3104" s="15"/>
      <c r="H3104" s="15"/>
      <c r="I3104" s="15"/>
      <c r="J3104" s="15"/>
      <c r="K3104" s="15"/>
      <c r="L3104" s="15"/>
      <c r="M3104" s="15"/>
      <c r="N3104" s="15"/>
      <c r="O3104" s="15"/>
      <c r="P3104" s="15"/>
      <c r="Q3104" s="15"/>
      <c r="R3104" s="15"/>
    </row>
    <row r="3105" spans="2:18" ht="13">
      <c r="B3105" s="33"/>
      <c r="C3105" s="34"/>
      <c r="D3105" s="68" t="s">
        <v>26</v>
      </c>
      <c r="E3105" s="69" t="s">
        <v>27</v>
      </c>
      <c r="F3105" s="20" t="s">
        <v>533</v>
      </c>
      <c r="G3105" s="15"/>
      <c r="H3105" s="15"/>
      <c r="I3105" s="15"/>
      <c r="J3105" s="15"/>
      <c r="K3105" s="15"/>
      <c r="L3105" s="15"/>
      <c r="M3105" s="15"/>
      <c r="N3105" s="15"/>
      <c r="O3105" s="15"/>
      <c r="P3105" s="15"/>
      <c r="Q3105" s="15"/>
      <c r="R3105" s="15"/>
    </row>
    <row r="3106" spans="2:18" ht="13">
      <c r="B3106" s="33"/>
      <c r="C3106" s="34"/>
      <c r="D3106" s="68" t="s">
        <v>577</v>
      </c>
      <c r="E3106" s="69" t="s">
        <v>124</v>
      </c>
      <c r="F3106" s="20" t="s">
        <v>533</v>
      </c>
      <c r="G3106" s="15"/>
      <c r="H3106" s="15"/>
      <c r="I3106" s="15"/>
      <c r="J3106" s="15"/>
      <c r="K3106" s="15"/>
      <c r="L3106" s="15"/>
      <c r="M3106" s="15"/>
      <c r="N3106" s="15"/>
      <c r="O3106" s="15"/>
      <c r="P3106" s="15"/>
      <c r="Q3106" s="15"/>
      <c r="R3106" s="15"/>
    </row>
    <row r="3107" spans="2:18" ht="13">
      <c r="B3107" s="33"/>
      <c r="C3107" s="34"/>
      <c r="D3107" s="68" t="s">
        <v>665</v>
      </c>
      <c r="E3107" s="69" t="s">
        <v>121</v>
      </c>
      <c r="F3107" s="20" t="s">
        <v>533</v>
      </c>
      <c r="G3107" s="15"/>
      <c r="H3107" s="15"/>
      <c r="I3107" s="15"/>
      <c r="J3107" s="15"/>
      <c r="K3107" s="15"/>
      <c r="L3107" s="15"/>
      <c r="M3107" s="15"/>
      <c r="N3107" s="15"/>
      <c r="O3107" s="15"/>
      <c r="P3107" s="15"/>
      <c r="Q3107" s="15"/>
      <c r="R3107" s="15"/>
    </row>
    <row r="3108" spans="2:18" ht="13">
      <c r="B3108" s="33"/>
      <c r="C3108" s="34"/>
      <c r="D3108" s="68" t="s">
        <v>17</v>
      </c>
      <c r="E3108" s="69" t="s">
        <v>614</v>
      </c>
      <c r="F3108" s="20" t="s">
        <v>533</v>
      </c>
      <c r="G3108" s="15"/>
      <c r="H3108" s="15"/>
      <c r="I3108" s="15"/>
      <c r="J3108" s="15"/>
      <c r="K3108" s="15"/>
      <c r="L3108" s="15"/>
      <c r="M3108" s="15"/>
      <c r="N3108" s="15"/>
      <c r="O3108" s="15"/>
      <c r="P3108" s="15"/>
      <c r="Q3108" s="15"/>
      <c r="R3108" s="15"/>
    </row>
    <row r="3109" spans="2:18" ht="13">
      <c r="B3109" s="33"/>
      <c r="C3109" s="34"/>
      <c r="D3109" s="68" t="s">
        <v>17</v>
      </c>
      <c r="E3109" s="69" t="s">
        <v>27</v>
      </c>
      <c r="F3109" s="20" t="s">
        <v>533</v>
      </c>
      <c r="G3109" s="15"/>
      <c r="H3109" s="15"/>
      <c r="I3109" s="15"/>
      <c r="J3109" s="15"/>
      <c r="K3109" s="15"/>
      <c r="L3109" s="15"/>
      <c r="M3109" s="15"/>
      <c r="N3109" s="15"/>
      <c r="O3109" s="15"/>
      <c r="P3109" s="15"/>
      <c r="Q3109" s="15"/>
      <c r="R3109" s="15"/>
    </row>
    <row r="3110" spans="2:18" ht="13">
      <c r="B3110" s="33"/>
      <c r="C3110" s="34"/>
      <c r="D3110" s="68" t="s">
        <v>17</v>
      </c>
      <c r="E3110" s="69" t="s">
        <v>27</v>
      </c>
      <c r="F3110" s="20" t="s">
        <v>533</v>
      </c>
      <c r="G3110" s="15"/>
      <c r="H3110" s="15"/>
      <c r="I3110" s="15"/>
      <c r="J3110" s="15"/>
      <c r="K3110" s="15"/>
      <c r="L3110" s="15"/>
      <c r="M3110" s="15"/>
      <c r="N3110" s="15"/>
      <c r="O3110" s="15"/>
      <c r="P3110" s="15"/>
      <c r="Q3110" s="15"/>
      <c r="R3110" s="15"/>
    </row>
    <row r="3111" spans="2:18" ht="13">
      <c r="B3111" s="33"/>
      <c r="C3111" s="34"/>
      <c r="D3111" s="68" t="s">
        <v>666</v>
      </c>
      <c r="E3111" s="69" t="s">
        <v>163</v>
      </c>
      <c r="F3111" s="20" t="s">
        <v>533</v>
      </c>
      <c r="G3111" s="15"/>
      <c r="H3111" s="15"/>
      <c r="I3111" s="15"/>
      <c r="J3111" s="15"/>
      <c r="K3111" s="15"/>
      <c r="L3111" s="15"/>
      <c r="M3111" s="15"/>
      <c r="N3111" s="15"/>
      <c r="O3111" s="15"/>
      <c r="P3111" s="15"/>
      <c r="Q3111" s="15"/>
      <c r="R3111" s="15"/>
    </row>
    <row r="3112" spans="2:18" ht="13">
      <c r="B3112" s="33"/>
      <c r="C3112" s="34"/>
      <c r="D3112" s="68" t="s">
        <v>86</v>
      </c>
      <c r="E3112" s="69" t="s">
        <v>163</v>
      </c>
      <c r="F3112" s="20" t="s">
        <v>533</v>
      </c>
      <c r="G3112" s="15"/>
      <c r="H3112" s="15"/>
      <c r="I3112" s="15"/>
      <c r="J3112" s="15"/>
      <c r="K3112" s="15"/>
      <c r="L3112" s="15"/>
      <c r="M3112" s="15"/>
      <c r="N3112" s="15"/>
      <c r="O3112" s="15"/>
      <c r="P3112" s="15"/>
      <c r="Q3112" s="15"/>
      <c r="R3112" s="15"/>
    </row>
    <row r="3113" spans="2:18" ht="13">
      <c r="B3113" s="33"/>
      <c r="C3113" s="34"/>
      <c r="D3113" s="68" t="s">
        <v>26</v>
      </c>
      <c r="E3113" s="69" t="s">
        <v>27</v>
      </c>
      <c r="F3113" s="20" t="s">
        <v>533</v>
      </c>
      <c r="G3113" s="15"/>
      <c r="H3113" s="15"/>
      <c r="I3113" s="15"/>
      <c r="J3113" s="15"/>
      <c r="K3113" s="15"/>
      <c r="L3113" s="15"/>
      <c r="M3113" s="15"/>
      <c r="N3113" s="15"/>
      <c r="O3113" s="15"/>
      <c r="P3113" s="15"/>
      <c r="Q3113" s="15"/>
      <c r="R3113" s="15"/>
    </row>
    <row r="3114" spans="2:18" ht="13">
      <c r="B3114" s="33"/>
      <c r="C3114" s="34"/>
      <c r="D3114" s="68" t="s">
        <v>574</v>
      </c>
      <c r="E3114" s="69" t="s">
        <v>575</v>
      </c>
      <c r="F3114" s="20" t="s">
        <v>533</v>
      </c>
      <c r="G3114" s="15"/>
      <c r="H3114" s="15"/>
      <c r="I3114" s="15"/>
      <c r="J3114" s="15"/>
      <c r="K3114" s="15"/>
      <c r="L3114" s="15"/>
      <c r="M3114" s="15"/>
      <c r="N3114" s="15"/>
      <c r="O3114" s="15"/>
      <c r="P3114" s="15"/>
      <c r="Q3114" s="15"/>
      <c r="R3114" s="15"/>
    </row>
    <row r="3115" spans="2:18" ht="13">
      <c r="B3115" s="33"/>
      <c r="C3115" s="34"/>
      <c r="D3115" s="68" t="s">
        <v>17</v>
      </c>
      <c r="E3115" s="69" t="s">
        <v>27</v>
      </c>
      <c r="F3115" s="20" t="s">
        <v>533</v>
      </c>
      <c r="G3115" s="15"/>
      <c r="H3115" s="15"/>
      <c r="I3115" s="15"/>
      <c r="J3115" s="15"/>
      <c r="K3115" s="15"/>
      <c r="L3115" s="15"/>
      <c r="M3115" s="15"/>
      <c r="N3115" s="15"/>
      <c r="O3115" s="15"/>
      <c r="P3115" s="15"/>
      <c r="Q3115" s="15"/>
      <c r="R3115" s="15"/>
    </row>
    <row r="3116" spans="2:18" ht="13">
      <c r="B3116" s="33"/>
      <c r="C3116" s="34"/>
      <c r="D3116" s="68" t="s">
        <v>17</v>
      </c>
      <c r="E3116" s="69" t="s">
        <v>27</v>
      </c>
      <c r="F3116" s="20" t="s">
        <v>533</v>
      </c>
      <c r="G3116" s="15"/>
      <c r="H3116" s="15"/>
      <c r="I3116" s="15"/>
      <c r="J3116" s="15"/>
      <c r="K3116" s="15"/>
      <c r="L3116" s="15"/>
      <c r="M3116" s="15"/>
      <c r="N3116" s="15"/>
      <c r="O3116" s="15"/>
      <c r="P3116" s="15"/>
      <c r="Q3116" s="15"/>
      <c r="R3116" s="15"/>
    </row>
    <row r="3117" spans="2:18" ht="13">
      <c r="B3117" s="33"/>
      <c r="C3117" s="34"/>
      <c r="D3117" s="68" t="s">
        <v>17</v>
      </c>
      <c r="E3117" s="69" t="s">
        <v>27</v>
      </c>
      <c r="F3117" s="20" t="s">
        <v>533</v>
      </c>
      <c r="G3117" s="15"/>
      <c r="H3117" s="15"/>
      <c r="I3117" s="15"/>
      <c r="J3117" s="15"/>
      <c r="K3117" s="15"/>
      <c r="L3117" s="15"/>
      <c r="M3117" s="15"/>
      <c r="N3117" s="15"/>
      <c r="O3117" s="15"/>
      <c r="P3117" s="15"/>
      <c r="Q3117" s="15"/>
      <c r="R3117" s="15"/>
    </row>
    <row r="3118" spans="2:18" ht="13">
      <c r="B3118" s="33"/>
      <c r="C3118" s="34"/>
      <c r="D3118" s="68" t="s">
        <v>17</v>
      </c>
      <c r="E3118" s="69" t="s">
        <v>27</v>
      </c>
      <c r="F3118" s="20" t="s">
        <v>533</v>
      </c>
      <c r="G3118" s="15"/>
      <c r="H3118" s="15"/>
      <c r="I3118" s="15"/>
      <c r="J3118" s="15"/>
      <c r="K3118" s="15"/>
      <c r="L3118" s="15"/>
      <c r="M3118" s="15"/>
      <c r="N3118" s="15"/>
      <c r="O3118" s="15"/>
      <c r="P3118" s="15"/>
      <c r="Q3118" s="15"/>
      <c r="R3118" s="15"/>
    </row>
    <row r="3119" spans="2:18" ht="13">
      <c r="B3119" s="33"/>
      <c r="C3119" s="34"/>
      <c r="D3119" s="68" t="s">
        <v>17</v>
      </c>
      <c r="E3119" s="69" t="s">
        <v>27</v>
      </c>
      <c r="F3119" s="20" t="s">
        <v>533</v>
      </c>
      <c r="G3119" s="15"/>
      <c r="H3119" s="15"/>
      <c r="I3119" s="15"/>
      <c r="J3119" s="15"/>
      <c r="K3119" s="15"/>
      <c r="L3119" s="15"/>
      <c r="M3119" s="15"/>
      <c r="N3119" s="15"/>
      <c r="O3119" s="15"/>
      <c r="P3119" s="15"/>
      <c r="Q3119" s="15"/>
      <c r="R3119" s="15"/>
    </row>
    <row r="3120" spans="2:18" ht="13">
      <c r="B3120" s="33"/>
      <c r="C3120" s="34"/>
      <c r="D3120" s="68" t="s">
        <v>26</v>
      </c>
      <c r="E3120" s="69" t="s">
        <v>27</v>
      </c>
      <c r="F3120" s="20" t="s">
        <v>533</v>
      </c>
      <c r="G3120" s="15"/>
      <c r="H3120" s="15"/>
      <c r="I3120" s="15"/>
      <c r="J3120" s="15"/>
      <c r="K3120" s="15"/>
      <c r="L3120" s="15"/>
      <c r="M3120" s="15"/>
      <c r="N3120" s="15"/>
      <c r="O3120" s="15"/>
      <c r="P3120" s="15"/>
      <c r="Q3120" s="15"/>
      <c r="R3120" s="15"/>
    </row>
    <row r="3121" spans="2:18" ht="13">
      <c r="B3121" s="33"/>
      <c r="C3121" s="34"/>
      <c r="D3121" s="68" t="s">
        <v>608</v>
      </c>
      <c r="E3121" s="69" t="s">
        <v>32</v>
      </c>
      <c r="F3121" s="20" t="s">
        <v>533</v>
      </c>
      <c r="G3121" s="15"/>
      <c r="H3121" s="15"/>
      <c r="I3121" s="15"/>
      <c r="J3121" s="15"/>
      <c r="K3121" s="15"/>
      <c r="L3121" s="15"/>
      <c r="M3121" s="15"/>
      <c r="N3121" s="15"/>
      <c r="O3121" s="15"/>
      <c r="P3121" s="15"/>
      <c r="Q3121" s="15"/>
      <c r="R3121" s="15"/>
    </row>
    <row r="3122" spans="2:18" ht="13">
      <c r="B3122" s="33"/>
      <c r="C3122" s="34"/>
      <c r="D3122" s="68" t="s">
        <v>17</v>
      </c>
      <c r="E3122" s="69" t="s">
        <v>27</v>
      </c>
      <c r="F3122" s="20" t="s">
        <v>533</v>
      </c>
      <c r="G3122" s="15"/>
      <c r="H3122" s="15"/>
      <c r="I3122" s="15"/>
      <c r="J3122" s="15"/>
      <c r="K3122" s="15"/>
      <c r="L3122" s="15"/>
      <c r="M3122" s="15"/>
      <c r="N3122" s="15"/>
      <c r="O3122" s="15"/>
      <c r="P3122" s="15"/>
      <c r="Q3122" s="15"/>
      <c r="R3122" s="15"/>
    </row>
    <row r="3123" spans="2:18" ht="13">
      <c r="B3123" s="33"/>
      <c r="C3123" s="34"/>
      <c r="D3123" s="68" t="s">
        <v>168</v>
      </c>
      <c r="E3123" s="69" t="s">
        <v>27</v>
      </c>
      <c r="F3123" s="20" t="s">
        <v>533</v>
      </c>
      <c r="G3123" s="15"/>
      <c r="H3123" s="15"/>
      <c r="I3123" s="15"/>
      <c r="J3123" s="15"/>
      <c r="K3123" s="15"/>
      <c r="L3123" s="15"/>
      <c r="M3123" s="15"/>
      <c r="N3123" s="15"/>
      <c r="O3123" s="15"/>
      <c r="P3123" s="15"/>
      <c r="Q3123" s="15"/>
      <c r="R3123" s="15"/>
    </row>
    <row r="3124" spans="2:18" ht="13">
      <c r="B3124" s="33"/>
      <c r="C3124" s="34"/>
      <c r="D3124" s="68" t="s">
        <v>26</v>
      </c>
      <c r="E3124" s="69" t="s">
        <v>27</v>
      </c>
      <c r="F3124" s="20" t="s">
        <v>533</v>
      </c>
      <c r="G3124" s="15"/>
      <c r="H3124" s="15"/>
      <c r="I3124" s="15"/>
      <c r="J3124" s="15"/>
      <c r="K3124" s="15"/>
      <c r="L3124" s="15"/>
      <c r="M3124" s="15"/>
      <c r="N3124" s="15"/>
      <c r="O3124" s="15"/>
      <c r="P3124" s="15"/>
      <c r="Q3124" s="15"/>
      <c r="R3124" s="15"/>
    </row>
    <row r="3125" spans="2:18" ht="13">
      <c r="B3125" s="33"/>
      <c r="C3125" s="34"/>
      <c r="D3125" s="68" t="s">
        <v>26</v>
      </c>
      <c r="E3125" s="69" t="s">
        <v>27</v>
      </c>
      <c r="F3125" s="20" t="s">
        <v>533</v>
      </c>
      <c r="G3125" s="15"/>
      <c r="H3125" s="15"/>
      <c r="I3125" s="15"/>
      <c r="J3125" s="15"/>
      <c r="K3125" s="15"/>
      <c r="L3125" s="15"/>
      <c r="M3125" s="15"/>
      <c r="N3125" s="15"/>
      <c r="O3125" s="15"/>
      <c r="P3125" s="15"/>
      <c r="Q3125" s="15"/>
      <c r="R3125" s="15"/>
    </row>
    <row r="3126" spans="2:18" ht="13">
      <c r="B3126" s="33"/>
      <c r="C3126" s="34"/>
      <c r="D3126" s="68" t="s">
        <v>577</v>
      </c>
      <c r="E3126" s="69" t="s">
        <v>124</v>
      </c>
      <c r="F3126" s="20" t="s">
        <v>533</v>
      </c>
      <c r="G3126" s="15"/>
      <c r="H3126" s="15"/>
      <c r="I3126" s="15"/>
      <c r="J3126" s="15"/>
      <c r="K3126" s="15"/>
      <c r="L3126" s="15"/>
      <c r="M3126" s="15"/>
      <c r="N3126" s="15"/>
      <c r="O3126" s="15"/>
      <c r="P3126" s="15"/>
      <c r="Q3126" s="15"/>
      <c r="R3126" s="15"/>
    </row>
    <row r="3127" spans="2:18" ht="13">
      <c r="B3127" s="33"/>
      <c r="C3127" s="34"/>
      <c r="D3127" s="68" t="s">
        <v>17</v>
      </c>
      <c r="E3127" s="69" t="s">
        <v>27</v>
      </c>
      <c r="F3127" s="20" t="s">
        <v>533</v>
      </c>
      <c r="G3127" s="15"/>
      <c r="H3127" s="15"/>
      <c r="I3127" s="15"/>
      <c r="J3127" s="15"/>
      <c r="K3127" s="15"/>
      <c r="L3127" s="15"/>
      <c r="M3127" s="15"/>
      <c r="N3127" s="15"/>
      <c r="O3127" s="15"/>
      <c r="P3127" s="15"/>
      <c r="Q3127" s="15"/>
      <c r="R3127" s="15"/>
    </row>
    <row r="3128" spans="2:18" ht="13">
      <c r="B3128" s="33"/>
      <c r="C3128" s="34"/>
      <c r="D3128" s="68" t="s">
        <v>17</v>
      </c>
      <c r="E3128" s="69" t="s">
        <v>27</v>
      </c>
      <c r="F3128" s="20" t="s">
        <v>533</v>
      </c>
      <c r="G3128" s="15"/>
      <c r="H3128" s="15"/>
      <c r="I3128" s="15"/>
      <c r="J3128" s="15"/>
      <c r="K3128" s="15"/>
      <c r="L3128" s="15"/>
      <c r="M3128" s="15"/>
      <c r="N3128" s="15"/>
      <c r="O3128" s="15"/>
      <c r="P3128" s="15"/>
      <c r="Q3128" s="15"/>
      <c r="R3128" s="15"/>
    </row>
    <row r="3129" spans="2:18" ht="13">
      <c r="B3129" s="33"/>
      <c r="C3129" s="34"/>
      <c r="D3129" s="68" t="s">
        <v>26</v>
      </c>
      <c r="E3129" s="69" t="s">
        <v>614</v>
      </c>
      <c r="F3129" s="20" t="s">
        <v>533</v>
      </c>
      <c r="G3129" s="15"/>
      <c r="H3129" s="15"/>
      <c r="I3129" s="15"/>
      <c r="J3129" s="15"/>
      <c r="K3129" s="15"/>
      <c r="L3129" s="15"/>
      <c r="M3129" s="15"/>
      <c r="N3129" s="15"/>
      <c r="O3129" s="15"/>
      <c r="P3129" s="15"/>
      <c r="Q3129" s="15"/>
      <c r="R3129" s="15"/>
    </row>
    <row r="3130" spans="2:18" ht="13">
      <c r="B3130" s="33"/>
      <c r="C3130" s="34"/>
      <c r="D3130" s="68" t="s">
        <v>17</v>
      </c>
      <c r="E3130" s="69" t="s">
        <v>27</v>
      </c>
      <c r="F3130" s="20" t="s">
        <v>533</v>
      </c>
      <c r="G3130" s="15"/>
      <c r="H3130" s="15"/>
      <c r="I3130" s="15"/>
      <c r="J3130" s="15"/>
      <c r="K3130" s="15"/>
      <c r="L3130" s="15"/>
      <c r="M3130" s="15"/>
      <c r="N3130" s="15"/>
      <c r="O3130" s="15"/>
      <c r="P3130" s="15"/>
      <c r="Q3130" s="15"/>
      <c r="R3130" s="15"/>
    </row>
    <row r="3131" spans="2:18" ht="13">
      <c r="B3131" s="33"/>
      <c r="C3131" s="34"/>
      <c r="D3131" s="68" t="s">
        <v>17</v>
      </c>
      <c r="E3131" s="69" t="s">
        <v>27</v>
      </c>
      <c r="F3131" s="20" t="s">
        <v>533</v>
      </c>
      <c r="G3131" s="15"/>
      <c r="H3131" s="15"/>
      <c r="I3131" s="15"/>
      <c r="J3131" s="15"/>
      <c r="K3131" s="15"/>
      <c r="L3131" s="15"/>
      <c r="M3131" s="15"/>
      <c r="N3131" s="15"/>
      <c r="O3131" s="15"/>
      <c r="P3131" s="15"/>
      <c r="Q3131" s="15"/>
      <c r="R3131" s="15"/>
    </row>
    <row r="3132" spans="2:18" ht="13">
      <c r="B3132" s="33"/>
      <c r="C3132" s="34"/>
      <c r="D3132" s="68" t="s">
        <v>17</v>
      </c>
      <c r="E3132" s="69" t="s">
        <v>27</v>
      </c>
      <c r="F3132" s="20" t="s">
        <v>533</v>
      </c>
      <c r="G3132" s="15"/>
      <c r="H3132" s="15"/>
      <c r="I3132" s="15"/>
      <c r="J3132" s="15"/>
      <c r="K3132" s="15"/>
      <c r="L3132" s="15"/>
      <c r="M3132" s="15"/>
      <c r="N3132" s="15"/>
      <c r="O3132" s="15"/>
      <c r="P3132" s="15"/>
      <c r="Q3132" s="15"/>
      <c r="R3132" s="15"/>
    </row>
    <row r="3133" spans="2:18" ht="13">
      <c r="B3133" s="33"/>
      <c r="C3133" s="34"/>
      <c r="D3133" s="68" t="s">
        <v>26</v>
      </c>
      <c r="E3133" s="69" t="s">
        <v>27</v>
      </c>
      <c r="F3133" s="20" t="s">
        <v>533</v>
      </c>
      <c r="G3133" s="15"/>
      <c r="H3133" s="15"/>
      <c r="I3133" s="15"/>
      <c r="J3133" s="15"/>
      <c r="K3133" s="15"/>
      <c r="L3133" s="15"/>
      <c r="M3133" s="15"/>
      <c r="N3133" s="15"/>
      <c r="O3133" s="15"/>
      <c r="P3133" s="15"/>
      <c r="Q3133" s="15"/>
      <c r="R3133" s="15"/>
    </row>
    <row r="3134" spans="2:18" ht="13">
      <c r="B3134" s="33"/>
      <c r="C3134" s="34"/>
      <c r="D3134" s="68" t="s">
        <v>17</v>
      </c>
      <c r="E3134" s="69" t="s">
        <v>27</v>
      </c>
      <c r="F3134" s="20" t="s">
        <v>533</v>
      </c>
      <c r="G3134" s="15"/>
      <c r="H3134" s="15"/>
      <c r="I3134" s="15"/>
      <c r="J3134" s="15"/>
      <c r="K3134" s="15"/>
      <c r="L3134" s="15"/>
      <c r="M3134" s="15"/>
      <c r="N3134" s="15"/>
      <c r="O3134" s="15"/>
      <c r="P3134" s="15"/>
      <c r="Q3134" s="15"/>
      <c r="R3134" s="15"/>
    </row>
    <row r="3135" spans="2:18" ht="13">
      <c r="B3135" s="33"/>
      <c r="C3135" s="34"/>
      <c r="D3135" s="68" t="s">
        <v>17</v>
      </c>
      <c r="E3135" s="69" t="s">
        <v>27</v>
      </c>
      <c r="F3135" s="20" t="s">
        <v>533</v>
      </c>
      <c r="G3135" s="15"/>
      <c r="H3135" s="15"/>
      <c r="I3135" s="15"/>
      <c r="J3135" s="15"/>
      <c r="K3135" s="15"/>
      <c r="L3135" s="15"/>
      <c r="M3135" s="15"/>
      <c r="N3135" s="15"/>
      <c r="O3135" s="15"/>
      <c r="P3135" s="15"/>
      <c r="Q3135" s="15"/>
      <c r="R3135" s="15"/>
    </row>
    <row r="3136" spans="2:18" ht="13">
      <c r="B3136" s="33"/>
      <c r="C3136" s="34"/>
      <c r="D3136" s="68" t="s">
        <v>290</v>
      </c>
      <c r="E3136" s="69" t="s">
        <v>32</v>
      </c>
      <c r="F3136" s="20" t="s">
        <v>533</v>
      </c>
      <c r="G3136" s="15"/>
      <c r="H3136" s="15"/>
      <c r="I3136" s="15"/>
      <c r="J3136" s="15"/>
      <c r="K3136" s="15"/>
      <c r="L3136" s="15"/>
      <c r="M3136" s="15"/>
      <c r="N3136" s="15"/>
      <c r="O3136" s="15"/>
      <c r="P3136" s="15"/>
      <c r="Q3136" s="15"/>
      <c r="R3136" s="15"/>
    </row>
    <row r="3137" spans="2:18" ht="13">
      <c r="B3137" s="33"/>
      <c r="C3137" s="34"/>
      <c r="D3137" s="68" t="s">
        <v>162</v>
      </c>
      <c r="E3137" s="69" t="s">
        <v>163</v>
      </c>
      <c r="F3137" s="20" t="s">
        <v>533</v>
      </c>
      <c r="G3137" s="15"/>
      <c r="H3137" s="15"/>
      <c r="I3137" s="15"/>
      <c r="J3137" s="15"/>
      <c r="K3137" s="15"/>
      <c r="L3137" s="15"/>
      <c r="M3137" s="15"/>
      <c r="N3137" s="15"/>
      <c r="O3137" s="15"/>
      <c r="P3137" s="15"/>
      <c r="Q3137" s="15"/>
      <c r="R3137" s="15"/>
    </row>
    <row r="3138" spans="2:18" ht="13">
      <c r="B3138" s="33"/>
      <c r="C3138" s="34"/>
      <c r="D3138" s="68" t="s">
        <v>544</v>
      </c>
      <c r="E3138" s="69" t="s">
        <v>121</v>
      </c>
      <c r="F3138" s="20" t="s">
        <v>533</v>
      </c>
      <c r="G3138" s="15"/>
      <c r="H3138" s="15"/>
      <c r="I3138" s="15"/>
      <c r="J3138" s="15"/>
      <c r="K3138" s="15"/>
      <c r="L3138" s="15"/>
      <c r="M3138" s="15"/>
      <c r="N3138" s="15"/>
      <c r="O3138" s="15"/>
      <c r="P3138" s="15"/>
      <c r="Q3138" s="15"/>
      <c r="R3138" s="15"/>
    </row>
    <row r="3139" spans="2:18" ht="13">
      <c r="B3139" s="33"/>
      <c r="C3139" s="34"/>
      <c r="D3139" s="68" t="s">
        <v>17</v>
      </c>
      <c r="E3139" s="69" t="s">
        <v>27</v>
      </c>
      <c r="F3139" s="20" t="s">
        <v>533</v>
      </c>
      <c r="G3139" s="15"/>
      <c r="H3139" s="15"/>
      <c r="I3139" s="15"/>
      <c r="J3139" s="15"/>
      <c r="K3139" s="15"/>
      <c r="L3139" s="15"/>
      <c r="M3139" s="15"/>
      <c r="N3139" s="15"/>
      <c r="O3139" s="15"/>
      <c r="P3139" s="15"/>
      <c r="Q3139" s="15"/>
      <c r="R3139" s="15"/>
    </row>
    <row r="3140" spans="2:18" ht="13">
      <c r="B3140" s="33"/>
      <c r="C3140" s="34"/>
      <c r="D3140" s="68" t="s">
        <v>17</v>
      </c>
      <c r="E3140" s="69" t="s">
        <v>27</v>
      </c>
      <c r="F3140" s="20" t="s">
        <v>533</v>
      </c>
      <c r="G3140" s="15"/>
      <c r="H3140" s="15"/>
      <c r="I3140" s="15"/>
      <c r="J3140" s="15"/>
      <c r="K3140" s="15"/>
      <c r="L3140" s="15"/>
      <c r="M3140" s="15"/>
      <c r="N3140" s="15"/>
      <c r="O3140" s="15"/>
      <c r="P3140" s="15"/>
      <c r="Q3140" s="15"/>
      <c r="R3140" s="15"/>
    </row>
    <row r="3141" spans="2:18" ht="13">
      <c r="B3141" s="33"/>
      <c r="C3141" s="34"/>
      <c r="D3141" s="68" t="s">
        <v>584</v>
      </c>
      <c r="E3141" s="69" t="s">
        <v>32</v>
      </c>
      <c r="F3141" s="20" t="s">
        <v>533</v>
      </c>
      <c r="G3141" s="15"/>
      <c r="H3141" s="15"/>
      <c r="I3141" s="15"/>
      <c r="J3141" s="15"/>
      <c r="K3141" s="15"/>
      <c r="L3141" s="15"/>
      <c r="M3141" s="15"/>
      <c r="N3141" s="15"/>
      <c r="O3141" s="15"/>
      <c r="P3141" s="15"/>
      <c r="Q3141" s="15"/>
      <c r="R3141" s="15"/>
    </row>
    <row r="3142" spans="2:18" ht="13">
      <c r="B3142" s="33"/>
      <c r="C3142" s="34"/>
      <c r="D3142" s="68" t="s">
        <v>17</v>
      </c>
      <c r="E3142" s="69" t="s">
        <v>27</v>
      </c>
      <c r="F3142" s="20" t="s">
        <v>533</v>
      </c>
      <c r="G3142" s="15"/>
      <c r="H3142" s="15"/>
      <c r="I3142" s="15"/>
      <c r="J3142" s="15"/>
      <c r="K3142" s="15"/>
      <c r="L3142" s="15"/>
      <c r="M3142" s="15"/>
      <c r="N3142" s="15"/>
      <c r="O3142" s="15"/>
      <c r="P3142" s="15"/>
      <c r="Q3142" s="15"/>
      <c r="R3142" s="15"/>
    </row>
    <row r="3143" spans="2:18" ht="13">
      <c r="B3143" s="33"/>
      <c r="C3143" s="34"/>
      <c r="D3143" s="68" t="s">
        <v>598</v>
      </c>
      <c r="E3143" s="69" t="s">
        <v>121</v>
      </c>
      <c r="F3143" s="20" t="s">
        <v>533</v>
      </c>
      <c r="G3143" s="15"/>
      <c r="H3143" s="15"/>
      <c r="I3143" s="15"/>
      <c r="J3143" s="15"/>
      <c r="K3143" s="15"/>
      <c r="L3143" s="15"/>
      <c r="M3143" s="15"/>
      <c r="N3143" s="15"/>
      <c r="O3143" s="15"/>
      <c r="P3143" s="15"/>
      <c r="Q3143" s="15"/>
      <c r="R3143" s="15"/>
    </row>
    <row r="3144" spans="2:18" ht="13">
      <c r="B3144" s="33"/>
      <c r="C3144" s="34"/>
      <c r="D3144" s="68" t="s">
        <v>17</v>
      </c>
      <c r="E3144" s="69" t="s">
        <v>27</v>
      </c>
      <c r="F3144" s="20" t="s">
        <v>533</v>
      </c>
      <c r="G3144" s="15"/>
      <c r="H3144" s="15"/>
      <c r="I3144" s="15"/>
      <c r="J3144" s="15"/>
      <c r="K3144" s="15"/>
      <c r="L3144" s="15"/>
      <c r="M3144" s="15"/>
      <c r="N3144" s="15"/>
      <c r="O3144" s="15"/>
      <c r="P3144" s="15"/>
      <c r="Q3144" s="15"/>
      <c r="R3144" s="15"/>
    </row>
    <row r="3145" spans="2:18" ht="13">
      <c r="B3145" s="33"/>
      <c r="C3145" s="34"/>
      <c r="D3145" s="68" t="s">
        <v>17</v>
      </c>
      <c r="E3145" s="69" t="s">
        <v>27</v>
      </c>
      <c r="F3145" s="20" t="s">
        <v>533</v>
      </c>
      <c r="G3145" s="15"/>
      <c r="H3145" s="15"/>
      <c r="I3145" s="15"/>
      <c r="J3145" s="15"/>
      <c r="K3145" s="15"/>
      <c r="L3145" s="15"/>
      <c r="M3145" s="15"/>
      <c r="N3145" s="15"/>
      <c r="O3145" s="15"/>
      <c r="P3145" s="15"/>
      <c r="Q3145" s="15"/>
      <c r="R3145" s="15"/>
    </row>
    <row r="3146" spans="2:18" ht="13">
      <c r="B3146" s="33"/>
      <c r="C3146" s="34"/>
      <c r="D3146" s="68" t="s">
        <v>17</v>
      </c>
      <c r="E3146" s="69" t="s">
        <v>27</v>
      </c>
      <c r="F3146" s="20" t="s">
        <v>533</v>
      </c>
      <c r="G3146" s="15"/>
      <c r="H3146" s="15"/>
      <c r="I3146" s="15"/>
      <c r="J3146" s="15"/>
      <c r="K3146" s="15"/>
      <c r="L3146" s="15"/>
      <c r="M3146" s="15"/>
      <c r="N3146" s="15"/>
      <c r="O3146" s="15"/>
      <c r="P3146" s="15"/>
      <c r="Q3146" s="15"/>
      <c r="R3146" s="15"/>
    </row>
    <row r="3147" spans="2:18" ht="13">
      <c r="B3147" s="33"/>
      <c r="C3147" s="34"/>
      <c r="D3147" s="68" t="s">
        <v>17</v>
      </c>
      <c r="E3147" s="69" t="s">
        <v>27</v>
      </c>
      <c r="F3147" s="20" t="s">
        <v>533</v>
      </c>
      <c r="G3147" s="15"/>
      <c r="H3147" s="15"/>
      <c r="I3147" s="15"/>
      <c r="J3147" s="15"/>
      <c r="K3147" s="15"/>
      <c r="L3147" s="15"/>
      <c r="M3147" s="15"/>
      <c r="N3147" s="15"/>
      <c r="O3147" s="15"/>
      <c r="P3147" s="15"/>
      <c r="Q3147" s="15"/>
      <c r="R3147" s="15"/>
    </row>
    <row r="3148" spans="2:18" ht="13">
      <c r="B3148" s="33"/>
      <c r="C3148" s="34"/>
      <c r="D3148" s="68" t="s">
        <v>17</v>
      </c>
      <c r="E3148" s="69" t="s">
        <v>27</v>
      </c>
      <c r="F3148" s="20" t="s">
        <v>533</v>
      </c>
      <c r="G3148" s="15"/>
      <c r="H3148" s="15"/>
      <c r="I3148" s="15"/>
      <c r="J3148" s="15"/>
      <c r="K3148" s="15"/>
      <c r="L3148" s="15"/>
      <c r="M3148" s="15"/>
      <c r="N3148" s="15"/>
      <c r="O3148" s="15"/>
      <c r="P3148" s="15"/>
      <c r="Q3148" s="15"/>
      <c r="R3148" s="15"/>
    </row>
    <row r="3149" spans="2:18" ht="13">
      <c r="B3149" s="33"/>
      <c r="C3149" s="34"/>
      <c r="D3149" s="68" t="s">
        <v>17</v>
      </c>
      <c r="E3149" s="69" t="s">
        <v>27</v>
      </c>
      <c r="F3149" s="20" t="s">
        <v>533</v>
      </c>
      <c r="G3149" s="15"/>
      <c r="H3149" s="15"/>
      <c r="I3149" s="15"/>
      <c r="J3149" s="15"/>
      <c r="K3149" s="15"/>
      <c r="L3149" s="15"/>
      <c r="M3149" s="15"/>
      <c r="N3149" s="15"/>
      <c r="O3149" s="15"/>
      <c r="P3149" s="15"/>
      <c r="Q3149" s="15"/>
      <c r="R3149" s="15"/>
    </row>
    <row r="3150" spans="2:18" ht="13">
      <c r="B3150" s="33"/>
      <c r="C3150" s="34"/>
      <c r="D3150" s="68" t="s">
        <v>17</v>
      </c>
      <c r="E3150" s="69" t="s">
        <v>27</v>
      </c>
      <c r="F3150" s="20" t="s">
        <v>533</v>
      </c>
      <c r="G3150" s="15"/>
      <c r="H3150" s="15"/>
      <c r="I3150" s="15"/>
      <c r="J3150" s="15"/>
      <c r="K3150" s="15"/>
      <c r="L3150" s="15"/>
      <c r="M3150" s="15"/>
      <c r="N3150" s="15"/>
      <c r="O3150" s="15"/>
      <c r="P3150" s="15"/>
      <c r="Q3150" s="15"/>
      <c r="R3150" s="15"/>
    </row>
    <row r="3151" spans="2:18" ht="13">
      <c r="B3151" s="33"/>
      <c r="C3151" s="34"/>
      <c r="D3151" s="68" t="s">
        <v>17</v>
      </c>
      <c r="E3151" s="69" t="s">
        <v>27</v>
      </c>
      <c r="F3151" s="20" t="s">
        <v>533</v>
      </c>
      <c r="G3151" s="15"/>
      <c r="H3151" s="15"/>
      <c r="I3151" s="15"/>
      <c r="J3151" s="15"/>
      <c r="K3151" s="15"/>
      <c r="L3151" s="15"/>
      <c r="M3151" s="15"/>
      <c r="N3151" s="15"/>
      <c r="O3151" s="15"/>
      <c r="P3151" s="15"/>
      <c r="Q3151" s="15"/>
      <c r="R3151" s="15"/>
    </row>
    <row r="3152" spans="2:18" ht="13">
      <c r="B3152" s="33"/>
      <c r="C3152" s="34"/>
      <c r="D3152" s="68" t="s">
        <v>36</v>
      </c>
      <c r="E3152" s="69" t="s">
        <v>37</v>
      </c>
      <c r="F3152" s="20" t="s">
        <v>533</v>
      </c>
      <c r="G3152" s="15"/>
      <c r="H3152" s="15"/>
      <c r="I3152" s="15"/>
      <c r="J3152" s="15"/>
      <c r="K3152" s="15"/>
      <c r="L3152" s="15"/>
      <c r="M3152" s="15"/>
      <c r="N3152" s="15"/>
      <c r="O3152" s="15"/>
      <c r="P3152" s="15"/>
      <c r="Q3152" s="15"/>
      <c r="R3152" s="15"/>
    </row>
    <row r="3153" spans="2:18" ht="13">
      <c r="B3153" s="33"/>
      <c r="C3153" s="34"/>
      <c r="D3153" s="68" t="s">
        <v>17</v>
      </c>
      <c r="E3153" s="69" t="s">
        <v>27</v>
      </c>
      <c r="F3153" s="20" t="s">
        <v>533</v>
      </c>
      <c r="G3153" s="15"/>
      <c r="H3153" s="15"/>
      <c r="I3153" s="15"/>
      <c r="J3153" s="15"/>
      <c r="K3153" s="15"/>
      <c r="L3153" s="15"/>
      <c r="M3153" s="15"/>
      <c r="N3153" s="15"/>
      <c r="O3153" s="15"/>
      <c r="P3153" s="15"/>
      <c r="Q3153" s="15"/>
      <c r="R3153" s="15"/>
    </row>
    <row r="3154" spans="2:18" ht="13">
      <c r="B3154" s="33"/>
      <c r="C3154" s="34"/>
      <c r="D3154" s="68" t="s">
        <v>17</v>
      </c>
      <c r="E3154" s="69" t="s">
        <v>27</v>
      </c>
      <c r="F3154" s="20" t="s">
        <v>533</v>
      </c>
      <c r="G3154" s="15"/>
      <c r="H3154" s="15"/>
      <c r="I3154" s="15"/>
      <c r="J3154" s="15"/>
      <c r="K3154" s="15"/>
      <c r="L3154" s="15"/>
      <c r="M3154" s="15"/>
      <c r="N3154" s="15"/>
      <c r="O3154" s="15"/>
      <c r="P3154" s="15"/>
      <c r="Q3154" s="15"/>
      <c r="R3154" s="15"/>
    </row>
    <row r="3155" spans="2:18" ht="13">
      <c r="B3155" s="33"/>
      <c r="C3155" s="34"/>
      <c r="D3155" s="68" t="s">
        <v>17</v>
      </c>
      <c r="E3155" s="69" t="s">
        <v>27</v>
      </c>
      <c r="F3155" s="20" t="s">
        <v>533</v>
      </c>
      <c r="G3155" s="15"/>
      <c r="H3155" s="15"/>
      <c r="I3155" s="15"/>
      <c r="J3155" s="15"/>
      <c r="K3155" s="15"/>
      <c r="L3155" s="15"/>
      <c r="M3155" s="15"/>
      <c r="N3155" s="15"/>
      <c r="O3155" s="15"/>
      <c r="P3155" s="15"/>
      <c r="Q3155" s="15"/>
      <c r="R3155" s="15"/>
    </row>
    <row r="3156" spans="2:18" ht="13">
      <c r="B3156" s="33"/>
      <c r="C3156" s="34"/>
      <c r="D3156" s="68" t="s">
        <v>26</v>
      </c>
      <c r="E3156" s="69" t="s">
        <v>27</v>
      </c>
      <c r="F3156" s="20" t="s">
        <v>533</v>
      </c>
      <c r="G3156" s="15"/>
      <c r="H3156" s="15"/>
      <c r="I3156" s="15"/>
      <c r="J3156" s="15"/>
      <c r="K3156" s="15"/>
      <c r="L3156" s="15"/>
      <c r="M3156" s="15"/>
      <c r="N3156" s="15"/>
      <c r="O3156" s="15"/>
      <c r="P3156" s="15"/>
      <c r="Q3156" s="15"/>
      <c r="R3156" s="15"/>
    </row>
    <row r="3157" spans="2:18" ht="13">
      <c r="B3157" s="33"/>
      <c r="C3157" s="34"/>
      <c r="D3157" s="68" t="s">
        <v>26</v>
      </c>
      <c r="E3157" s="69" t="s">
        <v>27</v>
      </c>
      <c r="F3157" s="20" t="s">
        <v>533</v>
      </c>
      <c r="G3157" s="15"/>
      <c r="H3157" s="15"/>
      <c r="I3157" s="15"/>
      <c r="J3157" s="15"/>
      <c r="K3157" s="15"/>
      <c r="L3157" s="15"/>
      <c r="M3157" s="15"/>
      <c r="N3157" s="15"/>
      <c r="O3157" s="15"/>
      <c r="P3157" s="15"/>
      <c r="Q3157" s="15"/>
      <c r="R3157" s="15"/>
    </row>
    <row r="3158" spans="2:18" ht="13">
      <c r="B3158" s="33"/>
      <c r="C3158" s="34"/>
      <c r="D3158" s="68" t="s">
        <v>17</v>
      </c>
      <c r="E3158" s="69" t="s">
        <v>27</v>
      </c>
      <c r="F3158" s="20" t="s">
        <v>533</v>
      </c>
      <c r="G3158" s="15"/>
      <c r="H3158" s="15"/>
      <c r="I3158" s="15"/>
      <c r="J3158" s="15"/>
      <c r="K3158" s="15"/>
      <c r="L3158" s="15"/>
      <c r="M3158" s="15"/>
      <c r="N3158" s="15"/>
      <c r="O3158" s="15"/>
      <c r="P3158" s="15"/>
      <c r="Q3158" s="15"/>
      <c r="R3158" s="15"/>
    </row>
    <row r="3159" spans="2:18" ht="13">
      <c r="B3159" s="33"/>
      <c r="C3159" s="34"/>
      <c r="D3159" s="68" t="s">
        <v>36</v>
      </c>
      <c r="E3159" s="69" t="s">
        <v>37</v>
      </c>
      <c r="F3159" s="20" t="s">
        <v>533</v>
      </c>
      <c r="G3159" s="15"/>
      <c r="H3159" s="15"/>
      <c r="I3159" s="15"/>
      <c r="J3159" s="15"/>
      <c r="K3159" s="15"/>
      <c r="L3159" s="15"/>
      <c r="M3159" s="15"/>
      <c r="N3159" s="15"/>
      <c r="O3159" s="15"/>
      <c r="P3159" s="15"/>
      <c r="Q3159" s="15"/>
      <c r="R3159" s="15"/>
    </row>
    <row r="3160" spans="2:18" ht="13">
      <c r="B3160" s="33"/>
      <c r="C3160" s="34"/>
      <c r="D3160" s="68" t="s">
        <v>26</v>
      </c>
      <c r="E3160" s="69" t="s">
        <v>27</v>
      </c>
      <c r="F3160" s="20" t="s">
        <v>533</v>
      </c>
      <c r="G3160" s="15"/>
      <c r="H3160" s="15"/>
      <c r="I3160" s="15"/>
      <c r="J3160" s="15"/>
      <c r="K3160" s="15"/>
      <c r="L3160" s="15"/>
      <c r="M3160" s="15"/>
      <c r="N3160" s="15"/>
      <c r="O3160" s="15"/>
      <c r="P3160" s="15"/>
      <c r="Q3160" s="15"/>
      <c r="R3160" s="15"/>
    </row>
    <row r="3161" spans="2:18" ht="13">
      <c r="B3161" s="33"/>
      <c r="C3161" s="34"/>
      <c r="D3161" s="68" t="s">
        <v>162</v>
      </c>
      <c r="E3161" s="69" t="s">
        <v>163</v>
      </c>
      <c r="F3161" s="20" t="s">
        <v>533</v>
      </c>
      <c r="G3161" s="15"/>
      <c r="H3161" s="15"/>
      <c r="I3161" s="15"/>
      <c r="J3161" s="15"/>
      <c r="K3161" s="15"/>
      <c r="L3161" s="15"/>
      <c r="M3161" s="15"/>
      <c r="N3161" s="15"/>
      <c r="O3161" s="15"/>
      <c r="P3161" s="15"/>
      <c r="Q3161" s="15"/>
      <c r="R3161" s="15"/>
    </row>
    <row r="3162" spans="2:18" ht="13">
      <c r="B3162" s="33"/>
      <c r="C3162" s="34"/>
      <c r="D3162" s="68" t="s">
        <v>595</v>
      </c>
      <c r="E3162" s="69" t="s">
        <v>32</v>
      </c>
      <c r="F3162" s="20" t="s">
        <v>533</v>
      </c>
      <c r="G3162" s="15"/>
      <c r="H3162" s="15"/>
      <c r="I3162" s="15"/>
      <c r="J3162" s="15"/>
      <c r="K3162" s="15"/>
      <c r="L3162" s="15"/>
      <c r="M3162" s="15"/>
      <c r="N3162" s="15"/>
      <c r="O3162" s="15"/>
      <c r="P3162" s="15"/>
      <c r="Q3162" s="15"/>
      <c r="R3162" s="15"/>
    </row>
    <row r="3163" spans="2:18" ht="13">
      <c r="B3163" s="33"/>
      <c r="C3163" s="34"/>
      <c r="D3163" s="68" t="s">
        <v>86</v>
      </c>
      <c r="E3163" s="69" t="s">
        <v>121</v>
      </c>
      <c r="F3163" s="20" t="s">
        <v>533</v>
      </c>
      <c r="G3163" s="15"/>
      <c r="H3163" s="15"/>
      <c r="I3163" s="15"/>
      <c r="J3163" s="15"/>
      <c r="K3163" s="15"/>
      <c r="L3163" s="15"/>
      <c r="M3163" s="15"/>
      <c r="N3163" s="15"/>
      <c r="O3163" s="15"/>
      <c r="P3163" s="15"/>
      <c r="Q3163" s="15"/>
      <c r="R3163" s="15"/>
    </row>
    <row r="3164" spans="2:18" ht="13">
      <c r="B3164" s="33"/>
      <c r="C3164" s="34"/>
      <c r="D3164" s="68" t="s">
        <v>602</v>
      </c>
      <c r="E3164" s="69" t="s">
        <v>121</v>
      </c>
      <c r="F3164" s="20" t="s">
        <v>533</v>
      </c>
      <c r="G3164" s="15"/>
      <c r="H3164" s="15"/>
      <c r="I3164" s="15"/>
      <c r="J3164" s="15"/>
      <c r="K3164" s="15"/>
      <c r="L3164" s="15"/>
      <c r="M3164" s="15"/>
      <c r="N3164" s="15"/>
      <c r="O3164" s="15"/>
      <c r="P3164" s="15"/>
      <c r="Q3164" s="15"/>
      <c r="R3164" s="15"/>
    </row>
    <row r="3165" spans="2:18" ht="13">
      <c r="B3165" s="33"/>
      <c r="C3165" s="34"/>
      <c r="D3165" s="68" t="s">
        <v>17</v>
      </c>
      <c r="E3165" s="69" t="s">
        <v>27</v>
      </c>
      <c r="F3165" s="20" t="s">
        <v>533</v>
      </c>
      <c r="G3165" s="15"/>
      <c r="H3165" s="15"/>
      <c r="I3165" s="15"/>
      <c r="J3165" s="15"/>
      <c r="K3165" s="15"/>
      <c r="L3165" s="15"/>
      <c r="M3165" s="15"/>
      <c r="N3165" s="15"/>
      <c r="O3165" s="15"/>
      <c r="P3165" s="15"/>
      <c r="Q3165" s="15"/>
      <c r="R3165" s="15"/>
    </row>
    <row r="3166" spans="2:18" ht="13">
      <c r="B3166" s="33"/>
      <c r="C3166" s="34"/>
      <c r="D3166" s="68" t="s">
        <v>17</v>
      </c>
      <c r="E3166" s="69" t="s">
        <v>27</v>
      </c>
      <c r="F3166" s="20" t="s">
        <v>533</v>
      </c>
      <c r="G3166" s="15"/>
      <c r="H3166" s="15"/>
      <c r="I3166" s="15"/>
      <c r="J3166" s="15"/>
      <c r="K3166" s="15"/>
      <c r="L3166" s="15"/>
      <c r="M3166" s="15"/>
      <c r="N3166" s="15"/>
      <c r="O3166" s="15"/>
      <c r="P3166" s="15"/>
      <c r="Q3166" s="15"/>
      <c r="R3166" s="15"/>
    </row>
    <row r="3167" spans="2:18" ht="13">
      <c r="B3167" s="33"/>
      <c r="C3167" s="34"/>
      <c r="D3167" s="68" t="s">
        <v>17</v>
      </c>
      <c r="E3167" s="69" t="s">
        <v>27</v>
      </c>
      <c r="F3167" s="20" t="s">
        <v>533</v>
      </c>
      <c r="G3167" s="15"/>
      <c r="H3167" s="15"/>
      <c r="I3167" s="15"/>
      <c r="J3167" s="15"/>
      <c r="K3167" s="15"/>
      <c r="L3167" s="15"/>
      <c r="M3167" s="15"/>
      <c r="N3167" s="15"/>
      <c r="O3167" s="15"/>
      <c r="P3167" s="15"/>
      <c r="Q3167" s="15"/>
      <c r="R3167" s="15"/>
    </row>
    <row r="3168" spans="2:18" ht="13">
      <c r="B3168" s="33"/>
      <c r="C3168" s="34"/>
      <c r="D3168" s="68" t="s">
        <v>17</v>
      </c>
      <c r="E3168" s="69" t="s">
        <v>27</v>
      </c>
      <c r="F3168" s="20" t="s">
        <v>533</v>
      </c>
      <c r="G3168" s="15"/>
      <c r="H3168" s="15"/>
      <c r="I3168" s="15"/>
      <c r="J3168" s="15"/>
      <c r="K3168" s="15"/>
      <c r="L3168" s="15"/>
      <c r="M3168" s="15"/>
      <c r="N3168" s="15"/>
      <c r="O3168" s="15"/>
      <c r="P3168" s="15"/>
      <c r="Q3168" s="15"/>
      <c r="R3168" s="15"/>
    </row>
    <row r="3169" spans="2:18" ht="13">
      <c r="B3169" s="33"/>
      <c r="C3169" s="34"/>
      <c r="D3169" s="68" t="s">
        <v>26</v>
      </c>
      <c r="E3169" s="69" t="s">
        <v>27</v>
      </c>
      <c r="F3169" s="20" t="s">
        <v>533</v>
      </c>
      <c r="G3169" s="15"/>
      <c r="H3169" s="15"/>
      <c r="I3169" s="15"/>
      <c r="J3169" s="15"/>
      <c r="K3169" s="15"/>
      <c r="L3169" s="15"/>
      <c r="M3169" s="15"/>
      <c r="N3169" s="15"/>
      <c r="O3169" s="15"/>
      <c r="P3169" s="15"/>
      <c r="Q3169" s="15"/>
      <c r="R3169" s="15"/>
    </row>
    <row r="3170" spans="2:18" ht="13">
      <c r="B3170" s="33"/>
      <c r="C3170" s="34"/>
      <c r="D3170" s="68" t="s">
        <v>566</v>
      </c>
      <c r="E3170" s="69" t="s">
        <v>32</v>
      </c>
      <c r="F3170" s="20" t="s">
        <v>533</v>
      </c>
      <c r="G3170" s="15"/>
      <c r="H3170" s="15"/>
      <c r="I3170" s="15"/>
      <c r="J3170" s="15"/>
      <c r="K3170" s="15"/>
      <c r="L3170" s="15"/>
      <c r="M3170" s="15"/>
      <c r="N3170" s="15"/>
      <c r="O3170" s="15"/>
      <c r="P3170" s="15"/>
      <c r="Q3170" s="15"/>
      <c r="R3170" s="15"/>
    </row>
    <row r="3171" spans="2:18" ht="13">
      <c r="B3171" s="33"/>
      <c r="C3171" s="34"/>
      <c r="D3171" s="68" t="s">
        <v>17</v>
      </c>
      <c r="E3171" s="69" t="s">
        <v>27</v>
      </c>
      <c r="F3171" s="20" t="s">
        <v>533</v>
      </c>
      <c r="G3171" s="15"/>
      <c r="H3171" s="15"/>
      <c r="I3171" s="15"/>
      <c r="J3171" s="15"/>
      <c r="K3171" s="15"/>
      <c r="L3171" s="15"/>
      <c r="M3171" s="15"/>
      <c r="N3171" s="15"/>
      <c r="O3171" s="15"/>
      <c r="P3171" s="15"/>
      <c r="Q3171" s="15"/>
      <c r="R3171" s="15"/>
    </row>
    <row r="3172" spans="2:18" ht="13">
      <c r="B3172" s="33"/>
      <c r="C3172" s="34"/>
      <c r="D3172" s="68" t="s">
        <v>17</v>
      </c>
      <c r="E3172" s="69" t="s">
        <v>27</v>
      </c>
      <c r="F3172" s="20" t="s">
        <v>533</v>
      </c>
      <c r="G3172" s="15"/>
      <c r="H3172" s="15"/>
      <c r="I3172" s="15"/>
      <c r="J3172" s="15"/>
      <c r="K3172" s="15"/>
      <c r="L3172" s="15"/>
      <c r="M3172" s="15"/>
      <c r="N3172" s="15"/>
      <c r="O3172" s="15"/>
      <c r="P3172" s="15"/>
      <c r="Q3172" s="15"/>
      <c r="R3172" s="15"/>
    </row>
    <row r="3173" spans="2:18" ht="13">
      <c r="B3173" s="33"/>
      <c r="C3173" s="34"/>
      <c r="D3173" s="68" t="s">
        <v>17</v>
      </c>
      <c r="E3173" s="69" t="s">
        <v>27</v>
      </c>
      <c r="F3173" s="20" t="s">
        <v>533</v>
      </c>
      <c r="G3173" s="15"/>
      <c r="H3173" s="15"/>
      <c r="I3173" s="15"/>
      <c r="J3173" s="15"/>
      <c r="K3173" s="15"/>
      <c r="L3173" s="15"/>
      <c r="M3173" s="15"/>
      <c r="N3173" s="15"/>
      <c r="O3173" s="15"/>
      <c r="P3173" s="15"/>
      <c r="Q3173" s="15"/>
      <c r="R3173" s="15"/>
    </row>
    <row r="3174" spans="2:18" ht="13">
      <c r="B3174" s="33"/>
      <c r="C3174" s="34"/>
      <c r="D3174" s="68" t="s">
        <v>667</v>
      </c>
      <c r="E3174" s="69" t="s">
        <v>32</v>
      </c>
      <c r="F3174" s="20" t="s">
        <v>533</v>
      </c>
      <c r="G3174" s="15"/>
      <c r="H3174" s="15"/>
      <c r="I3174" s="15"/>
      <c r="J3174" s="15"/>
      <c r="K3174" s="15"/>
      <c r="L3174" s="15"/>
      <c r="M3174" s="15"/>
      <c r="N3174" s="15"/>
      <c r="O3174" s="15"/>
      <c r="P3174" s="15"/>
      <c r="Q3174" s="15"/>
      <c r="R3174" s="15"/>
    </row>
    <row r="3175" spans="2:18" ht="13">
      <c r="B3175" s="33"/>
      <c r="C3175" s="34"/>
      <c r="D3175" s="68" t="s">
        <v>17</v>
      </c>
      <c r="E3175" s="69" t="s">
        <v>27</v>
      </c>
      <c r="F3175" s="20" t="s">
        <v>533</v>
      </c>
      <c r="G3175" s="15"/>
      <c r="H3175" s="15"/>
      <c r="I3175" s="15"/>
      <c r="J3175" s="15"/>
      <c r="K3175" s="15"/>
      <c r="L3175" s="15"/>
      <c r="M3175" s="15"/>
      <c r="N3175" s="15"/>
      <c r="O3175" s="15"/>
      <c r="P3175" s="15"/>
      <c r="Q3175" s="15"/>
      <c r="R3175" s="15"/>
    </row>
    <row r="3176" spans="2:18" ht="13">
      <c r="B3176" s="33"/>
      <c r="C3176" s="34"/>
      <c r="D3176" s="68" t="s">
        <v>556</v>
      </c>
      <c r="E3176" s="69" t="s">
        <v>121</v>
      </c>
      <c r="F3176" s="20" t="s">
        <v>533</v>
      </c>
      <c r="G3176" s="15"/>
      <c r="H3176" s="15"/>
      <c r="I3176" s="15"/>
      <c r="J3176" s="15"/>
      <c r="K3176" s="15"/>
      <c r="L3176" s="15"/>
      <c r="M3176" s="15"/>
      <c r="N3176" s="15"/>
      <c r="O3176" s="15"/>
      <c r="P3176" s="15"/>
      <c r="Q3176" s="15"/>
      <c r="R3176" s="15"/>
    </row>
    <row r="3177" spans="2:18" ht="13">
      <c r="B3177" s="33"/>
      <c r="C3177" s="34"/>
      <c r="D3177" s="68" t="s">
        <v>17</v>
      </c>
      <c r="E3177" s="69" t="s">
        <v>27</v>
      </c>
      <c r="F3177" s="20" t="s">
        <v>533</v>
      </c>
      <c r="G3177" s="15"/>
      <c r="H3177" s="15"/>
      <c r="I3177" s="15"/>
      <c r="J3177" s="15"/>
      <c r="K3177" s="15"/>
      <c r="L3177" s="15"/>
      <c r="M3177" s="15"/>
      <c r="N3177" s="15"/>
      <c r="O3177" s="15"/>
      <c r="P3177" s="15"/>
      <c r="Q3177" s="15"/>
      <c r="R3177" s="15"/>
    </row>
    <row r="3178" spans="2:18" ht="13">
      <c r="B3178" s="33"/>
      <c r="C3178" s="34"/>
      <c r="D3178" s="68" t="s">
        <v>26</v>
      </c>
      <c r="E3178" s="69" t="s">
        <v>27</v>
      </c>
      <c r="F3178" s="20" t="s">
        <v>533</v>
      </c>
      <c r="G3178" s="15"/>
      <c r="H3178" s="15"/>
      <c r="I3178" s="15"/>
      <c r="J3178" s="15"/>
      <c r="K3178" s="15"/>
      <c r="L3178" s="15"/>
      <c r="M3178" s="15"/>
      <c r="N3178" s="15"/>
      <c r="O3178" s="15"/>
      <c r="P3178" s="15"/>
      <c r="Q3178" s="15"/>
      <c r="R3178" s="15"/>
    </row>
    <row r="3179" spans="2:18" ht="13">
      <c r="B3179" s="33"/>
      <c r="C3179" s="34"/>
      <c r="D3179" s="68" t="s">
        <v>17</v>
      </c>
      <c r="E3179" s="69" t="s">
        <v>27</v>
      </c>
      <c r="F3179" s="20" t="s">
        <v>533</v>
      </c>
      <c r="G3179" s="15"/>
      <c r="H3179" s="15"/>
      <c r="I3179" s="15"/>
      <c r="J3179" s="15"/>
      <c r="K3179" s="15"/>
      <c r="L3179" s="15"/>
      <c r="M3179" s="15"/>
      <c r="N3179" s="15"/>
      <c r="O3179" s="15"/>
      <c r="P3179" s="15"/>
      <c r="Q3179" s="15"/>
      <c r="R3179" s="15"/>
    </row>
    <row r="3180" spans="2:18" ht="13">
      <c r="B3180" s="33"/>
      <c r="C3180" s="34"/>
      <c r="D3180" s="68" t="s">
        <v>17</v>
      </c>
      <c r="E3180" s="69" t="s">
        <v>27</v>
      </c>
      <c r="F3180" s="20" t="s">
        <v>533</v>
      </c>
      <c r="G3180" s="15"/>
      <c r="H3180" s="15"/>
      <c r="I3180" s="15"/>
      <c r="J3180" s="15"/>
      <c r="K3180" s="15"/>
      <c r="L3180" s="15"/>
      <c r="M3180" s="15"/>
      <c r="N3180" s="15"/>
      <c r="O3180" s="15"/>
      <c r="P3180" s="15"/>
      <c r="Q3180" s="15"/>
      <c r="R3180" s="15"/>
    </row>
    <row r="3181" spans="2:18" ht="13">
      <c r="B3181" s="33"/>
      <c r="C3181" s="34"/>
      <c r="D3181" s="68" t="s">
        <v>560</v>
      </c>
      <c r="E3181" s="69" t="s">
        <v>121</v>
      </c>
      <c r="F3181" s="20" t="s">
        <v>533</v>
      </c>
      <c r="G3181" s="15"/>
      <c r="H3181" s="15"/>
      <c r="I3181" s="15"/>
      <c r="J3181" s="15"/>
      <c r="K3181" s="15"/>
      <c r="L3181" s="15"/>
      <c r="M3181" s="15"/>
      <c r="N3181" s="15"/>
      <c r="O3181" s="15"/>
      <c r="P3181" s="15"/>
      <c r="Q3181" s="15"/>
      <c r="R3181" s="15"/>
    </row>
    <row r="3182" spans="2:18" ht="13">
      <c r="B3182" s="33"/>
      <c r="C3182" s="34"/>
      <c r="D3182" s="68" t="s">
        <v>26</v>
      </c>
      <c r="E3182" s="69" t="s">
        <v>27</v>
      </c>
      <c r="F3182" s="20" t="s">
        <v>533</v>
      </c>
      <c r="G3182" s="15"/>
      <c r="H3182" s="15"/>
      <c r="I3182" s="15"/>
      <c r="J3182" s="15"/>
      <c r="K3182" s="15"/>
      <c r="L3182" s="15"/>
      <c r="M3182" s="15"/>
      <c r="N3182" s="15"/>
      <c r="O3182" s="15"/>
      <c r="P3182" s="15"/>
      <c r="Q3182" s="15"/>
      <c r="R3182" s="15"/>
    </row>
    <row r="3183" spans="2:18" ht="13">
      <c r="B3183" s="33"/>
      <c r="C3183" s="34"/>
      <c r="D3183" s="68" t="s">
        <v>26</v>
      </c>
      <c r="E3183" s="69" t="s">
        <v>27</v>
      </c>
      <c r="F3183" s="20" t="s">
        <v>533</v>
      </c>
      <c r="G3183" s="15"/>
      <c r="H3183" s="15"/>
      <c r="I3183" s="15"/>
      <c r="J3183" s="15"/>
      <c r="K3183" s="15"/>
      <c r="L3183" s="15"/>
      <c r="M3183" s="15"/>
      <c r="N3183" s="15"/>
      <c r="O3183" s="15"/>
      <c r="P3183" s="15"/>
      <c r="Q3183" s="15"/>
      <c r="R3183" s="15"/>
    </row>
    <row r="3184" spans="2:18" ht="13">
      <c r="B3184" s="33"/>
      <c r="C3184" s="34"/>
      <c r="D3184" s="68" t="s">
        <v>17</v>
      </c>
      <c r="E3184" s="69" t="s">
        <v>27</v>
      </c>
      <c r="F3184" s="20" t="s">
        <v>533</v>
      </c>
      <c r="G3184" s="15"/>
      <c r="H3184" s="15"/>
      <c r="I3184" s="15"/>
      <c r="J3184" s="15"/>
      <c r="K3184" s="15"/>
      <c r="L3184" s="15"/>
      <c r="M3184" s="15"/>
      <c r="N3184" s="15"/>
      <c r="O3184" s="15"/>
      <c r="P3184" s="15"/>
      <c r="Q3184" s="15"/>
      <c r="R3184" s="15"/>
    </row>
    <row r="3185" spans="2:18" ht="13">
      <c r="B3185" s="33"/>
      <c r="C3185" s="34"/>
      <c r="D3185" s="68" t="s">
        <v>26</v>
      </c>
      <c r="E3185" s="69" t="s">
        <v>27</v>
      </c>
      <c r="F3185" s="20" t="s">
        <v>533</v>
      </c>
      <c r="G3185" s="15"/>
      <c r="H3185" s="15"/>
      <c r="I3185" s="15"/>
      <c r="J3185" s="15"/>
      <c r="K3185" s="15"/>
      <c r="L3185" s="15"/>
      <c r="M3185" s="15"/>
      <c r="N3185" s="15"/>
      <c r="O3185" s="15"/>
      <c r="P3185" s="15"/>
      <c r="Q3185" s="15"/>
      <c r="R3185" s="15"/>
    </row>
    <row r="3186" spans="2:18" ht="13">
      <c r="B3186" s="33"/>
      <c r="C3186" s="34"/>
      <c r="D3186" s="68" t="s">
        <v>26</v>
      </c>
      <c r="E3186" s="69" t="s">
        <v>27</v>
      </c>
      <c r="F3186" s="20" t="s">
        <v>533</v>
      </c>
      <c r="G3186" s="15"/>
      <c r="H3186" s="15"/>
      <c r="I3186" s="15"/>
      <c r="J3186" s="15"/>
      <c r="K3186" s="15"/>
      <c r="L3186" s="15"/>
      <c r="M3186" s="15"/>
      <c r="N3186" s="15"/>
      <c r="O3186" s="15"/>
      <c r="P3186" s="15"/>
      <c r="Q3186" s="15"/>
      <c r="R3186" s="15"/>
    </row>
    <row r="3187" spans="2:18" ht="13">
      <c r="B3187" s="33"/>
      <c r="C3187" s="34"/>
      <c r="D3187" s="68" t="s">
        <v>26</v>
      </c>
      <c r="E3187" s="69" t="s">
        <v>27</v>
      </c>
      <c r="F3187" s="20" t="s">
        <v>533</v>
      </c>
      <c r="G3187" s="15"/>
      <c r="H3187" s="15"/>
      <c r="I3187" s="15"/>
      <c r="J3187" s="15"/>
      <c r="K3187" s="15"/>
      <c r="L3187" s="15"/>
      <c r="M3187" s="15"/>
      <c r="N3187" s="15"/>
      <c r="O3187" s="15"/>
      <c r="P3187" s="15"/>
      <c r="Q3187" s="15"/>
      <c r="R3187" s="15"/>
    </row>
    <row r="3188" spans="2:18" ht="13">
      <c r="B3188" s="33"/>
      <c r="C3188" s="34"/>
      <c r="D3188" s="68" t="s">
        <v>36</v>
      </c>
      <c r="E3188" s="69" t="s">
        <v>37</v>
      </c>
      <c r="F3188" s="20" t="s">
        <v>533</v>
      </c>
      <c r="G3188" s="15"/>
      <c r="H3188" s="15"/>
      <c r="I3188" s="15"/>
      <c r="J3188" s="15"/>
      <c r="K3188" s="15"/>
      <c r="L3188" s="15"/>
      <c r="M3188" s="15"/>
      <c r="N3188" s="15"/>
      <c r="O3188" s="15"/>
      <c r="P3188" s="15"/>
      <c r="Q3188" s="15"/>
      <c r="R3188" s="15"/>
    </row>
    <row r="3189" spans="2:18" ht="13">
      <c r="B3189" s="33"/>
      <c r="C3189" s="34"/>
      <c r="D3189" s="68" t="s">
        <v>86</v>
      </c>
      <c r="E3189" s="69" t="s">
        <v>124</v>
      </c>
      <c r="F3189" s="20" t="s">
        <v>533</v>
      </c>
      <c r="G3189" s="15"/>
      <c r="H3189" s="15"/>
      <c r="I3189" s="15"/>
      <c r="J3189" s="15"/>
      <c r="K3189" s="15"/>
      <c r="L3189" s="15"/>
      <c r="M3189" s="15"/>
      <c r="N3189" s="15"/>
      <c r="O3189" s="15"/>
      <c r="P3189" s="15"/>
      <c r="Q3189" s="15"/>
      <c r="R3189" s="15"/>
    </row>
    <row r="3190" spans="2:18" ht="13">
      <c r="B3190" s="33"/>
      <c r="C3190" s="34"/>
      <c r="D3190" s="68" t="s">
        <v>17</v>
      </c>
      <c r="E3190" s="69" t="s">
        <v>27</v>
      </c>
      <c r="F3190" s="20" t="s">
        <v>533</v>
      </c>
      <c r="G3190" s="15"/>
      <c r="H3190" s="15"/>
      <c r="I3190" s="15"/>
      <c r="J3190" s="15"/>
      <c r="K3190" s="15"/>
      <c r="L3190" s="15"/>
      <c r="M3190" s="15"/>
      <c r="N3190" s="15"/>
      <c r="O3190" s="15"/>
      <c r="P3190" s="15"/>
      <c r="Q3190" s="15"/>
      <c r="R3190" s="15"/>
    </row>
    <row r="3191" spans="2:18" ht="13">
      <c r="B3191" s="33"/>
      <c r="C3191" s="34"/>
      <c r="D3191" s="68" t="s">
        <v>17</v>
      </c>
      <c r="E3191" s="69" t="s">
        <v>27</v>
      </c>
      <c r="F3191" s="20" t="s">
        <v>533</v>
      </c>
      <c r="G3191" s="15"/>
      <c r="H3191" s="15"/>
      <c r="I3191" s="15"/>
      <c r="J3191" s="15"/>
      <c r="K3191" s="15"/>
      <c r="L3191" s="15"/>
      <c r="M3191" s="15"/>
      <c r="N3191" s="15"/>
      <c r="O3191" s="15"/>
      <c r="P3191" s="15"/>
      <c r="Q3191" s="15"/>
      <c r="R3191" s="15"/>
    </row>
    <row r="3192" spans="2:18" ht="13">
      <c r="B3192" s="33"/>
      <c r="C3192" s="34"/>
      <c r="D3192" s="68" t="s">
        <v>633</v>
      </c>
      <c r="E3192" s="69" t="s">
        <v>124</v>
      </c>
      <c r="F3192" s="20" t="s">
        <v>533</v>
      </c>
      <c r="G3192" s="15"/>
      <c r="H3192" s="15"/>
      <c r="I3192" s="15"/>
      <c r="J3192" s="15"/>
      <c r="K3192" s="15"/>
      <c r="L3192" s="15"/>
      <c r="M3192" s="15"/>
      <c r="N3192" s="15"/>
      <c r="O3192" s="15"/>
      <c r="P3192" s="15"/>
      <c r="Q3192" s="15"/>
      <c r="R3192" s="15"/>
    </row>
    <row r="3193" spans="2:18" ht="13">
      <c r="B3193" s="33"/>
      <c r="C3193" s="34"/>
      <c r="D3193" s="68" t="s">
        <v>17</v>
      </c>
      <c r="E3193" s="69" t="s">
        <v>27</v>
      </c>
      <c r="F3193" s="20" t="s">
        <v>533</v>
      </c>
      <c r="G3193" s="15"/>
      <c r="H3193" s="15"/>
      <c r="I3193" s="15"/>
      <c r="J3193" s="15"/>
      <c r="K3193" s="15"/>
      <c r="L3193" s="15"/>
      <c r="M3193" s="15"/>
      <c r="N3193" s="15"/>
      <c r="O3193" s="15"/>
      <c r="P3193" s="15"/>
      <c r="Q3193" s="15"/>
      <c r="R3193" s="15"/>
    </row>
    <row r="3194" spans="2:18" ht="13">
      <c r="B3194" s="33"/>
      <c r="C3194" s="34"/>
      <c r="D3194" s="68" t="s">
        <v>17</v>
      </c>
      <c r="E3194" s="69" t="s">
        <v>27</v>
      </c>
      <c r="F3194" s="20" t="s">
        <v>533</v>
      </c>
      <c r="G3194" s="15"/>
      <c r="H3194" s="15"/>
      <c r="I3194" s="15"/>
      <c r="J3194" s="15"/>
      <c r="K3194" s="15"/>
      <c r="L3194" s="15"/>
      <c r="M3194" s="15"/>
      <c r="N3194" s="15"/>
      <c r="O3194" s="15"/>
      <c r="P3194" s="15"/>
      <c r="Q3194" s="15"/>
      <c r="R3194" s="15"/>
    </row>
    <row r="3195" spans="2:18" ht="13">
      <c r="B3195" s="33"/>
      <c r="C3195" s="34"/>
      <c r="D3195" s="68" t="s">
        <v>26</v>
      </c>
      <c r="E3195" s="69" t="s">
        <v>27</v>
      </c>
      <c r="F3195" s="20" t="s">
        <v>533</v>
      </c>
      <c r="G3195" s="15"/>
      <c r="H3195" s="15"/>
      <c r="I3195" s="15"/>
      <c r="J3195" s="15"/>
      <c r="K3195" s="15"/>
      <c r="L3195" s="15"/>
      <c r="M3195" s="15"/>
      <c r="N3195" s="15"/>
      <c r="O3195" s="15"/>
      <c r="P3195" s="15"/>
      <c r="Q3195" s="15"/>
      <c r="R3195" s="15"/>
    </row>
    <row r="3196" spans="2:18" ht="13">
      <c r="B3196" s="33"/>
      <c r="C3196" s="34"/>
      <c r="D3196" s="68" t="s">
        <v>26</v>
      </c>
      <c r="E3196" s="69" t="s">
        <v>27</v>
      </c>
      <c r="F3196" s="20" t="s">
        <v>533</v>
      </c>
      <c r="G3196" s="15"/>
      <c r="H3196" s="15"/>
      <c r="I3196" s="15"/>
      <c r="J3196" s="15"/>
      <c r="K3196" s="15"/>
      <c r="L3196" s="15"/>
      <c r="M3196" s="15"/>
      <c r="N3196" s="15"/>
      <c r="O3196" s="15"/>
      <c r="P3196" s="15"/>
      <c r="Q3196" s="15"/>
      <c r="R3196" s="15"/>
    </row>
    <row r="3197" spans="2:18" ht="13">
      <c r="B3197" s="33"/>
      <c r="C3197" s="34"/>
      <c r="D3197" s="68" t="s">
        <v>17</v>
      </c>
      <c r="E3197" s="69" t="s">
        <v>27</v>
      </c>
      <c r="F3197" s="20" t="s">
        <v>533</v>
      </c>
      <c r="G3197" s="15"/>
      <c r="H3197" s="15"/>
      <c r="I3197" s="15"/>
      <c r="J3197" s="15"/>
      <c r="K3197" s="15"/>
      <c r="L3197" s="15"/>
      <c r="M3197" s="15"/>
      <c r="N3197" s="15"/>
      <c r="O3197" s="15"/>
      <c r="P3197" s="15"/>
      <c r="Q3197" s="15"/>
      <c r="R3197" s="15"/>
    </row>
    <row r="3198" spans="2:18" ht="13">
      <c r="B3198" s="33"/>
      <c r="C3198" s="34"/>
      <c r="D3198" s="68" t="s">
        <v>17</v>
      </c>
      <c r="E3198" s="69" t="s">
        <v>27</v>
      </c>
      <c r="F3198" s="20" t="s">
        <v>533</v>
      </c>
      <c r="G3198" s="15"/>
      <c r="H3198" s="15"/>
      <c r="I3198" s="15"/>
      <c r="J3198" s="15"/>
      <c r="K3198" s="15"/>
      <c r="L3198" s="15"/>
      <c r="M3198" s="15"/>
      <c r="N3198" s="15"/>
      <c r="O3198" s="15"/>
      <c r="P3198" s="15"/>
      <c r="Q3198" s="15"/>
      <c r="R3198" s="15"/>
    </row>
    <row r="3199" spans="2:18" ht="13">
      <c r="B3199" s="33"/>
      <c r="C3199" s="34"/>
      <c r="D3199" s="68" t="s">
        <v>17</v>
      </c>
      <c r="E3199" s="69" t="s">
        <v>27</v>
      </c>
      <c r="F3199" s="20" t="s">
        <v>533</v>
      </c>
      <c r="G3199" s="15"/>
      <c r="H3199" s="15"/>
      <c r="I3199" s="15"/>
      <c r="J3199" s="15"/>
      <c r="K3199" s="15"/>
      <c r="L3199" s="15"/>
      <c r="M3199" s="15"/>
      <c r="N3199" s="15"/>
      <c r="O3199" s="15"/>
      <c r="P3199" s="15"/>
      <c r="Q3199" s="15"/>
      <c r="R3199" s="15"/>
    </row>
    <row r="3200" spans="2:18" ht="13">
      <c r="B3200" s="33"/>
      <c r="C3200" s="34"/>
      <c r="D3200" s="68" t="s">
        <v>26</v>
      </c>
      <c r="E3200" s="69" t="s">
        <v>27</v>
      </c>
      <c r="F3200" s="20" t="s">
        <v>533</v>
      </c>
      <c r="G3200" s="15"/>
      <c r="H3200" s="15"/>
      <c r="I3200" s="15"/>
      <c r="J3200" s="15"/>
      <c r="K3200" s="15"/>
      <c r="L3200" s="15"/>
      <c r="M3200" s="15"/>
      <c r="N3200" s="15"/>
      <c r="O3200" s="15"/>
      <c r="P3200" s="15"/>
      <c r="Q3200" s="15"/>
      <c r="R3200" s="15"/>
    </row>
    <row r="3201" spans="2:18" ht="13">
      <c r="B3201" s="33"/>
      <c r="C3201" s="34"/>
      <c r="D3201" s="68" t="s">
        <v>17</v>
      </c>
      <c r="E3201" s="69" t="s">
        <v>27</v>
      </c>
      <c r="F3201" s="20" t="s">
        <v>533</v>
      </c>
      <c r="G3201" s="15"/>
      <c r="H3201" s="15"/>
      <c r="I3201" s="15"/>
      <c r="J3201" s="15"/>
      <c r="K3201" s="15"/>
      <c r="L3201" s="15"/>
      <c r="M3201" s="15"/>
      <c r="N3201" s="15"/>
      <c r="O3201" s="15"/>
      <c r="P3201" s="15"/>
      <c r="Q3201" s="15"/>
      <c r="R3201" s="15"/>
    </row>
    <row r="3202" spans="2:18" ht="13">
      <c r="B3202" s="33"/>
      <c r="C3202" s="34"/>
      <c r="D3202" s="68" t="s">
        <v>618</v>
      </c>
      <c r="E3202" s="69" t="s">
        <v>121</v>
      </c>
      <c r="F3202" s="20" t="s">
        <v>533</v>
      </c>
      <c r="G3202" s="15"/>
      <c r="H3202" s="15"/>
      <c r="I3202" s="15"/>
      <c r="J3202" s="15"/>
      <c r="K3202" s="15"/>
      <c r="L3202" s="15"/>
      <c r="M3202" s="15"/>
      <c r="N3202" s="15"/>
      <c r="O3202" s="15"/>
      <c r="P3202" s="15"/>
      <c r="Q3202" s="15"/>
      <c r="R3202" s="15"/>
    </row>
    <row r="3203" spans="2:18" ht="13">
      <c r="B3203" s="33"/>
      <c r="C3203" s="34"/>
      <c r="D3203" s="68" t="s">
        <v>17</v>
      </c>
      <c r="E3203" s="69" t="s">
        <v>27</v>
      </c>
      <c r="F3203" s="20" t="s">
        <v>533</v>
      </c>
      <c r="G3203" s="15"/>
      <c r="H3203" s="15"/>
      <c r="I3203" s="15"/>
      <c r="J3203" s="15"/>
      <c r="K3203" s="15"/>
      <c r="L3203" s="15"/>
      <c r="M3203" s="15"/>
      <c r="N3203" s="15"/>
      <c r="O3203" s="15"/>
      <c r="P3203" s="15"/>
      <c r="Q3203" s="15"/>
      <c r="R3203" s="15"/>
    </row>
    <row r="3204" spans="2:18" ht="13">
      <c r="B3204" s="33"/>
      <c r="C3204" s="34"/>
      <c r="D3204" s="68" t="s">
        <v>174</v>
      </c>
      <c r="E3204" s="69" t="s">
        <v>379</v>
      </c>
      <c r="F3204" s="20" t="s">
        <v>533</v>
      </c>
      <c r="G3204" s="15"/>
      <c r="H3204" s="15"/>
      <c r="I3204" s="15"/>
      <c r="J3204" s="15"/>
      <c r="K3204" s="15"/>
      <c r="L3204" s="15"/>
      <c r="M3204" s="15"/>
      <c r="N3204" s="15"/>
      <c r="O3204" s="15"/>
      <c r="P3204" s="15"/>
      <c r="Q3204" s="15"/>
      <c r="R3204" s="15"/>
    </row>
    <row r="3205" spans="2:18" ht="13">
      <c r="B3205" s="33"/>
      <c r="C3205" s="34"/>
      <c r="D3205" s="68" t="s">
        <v>162</v>
      </c>
      <c r="E3205" s="69" t="s">
        <v>163</v>
      </c>
      <c r="F3205" s="20" t="s">
        <v>533</v>
      </c>
      <c r="G3205" s="15"/>
      <c r="H3205" s="15"/>
      <c r="I3205" s="15"/>
      <c r="J3205" s="15"/>
      <c r="K3205" s="15"/>
      <c r="L3205" s="15"/>
      <c r="M3205" s="15"/>
      <c r="N3205" s="15"/>
      <c r="O3205" s="15"/>
      <c r="P3205" s="15"/>
      <c r="Q3205" s="15"/>
      <c r="R3205" s="15"/>
    </row>
    <row r="3206" spans="2:18" ht="13">
      <c r="B3206" s="33"/>
      <c r="C3206" s="34"/>
      <c r="D3206" s="68" t="s">
        <v>404</v>
      </c>
      <c r="E3206" s="69" t="s">
        <v>32</v>
      </c>
      <c r="F3206" s="20" t="s">
        <v>533</v>
      </c>
      <c r="G3206" s="15"/>
      <c r="H3206" s="15"/>
      <c r="I3206" s="15"/>
      <c r="J3206" s="15"/>
      <c r="K3206" s="15"/>
      <c r="L3206" s="15"/>
      <c r="M3206" s="15"/>
      <c r="N3206" s="15"/>
      <c r="O3206" s="15"/>
      <c r="P3206" s="15"/>
      <c r="Q3206" s="15"/>
      <c r="R3206" s="15"/>
    </row>
    <row r="3207" spans="2:18" ht="13">
      <c r="B3207" s="33"/>
      <c r="C3207" s="34"/>
      <c r="D3207" s="68" t="s">
        <v>86</v>
      </c>
      <c r="E3207" s="69" t="s">
        <v>163</v>
      </c>
      <c r="F3207" s="20" t="s">
        <v>533</v>
      </c>
      <c r="G3207" s="15"/>
      <c r="H3207" s="15"/>
      <c r="I3207" s="15"/>
      <c r="J3207" s="15"/>
      <c r="K3207" s="15"/>
      <c r="L3207" s="15"/>
      <c r="M3207" s="15"/>
      <c r="N3207" s="15"/>
      <c r="O3207" s="15"/>
      <c r="P3207" s="15"/>
      <c r="Q3207" s="15"/>
      <c r="R3207" s="15"/>
    </row>
    <row r="3208" spans="2:18" ht="13">
      <c r="B3208" s="33"/>
      <c r="C3208" s="34"/>
      <c r="D3208" s="68" t="s">
        <v>17</v>
      </c>
      <c r="E3208" s="69" t="s">
        <v>116</v>
      </c>
      <c r="F3208" s="20" t="s">
        <v>533</v>
      </c>
      <c r="G3208" s="15"/>
      <c r="H3208" s="15"/>
      <c r="I3208" s="15"/>
      <c r="J3208" s="15"/>
      <c r="K3208" s="15"/>
      <c r="L3208" s="15"/>
      <c r="M3208" s="15"/>
      <c r="N3208" s="15"/>
      <c r="O3208" s="15"/>
      <c r="P3208" s="15"/>
      <c r="Q3208" s="15"/>
      <c r="R3208" s="15"/>
    </row>
    <row r="3209" spans="2:18" ht="13">
      <c r="B3209" s="33"/>
      <c r="C3209" s="34"/>
      <c r="D3209" s="68" t="s">
        <v>326</v>
      </c>
      <c r="E3209" s="69" t="s">
        <v>121</v>
      </c>
      <c r="F3209" s="20" t="s">
        <v>533</v>
      </c>
      <c r="G3209" s="15"/>
      <c r="H3209" s="15"/>
      <c r="I3209" s="15"/>
      <c r="J3209" s="15"/>
      <c r="K3209" s="15"/>
      <c r="L3209" s="15"/>
      <c r="M3209" s="15"/>
      <c r="N3209" s="15"/>
      <c r="O3209" s="15"/>
      <c r="P3209" s="15"/>
      <c r="Q3209" s="15"/>
      <c r="R3209" s="15"/>
    </row>
    <row r="3210" spans="2:18" ht="13">
      <c r="B3210" s="33"/>
      <c r="C3210" s="34"/>
      <c r="D3210" s="68" t="s">
        <v>589</v>
      </c>
      <c r="E3210" s="69" t="s">
        <v>121</v>
      </c>
      <c r="F3210" s="20" t="s">
        <v>533</v>
      </c>
      <c r="G3210" s="15"/>
      <c r="H3210" s="15"/>
      <c r="I3210" s="15"/>
      <c r="J3210" s="15"/>
      <c r="K3210" s="15"/>
      <c r="L3210" s="15"/>
      <c r="M3210" s="15"/>
      <c r="N3210" s="15"/>
      <c r="O3210" s="15"/>
      <c r="P3210" s="15"/>
      <c r="Q3210" s="15"/>
      <c r="R3210" s="15"/>
    </row>
    <row r="3211" spans="2:18" ht="13">
      <c r="B3211" s="33"/>
      <c r="C3211" s="34"/>
      <c r="D3211" s="68" t="s">
        <v>17</v>
      </c>
      <c r="E3211" s="69" t="s">
        <v>27</v>
      </c>
      <c r="F3211" s="20" t="s">
        <v>533</v>
      </c>
      <c r="G3211" s="15"/>
      <c r="H3211" s="15"/>
      <c r="I3211" s="15"/>
      <c r="J3211" s="15"/>
      <c r="K3211" s="15"/>
      <c r="L3211" s="15"/>
      <c r="M3211" s="15"/>
      <c r="N3211" s="15"/>
      <c r="O3211" s="15"/>
      <c r="P3211" s="15"/>
      <c r="Q3211" s="15"/>
      <c r="R3211" s="15"/>
    </row>
    <row r="3212" spans="2:18" ht="13">
      <c r="B3212" s="33"/>
      <c r="C3212" s="34"/>
      <c r="D3212" s="68" t="s">
        <v>326</v>
      </c>
      <c r="E3212" s="69" t="s">
        <v>121</v>
      </c>
      <c r="F3212" s="20" t="s">
        <v>533</v>
      </c>
      <c r="G3212" s="15"/>
      <c r="H3212" s="15"/>
      <c r="I3212" s="15"/>
      <c r="J3212" s="15"/>
      <c r="K3212" s="15"/>
      <c r="L3212" s="15"/>
      <c r="M3212" s="15"/>
      <c r="N3212" s="15"/>
      <c r="O3212" s="15"/>
      <c r="P3212" s="15"/>
      <c r="Q3212" s="15"/>
      <c r="R3212" s="15"/>
    </row>
    <row r="3213" spans="2:18" ht="13">
      <c r="B3213" s="33"/>
      <c r="C3213" s="34"/>
      <c r="D3213" s="68" t="s">
        <v>26</v>
      </c>
      <c r="E3213" s="69" t="s">
        <v>27</v>
      </c>
      <c r="F3213" s="20" t="s">
        <v>533</v>
      </c>
      <c r="G3213" s="15"/>
      <c r="H3213" s="15"/>
      <c r="I3213" s="15"/>
      <c r="J3213" s="15"/>
      <c r="K3213" s="15"/>
      <c r="L3213" s="15"/>
      <c r="M3213" s="15"/>
      <c r="N3213" s="15"/>
      <c r="O3213" s="15"/>
      <c r="P3213" s="15"/>
      <c r="Q3213" s="15"/>
      <c r="R3213" s="15"/>
    </row>
    <row r="3214" spans="2:18" ht="13">
      <c r="B3214" s="33"/>
      <c r="C3214" s="34"/>
      <c r="D3214" s="68" t="s">
        <v>17</v>
      </c>
      <c r="E3214" s="69" t="s">
        <v>27</v>
      </c>
      <c r="F3214" s="20" t="s">
        <v>533</v>
      </c>
      <c r="G3214" s="15"/>
      <c r="H3214" s="15"/>
      <c r="I3214" s="15"/>
      <c r="J3214" s="15"/>
      <c r="K3214" s="15"/>
      <c r="L3214" s="15"/>
      <c r="M3214" s="15"/>
      <c r="N3214" s="15"/>
      <c r="O3214" s="15"/>
      <c r="P3214" s="15"/>
      <c r="Q3214" s="15"/>
      <c r="R3214" s="15"/>
    </row>
    <row r="3215" spans="2:18" ht="13">
      <c r="B3215" s="33"/>
      <c r="C3215" s="34"/>
      <c r="D3215" s="68" t="s">
        <v>618</v>
      </c>
      <c r="E3215" s="69" t="s">
        <v>121</v>
      </c>
      <c r="F3215" s="20" t="s">
        <v>533</v>
      </c>
      <c r="G3215" s="15"/>
      <c r="H3215" s="15"/>
      <c r="I3215" s="15"/>
      <c r="J3215" s="15"/>
      <c r="K3215" s="15"/>
      <c r="L3215" s="15"/>
      <c r="M3215" s="15"/>
      <c r="N3215" s="15"/>
      <c r="O3215" s="15"/>
      <c r="P3215" s="15"/>
      <c r="Q3215" s="15"/>
      <c r="R3215" s="15"/>
    </row>
    <row r="3216" spans="2:18" ht="13">
      <c r="B3216" s="33"/>
      <c r="C3216" s="34"/>
      <c r="D3216" s="68" t="s">
        <v>618</v>
      </c>
      <c r="E3216" s="69" t="s">
        <v>121</v>
      </c>
      <c r="F3216" s="20" t="s">
        <v>533</v>
      </c>
      <c r="G3216" s="15"/>
      <c r="H3216" s="15"/>
      <c r="I3216" s="15"/>
      <c r="J3216" s="15"/>
      <c r="K3216" s="15"/>
      <c r="L3216" s="15"/>
      <c r="M3216" s="15"/>
      <c r="N3216" s="15"/>
      <c r="O3216" s="15"/>
      <c r="P3216" s="15"/>
      <c r="Q3216" s="15"/>
      <c r="R3216" s="15"/>
    </row>
    <row r="3217" spans="2:18" ht="13">
      <c r="B3217" s="33"/>
      <c r="C3217" s="34"/>
      <c r="D3217" s="68" t="s">
        <v>17</v>
      </c>
      <c r="E3217" s="69" t="s">
        <v>27</v>
      </c>
      <c r="F3217" s="20" t="s">
        <v>533</v>
      </c>
      <c r="G3217" s="15"/>
      <c r="H3217" s="15"/>
      <c r="I3217" s="15"/>
      <c r="J3217" s="15"/>
      <c r="K3217" s="15"/>
      <c r="L3217" s="15"/>
      <c r="M3217" s="15"/>
      <c r="N3217" s="15"/>
      <c r="O3217" s="15"/>
      <c r="P3217" s="15"/>
      <c r="Q3217" s="15"/>
      <c r="R3217" s="15"/>
    </row>
    <row r="3218" spans="2:18" ht="13">
      <c r="B3218" s="33"/>
      <c r="C3218" s="34"/>
      <c r="D3218" s="68" t="s">
        <v>174</v>
      </c>
      <c r="E3218" s="69" t="s">
        <v>379</v>
      </c>
      <c r="F3218" s="20" t="s">
        <v>533</v>
      </c>
      <c r="G3218" s="15"/>
      <c r="H3218" s="15"/>
      <c r="I3218" s="15"/>
      <c r="J3218" s="15"/>
      <c r="K3218" s="15"/>
      <c r="L3218" s="15"/>
      <c r="M3218" s="15"/>
      <c r="N3218" s="15"/>
      <c r="O3218" s="15"/>
      <c r="P3218" s="15"/>
      <c r="Q3218" s="15"/>
      <c r="R3218" s="15"/>
    </row>
    <row r="3219" spans="2:18" ht="13">
      <c r="B3219" s="33"/>
      <c r="C3219" s="34"/>
      <c r="D3219" s="68" t="s">
        <v>17</v>
      </c>
      <c r="E3219" s="69" t="s">
        <v>27</v>
      </c>
      <c r="F3219" s="20" t="s">
        <v>533</v>
      </c>
      <c r="G3219" s="15"/>
      <c r="H3219" s="15"/>
      <c r="I3219" s="15"/>
      <c r="J3219" s="15"/>
      <c r="K3219" s="15"/>
      <c r="L3219" s="15"/>
      <c r="M3219" s="15"/>
      <c r="N3219" s="15"/>
      <c r="O3219" s="15"/>
      <c r="P3219" s="15"/>
      <c r="Q3219" s="15"/>
      <c r="R3219" s="15"/>
    </row>
    <row r="3220" spans="2:18" ht="13">
      <c r="B3220" s="33"/>
      <c r="C3220" s="34"/>
      <c r="D3220" s="68" t="s">
        <v>563</v>
      </c>
      <c r="E3220" s="69" t="s">
        <v>121</v>
      </c>
      <c r="F3220" s="20" t="s">
        <v>533</v>
      </c>
      <c r="G3220" s="15"/>
      <c r="H3220" s="15"/>
      <c r="I3220" s="15"/>
      <c r="J3220" s="15"/>
      <c r="K3220" s="15"/>
      <c r="L3220" s="15"/>
      <c r="M3220" s="15"/>
      <c r="N3220" s="15"/>
      <c r="O3220" s="15"/>
      <c r="P3220" s="15"/>
      <c r="Q3220" s="15"/>
      <c r="R3220" s="15"/>
    </row>
    <row r="3221" spans="2:18" ht="13">
      <c r="B3221" s="33"/>
      <c r="C3221" s="34"/>
      <c r="D3221" s="68" t="s">
        <v>17</v>
      </c>
      <c r="E3221" s="69" t="s">
        <v>27</v>
      </c>
      <c r="F3221" s="20" t="s">
        <v>533</v>
      </c>
      <c r="G3221" s="15"/>
      <c r="H3221" s="15"/>
      <c r="I3221" s="15"/>
      <c r="J3221" s="15"/>
      <c r="K3221" s="15"/>
      <c r="L3221" s="15"/>
      <c r="M3221" s="15"/>
      <c r="N3221" s="15"/>
      <c r="O3221" s="15"/>
      <c r="P3221" s="15"/>
      <c r="Q3221" s="15"/>
      <c r="R3221" s="15"/>
    </row>
    <row r="3222" spans="2:18" ht="13">
      <c r="B3222" s="33"/>
      <c r="C3222" s="34"/>
      <c r="D3222" s="68" t="s">
        <v>26</v>
      </c>
      <c r="E3222" s="69" t="s">
        <v>27</v>
      </c>
      <c r="F3222" s="20" t="s">
        <v>533</v>
      </c>
      <c r="G3222" s="15"/>
      <c r="H3222" s="15"/>
      <c r="I3222" s="15"/>
      <c r="J3222" s="15"/>
      <c r="K3222" s="15"/>
      <c r="L3222" s="15"/>
      <c r="M3222" s="15"/>
      <c r="N3222" s="15"/>
      <c r="O3222" s="15"/>
      <c r="P3222" s="15"/>
      <c r="Q3222" s="15"/>
      <c r="R3222" s="15"/>
    </row>
    <row r="3223" spans="2:18" ht="13">
      <c r="B3223" s="33"/>
      <c r="C3223" s="34"/>
      <c r="D3223" s="68" t="s">
        <v>86</v>
      </c>
      <c r="E3223" s="69" t="s">
        <v>32</v>
      </c>
      <c r="F3223" s="20" t="s">
        <v>533</v>
      </c>
      <c r="G3223" s="15"/>
      <c r="H3223" s="15"/>
      <c r="I3223" s="15"/>
      <c r="J3223" s="15"/>
      <c r="K3223" s="15"/>
      <c r="L3223" s="15"/>
      <c r="M3223" s="15"/>
      <c r="N3223" s="15"/>
      <c r="O3223" s="15"/>
      <c r="P3223" s="15"/>
      <c r="Q3223" s="15"/>
      <c r="R3223" s="15"/>
    </row>
    <row r="3224" spans="2:18" ht="13">
      <c r="B3224" s="33"/>
      <c r="C3224" s="34"/>
      <c r="D3224" s="68" t="s">
        <v>26</v>
      </c>
      <c r="E3224" s="69" t="s">
        <v>27</v>
      </c>
      <c r="F3224" s="20" t="s">
        <v>533</v>
      </c>
      <c r="G3224" s="15"/>
      <c r="H3224" s="15"/>
      <c r="I3224" s="15"/>
      <c r="J3224" s="15"/>
      <c r="K3224" s="15"/>
      <c r="L3224" s="15"/>
      <c r="M3224" s="15"/>
      <c r="N3224" s="15"/>
      <c r="O3224" s="15"/>
      <c r="P3224" s="15"/>
      <c r="Q3224" s="15"/>
      <c r="R3224" s="15"/>
    </row>
    <row r="3225" spans="2:18" ht="13">
      <c r="B3225" s="33"/>
      <c r="C3225" s="34"/>
      <c r="D3225" s="68" t="s">
        <v>17</v>
      </c>
      <c r="E3225" s="69" t="s">
        <v>27</v>
      </c>
      <c r="F3225" s="20" t="s">
        <v>533</v>
      </c>
      <c r="G3225" s="15"/>
      <c r="H3225" s="15"/>
      <c r="I3225" s="15"/>
      <c r="J3225" s="15"/>
      <c r="K3225" s="15"/>
      <c r="L3225" s="15"/>
      <c r="M3225" s="15"/>
      <c r="N3225" s="15"/>
      <c r="O3225" s="15"/>
      <c r="P3225" s="15"/>
      <c r="Q3225" s="15"/>
      <c r="R3225" s="15"/>
    </row>
    <row r="3226" spans="2:18" ht="13">
      <c r="B3226" s="33"/>
      <c r="C3226" s="34"/>
      <c r="D3226" s="68" t="s">
        <v>590</v>
      </c>
      <c r="E3226" s="69" t="s">
        <v>32</v>
      </c>
      <c r="F3226" s="20" t="s">
        <v>533</v>
      </c>
      <c r="G3226" s="15"/>
      <c r="H3226" s="15"/>
      <c r="I3226" s="15"/>
      <c r="J3226" s="15"/>
      <c r="K3226" s="15"/>
      <c r="L3226" s="15"/>
      <c r="M3226" s="15"/>
      <c r="N3226" s="15"/>
      <c r="O3226" s="15"/>
      <c r="P3226" s="15"/>
      <c r="Q3226" s="15"/>
      <c r="R3226" s="15"/>
    </row>
    <row r="3227" spans="2:18" ht="13">
      <c r="B3227" s="33"/>
      <c r="C3227" s="34"/>
      <c r="D3227" s="68" t="s">
        <v>404</v>
      </c>
      <c r="E3227" s="69" t="s">
        <v>32</v>
      </c>
      <c r="F3227" s="20" t="s">
        <v>533</v>
      </c>
      <c r="G3227" s="15"/>
      <c r="H3227" s="15"/>
      <c r="I3227" s="15"/>
      <c r="J3227" s="15"/>
      <c r="K3227" s="15"/>
      <c r="L3227" s="15"/>
      <c r="M3227" s="15"/>
      <c r="N3227" s="15"/>
      <c r="O3227" s="15"/>
      <c r="P3227" s="15"/>
      <c r="Q3227" s="15"/>
      <c r="R3227" s="15"/>
    </row>
    <row r="3228" spans="2:18" ht="13">
      <c r="B3228" s="33"/>
      <c r="C3228" s="34"/>
      <c r="D3228" s="68" t="s">
        <v>668</v>
      </c>
      <c r="E3228" s="69" t="s">
        <v>32</v>
      </c>
      <c r="F3228" s="20" t="s">
        <v>533</v>
      </c>
      <c r="G3228" s="15"/>
      <c r="H3228" s="15"/>
      <c r="I3228" s="15"/>
      <c r="J3228" s="15"/>
      <c r="K3228" s="15"/>
      <c r="L3228" s="15"/>
      <c r="M3228" s="15"/>
      <c r="N3228" s="15"/>
      <c r="O3228" s="15"/>
      <c r="P3228" s="15"/>
      <c r="Q3228" s="15"/>
      <c r="R3228" s="15"/>
    </row>
    <row r="3229" spans="2:18" ht="13">
      <c r="B3229" s="33"/>
      <c r="C3229" s="34"/>
      <c r="D3229" s="68" t="s">
        <v>590</v>
      </c>
      <c r="E3229" s="69" t="s">
        <v>32</v>
      </c>
      <c r="F3229" s="20" t="s">
        <v>533</v>
      </c>
      <c r="G3229" s="15"/>
      <c r="H3229" s="15"/>
      <c r="I3229" s="15"/>
      <c r="J3229" s="15"/>
      <c r="K3229" s="15"/>
      <c r="L3229" s="15"/>
      <c r="M3229" s="15"/>
      <c r="N3229" s="15"/>
      <c r="O3229" s="15"/>
      <c r="P3229" s="15"/>
      <c r="Q3229" s="15"/>
      <c r="R3229" s="15"/>
    </row>
    <row r="3230" spans="2:18" ht="13">
      <c r="B3230" s="33"/>
      <c r="C3230" s="34"/>
      <c r="D3230" s="68" t="s">
        <v>17</v>
      </c>
      <c r="E3230" s="69" t="s">
        <v>27</v>
      </c>
      <c r="F3230" s="20" t="s">
        <v>533</v>
      </c>
      <c r="G3230" s="15"/>
      <c r="H3230" s="15"/>
      <c r="I3230" s="15"/>
      <c r="J3230" s="15"/>
      <c r="K3230" s="15"/>
      <c r="L3230" s="15"/>
      <c r="M3230" s="15"/>
      <c r="N3230" s="15"/>
      <c r="O3230" s="15"/>
      <c r="P3230" s="15"/>
      <c r="Q3230" s="15"/>
      <c r="R3230" s="15"/>
    </row>
    <row r="3231" spans="2:18" ht="13">
      <c r="B3231" s="33"/>
      <c r="C3231" s="34"/>
      <c r="D3231" s="68" t="s">
        <v>17</v>
      </c>
      <c r="E3231" s="69" t="s">
        <v>27</v>
      </c>
      <c r="F3231" s="20" t="s">
        <v>533</v>
      </c>
      <c r="G3231" s="15"/>
      <c r="H3231" s="15"/>
      <c r="I3231" s="15"/>
      <c r="J3231" s="15"/>
      <c r="K3231" s="15"/>
      <c r="L3231" s="15"/>
      <c r="M3231" s="15"/>
      <c r="N3231" s="15"/>
      <c r="O3231" s="15"/>
      <c r="P3231" s="15"/>
      <c r="Q3231" s="15"/>
      <c r="R3231" s="15"/>
    </row>
    <row r="3232" spans="2:18" ht="13">
      <c r="B3232" s="33"/>
      <c r="C3232" s="34"/>
      <c r="D3232" s="68" t="s">
        <v>17</v>
      </c>
      <c r="E3232" s="69" t="s">
        <v>27</v>
      </c>
      <c r="F3232" s="20" t="s">
        <v>533</v>
      </c>
      <c r="G3232" s="15"/>
      <c r="H3232" s="15"/>
      <c r="I3232" s="15"/>
      <c r="J3232" s="15"/>
      <c r="K3232" s="15"/>
      <c r="L3232" s="15"/>
      <c r="M3232" s="15"/>
      <c r="N3232" s="15"/>
      <c r="O3232" s="15"/>
      <c r="P3232" s="15"/>
      <c r="Q3232" s="15"/>
      <c r="R3232" s="15"/>
    </row>
    <row r="3233" spans="2:18" ht="13">
      <c r="B3233" s="33"/>
      <c r="C3233" s="34"/>
      <c r="D3233" s="68" t="s">
        <v>26</v>
      </c>
      <c r="E3233" s="69" t="s">
        <v>27</v>
      </c>
      <c r="F3233" s="20" t="s">
        <v>533</v>
      </c>
      <c r="G3233" s="15"/>
      <c r="H3233" s="15"/>
      <c r="I3233" s="15"/>
      <c r="J3233" s="15"/>
      <c r="K3233" s="15"/>
      <c r="L3233" s="15"/>
      <c r="M3233" s="15"/>
      <c r="N3233" s="15"/>
      <c r="O3233" s="15"/>
      <c r="P3233" s="15"/>
      <c r="Q3233" s="15"/>
      <c r="R3233" s="15"/>
    </row>
    <row r="3234" spans="2:18" ht="13">
      <c r="B3234" s="33"/>
      <c r="C3234" s="34"/>
      <c r="D3234" s="68" t="s">
        <v>404</v>
      </c>
      <c r="E3234" s="69" t="s">
        <v>32</v>
      </c>
      <c r="F3234" s="20" t="s">
        <v>533</v>
      </c>
      <c r="G3234" s="15"/>
      <c r="H3234" s="15"/>
      <c r="I3234" s="15"/>
      <c r="J3234" s="15"/>
      <c r="K3234" s="15"/>
      <c r="L3234" s="15"/>
      <c r="M3234" s="15"/>
      <c r="N3234" s="15"/>
      <c r="O3234" s="15"/>
      <c r="P3234" s="15"/>
      <c r="Q3234" s="15"/>
      <c r="R3234" s="15"/>
    </row>
    <row r="3235" spans="2:18" ht="13">
      <c r="B3235" s="33"/>
      <c r="C3235" s="34"/>
      <c r="D3235" s="68" t="s">
        <v>17</v>
      </c>
      <c r="E3235" s="69" t="s">
        <v>27</v>
      </c>
      <c r="F3235" s="20" t="s">
        <v>533</v>
      </c>
      <c r="G3235" s="15"/>
      <c r="H3235" s="15"/>
      <c r="I3235" s="15"/>
      <c r="J3235" s="15"/>
      <c r="K3235" s="15"/>
      <c r="L3235" s="15"/>
      <c r="M3235" s="15"/>
      <c r="N3235" s="15"/>
      <c r="O3235" s="15"/>
      <c r="P3235" s="15"/>
      <c r="Q3235" s="15"/>
      <c r="R3235" s="15"/>
    </row>
    <row r="3236" spans="2:18" ht="13">
      <c r="B3236" s="33"/>
      <c r="C3236" s="34"/>
      <c r="D3236" s="68" t="s">
        <v>168</v>
      </c>
      <c r="E3236" s="69" t="s">
        <v>27</v>
      </c>
      <c r="F3236" s="20" t="s">
        <v>533</v>
      </c>
      <c r="G3236" s="15"/>
      <c r="H3236" s="15"/>
      <c r="I3236" s="15"/>
      <c r="J3236" s="15"/>
      <c r="K3236" s="15"/>
      <c r="L3236" s="15"/>
      <c r="M3236" s="15"/>
      <c r="N3236" s="15"/>
      <c r="O3236" s="15"/>
      <c r="P3236" s="15"/>
      <c r="Q3236" s="15"/>
      <c r="R3236" s="15"/>
    </row>
    <row r="3237" spans="2:18" ht="13">
      <c r="B3237" s="33"/>
      <c r="C3237" s="34"/>
      <c r="D3237" s="68" t="s">
        <v>574</v>
      </c>
      <c r="E3237" s="69" t="s">
        <v>575</v>
      </c>
      <c r="F3237" s="20" t="s">
        <v>533</v>
      </c>
      <c r="G3237" s="15"/>
      <c r="H3237" s="15"/>
      <c r="I3237" s="15"/>
      <c r="J3237" s="15"/>
      <c r="K3237" s="15"/>
      <c r="L3237" s="15"/>
      <c r="M3237" s="15"/>
      <c r="N3237" s="15"/>
      <c r="O3237" s="15"/>
      <c r="P3237" s="15"/>
      <c r="Q3237" s="15"/>
      <c r="R3237" s="15"/>
    </row>
    <row r="3238" spans="2:18" ht="13">
      <c r="B3238" s="33"/>
      <c r="C3238" s="34"/>
      <c r="D3238" s="68" t="s">
        <v>86</v>
      </c>
      <c r="E3238" s="69" t="s">
        <v>121</v>
      </c>
      <c r="F3238" s="20" t="s">
        <v>533</v>
      </c>
      <c r="G3238" s="15"/>
      <c r="H3238" s="15"/>
      <c r="I3238" s="15"/>
      <c r="J3238" s="15"/>
      <c r="K3238" s="15"/>
      <c r="L3238" s="15"/>
      <c r="M3238" s="15"/>
      <c r="N3238" s="15"/>
      <c r="O3238" s="15"/>
      <c r="P3238" s="15"/>
      <c r="Q3238" s="15"/>
      <c r="R3238" s="15"/>
    </row>
    <row r="3239" spans="2:18" ht="13">
      <c r="B3239" s="33"/>
      <c r="C3239" s="34"/>
      <c r="D3239" s="68" t="s">
        <v>86</v>
      </c>
      <c r="E3239" s="69" t="s">
        <v>124</v>
      </c>
      <c r="F3239" s="20" t="s">
        <v>533</v>
      </c>
      <c r="G3239" s="15"/>
      <c r="H3239" s="15"/>
      <c r="I3239" s="15"/>
      <c r="J3239" s="15"/>
      <c r="K3239" s="15"/>
      <c r="L3239" s="15"/>
      <c r="M3239" s="15"/>
      <c r="N3239" s="15"/>
      <c r="O3239" s="15"/>
      <c r="P3239" s="15"/>
      <c r="Q3239" s="15"/>
      <c r="R3239" s="15"/>
    </row>
    <row r="3240" spans="2:18" ht="13">
      <c r="B3240" s="33"/>
      <c r="C3240" s="34"/>
      <c r="D3240" s="68" t="s">
        <v>573</v>
      </c>
      <c r="E3240" s="69" t="s">
        <v>121</v>
      </c>
      <c r="F3240" s="20" t="s">
        <v>533</v>
      </c>
      <c r="G3240" s="15"/>
      <c r="H3240" s="15"/>
      <c r="I3240" s="15"/>
      <c r="J3240" s="15"/>
      <c r="K3240" s="15"/>
      <c r="L3240" s="15"/>
      <c r="M3240" s="15"/>
      <c r="N3240" s="15"/>
      <c r="O3240" s="15"/>
      <c r="P3240" s="15"/>
      <c r="Q3240" s="15"/>
      <c r="R3240" s="15"/>
    </row>
    <row r="3241" spans="2:18" ht="13">
      <c r="B3241" s="33"/>
      <c r="C3241" s="34"/>
      <c r="D3241" s="68" t="s">
        <v>17</v>
      </c>
      <c r="E3241" s="69" t="s">
        <v>27</v>
      </c>
      <c r="F3241" s="20" t="s">
        <v>533</v>
      </c>
      <c r="G3241" s="15"/>
      <c r="H3241" s="15"/>
      <c r="I3241" s="15"/>
      <c r="J3241" s="15"/>
      <c r="K3241" s="15"/>
      <c r="L3241" s="15"/>
      <c r="M3241" s="15"/>
      <c r="N3241" s="15"/>
      <c r="O3241" s="15"/>
      <c r="P3241" s="15"/>
      <c r="Q3241" s="15"/>
      <c r="R3241" s="15"/>
    </row>
    <row r="3242" spans="2:18" ht="13">
      <c r="B3242" s="33"/>
      <c r="C3242" s="34"/>
      <c r="D3242" s="68" t="s">
        <v>595</v>
      </c>
      <c r="E3242" s="69" t="s">
        <v>27</v>
      </c>
      <c r="F3242" s="20" t="s">
        <v>533</v>
      </c>
      <c r="G3242" s="15"/>
      <c r="H3242" s="15"/>
      <c r="I3242" s="15"/>
      <c r="J3242" s="15"/>
      <c r="K3242" s="15"/>
      <c r="L3242" s="15"/>
      <c r="M3242" s="15"/>
      <c r="N3242" s="15"/>
      <c r="O3242" s="15"/>
      <c r="P3242" s="15"/>
      <c r="Q3242" s="15"/>
      <c r="R3242" s="15"/>
    </row>
    <row r="3243" spans="2:18" ht="13">
      <c r="B3243" s="33"/>
      <c r="C3243" s="34"/>
      <c r="D3243" s="68" t="s">
        <v>573</v>
      </c>
      <c r="E3243" s="69" t="s">
        <v>121</v>
      </c>
      <c r="F3243" s="20" t="s">
        <v>533</v>
      </c>
      <c r="G3243" s="15"/>
      <c r="H3243" s="15"/>
      <c r="I3243" s="15"/>
      <c r="J3243" s="15"/>
      <c r="K3243" s="15"/>
      <c r="L3243" s="15"/>
      <c r="M3243" s="15"/>
      <c r="N3243" s="15"/>
      <c r="O3243" s="15"/>
      <c r="P3243" s="15"/>
      <c r="Q3243" s="15"/>
      <c r="R3243" s="15"/>
    </row>
    <row r="3244" spans="2:18" ht="13">
      <c r="B3244" s="33"/>
      <c r="C3244" s="34"/>
      <c r="D3244" s="68" t="s">
        <v>262</v>
      </c>
      <c r="E3244" s="69" t="s">
        <v>163</v>
      </c>
      <c r="F3244" s="20" t="s">
        <v>533</v>
      </c>
      <c r="G3244" s="15"/>
      <c r="H3244" s="15"/>
      <c r="I3244" s="15"/>
      <c r="J3244" s="15"/>
      <c r="K3244" s="15"/>
      <c r="L3244" s="15"/>
      <c r="M3244" s="15"/>
      <c r="N3244" s="15"/>
      <c r="O3244" s="15"/>
      <c r="P3244" s="15"/>
      <c r="Q3244" s="15"/>
      <c r="R3244" s="15"/>
    </row>
    <row r="3245" spans="2:18" ht="13">
      <c r="B3245" s="33"/>
      <c r="C3245" s="34"/>
      <c r="D3245" s="68" t="s">
        <v>168</v>
      </c>
      <c r="E3245" s="69" t="s">
        <v>27</v>
      </c>
      <c r="F3245" s="20" t="s">
        <v>533</v>
      </c>
      <c r="G3245" s="15"/>
      <c r="H3245" s="15"/>
      <c r="I3245" s="15"/>
      <c r="J3245" s="15"/>
      <c r="K3245" s="15"/>
      <c r="L3245" s="15"/>
      <c r="M3245" s="15"/>
      <c r="N3245" s="15"/>
      <c r="O3245" s="15"/>
      <c r="P3245" s="15"/>
      <c r="Q3245" s="15"/>
      <c r="R3245" s="15"/>
    </row>
    <row r="3246" spans="2:18" ht="13">
      <c r="B3246" s="33"/>
      <c r="C3246" s="34"/>
      <c r="D3246" s="68" t="s">
        <v>86</v>
      </c>
      <c r="E3246" s="69" t="s">
        <v>121</v>
      </c>
      <c r="F3246" s="20" t="s">
        <v>533</v>
      </c>
      <c r="G3246" s="15"/>
      <c r="H3246" s="15"/>
      <c r="I3246" s="15"/>
      <c r="J3246" s="15"/>
      <c r="K3246" s="15"/>
      <c r="L3246" s="15"/>
      <c r="M3246" s="15"/>
      <c r="N3246" s="15"/>
      <c r="O3246" s="15"/>
      <c r="P3246" s="15"/>
      <c r="Q3246" s="15"/>
      <c r="R3246" s="15"/>
    </row>
    <row r="3247" spans="2:18" ht="13">
      <c r="B3247" s="33"/>
      <c r="C3247" s="34"/>
      <c r="D3247" s="68" t="s">
        <v>17</v>
      </c>
      <c r="E3247" s="69" t="s">
        <v>27</v>
      </c>
      <c r="F3247" s="20" t="s">
        <v>533</v>
      </c>
      <c r="G3247" s="15"/>
      <c r="H3247" s="15"/>
      <c r="I3247" s="15"/>
      <c r="J3247" s="15"/>
      <c r="K3247" s="15"/>
      <c r="L3247" s="15"/>
      <c r="M3247" s="15"/>
      <c r="N3247" s="15"/>
      <c r="O3247" s="15"/>
      <c r="P3247" s="15"/>
      <c r="Q3247" s="15"/>
      <c r="R3247" s="15"/>
    </row>
    <row r="3248" spans="2:18" ht="13">
      <c r="B3248" s="33"/>
      <c r="C3248" s="34"/>
      <c r="D3248" s="68" t="s">
        <v>17</v>
      </c>
      <c r="E3248" s="69" t="s">
        <v>27</v>
      </c>
      <c r="F3248" s="20" t="s">
        <v>533</v>
      </c>
      <c r="G3248" s="15"/>
      <c r="H3248" s="15"/>
      <c r="I3248" s="15"/>
      <c r="J3248" s="15"/>
      <c r="K3248" s="15"/>
      <c r="L3248" s="15"/>
      <c r="M3248" s="15"/>
      <c r="N3248" s="15"/>
      <c r="O3248" s="15"/>
      <c r="P3248" s="15"/>
      <c r="Q3248" s="15"/>
      <c r="R3248" s="15"/>
    </row>
    <row r="3249" spans="2:18" ht="13">
      <c r="B3249" s="33"/>
      <c r="C3249" s="34"/>
      <c r="D3249" s="68" t="s">
        <v>651</v>
      </c>
      <c r="E3249" s="69" t="s">
        <v>27</v>
      </c>
      <c r="F3249" s="20" t="s">
        <v>533</v>
      </c>
      <c r="G3249" s="15"/>
      <c r="H3249" s="15"/>
      <c r="I3249" s="15"/>
      <c r="J3249" s="15"/>
      <c r="K3249" s="15"/>
      <c r="L3249" s="15"/>
      <c r="M3249" s="15"/>
      <c r="N3249" s="15"/>
      <c r="O3249" s="15"/>
      <c r="P3249" s="15"/>
      <c r="Q3249" s="15"/>
      <c r="R3249" s="15"/>
    </row>
    <row r="3250" spans="2:18" ht="13">
      <c r="B3250" s="33"/>
      <c r="C3250" s="34"/>
      <c r="D3250" s="68" t="s">
        <v>17</v>
      </c>
      <c r="E3250" s="69" t="s">
        <v>27</v>
      </c>
      <c r="F3250" s="20" t="s">
        <v>533</v>
      </c>
      <c r="G3250" s="15"/>
      <c r="H3250" s="15"/>
      <c r="I3250" s="15"/>
      <c r="J3250" s="15"/>
      <c r="K3250" s="15"/>
      <c r="L3250" s="15"/>
      <c r="M3250" s="15"/>
      <c r="N3250" s="15"/>
      <c r="O3250" s="15"/>
      <c r="P3250" s="15"/>
      <c r="Q3250" s="15"/>
      <c r="R3250" s="15"/>
    </row>
    <row r="3251" spans="2:18" ht="13">
      <c r="B3251" s="33"/>
      <c r="C3251" s="34"/>
      <c r="D3251" s="68" t="s">
        <v>17</v>
      </c>
      <c r="E3251" s="69" t="s">
        <v>27</v>
      </c>
      <c r="F3251" s="20" t="s">
        <v>533</v>
      </c>
      <c r="G3251" s="15"/>
      <c r="H3251" s="15"/>
      <c r="I3251" s="15"/>
      <c r="J3251" s="15"/>
      <c r="K3251" s="15"/>
      <c r="L3251" s="15"/>
      <c r="M3251" s="15"/>
      <c r="N3251" s="15"/>
      <c r="O3251" s="15"/>
      <c r="P3251" s="15"/>
      <c r="Q3251" s="15"/>
      <c r="R3251" s="15"/>
    </row>
    <row r="3252" spans="2:18" ht="13">
      <c r="B3252" s="33"/>
      <c r="C3252" s="34"/>
      <c r="D3252" s="68" t="s">
        <v>17</v>
      </c>
      <c r="E3252" s="69" t="s">
        <v>27</v>
      </c>
      <c r="F3252" s="20" t="s">
        <v>533</v>
      </c>
      <c r="G3252" s="15"/>
      <c r="H3252" s="15"/>
      <c r="I3252" s="15"/>
      <c r="J3252" s="15"/>
      <c r="K3252" s="15"/>
      <c r="L3252" s="15"/>
      <c r="M3252" s="15"/>
      <c r="N3252" s="15"/>
      <c r="O3252" s="15"/>
      <c r="P3252" s="15"/>
      <c r="Q3252" s="15"/>
      <c r="R3252" s="15"/>
    </row>
    <row r="3253" spans="2:18" ht="13">
      <c r="B3253" s="33"/>
      <c r="C3253" s="34"/>
      <c r="D3253" s="68" t="s">
        <v>26</v>
      </c>
      <c r="E3253" s="69" t="s">
        <v>27</v>
      </c>
      <c r="F3253" s="20" t="s">
        <v>533</v>
      </c>
      <c r="G3253" s="15"/>
      <c r="H3253" s="15"/>
      <c r="I3253" s="15"/>
      <c r="J3253" s="15"/>
      <c r="K3253" s="15"/>
      <c r="L3253" s="15"/>
      <c r="M3253" s="15"/>
      <c r="N3253" s="15"/>
      <c r="O3253" s="15"/>
      <c r="P3253" s="15"/>
      <c r="Q3253" s="15"/>
      <c r="R3253" s="15"/>
    </row>
    <row r="3254" spans="2:18" ht="13">
      <c r="B3254" s="33"/>
      <c r="C3254" s="34"/>
      <c r="D3254" s="68" t="s">
        <v>26</v>
      </c>
      <c r="E3254" s="69" t="s">
        <v>27</v>
      </c>
      <c r="F3254" s="20" t="s">
        <v>533</v>
      </c>
      <c r="G3254" s="15"/>
      <c r="H3254" s="15"/>
      <c r="I3254" s="15"/>
      <c r="J3254" s="15"/>
      <c r="K3254" s="15"/>
      <c r="L3254" s="15"/>
      <c r="M3254" s="15"/>
      <c r="N3254" s="15"/>
      <c r="O3254" s="15"/>
      <c r="P3254" s="15"/>
      <c r="Q3254" s="15"/>
      <c r="R3254" s="15"/>
    </row>
    <row r="3255" spans="2:18" ht="13">
      <c r="B3255" s="33"/>
      <c r="C3255" s="34"/>
      <c r="D3255" s="68" t="s">
        <v>17</v>
      </c>
      <c r="E3255" s="69" t="s">
        <v>27</v>
      </c>
      <c r="F3255" s="20" t="s">
        <v>533</v>
      </c>
      <c r="G3255" s="15"/>
      <c r="H3255" s="15"/>
      <c r="I3255" s="15"/>
      <c r="J3255" s="15"/>
      <c r="K3255" s="15"/>
      <c r="L3255" s="15"/>
      <c r="M3255" s="15"/>
      <c r="N3255" s="15"/>
      <c r="O3255" s="15"/>
      <c r="P3255" s="15"/>
      <c r="Q3255" s="15"/>
      <c r="R3255" s="15"/>
    </row>
    <row r="3256" spans="2:18" ht="13">
      <c r="B3256" s="33"/>
      <c r="C3256" s="34"/>
      <c r="D3256" s="68" t="s">
        <v>17</v>
      </c>
      <c r="E3256" s="69" t="s">
        <v>27</v>
      </c>
      <c r="F3256" s="20" t="s">
        <v>533</v>
      </c>
      <c r="G3256" s="15"/>
      <c r="H3256" s="15"/>
      <c r="I3256" s="15"/>
      <c r="J3256" s="15"/>
      <c r="K3256" s="15"/>
      <c r="L3256" s="15"/>
      <c r="M3256" s="15"/>
      <c r="N3256" s="15"/>
      <c r="O3256" s="15"/>
      <c r="P3256" s="15"/>
      <c r="Q3256" s="15"/>
      <c r="R3256" s="15"/>
    </row>
    <row r="3257" spans="2:18" ht="13">
      <c r="B3257" s="33"/>
      <c r="C3257" s="34"/>
      <c r="D3257" s="68" t="s">
        <v>669</v>
      </c>
      <c r="E3257" s="69" t="s">
        <v>27</v>
      </c>
      <c r="F3257" s="20" t="s">
        <v>533</v>
      </c>
      <c r="G3257" s="15"/>
      <c r="H3257" s="15"/>
      <c r="I3257" s="15"/>
      <c r="J3257" s="15"/>
      <c r="K3257" s="15"/>
      <c r="L3257" s="15"/>
      <c r="M3257" s="15"/>
      <c r="N3257" s="15"/>
      <c r="O3257" s="15"/>
      <c r="P3257" s="15"/>
      <c r="Q3257" s="15"/>
      <c r="R3257" s="15"/>
    </row>
    <row r="3258" spans="2:18" ht="13">
      <c r="B3258" s="33"/>
      <c r="C3258" s="34"/>
      <c r="D3258" s="68" t="s">
        <v>17</v>
      </c>
      <c r="E3258" s="69" t="s">
        <v>27</v>
      </c>
      <c r="F3258" s="20" t="s">
        <v>533</v>
      </c>
      <c r="G3258" s="15"/>
      <c r="H3258" s="15"/>
      <c r="I3258" s="15"/>
      <c r="J3258" s="15"/>
      <c r="K3258" s="15"/>
      <c r="L3258" s="15"/>
      <c r="M3258" s="15"/>
      <c r="N3258" s="15"/>
      <c r="O3258" s="15"/>
      <c r="P3258" s="15"/>
      <c r="Q3258" s="15"/>
      <c r="R3258" s="15"/>
    </row>
    <row r="3259" spans="2:18" ht="13">
      <c r="B3259" s="33"/>
      <c r="C3259" s="34"/>
      <c r="D3259" s="68" t="s">
        <v>86</v>
      </c>
      <c r="E3259" s="69" t="s">
        <v>32</v>
      </c>
      <c r="F3259" s="20" t="s">
        <v>533</v>
      </c>
      <c r="G3259" s="15"/>
      <c r="H3259" s="15"/>
      <c r="I3259" s="15"/>
      <c r="J3259" s="15"/>
      <c r="K3259" s="15"/>
      <c r="L3259" s="15"/>
      <c r="M3259" s="15"/>
      <c r="N3259" s="15"/>
      <c r="O3259" s="15"/>
      <c r="P3259" s="15"/>
      <c r="Q3259" s="15"/>
      <c r="R3259" s="15"/>
    </row>
    <row r="3260" spans="2:18" ht="13">
      <c r="B3260" s="33"/>
      <c r="C3260" s="34"/>
      <c r="D3260" s="68" t="s">
        <v>17</v>
      </c>
      <c r="E3260" s="69" t="s">
        <v>27</v>
      </c>
      <c r="F3260" s="20" t="s">
        <v>533</v>
      </c>
      <c r="G3260" s="15"/>
      <c r="H3260" s="15"/>
      <c r="I3260" s="15"/>
      <c r="J3260" s="15"/>
      <c r="K3260" s="15"/>
      <c r="L3260" s="15"/>
      <c r="M3260" s="15"/>
      <c r="N3260" s="15"/>
      <c r="O3260" s="15"/>
      <c r="P3260" s="15"/>
      <c r="Q3260" s="15"/>
      <c r="R3260" s="15"/>
    </row>
    <row r="3261" spans="2:18" ht="13">
      <c r="B3261" s="33"/>
      <c r="C3261" s="34"/>
      <c r="D3261" s="68" t="s">
        <v>594</v>
      </c>
      <c r="E3261" s="69" t="s">
        <v>32</v>
      </c>
      <c r="F3261" s="20" t="s">
        <v>533</v>
      </c>
      <c r="G3261" s="15"/>
      <c r="H3261" s="15"/>
      <c r="I3261" s="15"/>
      <c r="J3261" s="15"/>
      <c r="K3261" s="15"/>
      <c r="L3261" s="15"/>
      <c r="M3261" s="15"/>
      <c r="N3261" s="15"/>
      <c r="O3261" s="15"/>
      <c r="P3261" s="15"/>
      <c r="Q3261" s="15"/>
      <c r="R3261" s="15"/>
    </row>
    <row r="3262" spans="2:18" ht="13">
      <c r="B3262" s="33"/>
      <c r="C3262" s="34"/>
      <c r="D3262" s="68" t="s">
        <v>26</v>
      </c>
      <c r="E3262" s="69" t="s">
        <v>27</v>
      </c>
      <c r="F3262" s="20" t="s">
        <v>533</v>
      </c>
      <c r="G3262" s="15"/>
      <c r="H3262" s="15"/>
      <c r="I3262" s="15"/>
      <c r="J3262" s="15"/>
      <c r="K3262" s="15"/>
      <c r="L3262" s="15"/>
      <c r="M3262" s="15"/>
      <c r="N3262" s="15"/>
      <c r="O3262" s="15"/>
      <c r="P3262" s="15"/>
      <c r="Q3262" s="15"/>
      <c r="R3262" s="15"/>
    </row>
    <row r="3263" spans="2:18" ht="13">
      <c r="B3263" s="33"/>
      <c r="C3263" s="34"/>
      <c r="D3263" s="68" t="s">
        <v>17</v>
      </c>
      <c r="E3263" s="69" t="s">
        <v>27</v>
      </c>
      <c r="F3263" s="20" t="s">
        <v>533</v>
      </c>
      <c r="G3263" s="15"/>
      <c r="H3263" s="15"/>
      <c r="I3263" s="15"/>
      <c r="J3263" s="15"/>
      <c r="K3263" s="15"/>
      <c r="L3263" s="15"/>
      <c r="M3263" s="15"/>
      <c r="N3263" s="15"/>
      <c r="O3263" s="15"/>
      <c r="P3263" s="15"/>
      <c r="Q3263" s="15"/>
      <c r="R3263" s="15"/>
    </row>
    <row r="3264" spans="2:18" ht="13">
      <c r="B3264" s="33"/>
      <c r="C3264" s="34"/>
      <c r="D3264" s="68" t="s">
        <v>17</v>
      </c>
      <c r="E3264" s="69" t="s">
        <v>27</v>
      </c>
      <c r="F3264" s="20" t="s">
        <v>533</v>
      </c>
      <c r="G3264" s="15"/>
      <c r="H3264" s="15"/>
      <c r="I3264" s="15"/>
      <c r="J3264" s="15"/>
      <c r="K3264" s="15"/>
      <c r="L3264" s="15"/>
      <c r="M3264" s="15"/>
      <c r="N3264" s="15"/>
      <c r="O3264" s="15"/>
      <c r="P3264" s="15"/>
      <c r="Q3264" s="15"/>
      <c r="R3264" s="15"/>
    </row>
    <row r="3265" spans="2:18" ht="13">
      <c r="B3265" s="33"/>
      <c r="C3265" s="34"/>
      <c r="D3265" s="68" t="s">
        <v>17</v>
      </c>
      <c r="E3265" s="69" t="s">
        <v>27</v>
      </c>
      <c r="F3265" s="20" t="s">
        <v>533</v>
      </c>
      <c r="G3265" s="15"/>
      <c r="H3265" s="15"/>
      <c r="I3265" s="15"/>
      <c r="J3265" s="15"/>
      <c r="K3265" s="15"/>
      <c r="L3265" s="15"/>
      <c r="M3265" s="15"/>
      <c r="N3265" s="15"/>
      <c r="O3265" s="15"/>
      <c r="P3265" s="15"/>
      <c r="Q3265" s="15"/>
      <c r="R3265" s="15"/>
    </row>
    <row r="3266" spans="2:18" ht="13">
      <c r="B3266" s="33"/>
      <c r="C3266" s="34"/>
      <c r="D3266" s="68" t="s">
        <v>562</v>
      </c>
      <c r="E3266" s="69" t="s">
        <v>37</v>
      </c>
      <c r="F3266" s="20" t="s">
        <v>533</v>
      </c>
      <c r="G3266" s="15"/>
      <c r="H3266" s="15"/>
      <c r="I3266" s="15"/>
      <c r="J3266" s="15"/>
      <c r="K3266" s="15"/>
      <c r="L3266" s="15"/>
      <c r="M3266" s="15"/>
      <c r="N3266" s="15"/>
      <c r="O3266" s="15"/>
      <c r="P3266" s="15"/>
      <c r="Q3266" s="15"/>
      <c r="R3266" s="15"/>
    </row>
    <row r="3267" spans="2:18" ht="13">
      <c r="B3267" s="33"/>
      <c r="C3267" s="34"/>
      <c r="D3267" s="68" t="s">
        <v>663</v>
      </c>
      <c r="E3267" s="69" t="s">
        <v>163</v>
      </c>
      <c r="F3267" s="20" t="s">
        <v>533</v>
      </c>
      <c r="G3267" s="15"/>
      <c r="H3267" s="15"/>
      <c r="I3267" s="15"/>
      <c r="J3267" s="15"/>
      <c r="K3267" s="15"/>
      <c r="L3267" s="15"/>
      <c r="M3267" s="15"/>
      <c r="N3267" s="15"/>
      <c r="O3267" s="15"/>
      <c r="P3267" s="15"/>
      <c r="Q3267" s="15"/>
      <c r="R3267" s="15"/>
    </row>
    <row r="3268" spans="2:18" ht="13">
      <c r="B3268" s="33"/>
      <c r="C3268" s="34"/>
      <c r="D3268" s="68" t="s">
        <v>17</v>
      </c>
      <c r="E3268" s="69" t="s">
        <v>27</v>
      </c>
      <c r="F3268" s="20" t="s">
        <v>533</v>
      </c>
      <c r="G3268" s="15"/>
      <c r="H3268" s="15"/>
      <c r="I3268" s="15"/>
      <c r="J3268" s="15"/>
      <c r="K3268" s="15"/>
      <c r="L3268" s="15"/>
      <c r="M3268" s="15"/>
      <c r="N3268" s="15"/>
      <c r="O3268" s="15"/>
      <c r="P3268" s="15"/>
      <c r="Q3268" s="15"/>
      <c r="R3268" s="15"/>
    </row>
    <row r="3269" spans="2:18" ht="13">
      <c r="B3269" s="33"/>
      <c r="C3269" s="34"/>
      <c r="D3269" s="68" t="s">
        <v>17</v>
      </c>
      <c r="E3269" s="69" t="s">
        <v>27</v>
      </c>
      <c r="F3269" s="20" t="s">
        <v>533</v>
      </c>
      <c r="G3269" s="15"/>
      <c r="H3269" s="15"/>
      <c r="I3269" s="15"/>
      <c r="J3269" s="15"/>
      <c r="K3269" s="15"/>
      <c r="L3269" s="15"/>
      <c r="M3269" s="15"/>
      <c r="N3269" s="15"/>
      <c r="O3269" s="15"/>
      <c r="P3269" s="15"/>
      <c r="Q3269" s="15"/>
      <c r="R3269" s="15"/>
    </row>
    <row r="3270" spans="2:18" ht="13">
      <c r="B3270" s="33"/>
      <c r="C3270" s="34"/>
      <c r="D3270" s="68" t="s">
        <v>17</v>
      </c>
      <c r="E3270" s="69" t="s">
        <v>27</v>
      </c>
      <c r="F3270" s="20" t="s">
        <v>533</v>
      </c>
      <c r="G3270" s="15"/>
      <c r="H3270" s="15"/>
      <c r="I3270" s="15"/>
      <c r="J3270" s="15"/>
      <c r="K3270" s="15"/>
      <c r="L3270" s="15"/>
      <c r="M3270" s="15"/>
      <c r="N3270" s="15"/>
      <c r="O3270" s="15"/>
      <c r="P3270" s="15"/>
      <c r="Q3270" s="15"/>
      <c r="R3270" s="15"/>
    </row>
    <row r="3271" spans="2:18" ht="13">
      <c r="B3271" s="33"/>
      <c r="C3271" s="34"/>
      <c r="D3271" s="68" t="s">
        <v>26</v>
      </c>
      <c r="E3271" s="69" t="s">
        <v>27</v>
      </c>
      <c r="F3271" s="20" t="s">
        <v>533</v>
      </c>
      <c r="G3271" s="15"/>
      <c r="H3271" s="15"/>
      <c r="I3271" s="15"/>
      <c r="J3271" s="15"/>
      <c r="K3271" s="15"/>
      <c r="L3271" s="15"/>
      <c r="M3271" s="15"/>
      <c r="N3271" s="15"/>
      <c r="O3271" s="15"/>
      <c r="P3271" s="15"/>
      <c r="Q3271" s="15"/>
      <c r="R3271" s="15"/>
    </row>
    <row r="3272" spans="2:18" ht="13">
      <c r="B3272" s="33"/>
      <c r="C3272" s="34"/>
      <c r="D3272" s="68" t="s">
        <v>17</v>
      </c>
      <c r="E3272" s="69" t="s">
        <v>27</v>
      </c>
      <c r="F3272" s="20" t="s">
        <v>533</v>
      </c>
      <c r="G3272" s="15"/>
      <c r="H3272" s="15"/>
      <c r="I3272" s="15"/>
      <c r="J3272" s="15"/>
      <c r="K3272" s="15"/>
      <c r="L3272" s="15"/>
      <c r="M3272" s="15"/>
      <c r="N3272" s="15"/>
      <c r="O3272" s="15"/>
      <c r="P3272" s="15"/>
      <c r="Q3272" s="15"/>
      <c r="R3272" s="15"/>
    </row>
    <row r="3273" spans="2:18" ht="13">
      <c r="B3273" s="33"/>
      <c r="C3273" s="34"/>
      <c r="D3273" s="68" t="s">
        <v>17</v>
      </c>
      <c r="E3273" s="69" t="s">
        <v>27</v>
      </c>
      <c r="F3273" s="20" t="s">
        <v>533</v>
      </c>
      <c r="G3273" s="15"/>
      <c r="H3273" s="15"/>
      <c r="I3273" s="15"/>
      <c r="J3273" s="15"/>
      <c r="K3273" s="15"/>
      <c r="L3273" s="15"/>
      <c r="M3273" s="15"/>
      <c r="N3273" s="15"/>
      <c r="O3273" s="15"/>
      <c r="P3273" s="15"/>
      <c r="Q3273" s="15"/>
      <c r="R3273" s="15"/>
    </row>
    <row r="3274" spans="2:18" ht="13">
      <c r="B3274" s="33"/>
      <c r="C3274" s="34"/>
      <c r="D3274" s="68" t="s">
        <v>17</v>
      </c>
      <c r="E3274" s="69" t="s">
        <v>27</v>
      </c>
      <c r="F3274" s="20" t="s">
        <v>533</v>
      </c>
      <c r="G3274" s="15"/>
      <c r="H3274" s="15"/>
      <c r="I3274" s="15"/>
      <c r="J3274" s="15"/>
      <c r="K3274" s="15"/>
      <c r="L3274" s="15"/>
      <c r="M3274" s="15"/>
      <c r="N3274" s="15"/>
      <c r="O3274" s="15"/>
      <c r="P3274" s="15"/>
      <c r="Q3274" s="15"/>
      <c r="R3274" s="15"/>
    </row>
    <row r="3275" spans="2:18" ht="13">
      <c r="B3275" s="33"/>
      <c r="C3275" s="34"/>
      <c r="D3275" s="68" t="s">
        <v>577</v>
      </c>
      <c r="E3275" s="69" t="s">
        <v>124</v>
      </c>
      <c r="F3275" s="20" t="s">
        <v>533</v>
      </c>
      <c r="G3275" s="15"/>
      <c r="H3275" s="15"/>
      <c r="I3275" s="15"/>
      <c r="J3275" s="15"/>
      <c r="K3275" s="15"/>
      <c r="L3275" s="15"/>
      <c r="M3275" s="15"/>
      <c r="N3275" s="15"/>
      <c r="O3275" s="15"/>
      <c r="P3275" s="15"/>
      <c r="Q3275" s="15"/>
      <c r="R3275" s="15"/>
    </row>
    <row r="3276" spans="2:18" ht="13">
      <c r="B3276" s="33"/>
      <c r="C3276" s="34"/>
      <c r="D3276" s="68" t="s">
        <v>86</v>
      </c>
      <c r="E3276" s="69" t="s">
        <v>124</v>
      </c>
      <c r="F3276" s="20" t="s">
        <v>533</v>
      </c>
      <c r="G3276" s="15"/>
      <c r="H3276" s="15"/>
      <c r="I3276" s="15"/>
      <c r="J3276" s="15"/>
      <c r="K3276" s="15"/>
      <c r="L3276" s="15"/>
      <c r="M3276" s="15"/>
      <c r="N3276" s="15"/>
      <c r="O3276" s="15"/>
      <c r="P3276" s="15"/>
      <c r="Q3276" s="15"/>
      <c r="R3276" s="15"/>
    </row>
    <row r="3277" spans="2:18" ht="13">
      <c r="B3277" s="33"/>
      <c r="C3277" s="34"/>
      <c r="D3277" s="68" t="s">
        <v>17</v>
      </c>
      <c r="E3277" s="69" t="s">
        <v>27</v>
      </c>
      <c r="F3277" s="20" t="s">
        <v>533</v>
      </c>
      <c r="G3277" s="15"/>
      <c r="H3277" s="15"/>
      <c r="I3277" s="15"/>
      <c r="J3277" s="15"/>
      <c r="K3277" s="15"/>
      <c r="L3277" s="15"/>
      <c r="M3277" s="15"/>
      <c r="N3277" s="15"/>
      <c r="O3277" s="15"/>
      <c r="P3277" s="15"/>
      <c r="Q3277" s="15"/>
      <c r="R3277" s="15"/>
    </row>
    <row r="3278" spans="2:18" ht="13">
      <c r="B3278" s="33"/>
      <c r="C3278" s="34"/>
      <c r="D3278" s="68" t="s">
        <v>26</v>
      </c>
      <c r="E3278" s="69" t="s">
        <v>27</v>
      </c>
      <c r="F3278" s="20" t="s">
        <v>533</v>
      </c>
      <c r="G3278" s="15"/>
      <c r="H3278" s="15"/>
      <c r="I3278" s="15"/>
      <c r="J3278" s="15"/>
      <c r="K3278" s="15"/>
      <c r="L3278" s="15"/>
      <c r="M3278" s="15"/>
      <c r="N3278" s="15"/>
      <c r="O3278" s="15"/>
      <c r="P3278" s="15"/>
      <c r="Q3278" s="15"/>
      <c r="R3278" s="15"/>
    </row>
    <row r="3279" spans="2:18" ht="13">
      <c r="B3279" s="33"/>
      <c r="C3279" s="34"/>
      <c r="D3279" s="68" t="s">
        <v>17</v>
      </c>
      <c r="E3279" s="69" t="s">
        <v>27</v>
      </c>
      <c r="F3279" s="20" t="s">
        <v>533</v>
      </c>
      <c r="G3279" s="15"/>
      <c r="H3279" s="15"/>
      <c r="I3279" s="15"/>
      <c r="J3279" s="15"/>
      <c r="K3279" s="15"/>
      <c r="L3279" s="15"/>
      <c r="M3279" s="15"/>
      <c r="N3279" s="15"/>
      <c r="O3279" s="15"/>
      <c r="P3279" s="15"/>
      <c r="Q3279" s="15"/>
      <c r="R3279" s="15"/>
    </row>
    <row r="3280" spans="2:18" ht="13">
      <c r="B3280" s="33"/>
      <c r="C3280" s="34"/>
      <c r="D3280" s="68" t="s">
        <v>590</v>
      </c>
      <c r="E3280" s="69" t="s">
        <v>32</v>
      </c>
      <c r="F3280" s="20" t="s">
        <v>533</v>
      </c>
      <c r="G3280" s="15"/>
      <c r="H3280" s="15"/>
      <c r="I3280" s="15"/>
      <c r="J3280" s="15"/>
      <c r="K3280" s="15"/>
      <c r="L3280" s="15"/>
      <c r="M3280" s="15"/>
      <c r="N3280" s="15"/>
      <c r="O3280" s="15"/>
      <c r="P3280" s="15"/>
      <c r="Q3280" s="15"/>
      <c r="R3280" s="15"/>
    </row>
    <row r="3281" spans="2:18" ht="13">
      <c r="B3281" s="33"/>
      <c r="C3281" s="34"/>
      <c r="D3281" s="68" t="s">
        <v>17</v>
      </c>
      <c r="E3281" s="69" t="s">
        <v>27</v>
      </c>
      <c r="F3281" s="20" t="s">
        <v>533</v>
      </c>
      <c r="G3281" s="15"/>
      <c r="H3281" s="15"/>
      <c r="I3281" s="15"/>
      <c r="J3281" s="15"/>
      <c r="K3281" s="15"/>
      <c r="L3281" s="15"/>
      <c r="M3281" s="15"/>
      <c r="N3281" s="15"/>
      <c r="O3281" s="15"/>
      <c r="P3281" s="15"/>
      <c r="Q3281" s="15"/>
      <c r="R3281" s="15"/>
    </row>
    <row r="3282" spans="2:18" ht="13">
      <c r="B3282" s="33"/>
      <c r="C3282" s="34"/>
      <c r="D3282" s="68" t="s">
        <v>17</v>
      </c>
      <c r="E3282" s="69" t="s">
        <v>27</v>
      </c>
      <c r="F3282" s="20" t="s">
        <v>533</v>
      </c>
      <c r="G3282" s="15"/>
      <c r="H3282" s="15"/>
      <c r="I3282" s="15"/>
      <c r="J3282" s="15"/>
      <c r="K3282" s="15"/>
      <c r="L3282" s="15"/>
      <c r="M3282" s="15"/>
      <c r="N3282" s="15"/>
      <c r="O3282" s="15"/>
      <c r="P3282" s="15"/>
      <c r="Q3282" s="15"/>
      <c r="R3282" s="15"/>
    </row>
    <row r="3283" spans="2:18" ht="13">
      <c r="B3283" s="33"/>
      <c r="C3283" s="34"/>
      <c r="D3283" s="68" t="s">
        <v>17</v>
      </c>
      <c r="E3283" s="69" t="s">
        <v>628</v>
      </c>
      <c r="F3283" s="20" t="s">
        <v>533</v>
      </c>
      <c r="G3283" s="15"/>
      <c r="H3283" s="15"/>
      <c r="I3283" s="15"/>
      <c r="J3283" s="15"/>
      <c r="K3283" s="15"/>
      <c r="L3283" s="15"/>
      <c r="M3283" s="15"/>
      <c r="N3283" s="15"/>
      <c r="O3283" s="15"/>
      <c r="P3283" s="15"/>
      <c r="Q3283" s="15"/>
      <c r="R3283" s="15"/>
    </row>
    <row r="3284" spans="2:18" ht="13">
      <c r="B3284" s="33"/>
      <c r="C3284" s="34"/>
      <c r="D3284" s="68" t="s">
        <v>17</v>
      </c>
      <c r="E3284" s="69" t="s">
        <v>27</v>
      </c>
      <c r="F3284" s="20" t="s">
        <v>533</v>
      </c>
      <c r="G3284" s="15"/>
      <c r="H3284" s="15"/>
      <c r="I3284" s="15"/>
      <c r="J3284" s="15"/>
      <c r="K3284" s="15"/>
      <c r="L3284" s="15"/>
      <c r="M3284" s="15"/>
      <c r="N3284" s="15"/>
      <c r="O3284" s="15"/>
      <c r="P3284" s="15"/>
      <c r="Q3284" s="15"/>
      <c r="R3284" s="15"/>
    </row>
    <row r="3285" spans="2:18" ht="13">
      <c r="B3285" s="33"/>
      <c r="C3285" s="34"/>
      <c r="D3285" s="68" t="s">
        <v>17</v>
      </c>
      <c r="E3285" s="69" t="s">
        <v>27</v>
      </c>
      <c r="F3285" s="20" t="s">
        <v>533</v>
      </c>
      <c r="G3285" s="15"/>
      <c r="H3285" s="15"/>
      <c r="I3285" s="15"/>
      <c r="J3285" s="15"/>
      <c r="K3285" s="15"/>
      <c r="L3285" s="15"/>
      <c r="M3285" s="15"/>
      <c r="N3285" s="15"/>
      <c r="O3285" s="15"/>
      <c r="P3285" s="15"/>
      <c r="Q3285" s="15"/>
      <c r="R3285" s="15"/>
    </row>
    <row r="3286" spans="2:18" ht="13">
      <c r="B3286" s="33"/>
      <c r="C3286" s="34"/>
      <c r="D3286" s="68" t="s">
        <v>17</v>
      </c>
      <c r="E3286" s="69" t="s">
        <v>27</v>
      </c>
      <c r="F3286" s="20" t="s">
        <v>533</v>
      </c>
      <c r="G3286" s="15"/>
      <c r="H3286" s="15"/>
      <c r="I3286" s="15"/>
      <c r="J3286" s="15"/>
      <c r="K3286" s="15"/>
      <c r="L3286" s="15"/>
      <c r="M3286" s="15"/>
      <c r="N3286" s="15"/>
      <c r="O3286" s="15"/>
      <c r="P3286" s="15"/>
      <c r="Q3286" s="15"/>
      <c r="R3286" s="15"/>
    </row>
    <row r="3287" spans="2:18" ht="13">
      <c r="B3287" s="33"/>
      <c r="C3287" s="34"/>
      <c r="D3287" s="68" t="s">
        <v>17</v>
      </c>
      <c r="E3287" s="69" t="s">
        <v>27</v>
      </c>
      <c r="F3287" s="20" t="s">
        <v>533</v>
      </c>
      <c r="G3287" s="15"/>
      <c r="H3287" s="15"/>
      <c r="I3287" s="15"/>
      <c r="J3287" s="15"/>
      <c r="K3287" s="15"/>
      <c r="L3287" s="15"/>
      <c r="M3287" s="15"/>
      <c r="N3287" s="15"/>
      <c r="O3287" s="15"/>
      <c r="P3287" s="15"/>
      <c r="Q3287" s="15"/>
      <c r="R3287" s="15"/>
    </row>
    <row r="3288" spans="2:18" ht="13">
      <c r="B3288" s="33"/>
      <c r="C3288" s="34"/>
      <c r="D3288" s="68" t="s">
        <v>17</v>
      </c>
      <c r="E3288" s="69" t="s">
        <v>27</v>
      </c>
      <c r="F3288" s="20" t="s">
        <v>533</v>
      </c>
      <c r="G3288" s="15"/>
      <c r="H3288" s="15"/>
      <c r="I3288" s="15"/>
      <c r="J3288" s="15"/>
      <c r="K3288" s="15"/>
      <c r="L3288" s="15"/>
      <c r="M3288" s="15"/>
      <c r="N3288" s="15"/>
      <c r="O3288" s="15"/>
      <c r="P3288" s="15"/>
      <c r="Q3288" s="15"/>
      <c r="R3288" s="15"/>
    </row>
    <row r="3289" spans="2:18" ht="13">
      <c r="B3289" s="33"/>
      <c r="C3289" s="34"/>
      <c r="D3289" s="68" t="s">
        <v>17</v>
      </c>
      <c r="E3289" s="69" t="s">
        <v>27</v>
      </c>
      <c r="F3289" s="20" t="s">
        <v>533</v>
      </c>
      <c r="G3289" s="15"/>
      <c r="H3289" s="15"/>
      <c r="I3289" s="15"/>
      <c r="J3289" s="15"/>
      <c r="K3289" s="15"/>
      <c r="L3289" s="15"/>
      <c r="M3289" s="15"/>
      <c r="N3289" s="15"/>
      <c r="O3289" s="15"/>
      <c r="P3289" s="15"/>
      <c r="Q3289" s="15"/>
      <c r="R3289" s="15"/>
    </row>
    <row r="3290" spans="2:18" ht="13">
      <c r="B3290" s="33"/>
      <c r="C3290" s="34"/>
      <c r="D3290" s="68" t="s">
        <v>17</v>
      </c>
      <c r="E3290" s="69" t="s">
        <v>27</v>
      </c>
      <c r="F3290" s="20" t="s">
        <v>533</v>
      </c>
      <c r="G3290" s="15"/>
      <c r="H3290" s="15"/>
      <c r="I3290" s="15"/>
      <c r="J3290" s="15"/>
      <c r="K3290" s="15"/>
      <c r="L3290" s="15"/>
      <c r="M3290" s="15"/>
      <c r="N3290" s="15"/>
      <c r="O3290" s="15"/>
      <c r="P3290" s="15"/>
      <c r="Q3290" s="15"/>
      <c r="R3290" s="15"/>
    </row>
    <row r="3291" spans="2:18" ht="13">
      <c r="B3291" s="33"/>
      <c r="C3291" s="34"/>
      <c r="D3291" s="68" t="s">
        <v>17</v>
      </c>
      <c r="E3291" s="69" t="s">
        <v>27</v>
      </c>
      <c r="F3291" s="20" t="s">
        <v>533</v>
      </c>
      <c r="G3291" s="15"/>
      <c r="H3291" s="15"/>
      <c r="I3291" s="15"/>
      <c r="J3291" s="15"/>
      <c r="K3291" s="15"/>
      <c r="L3291" s="15"/>
      <c r="M3291" s="15"/>
      <c r="N3291" s="15"/>
      <c r="O3291" s="15"/>
      <c r="P3291" s="15"/>
      <c r="Q3291" s="15"/>
      <c r="R3291" s="15"/>
    </row>
    <row r="3292" spans="2:18" ht="13">
      <c r="B3292" s="33"/>
      <c r="C3292" s="34"/>
      <c r="D3292" s="68" t="s">
        <v>17</v>
      </c>
      <c r="E3292" s="69" t="s">
        <v>27</v>
      </c>
      <c r="F3292" s="20" t="s">
        <v>533</v>
      </c>
      <c r="G3292" s="15"/>
      <c r="H3292" s="15"/>
      <c r="I3292" s="15"/>
      <c r="J3292" s="15"/>
      <c r="K3292" s="15"/>
      <c r="L3292" s="15"/>
      <c r="M3292" s="15"/>
      <c r="N3292" s="15"/>
      <c r="O3292" s="15"/>
      <c r="P3292" s="15"/>
      <c r="Q3292" s="15"/>
      <c r="R3292" s="15"/>
    </row>
    <row r="3293" spans="2:18" ht="13">
      <c r="B3293" s="33"/>
      <c r="C3293" s="34"/>
      <c r="D3293" s="68" t="s">
        <v>17</v>
      </c>
      <c r="E3293" s="69" t="s">
        <v>27</v>
      </c>
      <c r="F3293" s="20" t="s">
        <v>533</v>
      </c>
      <c r="G3293" s="15"/>
      <c r="H3293" s="15"/>
      <c r="I3293" s="15"/>
      <c r="J3293" s="15"/>
      <c r="K3293" s="15"/>
      <c r="L3293" s="15"/>
      <c r="M3293" s="15"/>
      <c r="N3293" s="15"/>
      <c r="O3293" s="15"/>
      <c r="P3293" s="15"/>
      <c r="Q3293" s="15"/>
      <c r="R3293" s="15"/>
    </row>
    <row r="3294" spans="2:18" ht="13">
      <c r="B3294" s="33"/>
      <c r="C3294" s="34"/>
      <c r="D3294" s="68" t="s">
        <v>17</v>
      </c>
      <c r="E3294" s="69" t="s">
        <v>27</v>
      </c>
      <c r="F3294" s="20" t="s">
        <v>533</v>
      </c>
      <c r="G3294" s="15"/>
      <c r="H3294" s="15"/>
      <c r="I3294" s="15"/>
      <c r="J3294" s="15"/>
      <c r="K3294" s="15"/>
      <c r="L3294" s="15"/>
      <c r="M3294" s="15"/>
      <c r="N3294" s="15"/>
      <c r="O3294" s="15"/>
      <c r="P3294" s="15"/>
      <c r="Q3294" s="15"/>
      <c r="R3294" s="15"/>
    </row>
    <row r="3295" spans="2:18" ht="13">
      <c r="B3295" s="33"/>
      <c r="C3295" s="34"/>
      <c r="D3295" s="68" t="s">
        <v>26</v>
      </c>
      <c r="E3295" s="69" t="s">
        <v>27</v>
      </c>
      <c r="F3295" s="20" t="s">
        <v>533</v>
      </c>
      <c r="G3295" s="15"/>
      <c r="H3295" s="15"/>
      <c r="I3295" s="15"/>
      <c r="J3295" s="15"/>
      <c r="K3295" s="15"/>
      <c r="L3295" s="15"/>
      <c r="M3295" s="15"/>
      <c r="N3295" s="15"/>
      <c r="O3295" s="15"/>
      <c r="P3295" s="15"/>
      <c r="Q3295" s="15"/>
      <c r="R3295" s="15"/>
    </row>
    <row r="3296" spans="2:18" ht="13">
      <c r="B3296" s="33"/>
      <c r="C3296" s="34"/>
      <c r="D3296" s="68" t="s">
        <v>26</v>
      </c>
      <c r="E3296" s="69" t="s">
        <v>27</v>
      </c>
      <c r="F3296" s="20" t="s">
        <v>533</v>
      </c>
      <c r="G3296" s="15"/>
      <c r="H3296" s="15"/>
      <c r="I3296" s="15"/>
      <c r="J3296" s="15"/>
      <c r="K3296" s="15"/>
      <c r="L3296" s="15"/>
      <c r="M3296" s="15"/>
      <c r="N3296" s="15"/>
      <c r="O3296" s="15"/>
      <c r="P3296" s="15"/>
      <c r="Q3296" s="15"/>
      <c r="R3296" s="15"/>
    </row>
    <row r="3297" spans="2:18" ht="13">
      <c r="B3297" s="33"/>
      <c r="C3297" s="34"/>
      <c r="D3297" s="68" t="s">
        <v>17</v>
      </c>
      <c r="E3297" s="69" t="s">
        <v>27</v>
      </c>
      <c r="F3297" s="20" t="s">
        <v>533</v>
      </c>
      <c r="G3297" s="15"/>
      <c r="H3297" s="15"/>
      <c r="I3297" s="15"/>
      <c r="J3297" s="15"/>
      <c r="K3297" s="15"/>
      <c r="L3297" s="15"/>
      <c r="M3297" s="15"/>
      <c r="N3297" s="15"/>
      <c r="O3297" s="15"/>
      <c r="P3297" s="15"/>
      <c r="Q3297" s="15"/>
      <c r="R3297" s="15"/>
    </row>
    <row r="3298" spans="2:18" ht="13">
      <c r="B3298" s="33"/>
      <c r="C3298" s="34"/>
      <c r="D3298" s="68" t="s">
        <v>26</v>
      </c>
      <c r="E3298" s="69" t="s">
        <v>27</v>
      </c>
      <c r="F3298" s="20" t="s">
        <v>533</v>
      </c>
      <c r="G3298" s="15"/>
      <c r="H3298" s="15"/>
      <c r="I3298" s="15"/>
      <c r="J3298" s="15"/>
      <c r="K3298" s="15"/>
      <c r="L3298" s="15"/>
      <c r="M3298" s="15"/>
      <c r="N3298" s="15"/>
      <c r="O3298" s="15"/>
      <c r="P3298" s="15"/>
      <c r="Q3298" s="15"/>
      <c r="R3298" s="15"/>
    </row>
    <row r="3299" spans="2:18" ht="13">
      <c r="B3299" s="33"/>
      <c r="C3299" s="34"/>
      <c r="D3299" s="68" t="s">
        <v>17</v>
      </c>
      <c r="E3299" s="69" t="s">
        <v>27</v>
      </c>
      <c r="F3299" s="20" t="s">
        <v>533</v>
      </c>
      <c r="G3299" s="15"/>
      <c r="H3299" s="15"/>
      <c r="I3299" s="15"/>
      <c r="J3299" s="15"/>
      <c r="K3299" s="15"/>
      <c r="L3299" s="15"/>
      <c r="M3299" s="15"/>
      <c r="N3299" s="15"/>
      <c r="O3299" s="15"/>
      <c r="P3299" s="15"/>
      <c r="Q3299" s="15"/>
      <c r="R3299" s="15"/>
    </row>
    <row r="3300" spans="2:18" ht="13">
      <c r="B3300" s="33"/>
      <c r="C3300" s="34"/>
      <c r="D3300" s="68" t="s">
        <v>17</v>
      </c>
      <c r="E3300" s="69" t="s">
        <v>27</v>
      </c>
      <c r="F3300" s="20" t="s">
        <v>533</v>
      </c>
      <c r="G3300" s="15"/>
      <c r="H3300" s="15"/>
      <c r="I3300" s="15"/>
      <c r="J3300" s="15"/>
      <c r="K3300" s="15"/>
      <c r="L3300" s="15"/>
      <c r="M3300" s="15"/>
      <c r="N3300" s="15"/>
      <c r="O3300" s="15"/>
      <c r="P3300" s="15"/>
      <c r="Q3300" s="15"/>
      <c r="R3300" s="15"/>
    </row>
    <row r="3301" spans="2:18" ht="13">
      <c r="B3301" s="33"/>
      <c r="C3301" s="34"/>
      <c r="D3301" s="68" t="s">
        <v>17</v>
      </c>
      <c r="E3301" s="69" t="s">
        <v>18</v>
      </c>
      <c r="F3301" s="20" t="s">
        <v>533</v>
      </c>
      <c r="G3301" s="15"/>
      <c r="H3301" s="15"/>
      <c r="I3301" s="15"/>
      <c r="J3301" s="15"/>
      <c r="K3301" s="15"/>
      <c r="L3301" s="15"/>
      <c r="M3301" s="15"/>
      <c r="N3301" s="15"/>
      <c r="O3301" s="15"/>
      <c r="P3301" s="15"/>
      <c r="Q3301" s="15"/>
      <c r="R3301" s="15"/>
    </row>
    <row r="3302" spans="2:18" ht="13">
      <c r="B3302" s="33"/>
      <c r="C3302" s="34"/>
      <c r="D3302" s="68" t="s">
        <v>17</v>
      </c>
      <c r="E3302" s="69" t="s">
        <v>27</v>
      </c>
      <c r="F3302" s="20" t="s">
        <v>533</v>
      </c>
      <c r="G3302" s="15"/>
      <c r="H3302" s="15"/>
      <c r="I3302" s="15"/>
      <c r="J3302" s="15"/>
      <c r="K3302" s="15"/>
      <c r="L3302" s="15"/>
      <c r="M3302" s="15"/>
      <c r="N3302" s="15"/>
      <c r="O3302" s="15"/>
      <c r="P3302" s="15"/>
      <c r="Q3302" s="15"/>
      <c r="R3302" s="15"/>
    </row>
    <row r="3303" spans="2:18" ht="13">
      <c r="B3303" s="33"/>
      <c r="C3303" s="34"/>
      <c r="D3303" s="68" t="s">
        <v>17</v>
      </c>
      <c r="E3303" s="69" t="s">
        <v>379</v>
      </c>
      <c r="F3303" s="20" t="s">
        <v>533</v>
      </c>
      <c r="G3303" s="15"/>
      <c r="H3303" s="15"/>
      <c r="I3303" s="15"/>
      <c r="J3303" s="15"/>
      <c r="K3303" s="15"/>
      <c r="L3303" s="15"/>
      <c r="M3303" s="15"/>
      <c r="N3303" s="15"/>
      <c r="O3303" s="15"/>
      <c r="P3303" s="15"/>
      <c r="Q3303" s="15"/>
      <c r="R3303" s="15"/>
    </row>
    <row r="3304" spans="2:18" ht="13">
      <c r="B3304" s="33"/>
      <c r="C3304" s="34"/>
      <c r="D3304" s="68" t="s">
        <v>572</v>
      </c>
      <c r="E3304" s="69" t="s">
        <v>32</v>
      </c>
      <c r="F3304" s="20" t="s">
        <v>533</v>
      </c>
      <c r="G3304" s="15"/>
      <c r="H3304" s="15"/>
      <c r="I3304" s="15"/>
      <c r="J3304" s="15"/>
      <c r="K3304" s="15"/>
      <c r="L3304" s="15"/>
      <c r="M3304" s="15"/>
      <c r="N3304" s="15"/>
      <c r="O3304" s="15"/>
      <c r="P3304" s="15"/>
      <c r="Q3304" s="15"/>
      <c r="R3304" s="15"/>
    </row>
    <row r="3305" spans="2:18" ht="13">
      <c r="B3305" s="33"/>
      <c r="C3305" s="34"/>
      <c r="D3305" s="68" t="s">
        <v>26</v>
      </c>
      <c r="E3305" s="69" t="s">
        <v>27</v>
      </c>
      <c r="F3305" s="20" t="s">
        <v>533</v>
      </c>
      <c r="G3305" s="15"/>
      <c r="H3305" s="15"/>
      <c r="I3305" s="15"/>
      <c r="J3305" s="15"/>
      <c r="K3305" s="15"/>
      <c r="L3305" s="15"/>
      <c r="M3305" s="15"/>
      <c r="N3305" s="15"/>
      <c r="O3305" s="15"/>
      <c r="P3305" s="15"/>
      <c r="Q3305" s="15"/>
      <c r="R3305" s="15"/>
    </row>
    <row r="3306" spans="2:18" ht="13">
      <c r="B3306" s="33"/>
      <c r="C3306" s="34"/>
      <c r="D3306" s="68" t="s">
        <v>670</v>
      </c>
      <c r="E3306" s="69" t="s">
        <v>37</v>
      </c>
      <c r="F3306" s="20" t="s">
        <v>533</v>
      </c>
      <c r="G3306" s="15"/>
      <c r="H3306" s="15"/>
      <c r="I3306" s="15"/>
      <c r="J3306" s="15"/>
      <c r="K3306" s="15"/>
      <c r="L3306" s="15"/>
      <c r="M3306" s="15"/>
      <c r="N3306" s="15"/>
      <c r="O3306" s="15"/>
      <c r="P3306" s="15"/>
      <c r="Q3306" s="15"/>
      <c r="R3306" s="15"/>
    </row>
    <row r="3307" spans="2:18" ht="13">
      <c r="B3307" s="33"/>
      <c r="C3307" s="34"/>
      <c r="D3307" s="68" t="s">
        <v>17</v>
      </c>
      <c r="E3307" s="69" t="s">
        <v>27</v>
      </c>
      <c r="F3307" s="20" t="s">
        <v>533</v>
      </c>
      <c r="G3307" s="15"/>
      <c r="H3307" s="15"/>
      <c r="I3307" s="15"/>
      <c r="J3307" s="15"/>
      <c r="K3307" s="15"/>
      <c r="L3307" s="15"/>
      <c r="M3307" s="15"/>
      <c r="N3307" s="15"/>
      <c r="O3307" s="15"/>
      <c r="P3307" s="15"/>
      <c r="Q3307" s="15"/>
      <c r="R3307" s="15"/>
    </row>
    <row r="3308" spans="2:18" ht="13">
      <c r="B3308" s="33"/>
      <c r="C3308" s="34"/>
      <c r="D3308" s="68" t="s">
        <v>17</v>
      </c>
      <c r="E3308" s="69" t="s">
        <v>27</v>
      </c>
      <c r="F3308" s="20" t="s">
        <v>533</v>
      </c>
      <c r="G3308" s="15"/>
      <c r="H3308" s="15"/>
      <c r="I3308" s="15"/>
      <c r="J3308" s="15"/>
      <c r="K3308" s="15"/>
      <c r="L3308" s="15"/>
      <c r="M3308" s="15"/>
      <c r="N3308" s="15"/>
      <c r="O3308" s="15"/>
      <c r="P3308" s="15"/>
      <c r="Q3308" s="15"/>
      <c r="R3308" s="15"/>
    </row>
    <row r="3309" spans="2:18" ht="13">
      <c r="B3309" s="33"/>
      <c r="C3309" s="34"/>
      <c r="D3309" s="68" t="s">
        <v>17</v>
      </c>
      <c r="E3309" s="69" t="s">
        <v>27</v>
      </c>
      <c r="F3309" s="20" t="s">
        <v>533</v>
      </c>
      <c r="G3309" s="15"/>
      <c r="H3309" s="15"/>
      <c r="I3309" s="15"/>
      <c r="J3309" s="15"/>
      <c r="K3309" s="15"/>
      <c r="L3309" s="15"/>
      <c r="M3309" s="15"/>
      <c r="N3309" s="15"/>
      <c r="O3309" s="15"/>
      <c r="P3309" s="15"/>
      <c r="Q3309" s="15"/>
      <c r="R3309" s="15"/>
    </row>
    <row r="3310" spans="2:18" ht="13">
      <c r="B3310" s="33"/>
      <c r="C3310" s="34"/>
      <c r="D3310" s="68" t="s">
        <v>26</v>
      </c>
      <c r="E3310" s="69" t="s">
        <v>27</v>
      </c>
      <c r="F3310" s="20" t="s">
        <v>533</v>
      </c>
      <c r="G3310" s="15"/>
      <c r="H3310" s="15"/>
      <c r="I3310" s="15"/>
      <c r="J3310" s="15"/>
      <c r="K3310" s="15"/>
      <c r="L3310" s="15"/>
      <c r="M3310" s="15"/>
      <c r="N3310" s="15"/>
      <c r="O3310" s="15"/>
      <c r="P3310" s="15"/>
      <c r="Q3310" s="15"/>
      <c r="R3310" s="15"/>
    </row>
    <row r="3311" spans="2:18" ht="13">
      <c r="B3311" s="33"/>
      <c r="C3311" s="34"/>
      <c r="D3311" s="68" t="s">
        <v>17</v>
      </c>
      <c r="E3311" s="69" t="s">
        <v>27</v>
      </c>
      <c r="F3311" s="20" t="s">
        <v>533</v>
      </c>
      <c r="G3311" s="15"/>
      <c r="H3311" s="15"/>
      <c r="I3311" s="15"/>
      <c r="J3311" s="15"/>
      <c r="K3311" s="15"/>
      <c r="L3311" s="15"/>
      <c r="M3311" s="15"/>
      <c r="N3311" s="15"/>
      <c r="O3311" s="15"/>
      <c r="P3311" s="15"/>
      <c r="Q3311" s="15"/>
      <c r="R3311" s="15"/>
    </row>
    <row r="3312" spans="2:18" ht="13">
      <c r="B3312" s="33"/>
      <c r="C3312" s="34"/>
      <c r="D3312" s="68" t="s">
        <v>26</v>
      </c>
      <c r="E3312" s="69" t="s">
        <v>27</v>
      </c>
      <c r="F3312" s="20" t="s">
        <v>533</v>
      </c>
      <c r="G3312" s="15"/>
      <c r="H3312" s="15"/>
      <c r="I3312" s="15"/>
      <c r="J3312" s="15"/>
      <c r="K3312" s="15"/>
      <c r="L3312" s="15"/>
      <c r="M3312" s="15"/>
      <c r="N3312" s="15"/>
      <c r="O3312" s="15"/>
      <c r="P3312" s="15"/>
      <c r="Q3312" s="15"/>
      <c r="R3312" s="15"/>
    </row>
    <row r="3313" spans="2:18" ht="13">
      <c r="B3313" s="33"/>
      <c r="C3313" s="34"/>
      <c r="D3313" s="68" t="s">
        <v>17</v>
      </c>
      <c r="E3313" s="69" t="s">
        <v>27</v>
      </c>
      <c r="F3313" s="20" t="s">
        <v>533</v>
      </c>
      <c r="G3313" s="15"/>
      <c r="H3313" s="15"/>
      <c r="I3313" s="15"/>
      <c r="J3313" s="15"/>
      <c r="K3313" s="15"/>
      <c r="L3313" s="15"/>
      <c r="M3313" s="15"/>
      <c r="N3313" s="15"/>
      <c r="O3313" s="15"/>
      <c r="P3313" s="15"/>
      <c r="Q3313" s="15"/>
      <c r="R3313" s="15"/>
    </row>
    <row r="3314" spans="2:18" ht="13">
      <c r="B3314" s="33"/>
      <c r="C3314" s="34"/>
      <c r="D3314" s="68" t="s">
        <v>17</v>
      </c>
      <c r="E3314" s="69" t="s">
        <v>27</v>
      </c>
      <c r="F3314" s="20" t="s">
        <v>533</v>
      </c>
      <c r="G3314" s="15"/>
      <c r="H3314" s="15"/>
      <c r="I3314" s="15"/>
      <c r="J3314" s="15"/>
      <c r="K3314" s="15"/>
      <c r="L3314" s="15"/>
      <c r="M3314" s="15"/>
      <c r="N3314" s="15"/>
      <c r="O3314" s="15"/>
      <c r="P3314" s="15"/>
      <c r="Q3314" s="15"/>
      <c r="R3314" s="15"/>
    </row>
    <row r="3315" spans="2:18" ht="13">
      <c r="B3315" s="33"/>
      <c r="C3315" s="34"/>
      <c r="D3315" s="68" t="s">
        <v>569</v>
      </c>
      <c r="E3315" s="69" t="s">
        <v>32</v>
      </c>
      <c r="F3315" s="20" t="s">
        <v>533</v>
      </c>
      <c r="G3315" s="15"/>
      <c r="H3315" s="15"/>
      <c r="I3315" s="15"/>
      <c r="J3315" s="15"/>
      <c r="K3315" s="15"/>
      <c r="L3315" s="15"/>
      <c r="M3315" s="15"/>
      <c r="N3315" s="15"/>
      <c r="O3315" s="15"/>
      <c r="P3315" s="15"/>
      <c r="Q3315" s="15"/>
      <c r="R3315" s="15"/>
    </row>
    <row r="3316" spans="2:18" ht="13">
      <c r="B3316" s="33"/>
      <c r="C3316" s="34"/>
      <c r="D3316" s="68" t="s">
        <v>17</v>
      </c>
      <c r="E3316" s="69" t="s">
        <v>27</v>
      </c>
      <c r="F3316" s="20" t="s">
        <v>533</v>
      </c>
      <c r="G3316" s="15"/>
      <c r="H3316" s="15"/>
      <c r="I3316" s="15"/>
      <c r="J3316" s="15"/>
      <c r="K3316" s="15"/>
      <c r="L3316" s="15"/>
      <c r="M3316" s="15"/>
      <c r="N3316" s="15"/>
      <c r="O3316" s="15"/>
      <c r="P3316" s="15"/>
      <c r="Q3316" s="15"/>
      <c r="R3316" s="15"/>
    </row>
    <row r="3317" spans="2:18" ht="13">
      <c r="B3317" s="33"/>
      <c r="C3317" s="34"/>
      <c r="D3317" s="68" t="s">
        <v>26</v>
      </c>
      <c r="E3317" s="69" t="s">
        <v>27</v>
      </c>
      <c r="F3317" s="20" t="s">
        <v>533</v>
      </c>
      <c r="G3317" s="15"/>
      <c r="H3317" s="15"/>
      <c r="I3317" s="15"/>
      <c r="J3317" s="15"/>
      <c r="K3317" s="15"/>
      <c r="L3317" s="15"/>
      <c r="M3317" s="15"/>
      <c r="N3317" s="15"/>
      <c r="O3317" s="15"/>
      <c r="P3317" s="15"/>
      <c r="Q3317" s="15"/>
      <c r="R3317" s="15"/>
    </row>
    <row r="3318" spans="2:18" ht="13">
      <c r="B3318" s="33"/>
      <c r="C3318" s="34"/>
      <c r="D3318" s="68" t="s">
        <v>26</v>
      </c>
      <c r="E3318" s="69" t="s">
        <v>27</v>
      </c>
      <c r="F3318" s="20" t="s">
        <v>533</v>
      </c>
      <c r="G3318" s="15"/>
      <c r="H3318" s="15"/>
      <c r="I3318" s="15"/>
      <c r="J3318" s="15"/>
      <c r="K3318" s="15"/>
      <c r="L3318" s="15"/>
      <c r="M3318" s="15"/>
      <c r="N3318" s="15"/>
      <c r="O3318" s="15"/>
      <c r="P3318" s="15"/>
      <c r="Q3318" s="15"/>
      <c r="R3318" s="15"/>
    </row>
    <row r="3319" spans="2:18" ht="13">
      <c r="B3319" s="33"/>
      <c r="C3319" s="34"/>
      <c r="D3319" s="68" t="s">
        <v>17</v>
      </c>
      <c r="E3319" s="69" t="s">
        <v>27</v>
      </c>
      <c r="F3319" s="20" t="s">
        <v>533</v>
      </c>
      <c r="G3319" s="15"/>
      <c r="H3319" s="15"/>
      <c r="I3319" s="15"/>
      <c r="J3319" s="15"/>
      <c r="K3319" s="15"/>
      <c r="L3319" s="15"/>
      <c r="M3319" s="15"/>
      <c r="N3319" s="15"/>
      <c r="O3319" s="15"/>
      <c r="P3319" s="15"/>
      <c r="Q3319" s="15"/>
      <c r="R3319" s="15"/>
    </row>
    <row r="3320" spans="2:18" ht="13">
      <c r="B3320" s="33"/>
      <c r="C3320" s="34"/>
      <c r="D3320" s="68" t="s">
        <v>17</v>
      </c>
      <c r="E3320" s="69" t="s">
        <v>27</v>
      </c>
      <c r="F3320" s="20" t="s">
        <v>533</v>
      </c>
      <c r="G3320" s="15"/>
      <c r="H3320" s="15"/>
      <c r="I3320" s="15"/>
      <c r="J3320" s="15"/>
      <c r="K3320" s="15"/>
      <c r="L3320" s="15"/>
      <c r="M3320" s="15"/>
      <c r="N3320" s="15"/>
      <c r="O3320" s="15"/>
      <c r="P3320" s="15"/>
      <c r="Q3320" s="15"/>
      <c r="R3320" s="15"/>
    </row>
    <row r="3321" spans="2:18" ht="13">
      <c r="B3321" s="33"/>
      <c r="C3321" s="34"/>
      <c r="D3321" s="68" t="s">
        <v>26</v>
      </c>
      <c r="E3321" s="69" t="s">
        <v>27</v>
      </c>
      <c r="F3321" s="20" t="s">
        <v>533</v>
      </c>
      <c r="G3321" s="15"/>
      <c r="H3321" s="15"/>
      <c r="I3321" s="15"/>
      <c r="J3321" s="15"/>
      <c r="K3321" s="15"/>
      <c r="L3321" s="15"/>
      <c r="M3321" s="15"/>
      <c r="N3321" s="15"/>
      <c r="O3321" s="15"/>
      <c r="P3321" s="15"/>
      <c r="Q3321" s="15"/>
      <c r="R3321" s="15"/>
    </row>
    <row r="3322" spans="2:18" ht="13">
      <c r="B3322" s="33"/>
      <c r="C3322" s="34"/>
      <c r="D3322" s="68" t="s">
        <v>17</v>
      </c>
      <c r="E3322" s="69" t="s">
        <v>27</v>
      </c>
      <c r="F3322" s="20" t="s">
        <v>533</v>
      </c>
      <c r="G3322" s="15"/>
      <c r="H3322" s="15"/>
      <c r="I3322" s="15"/>
      <c r="J3322" s="15"/>
      <c r="K3322" s="15"/>
      <c r="L3322" s="15"/>
      <c r="M3322" s="15"/>
      <c r="N3322" s="15"/>
      <c r="O3322" s="15"/>
      <c r="P3322" s="15"/>
      <c r="Q3322" s="15"/>
      <c r="R3322" s="15"/>
    </row>
    <row r="3323" spans="2:18" ht="13">
      <c r="B3323" s="33"/>
      <c r="C3323" s="34"/>
      <c r="D3323" s="68" t="s">
        <v>663</v>
      </c>
      <c r="E3323" s="69" t="s">
        <v>163</v>
      </c>
      <c r="F3323" s="20" t="s">
        <v>533</v>
      </c>
      <c r="G3323" s="15"/>
      <c r="H3323" s="15"/>
      <c r="I3323" s="15"/>
      <c r="J3323" s="15"/>
      <c r="K3323" s="15"/>
      <c r="L3323" s="15"/>
      <c r="M3323" s="15"/>
      <c r="N3323" s="15"/>
      <c r="O3323" s="15"/>
      <c r="P3323" s="15"/>
      <c r="Q3323" s="15"/>
      <c r="R3323" s="15"/>
    </row>
    <row r="3324" spans="2:18" ht="13">
      <c r="B3324" s="33"/>
      <c r="C3324" s="34"/>
      <c r="D3324" s="68" t="s">
        <v>17</v>
      </c>
      <c r="E3324" s="69" t="s">
        <v>27</v>
      </c>
      <c r="F3324" s="20" t="s">
        <v>533</v>
      </c>
      <c r="G3324" s="15"/>
      <c r="H3324" s="15"/>
      <c r="I3324" s="15"/>
      <c r="J3324" s="15"/>
      <c r="K3324" s="15"/>
      <c r="L3324" s="15"/>
      <c r="M3324" s="15"/>
      <c r="N3324" s="15"/>
      <c r="O3324" s="15"/>
      <c r="P3324" s="15"/>
      <c r="Q3324" s="15"/>
      <c r="R3324" s="15"/>
    </row>
    <row r="3325" spans="2:18" ht="13">
      <c r="B3325" s="33"/>
      <c r="C3325" s="34"/>
      <c r="D3325" s="68" t="s">
        <v>17</v>
      </c>
      <c r="E3325" s="69" t="s">
        <v>27</v>
      </c>
      <c r="F3325" s="20" t="s">
        <v>533</v>
      </c>
      <c r="G3325" s="15"/>
      <c r="H3325" s="15"/>
      <c r="I3325" s="15"/>
      <c r="J3325" s="15"/>
      <c r="K3325" s="15"/>
      <c r="L3325" s="15"/>
      <c r="M3325" s="15"/>
      <c r="N3325" s="15"/>
      <c r="O3325" s="15"/>
      <c r="P3325" s="15"/>
      <c r="Q3325" s="15"/>
      <c r="R3325" s="15"/>
    </row>
    <row r="3326" spans="2:18" ht="13">
      <c r="B3326" s="33"/>
      <c r="C3326" s="34"/>
      <c r="D3326" s="68" t="s">
        <v>17</v>
      </c>
      <c r="E3326" s="69" t="s">
        <v>564</v>
      </c>
      <c r="F3326" s="20" t="s">
        <v>533</v>
      </c>
      <c r="G3326" s="15"/>
      <c r="H3326" s="15"/>
      <c r="I3326" s="15"/>
      <c r="J3326" s="15"/>
      <c r="K3326" s="15"/>
      <c r="L3326" s="15"/>
      <c r="M3326" s="15"/>
      <c r="N3326" s="15"/>
      <c r="O3326" s="15"/>
      <c r="P3326" s="15"/>
      <c r="Q3326" s="15"/>
      <c r="R3326" s="15"/>
    </row>
    <row r="3327" spans="2:18" ht="13">
      <c r="B3327" s="33"/>
      <c r="C3327" s="34"/>
      <c r="D3327" s="68" t="s">
        <v>36</v>
      </c>
      <c r="E3327" s="69" t="s">
        <v>37</v>
      </c>
      <c r="F3327" s="20" t="s">
        <v>533</v>
      </c>
      <c r="G3327" s="15"/>
      <c r="H3327" s="15"/>
      <c r="I3327" s="15"/>
      <c r="J3327" s="15"/>
      <c r="K3327" s="15"/>
      <c r="L3327" s="15"/>
      <c r="M3327" s="15"/>
      <c r="N3327" s="15"/>
      <c r="O3327" s="15"/>
      <c r="P3327" s="15"/>
      <c r="Q3327" s="15"/>
      <c r="R3327" s="15"/>
    </row>
    <row r="3328" spans="2:18" ht="13">
      <c r="B3328" s="33"/>
      <c r="C3328" s="34"/>
      <c r="D3328" s="68" t="s">
        <v>26</v>
      </c>
      <c r="E3328" s="69" t="s">
        <v>27</v>
      </c>
      <c r="F3328" s="20" t="s">
        <v>533</v>
      </c>
      <c r="G3328" s="15"/>
      <c r="H3328" s="15"/>
      <c r="I3328" s="15"/>
      <c r="J3328" s="15"/>
      <c r="K3328" s="15"/>
      <c r="L3328" s="15"/>
      <c r="M3328" s="15"/>
      <c r="N3328" s="15"/>
      <c r="O3328" s="15"/>
      <c r="P3328" s="15"/>
      <c r="Q3328" s="15"/>
      <c r="R3328" s="15"/>
    </row>
    <row r="3329" spans="2:18" ht="13">
      <c r="B3329" s="33"/>
      <c r="C3329" s="34"/>
      <c r="D3329" s="68" t="s">
        <v>17</v>
      </c>
      <c r="E3329" s="69" t="s">
        <v>27</v>
      </c>
      <c r="F3329" s="20" t="s">
        <v>533</v>
      </c>
      <c r="G3329" s="15"/>
      <c r="H3329" s="15"/>
      <c r="I3329" s="15"/>
      <c r="J3329" s="15"/>
      <c r="K3329" s="15"/>
      <c r="L3329" s="15"/>
      <c r="M3329" s="15"/>
      <c r="N3329" s="15"/>
      <c r="O3329" s="15"/>
      <c r="P3329" s="15"/>
      <c r="Q3329" s="15"/>
      <c r="R3329" s="15"/>
    </row>
    <row r="3330" spans="2:18" ht="13">
      <c r="B3330" s="33"/>
      <c r="C3330" s="34"/>
      <c r="D3330" s="68" t="s">
        <v>17</v>
      </c>
      <c r="E3330" s="69" t="s">
        <v>27</v>
      </c>
      <c r="F3330" s="20" t="s">
        <v>533</v>
      </c>
      <c r="G3330" s="15"/>
      <c r="H3330" s="15"/>
      <c r="I3330" s="15"/>
      <c r="J3330" s="15"/>
      <c r="K3330" s="15"/>
      <c r="L3330" s="15"/>
      <c r="M3330" s="15"/>
      <c r="N3330" s="15"/>
      <c r="O3330" s="15"/>
      <c r="P3330" s="15"/>
      <c r="Q3330" s="15"/>
      <c r="R3330" s="15"/>
    </row>
    <row r="3331" spans="2:18" ht="13">
      <c r="B3331" s="33"/>
      <c r="C3331" s="34"/>
      <c r="D3331" s="68" t="s">
        <v>26</v>
      </c>
      <c r="E3331" s="69" t="s">
        <v>27</v>
      </c>
      <c r="F3331" s="20" t="s">
        <v>533</v>
      </c>
      <c r="G3331" s="15"/>
      <c r="H3331" s="15"/>
      <c r="I3331" s="15"/>
      <c r="J3331" s="15"/>
      <c r="K3331" s="15"/>
      <c r="L3331" s="15"/>
      <c r="M3331" s="15"/>
      <c r="N3331" s="15"/>
      <c r="O3331" s="15"/>
      <c r="P3331" s="15"/>
      <c r="Q3331" s="15"/>
      <c r="R3331" s="15"/>
    </row>
    <row r="3332" spans="2:18" ht="13">
      <c r="B3332" s="33"/>
      <c r="C3332" s="34"/>
      <c r="D3332" s="68" t="s">
        <v>557</v>
      </c>
      <c r="E3332" s="69" t="s">
        <v>163</v>
      </c>
      <c r="F3332" s="20" t="s">
        <v>533</v>
      </c>
      <c r="G3332" s="15"/>
      <c r="H3332" s="15"/>
      <c r="I3332" s="15"/>
      <c r="J3332" s="15"/>
      <c r="K3332" s="15"/>
      <c r="L3332" s="15"/>
      <c r="M3332" s="15"/>
      <c r="N3332" s="15"/>
      <c r="O3332" s="15"/>
      <c r="P3332" s="15"/>
      <c r="Q3332" s="15"/>
      <c r="R3332" s="15"/>
    </row>
    <row r="3333" spans="2:18" ht="13">
      <c r="B3333" s="33"/>
      <c r="C3333" s="34"/>
      <c r="D3333" s="68" t="s">
        <v>557</v>
      </c>
      <c r="E3333" s="69" t="s">
        <v>121</v>
      </c>
      <c r="F3333" s="20" t="s">
        <v>533</v>
      </c>
      <c r="G3333" s="15"/>
      <c r="H3333" s="15"/>
      <c r="I3333" s="15"/>
      <c r="J3333" s="15"/>
      <c r="K3333" s="15"/>
      <c r="L3333" s="15"/>
      <c r="M3333" s="15"/>
      <c r="N3333" s="15"/>
      <c r="O3333" s="15"/>
      <c r="P3333" s="15"/>
      <c r="Q3333" s="15"/>
      <c r="R3333" s="15"/>
    </row>
    <row r="3334" spans="2:18" ht="13">
      <c r="B3334" s="33"/>
      <c r="C3334" s="34"/>
      <c r="D3334" s="68" t="s">
        <v>17</v>
      </c>
      <c r="E3334" s="69" t="s">
        <v>27</v>
      </c>
      <c r="F3334" s="20" t="s">
        <v>533</v>
      </c>
      <c r="G3334" s="15"/>
      <c r="H3334" s="15"/>
      <c r="I3334" s="15"/>
      <c r="J3334" s="15"/>
      <c r="K3334" s="15"/>
      <c r="L3334" s="15"/>
      <c r="M3334" s="15"/>
      <c r="N3334" s="15"/>
      <c r="O3334" s="15"/>
      <c r="P3334" s="15"/>
      <c r="Q3334" s="15"/>
      <c r="R3334" s="15"/>
    </row>
    <row r="3335" spans="2:18" ht="13">
      <c r="B3335" s="33"/>
      <c r="C3335" s="34"/>
      <c r="D3335" s="68" t="s">
        <v>17</v>
      </c>
      <c r="E3335" s="69" t="s">
        <v>27</v>
      </c>
      <c r="F3335" s="20" t="s">
        <v>533</v>
      </c>
      <c r="G3335" s="15"/>
      <c r="H3335" s="15"/>
      <c r="I3335" s="15"/>
      <c r="J3335" s="15"/>
      <c r="K3335" s="15"/>
      <c r="L3335" s="15"/>
      <c r="M3335" s="15"/>
      <c r="N3335" s="15"/>
      <c r="O3335" s="15"/>
      <c r="P3335" s="15"/>
      <c r="Q3335" s="15"/>
      <c r="R3335" s="15"/>
    </row>
    <row r="3336" spans="2:18" ht="13">
      <c r="B3336" s="33"/>
      <c r="C3336" s="34"/>
      <c r="D3336" s="68" t="s">
        <v>26</v>
      </c>
      <c r="E3336" s="69" t="s">
        <v>564</v>
      </c>
      <c r="F3336" s="20" t="s">
        <v>533</v>
      </c>
      <c r="G3336" s="15"/>
      <c r="H3336" s="15"/>
      <c r="I3336" s="15"/>
      <c r="J3336" s="15"/>
      <c r="K3336" s="15"/>
      <c r="L3336" s="15"/>
      <c r="M3336" s="15"/>
      <c r="N3336" s="15"/>
      <c r="O3336" s="15"/>
      <c r="P3336" s="15"/>
      <c r="Q3336" s="15"/>
      <c r="R3336" s="15"/>
    </row>
    <row r="3337" spans="2:18" ht="13">
      <c r="B3337" s="33"/>
      <c r="C3337" s="34"/>
      <c r="D3337" s="68" t="s">
        <v>17</v>
      </c>
      <c r="E3337" s="69" t="s">
        <v>27</v>
      </c>
      <c r="F3337" s="20" t="s">
        <v>533</v>
      </c>
      <c r="G3337" s="15"/>
      <c r="H3337" s="15"/>
      <c r="I3337" s="15"/>
      <c r="J3337" s="15"/>
      <c r="K3337" s="15"/>
      <c r="L3337" s="15"/>
      <c r="M3337" s="15"/>
      <c r="N3337" s="15"/>
      <c r="O3337" s="15"/>
      <c r="P3337" s="15"/>
      <c r="Q3337" s="15"/>
      <c r="R3337" s="15"/>
    </row>
    <row r="3338" spans="2:18" ht="13">
      <c r="B3338" s="33"/>
      <c r="C3338" s="34"/>
      <c r="D3338" s="68" t="s">
        <v>17</v>
      </c>
      <c r="E3338" s="69" t="s">
        <v>27</v>
      </c>
      <c r="F3338" s="20" t="s">
        <v>533</v>
      </c>
      <c r="G3338" s="15"/>
      <c r="H3338" s="15"/>
      <c r="I3338" s="15"/>
      <c r="J3338" s="15"/>
      <c r="K3338" s="15"/>
      <c r="L3338" s="15"/>
      <c r="M3338" s="15"/>
      <c r="N3338" s="15"/>
      <c r="O3338" s="15"/>
      <c r="P3338" s="15"/>
      <c r="Q3338" s="15"/>
      <c r="R3338" s="15"/>
    </row>
    <row r="3339" spans="2:18" ht="13">
      <c r="B3339" s="33"/>
      <c r="C3339" s="34"/>
      <c r="D3339" s="68" t="s">
        <v>17</v>
      </c>
      <c r="E3339" s="69" t="s">
        <v>27</v>
      </c>
      <c r="F3339" s="20" t="s">
        <v>533</v>
      </c>
      <c r="G3339" s="15"/>
      <c r="H3339" s="15"/>
      <c r="I3339" s="15"/>
      <c r="J3339" s="15"/>
      <c r="K3339" s="15"/>
      <c r="L3339" s="15"/>
      <c r="M3339" s="15"/>
      <c r="N3339" s="15"/>
      <c r="O3339" s="15"/>
      <c r="P3339" s="15"/>
      <c r="Q3339" s="15"/>
      <c r="R3339" s="15"/>
    </row>
    <row r="3340" spans="2:18" ht="13">
      <c r="B3340" s="33"/>
      <c r="C3340" s="34"/>
      <c r="D3340" s="68" t="s">
        <v>26</v>
      </c>
      <c r="E3340" s="69" t="s">
        <v>27</v>
      </c>
      <c r="F3340" s="20" t="s">
        <v>533</v>
      </c>
      <c r="G3340" s="15"/>
      <c r="H3340" s="15"/>
      <c r="I3340" s="15"/>
      <c r="J3340" s="15"/>
      <c r="K3340" s="15"/>
      <c r="L3340" s="15"/>
      <c r="M3340" s="15"/>
      <c r="N3340" s="15"/>
      <c r="O3340" s="15"/>
      <c r="P3340" s="15"/>
      <c r="Q3340" s="15"/>
      <c r="R3340" s="15"/>
    </row>
    <row r="3341" spans="2:18" ht="13">
      <c r="B3341" s="33"/>
      <c r="C3341" s="34"/>
      <c r="D3341" s="68" t="s">
        <v>86</v>
      </c>
      <c r="E3341" s="69" t="s">
        <v>121</v>
      </c>
      <c r="F3341" s="20" t="s">
        <v>533</v>
      </c>
      <c r="G3341" s="15"/>
      <c r="H3341" s="15"/>
      <c r="I3341" s="15"/>
      <c r="J3341" s="15"/>
      <c r="K3341" s="15"/>
      <c r="L3341" s="15"/>
      <c r="M3341" s="15"/>
      <c r="N3341" s="15"/>
      <c r="O3341" s="15"/>
      <c r="P3341" s="15"/>
      <c r="Q3341" s="15"/>
      <c r="R3341" s="15"/>
    </row>
    <row r="3342" spans="2:18" ht="13">
      <c r="B3342" s="33"/>
      <c r="C3342" s="34"/>
      <c r="D3342" s="68" t="s">
        <v>17</v>
      </c>
      <c r="E3342" s="69" t="s">
        <v>116</v>
      </c>
      <c r="F3342" s="20" t="s">
        <v>533</v>
      </c>
      <c r="G3342" s="15"/>
      <c r="H3342" s="15"/>
      <c r="I3342" s="15"/>
      <c r="J3342" s="15"/>
      <c r="K3342" s="15"/>
      <c r="L3342" s="15"/>
      <c r="M3342" s="15"/>
      <c r="N3342" s="15"/>
      <c r="O3342" s="15"/>
      <c r="P3342" s="15"/>
      <c r="Q3342" s="15"/>
      <c r="R3342" s="15"/>
    </row>
    <row r="3343" spans="2:18" ht="13">
      <c r="B3343" s="33"/>
      <c r="C3343" s="34"/>
      <c r="D3343" s="68" t="s">
        <v>577</v>
      </c>
      <c r="E3343" s="69" t="s">
        <v>124</v>
      </c>
      <c r="F3343" s="20" t="s">
        <v>533</v>
      </c>
      <c r="G3343" s="15"/>
      <c r="H3343" s="15"/>
      <c r="I3343" s="15"/>
      <c r="J3343" s="15"/>
      <c r="K3343" s="15"/>
      <c r="L3343" s="15"/>
      <c r="M3343" s="15"/>
      <c r="N3343" s="15"/>
      <c r="O3343" s="15"/>
      <c r="P3343" s="15"/>
      <c r="Q3343" s="15"/>
      <c r="R3343" s="15"/>
    </row>
    <row r="3344" spans="2:18" ht="13">
      <c r="B3344" s="33"/>
      <c r="C3344" s="34"/>
      <c r="D3344" s="68" t="s">
        <v>26</v>
      </c>
      <c r="E3344" s="69" t="s">
        <v>27</v>
      </c>
      <c r="F3344" s="20" t="s">
        <v>533</v>
      </c>
      <c r="G3344" s="15"/>
      <c r="H3344" s="15"/>
      <c r="I3344" s="15"/>
      <c r="J3344" s="15"/>
      <c r="K3344" s="15"/>
      <c r="L3344" s="15"/>
      <c r="M3344" s="15"/>
      <c r="N3344" s="15"/>
      <c r="O3344" s="15"/>
      <c r="P3344" s="15"/>
      <c r="Q3344" s="15"/>
      <c r="R3344" s="15"/>
    </row>
    <row r="3345" spans="2:18" ht="13">
      <c r="B3345" s="33"/>
      <c r="C3345" s="34"/>
      <c r="D3345" s="68" t="s">
        <v>26</v>
      </c>
      <c r="E3345" s="69" t="s">
        <v>27</v>
      </c>
      <c r="F3345" s="20" t="s">
        <v>533</v>
      </c>
      <c r="G3345" s="15"/>
      <c r="H3345" s="15"/>
      <c r="I3345" s="15"/>
      <c r="J3345" s="15"/>
      <c r="K3345" s="15"/>
      <c r="L3345" s="15"/>
      <c r="M3345" s="15"/>
      <c r="N3345" s="15"/>
      <c r="O3345" s="15"/>
      <c r="P3345" s="15"/>
      <c r="Q3345" s="15"/>
      <c r="R3345" s="15"/>
    </row>
    <row r="3346" spans="2:18" ht="13">
      <c r="B3346" s="33"/>
      <c r="C3346" s="34"/>
      <c r="D3346" s="68" t="s">
        <v>26</v>
      </c>
      <c r="E3346" s="69" t="s">
        <v>27</v>
      </c>
      <c r="F3346" s="20" t="s">
        <v>533</v>
      </c>
      <c r="G3346" s="15"/>
      <c r="H3346" s="15"/>
      <c r="I3346" s="15"/>
      <c r="J3346" s="15"/>
      <c r="K3346" s="15"/>
      <c r="L3346" s="15"/>
      <c r="M3346" s="15"/>
      <c r="N3346" s="15"/>
      <c r="O3346" s="15"/>
      <c r="P3346" s="15"/>
      <c r="Q3346" s="15"/>
      <c r="R3346" s="15"/>
    </row>
    <row r="3347" spans="2:18" ht="13">
      <c r="B3347" s="33"/>
      <c r="C3347" s="34"/>
      <c r="D3347" s="68" t="s">
        <v>17</v>
      </c>
      <c r="E3347" s="69" t="s">
        <v>27</v>
      </c>
      <c r="F3347" s="20" t="s">
        <v>533</v>
      </c>
      <c r="G3347" s="15"/>
      <c r="H3347" s="15"/>
      <c r="I3347" s="15"/>
      <c r="J3347" s="15"/>
      <c r="K3347" s="15"/>
      <c r="L3347" s="15"/>
      <c r="M3347" s="15"/>
      <c r="N3347" s="15"/>
      <c r="O3347" s="15"/>
      <c r="P3347" s="15"/>
      <c r="Q3347" s="15"/>
      <c r="R3347" s="15"/>
    </row>
    <row r="3348" spans="2:18" ht="13">
      <c r="B3348" s="33"/>
      <c r="C3348" s="34"/>
      <c r="D3348" s="68" t="s">
        <v>17</v>
      </c>
      <c r="E3348" s="69" t="s">
        <v>27</v>
      </c>
      <c r="F3348" s="20" t="s">
        <v>533</v>
      </c>
      <c r="G3348" s="15"/>
      <c r="H3348" s="15"/>
      <c r="I3348" s="15"/>
      <c r="J3348" s="15"/>
      <c r="K3348" s="15"/>
      <c r="L3348" s="15"/>
      <c r="M3348" s="15"/>
      <c r="N3348" s="15"/>
      <c r="O3348" s="15"/>
      <c r="P3348" s="15"/>
      <c r="Q3348" s="15"/>
      <c r="R3348" s="15"/>
    </row>
    <row r="3349" spans="2:18" ht="13">
      <c r="B3349" s="33"/>
      <c r="C3349" s="34"/>
      <c r="D3349" s="68" t="s">
        <v>17</v>
      </c>
      <c r="E3349" s="69" t="s">
        <v>27</v>
      </c>
      <c r="F3349" s="20" t="s">
        <v>533</v>
      </c>
      <c r="G3349" s="15"/>
      <c r="H3349" s="15"/>
      <c r="I3349" s="15"/>
      <c r="J3349" s="15"/>
      <c r="K3349" s="15"/>
      <c r="L3349" s="15"/>
      <c r="M3349" s="15"/>
      <c r="N3349" s="15"/>
      <c r="O3349" s="15"/>
      <c r="P3349" s="15"/>
      <c r="Q3349" s="15"/>
      <c r="R3349" s="15"/>
    </row>
    <row r="3350" spans="2:18" ht="13">
      <c r="B3350" s="33"/>
      <c r="C3350" s="34"/>
      <c r="D3350" s="68" t="s">
        <v>17</v>
      </c>
      <c r="E3350" s="69" t="s">
        <v>27</v>
      </c>
      <c r="F3350" s="20" t="s">
        <v>533</v>
      </c>
      <c r="G3350" s="15"/>
      <c r="H3350" s="15"/>
      <c r="I3350" s="15"/>
      <c r="J3350" s="15"/>
      <c r="K3350" s="15"/>
      <c r="L3350" s="15"/>
      <c r="M3350" s="15"/>
      <c r="N3350" s="15"/>
      <c r="O3350" s="15"/>
      <c r="P3350" s="15"/>
      <c r="Q3350" s="15"/>
      <c r="R3350" s="15"/>
    </row>
    <row r="3351" spans="2:18" ht="13">
      <c r="B3351" s="33"/>
      <c r="C3351" s="34"/>
      <c r="D3351" s="68" t="s">
        <v>17</v>
      </c>
      <c r="E3351" s="69" t="s">
        <v>27</v>
      </c>
      <c r="F3351" s="20" t="s">
        <v>533</v>
      </c>
      <c r="G3351" s="15"/>
      <c r="H3351" s="15"/>
      <c r="I3351" s="15"/>
      <c r="J3351" s="15"/>
      <c r="K3351" s="15"/>
      <c r="L3351" s="15"/>
      <c r="M3351" s="15"/>
      <c r="N3351" s="15"/>
      <c r="O3351" s="15"/>
      <c r="P3351" s="15"/>
      <c r="Q3351" s="15"/>
      <c r="R3351" s="15"/>
    </row>
    <row r="3352" spans="2:18" ht="13">
      <c r="B3352" s="33"/>
      <c r="C3352" s="34"/>
      <c r="D3352" s="68" t="s">
        <v>26</v>
      </c>
      <c r="E3352" s="69" t="s">
        <v>27</v>
      </c>
      <c r="F3352" s="20" t="s">
        <v>533</v>
      </c>
      <c r="G3352" s="15"/>
      <c r="H3352" s="15"/>
      <c r="I3352" s="15"/>
      <c r="J3352" s="15"/>
      <c r="K3352" s="15"/>
      <c r="L3352" s="15"/>
      <c r="M3352" s="15"/>
      <c r="N3352" s="15"/>
      <c r="O3352" s="15"/>
      <c r="P3352" s="15"/>
      <c r="Q3352" s="15"/>
      <c r="R3352" s="15"/>
    </row>
    <row r="3353" spans="2:18" ht="13">
      <c r="B3353" s="33"/>
      <c r="C3353" s="34"/>
      <c r="D3353" s="68" t="s">
        <v>663</v>
      </c>
      <c r="E3353" s="69" t="s">
        <v>163</v>
      </c>
      <c r="F3353" s="20" t="s">
        <v>533</v>
      </c>
      <c r="G3353" s="15"/>
      <c r="H3353" s="15"/>
      <c r="I3353" s="15"/>
      <c r="J3353" s="15"/>
      <c r="K3353" s="15"/>
      <c r="L3353" s="15"/>
      <c r="M3353" s="15"/>
      <c r="N3353" s="15"/>
      <c r="O3353" s="15"/>
      <c r="P3353" s="15"/>
      <c r="Q3353" s="15"/>
      <c r="R3353" s="15"/>
    </row>
    <row r="3354" spans="2:18" ht="13">
      <c r="B3354" s="33"/>
      <c r="C3354" s="34"/>
      <c r="D3354" s="68" t="s">
        <v>26</v>
      </c>
      <c r="E3354" s="69" t="s">
        <v>27</v>
      </c>
      <c r="F3354" s="20" t="s">
        <v>533</v>
      </c>
      <c r="G3354" s="15"/>
      <c r="H3354" s="15"/>
      <c r="I3354" s="15"/>
      <c r="J3354" s="15"/>
      <c r="K3354" s="15"/>
      <c r="L3354" s="15"/>
      <c r="M3354" s="15"/>
      <c r="N3354" s="15"/>
      <c r="O3354" s="15"/>
      <c r="P3354" s="15"/>
      <c r="Q3354" s="15"/>
      <c r="R3354" s="15"/>
    </row>
    <row r="3355" spans="2:18" ht="13">
      <c r="B3355" s="33"/>
      <c r="C3355" s="34"/>
      <c r="D3355" s="68" t="s">
        <v>17</v>
      </c>
      <c r="E3355" s="69" t="s">
        <v>27</v>
      </c>
      <c r="F3355" s="20" t="s">
        <v>533</v>
      </c>
      <c r="G3355" s="15"/>
      <c r="H3355" s="15"/>
      <c r="I3355" s="15"/>
      <c r="J3355" s="15"/>
      <c r="K3355" s="15"/>
      <c r="L3355" s="15"/>
      <c r="M3355" s="15"/>
      <c r="N3355" s="15"/>
      <c r="O3355" s="15"/>
      <c r="P3355" s="15"/>
      <c r="Q3355" s="15"/>
      <c r="R3355" s="15"/>
    </row>
    <row r="3356" spans="2:18" ht="13">
      <c r="B3356" s="33"/>
      <c r="C3356" s="34"/>
      <c r="D3356" s="68" t="s">
        <v>17</v>
      </c>
      <c r="E3356" s="69" t="s">
        <v>18</v>
      </c>
      <c r="F3356" s="20" t="s">
        <v>533</v>
      </c>
      <c r="G3356" s="15"/>
      <c r="H3356" s="15"/>
      <c r="I3356" s="15"/>
      <c r="J3356" s="15"/>
      <c r="K3356" s="15"/>
      <c r="L3356" s="15"/>
      <c r="M3356" s="15"/>
      <c r="N3356" s="15"/>
      <c r="O3356" s="15"/>
      <c r="P3356" s="15"/>
      <c r="Q3356" s="15"/>
      <c r="R3356" s="15"/>
    </row>
    <row r="3357" spans="2:18" ht="13">
      <c r="B3357" s="33"/>
      <c r="C3357" s="34"/>
      <c r="D3357" s="68" t="s">
        <v>17</v>
      </c>
      <c r="E3357" s="69" t="s">
        <v>27</v>
      </c>
      <c r="F3357" s="20" t="s">
        <v>533</v>
      </c>
      <c r="G3357" s="15"/>
      <c r="H3357" s="15"/>
      <c r="I3357" s="15"/>
      <c r="J3357" s="15"/>
      <c r="K3357" s="15"/>
      <c r="L3357" s="15"/>
      <c r="M3357" s="15"/>
      <c r="N3357" s="15"/>
      <c r="O3357" s="15"/>
      <c r="P3357" s="15"/>
      <c r="Q3357" s="15"/>
      <c r="R3357" s="15"/>
    </row>
    <row r="3358" spans="2:18" ht="13">
      <c r="B3358" s="33"/>
      <c r="C3358" s="34"/>
      <c r="D3358" s="68" t="s">
        <v>404</v>
      </c>
      <c r="E3358" s="69" t="s">
        <v>32</v>
      </c>
      <c r="F3358" s="20" t="s">
        <v>533</v>
      </c>
      <c r="G3358" s="15"/>
      <c r="H3358" s="15"/>
      <c r="I3358" s="15"/>
      <c r="J3358" s="15"/>
      <c r="K3358" s="15"/>
      <c r="L3358" s="15"/>
      <c r="M3358" s="15"/>
      <c r="N3358" s="15"/>
      <c r="O3358" s="15"/>
      <c r="P3358" s="15"/>
      <c r="Q3358" s="15"/>
      <c r="R3358" s="15"/>
    </row>
    <row r="3359" spans="2:18" ht="13">
      <c r="B3359" s="33"/>
      <c r="C3359" s="34"/>
      <c r="D3359" s="68" t="s">
        <v>17</v>
      </c>
      <c r="E3359" s="69" t="s">
        <v>27</v>
      </c>
      <c r="F3359" s="20" t="s">
        <v>533</v>
      </c>
      <c r="G3359" s="15"/>
      <c r="H3359" s="15"/>
      <c r="I3359" s="15"/>
      <c r="J3359" s="15"/>
      <c r="K3359" s="15"/>
      <c r="L3359" s="15"/>
      <c r="M3359" s="15"/>
      <c r="N3359" s="15"/>
      <c r="O3359" s="15"/>
      <c r="P3359" s="15"/>
      <c r="Q3359" s="15"/>
      <c r="R3359" s="15"/>
    </row>
    <row r="3360" spans="2:18" ht="13">
      <c r="B3360" s="33"/>
      <c r="C3360" s="34"/>
      <c r="D3360" s="68" t="s">
        <v>17</v>
      </c>
      <c r="E3360" s="69" t="s">
        <v>27</v>
      </c>
      <c r="F3360" s="20" t="s">
        <v>533</v>
      </c>
      <c r="G3360" s="15"/>
      <c r="H3360" s="15"/>
      <c r="I3360" s="15"/>
      <c r="J3360" s="15"/>
      <c r="K3360" s="15"/>
      <c r="L3360" s="15"/>
      <c r="M3360" s="15"/>
      <c r="N3360" s="15"/>
      <c r="O3360" s="15"/>
      <c r="P3360" s="15"/>
      <c r="Q3360" s="15"/>
      <c r="R3360" s="15"/>
    </row>
    <row r="3361" spans="2:18" ht="13">
      <c r="B3361" s="33"/>
      <c r="C3361" s="34"/>
      <c r="D3361" s="68" t="s">
        <v>17</v>
      </c>
      <c r="E3361" s="69" t="s">
        <v>27</v>
      </c>
      <c r="F3361" s="20" t="s">
        <v>533</v>
      </c>
      <c r="G3361" s="15"/>
      <c r="H3361" s="15"/>
      <c r="I3361" s="15"/>
      <c r="J3361" s="15"/>
      <c r="K3361" s="15"/>
      <c r="L3361" s="15"/>
      <c r="M3361" s="15"/>
      <c r="N3361" s="15"/>
      <c r="O3361" s="15"/>
      <c r="P3361" s="15"/>
      <c r="Q3361" s="15"/>
      <c r="R3361" s="15"/>
    </row>
    <row r="3362" spans="2:18" ht="13">
      <c r="B3362" s="33"/>
      <c r="C3362" s="34"/>
      <c r="D3362" s="68" t="s">
        <v>17</v>
      </c>
      <c r="E3362" s="69" t="s">
        <v>27</v>
      </c>
      <c r="F3362" s="20" t="s">
        <v>533</v>
      </c>
      <c r="G3362" s="15"/>
      <c r="H3362" s="15"/>
      <c r="I3362" s="15"/>
      <c r="J3362" s="15"/>
      <c r="K3362" s="15"/>
      <c r="L3362" s="15"/>
      <c r="M3362" s="15"/>
      <c r="N3362" s="15"/>
      <c r="O3362" s="15"/>
      <c r="P3362" s="15"/>
      <c r="Q3362" s="15"/>
      <c r="R3362" s="15"/>
    </row>
    <row r="3363" spans="2:18" ht="13">
      <c r="B3363" s="33"/>
      <c r="C3363" s="34"/>
      <c r="D3363" s="68" t="s">
        <v>17</v>
      </c>
      <c r="E3363" s="69" t="s">
        <v>27</v>
      </c>
      <c r="F3363" s="20" t="s">
        <v>533</v>
      </c>
      <c r="G3363" s="15"/>
      <c r="H3363" s="15"/>
      <c r="I3363" s="15"/>
      <c r="J3363" s="15"/>
      <c r="K3363" s="15"/>
      <c r="L3363" s="15"/>
      <c r="M3363" s="15"/>
      <c r="N3363" s="15"/>
      <c r="O3363" s="15"/>
      <c r="P3363" s="15"/>
      <c r="Q3363" s="15"/>
      <c r="R3363" s="15"/>
    </row>
    <row r="3364" spans="2:18" ht="13">
      <c r="B3364" s="33"/>
      <c r="C3364" s="34"/>
      <c r="D3364" s="68" t="s">
        <v>17</v>
      </c>
      <c r="E3364" s="69" t="s">
        <v>27</v>
      </c>
      <c r="F3364" s="20" t="s">
        <v>533</v>
      </c>
      <c r="G3364" s="15"/>
      <c r="H3364" s="15"/>
      <c r="I3364" s="15"/>
      <c r="J3364" s="15"/>
      <c r="K3364" s="15"/>
      <c r="L3364" s="15"/>
      <c r="M3364" s="15"/>
      <c r="N3364" s="15"/>
      <c r="O3364" s="15"/>
      <c r="P3364" s="15"/>
      <c r="Q3364" s="15"/>
      <c r="R3364" s="15"/>
    </row>
    <row r="3365" spans="2:18" ht="13">
      <c r="B3365" s="33"/>
      <c r="C3365" s="34"/>
      <c r="D3365" s="68" t="s">
        <v>26</v>
      </c>
      <c r="E3365" s="69" t="s">
        <v>27</v>
      </c>
      <c r="F3365" s="20" t="s">
        <v>533</v>
      </c>
      <c r="G3365" s="15"/>
      <c r="H3365" s="15"/>
      <c r="I3365" s="15"/>
      <c r="J3365" s="15"/>
      <c r="K3365" s="15"/>
      <c r="L3365" s="15"/>
      <c r="M3365" s="15"/>
      <c r="N3365" s="15"/>
      <c r="O3365" s="15"/>
      <c r="P3365" s="15"/>
      <c r="Q3365" s="15"/>
      <c r="R3365" s="15"/>
    </row>
    <row r="3366" spans="2:18" ht="13">
      <c r="B3366" s="33"/>
      <c r="C3366" s="34"/>
      <c r="D3366" s="68" t="s">
        <v>17</v>
      </c>
      <c r="E3366" s="69" t="s">
        <v>27</v>
      </c>
      <c r="F3366" s="20" t="s">
        <v>533</v>
      </c>
      <c r="G3366" s="15"/>
      <c r="H3366" s="15"/>
      <c r="I3366" s="15"/>
      <c r="J3366" s="15"/>
      <c r="K3366" s="15"/>
      <c r="L3366" s="15"/>
      <c r="M3366" s="15"/>
      <c r="N3366" s="15"/>
      <c r="O3366" s="15"/>
      <c r="P3366" s="15"/>
      <c r="Q3366" s="15"/>
      <c r="R3366" s="15"/>
    </row>
    <row r="3367" spans="2:18" ht="13">
      <c r="B3367" s="33"/>
      <c r="C3367" s="34"/>
      <c r="D3367" s="68" t="s">
        <v>17</v>
      </c>
      <c r="E3367" s="69" t="s">
        <v>27</v>
      </c>
      <c r="F3367" s="20" t="s">
        <v>533</v>
      </c>
      <c r="G3367" s="15"/>
      <c r="H3367" s="15"/>
      <c r="I3367" s="15"/>
      <c r="J3367" s="15"/>
      <c r="K3367" s="15"/>
      <c r="L3367" s="15"/>
      <c r="M3367" s="15"/>
      <c r="N3367" s="15"/>
      <c r="O3367" s="15"/>
      <c r="P3367" s="15"/>
      <c r="Q3367" s="15"/>
      <c r="R3367" s="15"/>
    </row>
    <row r="3368" spans="2:18" ht="13">
      <c r="B3368" s="33"/>
      <c r="C3368" s="34"/>
      <c r="D3368" s="68" t="s">
        <v>618</v>
      </c>
      <c r="E3368" s="69" t="s">
        <v>121</v>
      </c>
      <c r="F3368" s="20" t="s">
        <v>533</v>
      </c>
      <c r="G3368" s="15"/>
      <c r="H3368" s="15"/>
      <c r="I3368" s="15"/>
      <c r="J3368" s="15"/>
      <c r="K3368" s="15"/>
      <c r="L3368" s="15"/>
      <c r="M3368" s="15"/>
      <c r="N3368" s="15"/>
      <c r="O3368" s="15"/>
      <c r="P3368" s="15"/>
      <c r="Q3368" s="15"/>
      <c r="R3368" s="15"/>
    </row>
    <row r="3369" spans="2:18" ht="13">
      <c r="B3369" s="33"/>
      <c r="C3369" s="34"/>
      <c r="D3369" s="68" t="s">
        <v>17</v>
      </c>
      <c r="E3369" s="69" t="s">
        <v>27</v>
      </c>
      <c r="F3369" s="20" t="s">
        <v>533</v>
      </c>
      <c r="G3369" s="15"/>
      <c r="H3369" s="15"/>
      <c r="I3369" s="15"/>
      <c r="J3369" s="15"/>
      <c r="K3369" s="15"/>
      <c r="L3369" s="15"/>
      <c r="M3369" s="15"/>
      <c r="N3369" s="15"/>
      <c r="O3369" s="15"/>
      <c r="P3369" s="15"/>
      <c r="Q3369" s="15"/>
      <c r="R3369" s="15"/>
    </row>
    <row r="3370" spans="2:18" ht="13">
      <c r="B3370" s="33"/>
      <c r="C3370" s="34"/>
      <c r="D3370" s="68" t="s">
        <v>619</v>
      </c>
      <c r="E3370" s="69" t="s">
        <v>121</v>
      </c>
      <c r="F3370" s="20" t="s">
        <v>533</v>
      </c>
      <c r="G3370" s="15"/>
      <c r="H3370" s="15"/>
      <c r="I3370" s="15"/>
      <c r="J3370" s="15"/>
      <c r="K3370" s="15"/>
      <c r="L3370" s="15"/>
      <c r="M3370" s="15"/>
      <c r="N3370" s="15"/>
      <c r="O3370" s="15"/>
      <c r="P3370" s="15"/>
      <c r="Q3370" s="15"/>
      <c r="R3370" s="15"/>
    </row>
    <row r="3371" spans="2:18" ht="13">
      <c r="B3371" s="33"/>
      <c r="C3371" s="34"/>
      <c r="D3371" s="68" t="s">
        <v>17</v>
      </c>
      <c r="E3371" s="69" t="s">
        <v>27</v>
      </c>
      <c r="F3371" s="20" t="s">
        <v>533</v>
      </c>
      <c r="G3371" s="15"/>
      <c r="H3371" s="15"/>
      <c r="I3371" s="15"/>
      <c r="J3371" s="15"/>
      <c r="K3371" s="15"/>
      <c r="L3371" s="15"/>
      <c r="M3371" s="15"/>
      <c r="N3371" s="15"/>
      <c r="O3371" s="15"/>
      <c r="P3371" s="15"/>
      <c r="Q3371" s="15"/>
      <c r="R3371" s="15"/>
    </row>
    <row r="3372" spans="2:18" ht="13">
      <c r="B3372" s="33"/>
      <c r="C3372" s="34"/>
      <c r="D3372" s="68" t="s">
        <v>17</v>
      </c>
      <c r="E3372" s="69" t="s">
        <v>27</v>
      </c>
      <c r="F3372" s="20" t="s">
        <v>533</v>
      </c>
      <c r="G3372" s="15"/>
      <c r="H3372" s="15"/>
      <c r="I3372" s="15"/>
      <c r="J3372" s="15"/>
      <c r="K3372" s="15"/>
      <c r="L3372" s="15"/>
      <c r="M3372" s="15"/>
      <c r="N3372" s="15"/>
      <c r="O3372" s="15"/>
      <c r="P3372" s="15"/>
      <c r="Q3372" s="15"/>
      <c r="R3372" s="15"/>
    </row>
    <row r="3373" spans="2:18" ht="13">
      <c r="B3373" s="33"/>
      <c r="C3373" s="34"/>
      <c r="D3373" s="68" t="s">
        <v>17</v>
      </c>
      <c r="E3373" s="69" t="s">
        <v>27</v>
      </c>
      <c r="F3373" s="20" t="s">
        <v>533</v>
      </c>
      <c r="G3373" s="15"/>
      <c r="H3373" s="15"/>
      <c r="I3373" s="15"/>
      <c r="J3373" s="15"/>
      <c r="K3373" s="15"/>
      <c r="L3373" s="15"/>
      <c r="M3373" s="15"/>
      <c r="N3373" s="15"/>
      <c r="O3373" s="15"/>
      <c r="P3373" s="15"/>
      <c r="Q3373" s="15"/>
      <c r="R3373" s="15"/>
    </row>
    <row r="3374" spans="2:18" ht="13">
      <c r="B3374" s="33"/>
      <c r="C3374" s="34"/>
      <c r="D3374" s="68" t="s">
        <v>17</v>
      </c>
      <c r="E3374" s="69" t="s">
        <v>27</v>
      </c>
      <c r="F3374" s="20" t="s">
        <v>533</v>
      </c>
      <c r="G3374" s="15"/>
      <c r="H3374" s="15"/>
      <c r="I3374" s="15"/>
      <c r="J3374" s="15"/>
      <c r="K3374" s="15"/>
      <c r="L3374" s="15"/>
      <c r="M3374" s="15"/>
      <c r="N3374" s="15"/>
      <c r="O3374" s="15"/>
      <c r="P3374" s="15"/>
      <c r="Q3374" s="15"/>
      <c r="R3374" s="15"/>
    </row>
    <row r="3375" spans="2:18" ht="13">
      <c r="B3375" s="33"/>
      <c r="C3375" s="34"/>
      <c r="D3375" s="68" t="s">
        <v>17</v>
      </c>
      <c r="E3375" s="69" t="s">
        <v>27</v>
      </c>
      <c r="F3375" s="20" t="s">
        <v>533</v>
      </c>
      <c r="G3375" s="15"/>
      <c r="H3375" s="15"/>
      <c r="I3375" s="15"/>
      <c r="J3375" s="15"/>
      <c r="K3375" s="15"/>
      <c r="L3375" s="15"/>
      <c r="M3375" s="15"/>
      <c r="N3375" s="15"/>
      <c r="O3375" s="15"/>
      <c r="P3375" s="15"/>
      <c r="Q3375" s="15"/>
      <c r="R3375" s="15"/>
    </row>
    <row r="3376" spans="2:18" ht="13">
      <c r="B3376" s="33"/>
      <c r="C3376" s="34"/>
      <c r="D3376" s="68" t="s">
        <v>17</v>
      </c>
      <c r="E3376" s="69" t="s">
        <v>27</v>
      </c>
      <c r="F3376" s="20" t="s">
        <v>533</v>
      </c>
      <c r="G3376" s="15"/>
      <c r="H3376" s="15"/>
      <c r="I3376" s="15"/>
      <c r="J3376" s="15"/>
      <c r="K3376" s="15"/>
      <c r="L3376" s="15"/>
      <c r="M3376" s="15"/>
      <c r="N3376" s="15"/>
      <c r="O3376" s="15"/>
      <c r="P3376" s="15"/>
      <c r="Q3376" s="15"/>
      <c r="R3376" s="15"/>
    </row>
    <row r="3377" spans="2:18" ht="13">
      <c r="B3377" s="33"/>
      <c r="C3377" s="34"/>
      <c r="D3377" s="68" t="s">
        <v>26</v>
      </c>
      <c r="E3377" s="69" t="s">
        <v>27</v>
      </c>
      <c r="F3377" s="20" t="s">
        <v>533</v>
      </c>
      <c r="G3377" s="15"/>
      <c r="H3377" s="15"/>
      <c r="I3377" s="15"/>
      <c r="J3377" s="15"/>
      <c r="K3377" s="15"/>
      <c r="L3377" s="15"/>
      <c r="M3377" s="15"/>
      <c r="N3377" s="15"/>
      <c r="O3377" s="15"/>
      <c r="P3377" s="15"/>
      <c r="Q3377" s="15"/>
      <c r="R3377" s="15"/>
    </row>
    <row r="3378" spans="2:18" ht="13">
      <c r="B3378" s="33"/>
      <c r="C3378" s="34"/>
      <c r="D3378" s="68" t="s">
        <v>17</v>
      </c>
      <c r="E3378" s="69" t="s">
        <v>27</v>
      </c>
      <c r="F3378" s="20" t="s">
        <v>533</v>
      </c>
      <c r="G3378" s="15"/>
      <c r="H3378" s="15"/>
      <c r="I3378" s="15"/>
      <c r="J3378" s="15"/>
      <c r="K3378" s="15"/>
      <c r="L3378" s="15"/>
      <c r="M3378" s="15"/>
      <c r="N3378" s="15"/>
      <c r="O3378" s="15"/>
      <c r="P3378" s="15"/>
      <c r="Q3378" s="15"/>
      <c r="R3378" s="15"/>
    </row>
    <row r="3379" spans="2:18" ht="13">
      <c r="B3379" s="33"/>
      <c r="C3379" s="34"/>
      <c r="D3379" s="68" t="s">
        <v>36</v>
      </c>
      <c r="E3379" s="69" t="s">
        <v>37</v>
      </c>
      <c r="F3379" s="20" t="s">
        <v>533</v>
      </c>
      <c r="G3379" s="15"/>
      <c r="H3379" s="15"/>
      <c r="I3379" s="15"/>
      <c r="J3379" s="15"/>
      <c r="K3379" s="15"/>
      <c r="L3379" s="15"/>
      <c r="M3379" s="15"/>
      <c r="N3379" s="15"/>
      <c r="O3379" s="15"/>
      <c r="P3379" s="15"/>
      <c r="Q3379" s="15"/>
      <c r="R3379" s="15"/>
    </row>
    <row r="3380" spans="2:18" ht="13">
      <c r="B3380" s="33"/>
      <c r="C3380" s="34"/>
      <c r="D3380" s="68" t="s">
        <v>17</v>
      </c>
      <c r="E3380" s="69" t="s">
        <v>27</v>
      </c>
      <c r="F3380" s="20" t="s">
        <v>533</v>
      </c>
      <c r="G3380" s="15"/>
      <c r="H3380" s="15"/>
      <c r="I3380" s="15"/>
      <c r="J3380" s="15"/>
      <c r="K3380" s="15"/>
      <c r="L3380" s="15"/>
      <c r="M3380" s="15"/>
      <c r="N3380" s="15"/>
      <c r="O3380" s="15"/>
      <c r="P3380" s="15"/>
      <c r="Q3380" s="15"/>
      <c r="R3380" s="15"/>
    </row>
    <row r="3381" spans="2:18" ht="13">
      <c r="B3381" s="33"/>
      <c r="C3381" s="34"/>
      <c r="D3381" s="68" t="s">
        <v>26</v>
      </c>
      <c r="E3381" s="69" t="s">
        <v>564</v>
      </c>
      <c r="F3381" s="20" t="s">
        <v>533</v>
      </c>
      <c r="G3381" s="15"/>
      <c r="H3381" s="15"/>
      <c r="I3381" s="15"/>
      <c r="J3381" s="15"/>
      <c r="K3381" s="15"/>
      <c r="L3381" s="15"/>
      <c r="M3381" s="15"/>
      <c r="N3381" s="15"/>
      <c r="O3381" s="15"/>
      <c r="P3381" s="15"/>
      <c r="Q3381" s="15"/>
      <c r="R3381" s="15"/>
    </row>
    <row r="3382" spans="2:18" ht="13">
      <c r="B3382" s="33"/>
      <c r="C3382" s="34"/>
      <c r="D3382" s="68" t="s">
        <v>635</v>
      </c>
      <c r="E3382" s="69" t="s">
        <v>37</v>
      </c>
      <c r="F3382" s="20" t="s">
        <v>533</v>
      </c>
      <c r="G3382" s="15"/>
      <c r="H3382" s="15"/>
      <c r="I3382" s="15"/>
      <c r="J3382" s="15"/>
      <c r="K3382" s="15"/>
      <c r="L3382" s="15"/>
      <c r="M3382" s="15"/>
      <c r="N3382" s="15"/>
      <c r="O3382" s="15"/>
      <c r="P3382" s="15"/>
      <c r="Q3382" s="15"/>
      <c r="R3382" s="15"/>
    </row>
    <row r="3383" spans="2:18" ht="13">
      <c r="B3383" s="33"/>
      <c r="C3383" s="34"/>
      <c r="D3383" s="68" t="s">
        <v>17</v>
      </c>
      <c r="E3383" s="69" t="s">
        <v>27</v>
      </c>
      <c r="F3383" s="20" t="s">
        <v>533</v>
      </c>
      <c r="G3383" s="15"/>
      <c r="H3383" s="15"/>
      <c r="I3383" s="15"/>
      <c r="J3383" s="15"/>
      <c r="K3383" s="15"/>
      <c r="L3383" s="15"/>
      <c r="M3383" s="15"/>
      <c r="N3383" s="15"/>
      <c r="O3383" s="15"/>
      <c r="P3383" s="15"/>
      <c r="Q3383" s="15"/>
      <c r="R3383" s="15"/>
    </row>
    <row r="3384" spans="2:18" ht="13">
      <c r="B3384" s="33"/>
      <c r="C3384" s="34"/>
      <c r="D3384" s="68" t="s">
        <v>17</v>
      </c>
      <c r="E3384" s="69" t="s">
        <v>27</v>
      </c>
      <c r="F3384" s="20" t="s">
        <v>533</v>
      </c>
      <c r="G3384" s="15"/>
      <c r="H3384" s="15"/>
      <c r="I3384" s="15"/>
      <c r="J3384" s="15"/>
      <c r="K3384" s="15"/>
      <c r="L3384" s="15"/>
      <c r="M3384" s="15"/>
      <c r="N3384" s="15"/>
      <c r="O3384" s="15"/>
      <c r="P3384" s="15"/>
      <c r="Q3384" s="15"/>
      <c r="R3384" s="15"/>
    </row>
    <row r="3385" spans="2:18" ht="13">
      <c r="B3385" s="33"/>
      <c r="C3385" s="34"/>
      <c r="D3385" s="68" t="s">
        <v>17</v>
      </c>
      <c r="E3385" s="69" t="s">
        <v>27</v>
      </c>
      <c r="F3385" s="20" t="s">
        <v>533</v>
      </c>
      <c r="G3385" s="15"/>
      <c r="H3385" s="15"/>
      <c r="I3385" s="15"/>
      <c r="J3385" s="15"/>
      <c r="K3385" s="15"/>
      <c r="L3385" s="15"/>
      <c r="M3385" s="15"/>
      <c r="N3385" s="15"/>
      <c r="O3385" s="15"/>
      <c r="P3385" s="15"/>
      <c r="Q3385" s="15"/>
      <c r="R3385" s="15"/>
    </row>
    <row r="3386" spans="2:18" ht="13">
      <c r="B3386" s="33"/>
      <c r="C3386" s="34"/>
      <c r="D3386" s="68" t="s">
        <v>605</v>
      </c>
      <c r="E3386" s="69" t="s">
        <v>32</v>
      </c>
      <c r="F3386" s="20" t="s">
        <v>533</v>
      </c>
      <c r="G3386" s="15"/>
      <c r="H3386" s="15"/>
      <c r="I3386" s="15"/>
      <c r="J3386" s="15"/>
      <c r="K3386" s="15"/>
      <c r="L3386" s="15"/>
      <c r="M3386" s="15"/>
      <c r="N3386" s="15"/>
      <c r="O3386" s="15"/>
      <c r="P3386" s="15"/>
      <c r="Q3386" s="15"/>
      <c r="R3386" s="15"/>
    </row>
    <row r="3387" spans="2:18" ht="13">
      <c r="B3387" s="33"/>
      <c r="C3387" s="34"/>
      <c r="D3387" s="68" t="s">
        <v>17</v>
      </c>
      <c r="E3387" s="69" t="s">
        <v>27</v>
      </c>
      <c r="F3387" s="20" t="s">
        <v>533</v>
      </c>
      <c r="G3387" s="15"/>
      <c r="H3387" s="15"/>
      <c r="I3387" s="15"/>
      <c r="J3387" s="15"/>
      <c r="K3387" s="15"/>
      <c r="L3387" s="15"/>
      <c r="M3387" s="15"/>
      <c r="N3387" s="15"/>
      <c r="O3387" s="15"/>
      <c r="P3387" s="15"/>
      <c r="Q3387" s="15"/>
      <c r="R3387" s="15"/>
    </row>
    <row r="3388" spans="2:18" ht="13">
      <c r="B3388" s="33"/>
      <c r="C3388" s="34"/>
      <c r="D3388" s="68" t="s">
        <v>17</v>
      </c>
      <c r="E3388" s="69" t="s">
        <v>27</v>
      </c>
      <c r="F3388" s="20" t="s">
        <v>533</v>
      </c>
      <c r="G3388" s="15"/>
      <c r="H3388" s="15"/>
      <c r="I3388" s="15"/>
      <c r="J3388" s="15"/>
      <c r="K3388" s="15"/>
      <c r="L3388" s="15"/>
      <c r="M3388" s="15"/>
      <c r="N3388" s="15"/>
      <c r="O3388" s="15"/>
      <c r="P3388" s="15"/>
      <c r="Q3388" s="15"/>
      <c r="R3388" s="15"/>
    </row>
    <row r="3389" spans="2:18" ht="13">
      <c r="B3389" s="33"/>
      <c r="C3389" s="34"/>
      <c r="D3389" s="68" t="s">
        <v>630</v>
      </c>
      <c r="E3389" s="69" t="s">
        <v>27</v>
      </c>
      <c r="F3389" s="20" t="s">
        <v>533</v>
      </c>
      <c r="G3389" s="15"/>
      <c r="H3389" s="15"/>
      <c r="I3389" s="15"/>
      <c r="J3389" s="15"/>
      <c r="K3389" s="15"/>
      <c r="L3389" s="15"/>
      <c r="M3389" s="15"/>
      <c r="N3389" s="15"/>
      <c r="O3389" s="15"/>
      <c r="P3389" s="15"/>
      <c r="Q3389" s="15"/>
      <c r="R3389" s="15"/>
    </row>
    <row r="3390" spans="2:18" ht="13">
      <c r="B3390" s="33"/>
      <c r="C3390" s="34"/>
      <c r="D3390" s="68" t="s">
        <v>26</v>
      </c>
      <c r="E3390" s="69" t="s">
        <v>27</v>
      </c>
      <c r="F3390" s="20" t="s">
        <v>533</v>
      </c>
      <c r="G3390" s="15"/>
      <c r="H3390" s="15"/>
      <c r="I3390" s="15"/>
      <c r="J3390" s="15"/>
      <c r="K3390" s="15"/>
      <c r="L3390" s="15"/>
      <c r="M3390" s="15"/>
      <c r="N3390" s="15"/>
      <c r="O3390" s="15"/>
      <c r="P3390" s="15"/>
      <c r="Q3390" s="15"/>
      <c r="R3390" s="15"/>
    </row>
    <row r="3391" spans="2:18" ht="13">
      <c r="B3391" s="33"/>
      <c r="C3391" s="34"/>
      <c r="D3391" s="68" t="s">
        <v>26</v>
      </c>
      <c r="E3391" s="69" t="s">
        <v>27</v>
      </c>
      <c r="F3391" s="20" t="s">
        <v>533</v>
      </c>
      <c r="G3391" s="15"/>
      <c r="H3391" s="15"/>
      <c r="I3391" s="15"/>
      <c r="J3391" s="15"/>
      <c r="K3391" s="15"/>
      <c r="L3391" s="15"/>
      <c r="M3391" s="15"/>
      <c r="N3391" s="15"/>
      <c r="O3391" s="15"/>
      <c r="P3391" s="15"/>
      <c r="Q3391" s="15"/>
      <c r="R3391" s="15"/>
    </row>
    <row r="3392" spans="2:18" ht="13">
      <c r="B3392" s="33"/>
      <c r="C3392" s="34"/>
      <c r="D3392" s="68" t="s">
        <v>17</v>
      </c>
      <c r="E3392" s="69" t="s">
        <v>27</v>
      </c>
      <c r="F3392" s="20" t="s">
        <v>533</v>
      </c>
      <c r="G3392" s="15"/>
      <c r="H3392" s="15"/>
      <c r="I3392" s="15"/>
      <c r="J3392" s="15"/>
      <c r="K3392" s="15"/>
      <c r="L3392" s="15"/>
      <c r="M3392" s="15"/>
      <c r="N3392" s="15"/>
      <c r="O3392" s="15"/>
      <c r="P3392" s="15"/>
      <c r="Q3392" s="15"/>
      <c r="R3392" s="15"/>
    </row>
    <row r="3393" spans="2:18" ht="13">
      <c r="B3393" s="33"/>
      <c r="C3393" s="34"/>
      <c r="D3393" s="68" t="s">
        <v>26</v>
      </c>
      <c r="E3393" s="69" t="s">
        <v>27</v>
      </c>
      <c r="F3393" s="20" t="s">
        <v>533</v>
      </c>
      <c r="G3393" s="15"/>
      <c r="H3393" s="15"/>
      <c r="I3393" s="15"/>
      <c r="J3393" s="15"/>
      <c r="K3393" s="15"/>
      <c r="L3393" s="15"/>
      <c r="M3393" s="15"/>
      <c r="N3393" s="15"/>
      <c r="O3393" s="15"/>
      <c r="P3393" s="15"/>
      <c r="Q3393" s="15"/>
      <c r="R3393" s="15"/>
    </row>
    <row r="3394" spans="2:18" ht="13">
      <c r="B3394" s="33"/>
      <c r="C3394" s="34"/>
      <c r="D3394" s="68" t="s">
        <v>17</v>
      </c>
      <c r="E3394" s="69" t="s">
        <v>27</v>
      </c>
      <c r="F3394" s="20" t="s">
        <v>533</v>
      </c>
      <c r="G3394" s="15"/>
      <c r="H3394" s="15"/>
      <c r="I3394" s="15"/>
      <c r="J3394" s="15"/>
      <c r="K3394" s="15"/>
      <c r="L3394" s="15"/>
      <c r="M3394" s="15"/>
      <c r="N3394" s="15"/>
      <c r="O3394" s="15"/>
      <c r="P3394" s="15"/>
      <c r="Q3394" s="15"/>
      <c r="R3394" s="15"/>
    </row>
    <row r="3395" spans="2:18" ht="13">
      <c r="B3395" s="33"/>
      <c r="C3395" s="34"/>
      <c r="D3395" s="68" t="s">
        <v>26</v>
      </c>
      <c r="E3395" s="69" t="s">
        <v>27</v>
      </c>
      <c r="F3395" s="20" t="s">
        <v>533</v>
      </c>
      <c r="G3395" s="15"/>
      <c r="H3395" s="15"/>
      <c r="I3395" s="15"/>
      <c r="J3395" s="15"/>
      <c r="K3395" s="15"/>
      <c r="L3395" s="15"/>
      <c r="M3395" s="15"/>
      <c r="N3395" s="15"/>
      <c r="O3395" s="15"/>
      <c r="P3395" s="15"/>
      <c r="Q3395" s="15"/>
      <c r="R3395" s="15"/>
    </row>
    <row r="3396" spans="2:18" ht="13">
      <c r="B3396" s="33"/>
      <c r="C3396" s="34"/>
      <c r="D3396" s="68" t="s">
        <v>17</v>
      </c>
      <c r="E3396" s="69" t="s">
        <v>27</v>
      </c>
      <c r="F3396" s="20" t="s">
        <v>533</v>
      </c>
      <c r="G3396" s="15"/>
      <c r="H3396" s="15"/>
      <c r="I3396" s="15"/>
      <c r="J3396" s="15"/>
      <c r="K3396" s="15"/>
      <c r="L3396" s="15"/>
      <c r="M3396" s="15"/>
      <c r="N3396" s="15"/>
      <c r="O3396" s="15"/>
      <c r="P3396" s="15"/>
      <c r="Q3396" s="15"/>
      <c r="R3396" s="15"/>
    </row>
    <row r="3397" spans="2:18" ht="13">
      <c r="B3397" s="33"/>
      <c r="C3397" s="34"/>
      <c r="D3397" s="68" t="s">
        <v>17</v>
      </c>
      <c r="E3397" s="69" t="s">
        <v>27</v>
      </c>
      <c r="F3397" s="20" t="s">
        <v>533</v>
      </c>
      <c r="G3397" s="15"/>
      <c r="H3397" s="15"/>
      <c r="I3397" s="15"/>
      <c r="J3397" s="15"/>
      <c r="K3397" s="15"/>
      <c r="L3397" s="15"/>
      <c r="M3397" s="15"/>
      <c r="N3397" s="15"/>
      <c r="O3397" s="15"/>
      <c r="P3397" s="15"/>
      <c r="Q3397" s="15"/>
      <c r="R3397" s="15"/>
    </row>
    <row r="3398" spans="2:18" ht="13">
      <c r="B3398" s="33"/>
      <c r="C3398" s="34"/>
      <c r="D3398" s="68" t="s">
        <v>36</v>
      </c>
      <c r="E3398" s="69" t="s">
        <v>37</v>
      </c>
      <c r="F3398" s="20" t="s">
        <v>533</v>
      </c>
      <c r="G3398" s="15"/>
      <c r="H3398" s="15"/>
      <c r="I3398" s="15"/>
      <c r="J3398" s="15"/>
      <c r="K3398" s="15"/>
      <c r="L3398" s="15"/>
      <c r="M3398" s="15"/>
      <c r="N3398" s="15"/>
      <c r="O3398" s="15"/>
      <c r="P3398" s="15"/>
      <c r="Q3398" s="15"/>
      <c r="R3398" s="15"/>
    </row>
    <row r="3399" spans="2:18" ht="13">
      <c r="B3399" s="33"/>
      <c r="C3399" s="34"/>
      <c r="D3399" s="68" t="s">
        <v>26</v>
      </c>
      <c r="E3399" s="69" t="s">
        <v>27</v>
      </c>
      <c r="F3399" s="20" t="s">
        <v>533</v>
      </c>
      <c r="G3399" s="15"/>
      <c r="H3399" s="15"/>
      <c r="I3399" s="15"/>
      <c r="J3399" s="15"/>
      <c r="K3399" s="15"/>
      <c r="L3399" s="15"/>
      <c r="M3399" s="15"/>
      <c r="N3399" s="15"/>
      <c r="O3399" s="15"/>
      <c r="P3399" s="15"/>
      <c r="Q3399" s="15"/>
      <c r="R3399" s="15"/>
    </row>
    <row r="3400" spans="2:18" ht="13">
      <c r="B3400" s="33"/>
      <c r="C3400" s="34"/>
      <c r="D3400" s="68" t="s">
        <v>17</v>
      </c>
      <c r="E3400" s="69" t="s">
        <v>27</v>
      </c>
      <c r="F3400" s="20" t="s">
        <v>533</v>
      </c>
      <c r="G3400" s="15"/>
      <c r="H3400" s="15"/>
      <c r="I3400" s="15"/>
      <c r="J3400" s="15"/>
      <c r="K3400" s="15"/>
      <c r="L3400" s="15"/>
      <c r="M3400" s="15"/>
      <c r="N3400" s="15"/>
      <c r="O3400" s="15"/>
      <c r="P3400" s="15"/>
      <c r="Q3400" s="15"/>
      <c r="R3400" s="15"/>
    </row>
    <row r="3401" spans="2:18" ht="13">
      <c r="B3401" s="33"/>
      <c r="C3401" s="34"/>
      <c r="D3401" s="68" t="s">
        <v>26</v>
      </c>
      <c r="E3401" s="69" t="s">
        <v>27</v>
      </c>
      <c r="F3401" s="20" t="s">
        <v>533</v>
      </c>
      <c r="G3401" s="15"/>
      <c r="H3401" s="15"/>
      <c r="I3401" s="15"/>
      <c r="J3401" s="15"/>
      <c r="K3401" s="15"/>
      <c r="L3401" s="15"/>
      <c r="M3401" s="15"/>
      <c r="N3401" s="15"/>
      <c r="O3401" s="15"/>
      <c r="P3401" s="15"/>
      <c r="Q3401" s="15"/>
      <c r="R3401" s="15"/>
    </row>
    <row r="3402" spans="2:18" ht="13">
      <c r="B3402" s="33"/>
      <c r="C3402" s="34"/>
      <c r="D3402" s="68" t="s">
        <v>17</v>
      </c>
      <c r="E3402" s="69" t="s">
        <v>27</v>
      </c>
      <c r="F3402" s="20" t="s">
        <v>533</v>
      </c>
      <c r="G3402" s="15"/>
      <c r="H3402" s="15"/>
      <c r="I3402" s="15"/>
      <c r="J3402" s="15"/>
      <c r="K3402" s="15"/>
      <c r="L3402" s="15"/>
      <c r="M3402" s="15"/>
      <c r="N3402" s="15"/>
      <c r="O3402" s="15"/>
      <c r="P3402" s="15"/>
      <c r="Q3402" s="15"/>
      <c r="R3402" s="15"/>
    </row>
    <row r="3403" spans="2:18" ht="13">
      <c r="B3403" s="33"/>
      <c r="C3403" s="34"/>
      <c r="D3403" s="68" t="s">
        <v>17</v>
      </c>
      <c r="E3403" s="69" t="s">
        <v>27</v>
      </c>
      <c r="F3403" s="20" t="s">
        <v>533</v>
      </c>
      <c r="G3403" s="15"/>
      <c r="H3403" s="15"/>
      <c r="I3403" s="15"/>
      <c r="J3403" s="15"/>
      <c r="K3403" s="15"/>
      <c r="L3403" s="15"/>
      <c r="M3403" s="15"/>
      <c r="N3403" s="15"/>
      <c r="O3403" s="15"/>
      <c r="P3403" s="15"/>
      <c r="Q3403" s="15"/>
      <c r="R3403" s="15"/>
    </row>
    <row r="3404" spans="2:18" ht="13">
      <c r="B3404" s="33"/>
      <c r="C3404" s="34"/>
      <c r="D3404" s="68" t="s">
        <v>17</v>
      </c>
      <c r="E3404" s="69" t="s">
        <v>27</v>
      </c>
      <c r="F3404" s="20" t="s">
        <v>533</v>
      </c>
      <c r="G3404" s="15"/>
      <c r="H3404" s="15"/>
      <c r="I3404" s="15"/>
      <c r="J3404" s="15"/>
      <c r="K3404" s="15"/>
      <c r="L3404" s="15"/>
      <c r="M3404" s="15"/>
      <c r="N3404" s="15"/>
      <c r="O3404" s="15"/>
      <c r="P3404" s="15"/>
      <c r="Q3404" s="15"/>
      <c r="R3404" s="15"/>
    </row>
    <row r="3405" spans="2:18" ht="13">
      <c r="B3405" s="33"/>
      <c r="C3405" s="34"/>
      <c r="D3405" s="68" t="s">
        <v>574</v>
      </c>
      <c r="E3405" s="69" t="s">
        <v>575</v>
      </c>
      <c r="F3405" s="20" t="s">
        <v>533</v>
      </c>
      <c r="G3405" s="15"/>
      <c r="H3405" s="15"/>
      <c r="I3405" s="15"/>
      <c r="J3405" s="15"/>
      <c r="K3405" s="15"/>
      <c r="L3405" s="15"/>
      <c r="M3405" s="15"/>
      <c r="N3405" s="15"/>
      <c r="O3405" s="15"/>
      <c r="P3405" s="15"/>
      <c r="Q3405" s="15"/>
      <c r="R3405" s="15"/>
    </row>
    <row r="3406" spans="2:18" ht="13">
      <c r="B3406" s="33"/>
      <c r="C3406" s="34"/>
      <c r="D3406" s="68" t="s">
        <v>17</v>
      </c>
      <c r="E3406" s="69" t="s">
        <v>27</v>
      </c>
      <c r="F3406" s="20" t="s">
        <v>533</v>
      </c>
      <c r="G3406" s="15"/>
      <c r="H3406" s="15"/>
      <c r="I3406" s="15"/>
      <c r="J3406" s="15"/>
      <c r="K3406" s="15"/>
      <c r="L3406" s="15"/>
      <c r="M3406" s="15"/>
      <c r="N3406" s="15"/>
      <c r="O3406" s="15"/>
      <c r="P3406" s="15"/>
      <c r="Q3406" s="15"/>
      <c r="R3406" s="15"/>
    </row>
    <row r="3407" spans="2:18" ht="13">
      <c r="B3407" s="33"/>
      <c r="C3407" s="34"/>
      <c r="D3407" s="68" t="s">
        <v>17</v>
      </c>
      <c r="E3407" s="69" t="s">
        <v>27</v>
      </c>
      <c r="F3407" s="20" t="s">
        <v>533</v>
      </c>
      <c r="G3407" s="15"/>
      <c r="H3407" s="15"/>
      <c r="I3407" s="15"/>
      <c r="J3407" s="15"/>
      <c r="K3407" s="15"/>
      <c r="L3407" s="15"/>
      <c r="M3407" s="15"/>
      <c r="N3407" s="15"/>
      <c r="O3407" s="15"/>
      <c r="P3407" s="15"/>
      <c r="Q3407" s="15"/>
      <c r="R3407" s="15"/>
    </row>
    <row r="3408" spans="2:18" ht="13">
      <c r="B3408" s="33"/>
      <c r="C3408" s="34"/>
      <c r="D3408" s="68" t="s">
        <v>17</v>
      </c>
      <c r="E3408" s="69" t="s">
        <v>27</v>
      </c>
      <c r="F3408" s="20" t="s">
        <v>533</v>
      </c>
      <c r="G3408" s="15"/>
      <c r="H3408" s="15"/>
      <c r="I3408" s="15"/>
      <c r="J3408" s="15"/>
      <c r="K3408" s="15"/>
      <c r="L3408" s="15"/>
      <c r="M3408" s="15"/>
      <c r="N3408" s="15"/>
      <c r="O3408" s="15"/>
      <c r="P3408" s="15"/>
      <c r="Q3408" s="15"/>
      <c r="R3408" s="15"/>
    </row>
    <row r="3409" spans="2:18" ht="13">
      <c r="B3409" s="33"/>
      <c r="C3409" s="34"/>
      <c r="D3409" s="68" t="s">
        <v>53</v>
      </c>
      <c r="E3409" s="69" t="s">
        <v>32</v>
      </c>
      <c r="F3409" s="20" t="s">
        <v>533</v>
      </c>
      <c r="G3409" s="15"/>
      <c r="H3409" s="15"/>
      <c r="I3409" s="15"/>
      <c r="J3409" s="15"/>
      <c r="K3409" s="15"/>
      <c r="L3409" s="15"/>
      <c r="M3409" s="15"/>
      <c r="N3409" s="15"/>
      <c r="O3409" s="15"/>
      <c r="P3409" s="15"/>
      <c r="Q3409" s="15"/>
      <c r="R3409" s="15"/>
    </row>
    <row r="3410" spans="2:18" ht="13">
      <c r="B3410" s="33"/>
      <c r="C3410" s="34"/>
      <c r="D3410" s="68" t="s">
        <v>36</v>
      </c>
      <c r="E3410" s="69" t="s">
        <v>37</v>
      </c>
      <c r="F3410" s="20" t="s">
        <v>533</v>
      </c>
      <c r="G3410" s="15"/>
      <c r="H3410" s="15"/>
      <c r="I3410" s="15"/>
      <c r="J3410" s="15"/>
      <c r="K3410" s="15"/>
      <c r="L3410" s="15"/>
      <c r="M3410" s="15"/>
      <c r="N3410" s="15"/>
      <c r="O3410" s="15"/>
      <c r="P3410" s="15"/>
      <c r="Q3410" s="15"/>
      <c r="R3410" s="15"/>
    </row>
    <row r="3411" spans="2:18" ht="13">
      <c r="B3411" s="33"/>
      <c r="C3411" s="34"/>
      <c r="D3411" s="68" t="s">
        <v>26</v>
      </c>
      <c r="E3411" s="69" t="s">
        <v>27</v>
      </c>
      <c r="F3411" s="20" t="s">
        <v>533</v>
      </c>
      <c r="G3411" s="15"/>
      <c r="H3411" s="15"/>
      <c r="I3411" s="15"/>
      <c r="J3411" s="15"/>
      <c r="K3411" s="15"/>
      <c r="L3411" s="15"/>
      <c r="M3411" s="15"/>
      <c r="N3411" s="15"/>
      <c r="O3411" s="15"/>
      <c r="P3411" s="15"/>
      <c r="Q3411" s="15"/>
      <c r="R3411" s="15"/>
    </row>
    <row r="3412" spans="2:18" ht="13">
      <c r="B3412" s="33"/>
      <c r="C3412" s="34"/>
      <c r="D3412" s="68" t="s">
        <v>17</v>
      </c>
      <c r="E3412" s="69" t="s">
        <v>27</v>
      </c>
      <c r="F3412" s="20" t="s">
        <v>533</v>
      </c>
      <c r="G3412" s="15"/>
      <c r="H3412" s="15"/>
      <c r="I3412" s="15"/>
      <c r="J3412" s="15"/>
      <c r="K3412" s="15"/>
      <c r="L3412" s="15"/>
      <c r="M3412" s="15"/>
      <c r="N3412" s="15"/>
      <c r="O3412" s="15"/>
      <c r="P3412" s="15"/>
      <c r="Q3412" s="15"/>
      <c r="R3412" s="15"/>
    </row>
    <row r="3413" spans="2:18" ht="13">
      <c r="B3413" s="33"/>
      <c r="C3413" s="34"/>
      <c r="D3413" s="68" t="s">
        <v>17</v>
      </c>
      <c r="E3413" s="69" t="s">
        <v>27</v>
      </c>
      <c r="F3413" s="20" t="s">
        <v>533</v>
      </c>
      <c r="G3413" s="15"/>
      <c r="H3413" s="15"/>
      <c r="I3413" s="15"/>
      <c r="J3413" s="15"/>
      <c r="K3413" s="15"/>
      <c r="L3413" s="15"/>
      <c r="M3413" s="15"/>
      <c r="N3413" s="15"/>
      <c r="O3413" s="15"/>
      <c r="P3413" s="15"/>
      <c r="Q3413" s="15"/>
      <c r="R3413" s="15"/>
    </row>
    <row r="3414" spans="2:18" ht="13">
      <c r="B3414" s="33"/>
      <c r="C3414" s="34"/>
      <c r="D3414" s="68" t="s">
        <v>86</v>
      </c>
      <c r="E3414" s="69" t="s">
        <v>124</v>
      </c>
      <c r="F3414" s="20" t="s">
        <v>533</v>
      </c>
      <c r="G3414" s="15"/>
      <c r="H3414" s="15"/>
      <c r="I3414" s="15"/>
      <c r="J3414" s="15"/>
      <c r="K3414" s="15"/>
      <c r="L3414" s="15"/>
      <c r="M3414" s="15"/>
      <c r="N3414" s="15"/>
      <c r="O3414" s="15"/>
      <c r="P3414" s="15"/>
      <c r="Q3414" s="15"/>
      <c r="R3414" s="15"/>
    </row>
    <row r="3415" spans="2:18" ht="13">
      <c r="B3415" s="33"/>
      <c r="C3415" s="34"/>
      <c r="D3415" s="68" t="s">
        <v>17</v>
      </c>
      <c r="E3415" s="69" t="s">
        <v>27</v>
      </c>
      <c r="F3415" s="20" t="s">
        <v>533</v>
      </c>
      <c r="G3415" s="15"/>
      <c r="H3415" s="15"/>
      <c r="I3415" s="15"/>
      <c r="J3415" s="15"/>
      <c r="K3415" s="15"/>
      <c r="L3415" s="15"/>
      <c r="M3415" s="15"/>
      <c r="N3415" s="15"/>
      <c r="O3415" s="15"/>
      <c r="P3415" s="15"/>
      <c r="Q3415" s="15"/>
      <c r="R3415" s="15"/>
    </row>
    <row r="3416" spans="2:18" ht="13">
      <c r="B3416" s="33"/>
      <c r="C3416" s="34"/>
      <c r="D3416" s="68" t="s">
        <v>17</v>
      </c>
      <c r="E3416" s="69" t="s">
        <v>27</v>
      </c>
      <c r="F3416" s="20" t="s">
        <v>533</v>
      </c>
      <c r="G3416" s="15"/>
      <c r="H3416" s="15"/>
      <c r="I3416" s="15"/>
      <c r="J3416" s="15"/>
      <c r="K3416" s="15"/>
      <c r="L3416" s="15"/>
      <c r="M3416" s="15"/>
      <c r="N3416" s="15"/>
      <c r="O3416" s="15"/>
      <c r="P3416" s="15"/>
      <c r="Q3416" s="15"/>
      <c r="R3416" s="15"/>
    </row>
    <row r="3417" spans="2:18" ht="13">
      <c r="B3417" s="33"/>
      <c r="C3417" s="34"/>
      <c r="D3417" s="68" t="s">
        <v>17</v>
      </c>
      <c r="E3417" s="69" t="s">
        <v>27</v>
      </c>
      <c r="F3417" s="20" t="s">
        <v>533</v>
      </c>
      <c r="G3417" s="15"/>
      <c r="H3417" s="15"/>
      <c r="I3417" s="15"/>
      <c r="J3417" s="15"/>
      <c r="K3417" s="15"/>
      <c r="L3417" s="15"/>
      <c r="M3417" s="15"/>
      <c r="N3417" s="15"/>
      <c r="O3417" s="15"/>
      <c r="P3417" s="15"/>
      <c r="Q3417" s="15"/>
      <c r="R3417" s="15"/>
    </row>
    <row r="3418" spans="2:18" ht="13">
      <c r="B3418" s="33"/>
      <c r="C3418" s="34"/>
      <c r="D3418" s="68" t="s">
        <v>174</v>
      </c>
      <c r="E3418" s="69" t="s">
        <v>175</v>
      </c>
      <c r="F3418" s="20" t="s">
        <v>533</v>
      </c>
      <c r="G3418" s="15"/>
      <c r="H3418" s="15"/>
      <c r="I3418" s="15"/>
      <c r="J3418" s="15"/>
      <c r="K3418" s="15"/>
      <c r="L3418" s="15"/>
      <c r="M3418" s="15"/>
      <c r="N3418" s="15"/>
      <c r="O3418" s="15"/>
      <c r="P3418" s="15"/>
      <c r="Q3418" s="15"/>
      <c r="R3418" s="15"/>
    </row>
    <row r="3419" spans="2:18" ht="13">
      <c r="B3419" s="33"/>
      <c r="C3419" s="34"/>
      <c r="D3419" s="68" t="s">
        <v>663</v>
      </c>
      <c r="E3419" s="69" t="s">
        <v>163</v>
      </c>
      <c r="F3419" s="20" t="s">
        <v>533</v>
      </c>
      <c r="G3419" s="15"/>
      <c r="H3419" s="15"/>
      <c r="I3419" s="15"/>
      <c r="J3419" s="15"/>
      <c r="K3419" s="15"/>
      <c r="L3419" s="15"/>
      <c r="M3419" s="15"/>
      <c r="N3419" s="15"/>
      <c r="O3419" s="15"/>
      <c r="P3419" s="15"/>
      <c r="Q3419" s="15"/>
      <c r="R3419" s="15"/>
    </row>
    <row r="3420" spans="2:18" ht="13">
      <c r="B3420" s="33"/>
      <c r="C3420" s="34"/>
      <c r="D3420" s="68" t="s">
        <v>17</v>
      </c>
      <c r="E3420" s="69" t="s">
        <v>27</v>
      </c>
      <c r="F3420" s="20" t="s">
        <v>533</v>
      </c>
      <c r="G3420" s="15"/>
      <c r="H3420" s="15"/>
      <c r="I3420" s="15"/>
      <c r="J3420" s="15"/>
      <c r="K3420" s="15"/>
      <c r="L3420" s="15"/>
      <c r="M3420" s="15"/>
      <c r="N3420" s="15"/>
      <c r="O3420" s="15"/>
      <c r="P3420" s="15"/>
      <c r="Q3420" s="15"/>
      <c r="R3420" s="15"/>
    </row>
    <row r="3421" spans="2:18" ht="13">
      <c r="B3421" s="33"/>
      <c r="C3421" s="34"/>
      <c r="D3421" s="68" t="s">
        <v>17</v>
      </c>
      <c r="E3421" s="69" t="s">
        <v>27</v>
      </c>
      <c r="F3421" s="20" t="s">
        <v>533</v>
      </c>
      <c r="G3421" s="15"/>
      <c r="H3421" s="15"/>
      <c r="I3421" s="15"/>
      <c r="J3421" s="15"/>
      <c r="K3421" s="15"/>
      <c r="L3421" s="15"/>
      <c r="M3421" s="15"/>
      <c r="N3421" s="15"/>
      <c r="O3421" s="15"/>
      <c r="P3421" s="15"/>
      <c r="Q3421" s="15"/>
      <c r="R3421" s="15"/>
    </row>
    <row r="3422" spans="2:18" ht="13">
      <c r="B3422" s="33"/>
      <c r="C3422" s="34"/>
      <c r="D3422" s="68" t="s">
        <v>17</v>
      </c>
      <c r="E3422" s="69" t="s">
        <v>27</v>
      </c>
      <c r="F3422" s="20" t="s">
        <v>533</v>
      </c>
      <c r="G3422" s="15"/>
      <c r="H3422" s="15"/>
      <c r="I3422" s="15"/>
      <c r="J3422" s="15"/>
      <c r="K3422" s="15"/>
      <c r="L3422" s="15"/>
      <c r="M3422" s="15"/>
      <c r="N3422" s="15"/>
      <c r="O3422" s="15"/>
      <c r="P3422" s="15"/>
      <c r="Q3422" s="15"/>
      <c r="R3422" s="15"/>
    </row>
    <row r="3423" spans="2:18" ht="13">
      <c r="B3423" s="33"/>
      <c r="C3423" s="34"/>
      <c r="D3423" s="68" t="s">
        <v>17</v>
      </c>
      <c r="E3423" s="69" t="s">
        <v>27</v>
      </c>
      <c r="F3423" s="20" t="s">
        <v>533</v>
      </c>
      <c r="G3423" s="15"/>
      <c r="H3423" s="15"/>
      <c r="I3423" s="15"/>
      <c r="J3423" s="15"/>
      <c r="K3423" s="15"/>
      <c r="L3423" s="15"/>
      <c r="M3423" s="15"/>
      <c r="N3423" s="15"/>
      <c r="O3423" s="15"/>
      <c r="P3423" s="15"/>
      <c r="Q3423" s="15"/>
      <c r="R3423" s="15"/>
    </row>
    <row r="3424" spans="2:18" ht="13">
      <c r="B3424" s="33"/>
      <c r="C3424" s="34"/>
      <c r="D3424" s="68" t="s">
        <v>174</v>
      </c>
      <c r="E3424" s="69" t="s">
        <v>175</v>
      </c>
      <c r="F3424" s="20" t="s">
        <v>533</v>
      </c>
      <c r="G3424" s="15"/>
      <c r="H3424" s="15"/>
      <c r="I3424" s="15"/>
      <c r="J3424" s="15"/>
      <c r="K3424" s="15"/>
      <c r="L3424" s="15"/>
      <c r="M3424" s="15"/>
      <c r="N3424" s="15"/>
      <c r="O3424" s="15"/>
      <c r="P3424" s="15"/>
      <c r="Q3424" s="15"/>
      <c r="R3424" s="15"/>
    </row>
    <row r="3425" spans="2:18" ht="13">
      <c r="B3425" s="33"/>
      <c r="C3425" s="34"/>
      <c r="D3425" s="68" t="s">
        <v>17</v>
      </c>
      <c r="E3425" s="69" t="s">
        <v>27</v>
      </c>
      <c r="F3425" s="20" t="s">
        <v>533</v>
      </c>
      <c r="G3425" s="15"/>
      <c r="H3425" s="15"/>
      <c r="I3425" s="15"/>
      <c r="J3425" s="15"/>
      <c r="K3425" s="15"/>
      <c r="L3425" s="15"/>
      <c r="M3425" s="15"/>
      <c r="N3425" s="15"/>
      <c r="O3425" s="15"/>
      <c r="P3425" s="15"/>
      <c r="Q3425" s="15"/>
      <c r="R3425" s="15"/>
    </row>
    <row r="3426" spans="2:18" ht="13">
      <c r="B3426" s="33"/>
      <c r="C3426" s="34"/>
      <c r="D3426" s="68" t="s">
        <v>17</v>
      </c>
      <c r="E3426" s="69" t="s">
        <v>27</v>
      </c>
      <c r="F3426" s="20" t="s">
        <v>533</v>
      </c>
      <c r="G3426" s="15"/>
      <c r="H3426" s="15"/>
      <c r="I3426" s="15"/>
      <c r="J3426" s="15"/>
      <c r="K3426" s="15"/>
      <c r="L3426" s="15"/>
      <c r="M3426" s="15"/>
      <c r="N3426" s="15"/>
      <c r="O3426" s="15"/>
      <c r="P3426" s="15"/>
      <c r="Q3426" s="15"/>
      <c r="R3426" s="15"/>
    </row>
    <row r="3427" spans="2:18" ht="13">
      <c r="B3427" s="33"/>
      <c r="C3427" s="34"/>
      <c r="D3427" s="68" t="s">
        <v>571</v>
      </c>
      <c r="E3427" s="69" t="s">
        <v>163</v>
      </c>
      <c r="F3427" s="20" t="s">
        <v>533</v>
      </c>
      <c r="G3427" s="15"/>
      <c r="H3427" s="15"/>
      <c r="I3427" s="15"/>
      <c r="J3427" s="15"/>
      <c r="K3427" s="15"/>
      <c r="L3427" s="15"/>
      <c r="M3427" s="15"/>
      <c r="N3427" s="15"/>
      <c r="O3427" s="15"/>
      <c r="P3427" s="15"/>
      <c r="Q3427" s="15"/>
      <c r="R3427" s="15"/>
    </row>
    <row r="3428" spans="2:18" ht="13">
      <c r="B3428" s="33"/>
      <c r="C3428" s="34"/>
      <c r="D3428" s="68" t="s">
        <v>17</v>
      </c>
      <c r="E3428" s="69" t="s">
        <v>614</v>
      </c>
      <c r="F3428" s="20" t="s">
        <v>533</v>
      </c>
      <c r="G3428" s="15"/>
      <c r="H3428" s="15"/>
      <c r="I3428" s="15"/>
      <c r="J3428" s="15"/>
      <c r="K3428" s="15"/>
      <c r="L3428" s="15"/>
      <c r="M3428" s="15"/>
      <c r="N3428" s="15"/>
      <c r="O3428" s="15"/>
      <c r="P3428" s="15"/>
      <c r="Q3428" s="15"/>
      <c r="R3428" s="15"/>
    </row>
    <row r="3429" spans="2:18" ht="13">
      <c r="B3429" s="33"/>
      <c r="C3429" s="34"/>
      <c r="D3429" s="68" t="s">
        <v>17</v>
      </c>
      <c r="E3429" s="69" t="s">
        <v>27</v>
      </c>
      <c r="F3429" s="20" t="s">
        <v>533</v>
      </c>
      <c r="G3429" s="15"/>
      <c r="H3429" s="15"/>
      <c r="I3429" s="15"/>
      <c r="J3429" s="15"/>
      <c r="K3429" s="15"/>
      <c r="L3429" s="15"/>
      <c r="M3429" s="15"/>
      <c r="N3429" s="15"/>
      <c r="O3429" s="15"/>
      <c r="P3429" s="15"/>
      <c r="Q3429" s="15"/>
      <c r="R3429" s="15"/>
    </row>
    <row r="3430" spans="2:18" ht="13">
      <c r="B3430" s="33"/>
      <c r="C3430" s="34"/>
      <c r="D3430" s="68" t="s">
        <v>17</v>
      </c>
      <c r="E3430" s="69" t="s">
        <v>27</v>
      </c>
      <c r="F3430" s="20" t="s">
        <v>533</v>
      </c>
      <c r="G3430" s="15"/>
      <c r="H3430" s="15"/>
      <c r="I3430" s="15"/>
      <c r="J3430" s="15"/>
      <c r="K3430" s="15"/>
      <c r="L3430" s="15"/>
      <c r="M3430" s="15"/>
      <c r="N3430" s="15"/>
      <c r="O3430" s="15"/>
      <c r="P3430" s="15"/>
      <c r="Q3430" s="15"/>
      <c r="R3430" s="15"/>
    </row>
    <row r="3431" spans="2:18" ht="13">
      <c r="B3431" s="33"/>
      <c r="C3431" s="34"/>
      <c r="D3431" s="68" t="s">
        <v>17</v>
      </c>
      <c r="E3431" s="69" t="s">
        <v>27</v>
      </c>
      <c r="F3431" s="20" t="s">
        <v>533</v>
      </c>
      <c r="G3431" s="15"/>
      <c r="H3431" s="15"/>
      <c r="I3431" s="15"/>
      <c r="J3431" s="15"/>
      <c r="K3431" s="15"/>
      <c r="L3431" s="15"/>
      <c r="M3431" s="15"/>
      <c r="N3431" s="15"/>
      <c r="O3431" s="15"/>
      <c r="P3431" s="15"/>
      <c r="Q3431" s="15"/>
      <c r="R3431" s="15"/>
    </row>
    <row r="3432" spans="2:18" ht="13">
      <c r="B3432" s="33"/>
      <c r="C3432" s="34"/>
      <c r="D3432" s="68" t="s">
        <v>17</v>
      </c>
      <c r="E3432" s="69" t="s">
        <v>27</v>
      </c>
      <c r="F3432" s="20" t="s">
        <v>533</v>
      </c>
      <c r="G3432" s="15"/>
      <c r="H3432" s="15"/>
      <c r="I3432" s="15"/>
      <c r="J3432" s="15"/>
      <c r="K3432" s="15"/>
      <c r="L3432" s="15"/>
      <c r="M3432" s="15"/>
      <c r="N3432" s="15"/>
      <c r="O3432" s="15"/>
      <c r="P3432" s="15"/>
      <c r="Q3432" s="15"/>
      <c r="R3432" s="15"/>
    </row>
    <row r="3433" spans="2:18" ht="13">
      <c r="B3433" s="33"/>
      <c r="C3433" s="34"/>
      <c r="D3433" s="68" t="s">
        <v>174</v>
      </c>
      <c r="E3433" s="69" t="s">
        <v>18</v>
      </c>
      <c r="F3433" s="20" t="s">
        <v>533</v>
      </c>
      <c r="G3433" s="15"/>
      <c r="H3433" s="15"/>
      <c r="I3433" s="15"/>
      <c r="J3433" s="15"/>
      <c r="K3433" s="15"/>
      <c r="L3433" s="15"/>
      <c r="M3433" s="15"/>
      <c r="N3433" s="15"/>
      <c r="O3433" s="15"/>
      <c r="P3433" s="15"/>
      <c r="Q3433" s="15"/>
      <c r="R3433" s="15"/>
    </row>
    <row r="3434" spans="2:18" ht="13">
      <c r="B3434" s="33"/>
      <c r="C3434" s="34"/>
      <c r="D3434" s="68" t="s">
        <v>17</v>
      </c>
      <c r="E3434" s="69" t="s">
        <v>27</v>
      </c>
      <c r="F3434" s="20" t="s">
        <v>533</v>
      </c>
      <c r="G3434" s="15"/>
      <c r="H3434" s="15"/>
      <c r="I3434" s="15"/>
      <c r="J3434" s="15"/>
      <c r="K3434" s="15"/>
      <c r="L3434" s="15"/>
      <c r="M3434" s="15"/>
      <c r="N3434" s="15"/>
      <c r="O3434" s="15"/>
      <c r="P3434" s="15"/>
      <c r="Q3434" s="15"/>
      <c r="R3434" s="15"/>
    </row>
    <row r="3435" spans="2:18" ht="13">
      <c r="B3435" s="33"/>
      <c r="C3435" s="34"/>
      <c r="D3435" s="68" t="s">
        <v>17</v>
      </c>
      <c r="E3435" s="69" t="s">
        <v>27</v>
      </c>
      <c r="F3435" s="20" t="s">
        <v>533</v>
      </c>
      <c r="G3435" s="15"/>
      <c r="H3435" s="15"/>
      <c r="I3435" s="15"/>
      <c r="J3435" s="15"/>
      <c r="K3435" s="15"/>
      <c r="L3435" s="15"/>
      <c r="M3435" s="15"/>
      <c r="N3435" s="15"/>
      <c r="O3435" s="15"/>
      <c r="P3435" s="15"/>
      <c r="Q3435" s="15"/>
      <c r="R3435" s="15"/>
    </row>
    <row r="3436" spans="2:18" ht="13">
      <c r="B3436" s="33"/>
      <c r="C3436" s="34"/>
      <c r="D3436" s="68" t="s">
        <v>17</v>
      </c>
      <c r="E3436" s="69" t="s">
        <v>27</v>
      </c>
      <c r="F3436" s="20" t="s">
        <v>533</v>
      </c>
      <c r="G3436" s="15"/>
      <c r="H3436" s="15"/>
      <c r="I3436" s="15"/>
      <c r="J3436" s="15"/>
      <c r="K3436" s="15"/>
      <c r="L3436" s="15"/>
      <c r="M3436" s="15"/>
      <c r="N3436" s="15"/>
      <c r="O3436" s="15"/>
      <c r="P3436" s="15"/>
      <c r="Q3436" s="15"/>
      <c r="R3436" s="15"/>
    </row>
    <row r="3437" spans="2:18" ht="13">
      <c r="B3437" s="33"/>
      <c r="C3437" s="34"/>
      <c r="D3437" s="68" t="s">
        <v>17</v>
      </c>
      <c r="E3437" s="69" t="s">
        <v>27</v>
      </c>
      <c r="F3437" s="20" t="s">
        <v>533</v>
      </c>
      <c r="G3437" s="15"/>
      <c r="H3437" s="15"/>
      <c r="I3437" s="15"/>
      <c r="J3437" s="15"/>
      <c r="K3437" s="15"/>
      <c r="L3437" s="15"/>
      <c r="M3437" s="15"/>
      <c r="N3437" s="15"/>
      <c r="O3437" s="15"/>
      <c r="P3437" s="15"/>
      <c r="Q3437" s="15"/>
      <c r="R3437" s="15"/>
    </row>
    <row r="3438" spans="2:18" ht="13">
      <c r="B3438" s="33"/>
      <c r="C3438" s="34"/>
      <c r="D3438" s="68" t="s">
        <v>17</v>
      </c>
      <c r="E3438" s="69" t="s">
        <v>27</v>
      </c>
      <c r="F3438" s="20" t="s">
        <v>533</v>
      </c>
      <c r="G3438" s="15"/>
      <c r="H3438" s="15"/>
      <c r="I3438" s="15"/>
      <c r="J3438" s="15"/>
      <c r="K3438" s="15"/>
      <c r="L3438" s="15"/>
      <c r="M3438" s="15"/>
      <c r="N3438" s="15"/>
      <c r="O3438" s="15"/>
      <c r="P3438" s="15"/>
      <c r="Q3438" s="15"/>
      <c r="R3438" s="15"/>
    </row>
    <row r="3439" spans="2:18" ht="13">
      <c r="B3439" s="33"/>
      <c r="C3439" s="34"/>
      <c r="D3439" s="68" t="s">
        <v>17</v>
      </c>
      <c r="E3439" s="69" t="s">
        <v>27</v>
      </c>
      <c r="F3439" s="20" t="s">
        <v>533</v>
      </c>
      <c r="G3439" s="15"/>
      <c r="H3439" s="15"/>
      <c r="I3439" s="15"/>
      <c r="J3439" s="15"/>
      <c r="K3439" s="15"/>
      <c r="L3439" s="15"/>
      <c r="M3439" s="15"/>
      <c r="N3439" s="15"/>
      <c r="O3439" s="15"/>
      <c r="P3439" s="15"/>
      <c r="Q3439" s="15"/>
      <c r="R3439" s="15"/>
    </row>
    <row r="3440" spans="2:18" ht="13">
      <c r="B3440" s="33"/>
      <c r="C3440" s="34"/>
      <c r="D3440" s="68" t="s">
        <v>17</v>
      </c>
      <c r="E3440" s="69" t="s">
        <v>27</v>
      </c>
      <c r="F3440" s="20" t="s">
        <v>533</v>
      </c>
      <c r="G3440" s="15"/>
      <c r="H3440" s="15"/>
      <c r="I3440" s="15"/>
      <c r="J3440" s="15"/>
      <c r="K3440" s="15"/>
      <c r="L3440" s="15"/>
      <c r="M3440" s="15"/>
      <c r="N3440" s="15"/>
      <c r="O3440" s="15"/>
      <c r="P3440" s="15"/>
      <c r="Q3440" s="15"/>
      <c r="R3440" s="15"/>
    </row>
    <row r="3441" spans="2:18" ht="13">
      <c r="B3441" s="33"/>
      <c r="C3441" s="34"/>
      <c r="D3441" s="68" t="s">
        <v>17</v>
      </c>
      <c r="E3441" s="69" t="s">
        <v>27</v>
      </c>
      <c r="F3441" s="20" t="s">
        <v>533</v>
      </c>
      <c r="G3441" s="15"/>
      <c r="H3441" s="15"/>
      <c r="I3441" s="15"/>
      <c r="J3441" s="15"/>
      <c r="K3441" s="15"/>
      <c r="L3441" s="15"/>
      <c r="M3441" s="15"/>
      <c r="N3441" s="15"/>
      <c r="O3441" s="15"/>
      <c r="P3441" s="15"/>
      <c r="Q3441" s="15"/>
      <c r="R3441" s="15"/>
    </row>
    <row r="3442" spans="2:18" ht="13">
      <c r="B3442" s="33"/>
      <c r="C3442" s="34"/>
      <c r="D3442" s="68" t="s">
        <v>17</v>
      </c>
      <c r="E3442" s="69" t="s">
        <v>27</v>
      </c>
      <c r="F3442" s="20" t="s">
        <v>533</v>
      </c>
      <c r="G3442" s="15"/>
      <c r="H3442" s="15"/>
      <c r="I3442" s="15"/>
      <c r="J3442" s="15"/>
      <c r="K3442" s="15"/>
      <c r="L3442" s="15"/>
      <c r="M3442" s="15"/>
      <c r="N3442" s="15"/>
      <c r="O3442" s="15"/>
      <c r="P3442" s="15"/>
      <c r="Q3442" s="15"/>
      <c r="R3442" s="15"/>
    </row>
    <row r="3443" spans="2:18" ht="13">
      <c r="B3443" s="33"/>
      <c r="C3443" s="34"/>
      <c r="D3443" s="68" t="s">
        <v>26</v>
      </c>
      <c r="E3443" s="69" t="s">
        <v>27</v>
      </c>
      <c r="F3443" s="20" t="s">
        <v>533</v>
      </c>
      <c r="G3443" s="15"/>
      <c r="H3443" s="15"/>
      <c r="I3443" s="15"/>
      <c r="J3443" s="15"/>
      <c r="K3443" s="15"/>
      <c r="L3443" s="15"/>
      <c r="M3443" s="15"/>
      <c r="N3443" s="15"/>
      <c r="O3443" s="15"/>
      <c r="P3443" s="15"/>
      <c r="Q3443" s="15"/>
      <c r="R3443" s="15"/>
    </row>
    <row r="3444" spans="2:18" ht="13">
      <c r="B3444" s="33"/>
      <c r="C3444" s="34"/>
      <c r="D3444" s="68" t="s">
        <v>290</v>
      </c>
      <c r="E3444" s="69" t="s">
        <v>32</v>
      </c>
      <c r="F3444" s="20" t="s">
        <v>533</v>
      </c>
      <c r="G3444" s="15"/>
      <c r="H3444" s="15"/>
      <c r="I3444" s="15"/>
      <c r="J3444" s="15"/>
      <c r="K3444" s="15"/>
      <c r="L3444" s="15"/>
      <c r="M3444" s="15"/>
      <c r="N3444" s="15"/>
      <c r="O3444" s="15"/>
      <c r="P3444" s="15"/>
      <c r="Q3444" s="15"/>
      <c r="R3444" s="15"/>
    </row>
    <row r="3445" spans="2:18" ht="13">
      <c r="B3445" s="33"/>
      <c r="C3445" s="34"/>
      <c r="D3445" s="68" t="s">
        <v>26</v>
      </c>
      <c r="E3445" s="69" t="s">
        <v>27</v>
      </c>
      <c r="F3445" s="20" t="s">
        <v>533</v>
      </c>
      <c r="G3445" s="15"/>
      <c r="H3445" s="15"/>
      <c r="I3445" s="15"/>
      <c r="J3445" s="15"/>
      <c r="K3445" s="15"/>
      <c r="L3445" s="15"/>
      <c r="M3445" s="15"/>
      <c r="N3445" s="15"/>
      <c r="O3445" s="15"/>
      <c r="P3445" s="15"/>
      <c r="Q3445" s="15"/>
      <c r="R3445" s="15"/>
    </row>
    <row r="3446" spans="2:18" ht="13">
      <c r="B3446" s="33"/>
      <c r="C3446" s="34"/>
      <c r="D3446" s="68" t="s">
        <v>17</v>
      </c>
      <c r="E3446" s="69" t="s">
        <v>27</v>
      </c>
      <c r="F3446" s="20" t="s">
        <v>533</v>
      </c>
      <c r="G3446" s="15"/>
      <c r="H3446" s="15"/>
      <c r="I3446" s="15"/>
      <c r="J3446" s="15"/>
      <c r="K3446" s="15"/>
      <c r="L3446" s="15"/>
      <c r="M3446" s="15"/>
      <c r="N3446" s="15"/>
      <c r="O3446" s="15"/>
      <c r="P3446" s="15"/>
      <c r="Q3446" s="15"/>
      <c r="R3446" s="15"/>
    </row>
    <row r="3447" spans="2:18" ht="13">
      <c r="B3447" s="33"/>
      <c r="C3447" s="34"/>
      <c r="D3447" s="68" t="s">
        <v>17</v>
      </c>
      <c r="E3447" s="69" t="s">
        <v>27</v>
      </c>
      <c r="F3447" s="20" t="s">
        <v>533</v>
      </c>
      <c r="G3447" s="15"/>
      <c r="H3447" s="15"/>
      <c r="I3447" s="15"/>
      <c r="J3447" s="15"/>
      <c r="K3447" s="15"/>
      <c r="L3447" s="15"/>
      <c r="M3447" s="15"/>
      <c r="N3447" s="15"/>
      <c r="O3447" s="15"/>
      <c r="P3447" s="15"/>
      <c r="Q3447" s="15"/>
      <c r="R3447" s="15"/>
    </row>
    <row r="3448" spans="2:18" ht="13">
      <c r="B3448" s="33"/>
      <c r="C3448" s="34"/>
      <c r="D3448" s="68" t="s">
        <v>17</v>
      </c>
      <c r="E3448" s="69" t="s">
        <v>27</v>
      </c>
      <c r="F3448" s="20" t="s">
        <v>533</v>
      </c>
      <c r="G3448" s="15"/>
      <c r="H3448" s="15"/>
      <c r="I3448" s="15"/>
      <c r="J3448" s="15"/>
      <c r="K3448" s="15"/>
      <c r="L3448" s="15"/>
      <c r="M3448" s="15"/>
      <c r="N3448" s="15"/>
      <c r="O3448" s="15"/>
      <c r="P3448" s="15"/>
      <c r="Q3448" s="15"/>
      <c r="R3448" s="15"/>
    </row>
    <row r="3449" spans="2:18" ht="13">
      <c r="B3449" s="33"/>
      <c r="C3449" s="34"/>
      <c r="D3449" s="68" t="s">
        <v>17</v>
      </c>
      <c r="E3449" s="69" t="s">
        <v>27</v>
      </c>
      <c r="F3449" s="20" t="s">
        <v>533</v>
      </c>
      <c r="G3449" s="15"/>
      <c r="H3449" s="15"/>
      <c r="I3449" s="15"/>
      <c r="J3449" s="15"/>
      <c r="K3449" s="15"/>
      <c r="L3449" s="15"/>
      <c r="M3449" s="15"/>
      <c r="N3449" s="15"/>
      <c r="O3449" s="15"/>
      <c r="P3449" s="15"/>
      <c r="Q3449" s="15"/>
      <c r="R3449" s="15"/>
    </row>
    <row r="3450" spans="2:18" ht="13">
      <c r="B3450" s="33"/>
      <c r="C3450" s="34"/>
      <c r="D3450" s="68" t="s">
        <v>17</v>
      </c>
      <c r="E3450" s="69" t="s">
        <v>27</v>
      </c>
      <c r="F3450" s="20" t="s">
        <v>533</v>
      </c>
      <c r="G3450" s="15"/>
      <c r="H3450" s="15"/>
      <c r="I3450" s="15"/>
      <c r="J3450" s="15"/>
      <c r="K3450" s="15"/>
      <c r="L3450" s="15"/>
      <c r="M3450" s="15"/>
      <c r="N3450" s="15"/>
      <c r="O3450" s="15"/>
      <c r="P3450" s="15"/>
      <c r="Q3450" s="15"/>
      <c r="R3450" s="15"/>
    </row>
    <row r="3451" spans="2:18" ht="13">
      <c r="B3451" s="33"/>
      <c r="C3451" s="34"/>
      <c r="D3451" s="68" t="s">
        <v>26</v>
      </c>
      <c r="E3451" s="69" t="s">
        <v>27</v>
      </c>
      <c r="F3451" s="20" t="s">
        <v>533</v>
      </c>
      <c r="G3451" s="15"/>
      <c r="H3451" s="15"/>
      <c r="I3451" s="15"/>
      <c r="J3451" s="15"/>
      <c r="K3451" s="15"/>
      <c r="L3451" s="15"/>
      <c r="M3451" s="15"/>
      <c r="N3451" s="15"/>
      <c r="O3451" s="15"/>
      <c r="P3451" s="15"/>
      <c r="Q3451" s="15"/>
      <c r="R3451" s="15"/>
    </row>
    <row r="3452" spans="2:18" ht="13">
      <c r="B3452" s="33"/>
      <c r="C3452" s="34"/>
      <c r="D3452" s="68" t="s">
        <v>593</v>
      </c>
      <c r="E3452" s="69" t="s">
        <v>32</v>
      </c>
      <c r="F3452" s="20" t="s">
        <v>533</v>
      </c>
      <c r="G3452" s="15"/>
      <c r="H3452" s="15"/>
      <c r="I3452" s="15"/>
      <c r="J3452" s="15"/>
      <c r="K3452" s="15"/>
      <c r="L3452" s="15"/>
      <c r="M3452" s="15"/>
      <c r="N3452" s="15"/>
      <c r="O3452" s="15"/>
      <c r="P3452" s="15"/>
      <c r="Q3452" s="15"/>
      <c r="R3452" s="15"/>
    </row>
    <row r="3453" spans="2:18" ht="13">
      <c r="B3453" s="33"/>
      <c r="C3453" s="34"/>
      <c r="D3453" s="68" t="s">
        <v>17</v>
      </c>
      <c r="E3453" s="69" t="s">
        <v>27</v>
      </c>
      <c r="F3453" s="20" t="s">
        <v>533</v>
      </c>
      <c r="G3453" s="15"/>
      <c r="H3453" s="15"/>
      <c r="I3453" s="15"/>
      <c r="J3453" s="15"/>
      <c r="K3453" s="15"/>
      <c r="L3453" s="15"/>
      <c r="M3453" s="15"/>
      <c r="N3453" s="15"/>
      <c r="O3453" s="15"/>
      <c r="P3453" s="15"/>
      <c r="Q3453" s="15"/>
      <c r="R3453" s="15"/>
    </row>
    <row r="3454" spans="2:18" ht="13">
      <c r="B3454" s="33"/>
      <c r="C3454" s="34"/>
      <c r="D3454" s="68" t="s">
        <v>17</v>
      </c>
      <c r="E3454" s="69" t="s">
        <v>27</v>
      </c>
      <c r="F3454" s="20" t="s">
        <v>533</v>
      </c>
      <c r="G3454" s="15"/>
      <c r="H3454" s="15"/>
      <c r="I3454" s="15"/>
      <c r="J3454" s="15"/>
      <c r="K3454" s="15"/>
      <c r="L3454" s="15"/>
      <c r="M3454" s="15"/>
      <c r="N3454" s="15"/>
      <c r="O3454" s="15"/>
      <c r="P3454" s="15"/>
      <c r="Q3454" s="15"/>
      <c r="R3454" s="15"/>
    </row>
    <row r="3455" spans="2:18" ht="13">
      <c r="B3455" s="33"/>
      <c r="C3455" s="34"/>
      <c r="D3455" s="68" t="s">
        <v>17</v>
      </c>
      <c r="E3455" s="69" t="s">
        <v>27</v>
      </c>
      <c r="F3455" s="20" t="s">
        <v>533</v>
      </c>
      <c r="G3455" s="15"/>
      <c r="H3455" s="15"/>
      <c r="I3455" s="15"/>
      <c r="J3455" s="15"/>
      <c r="K3455" s="15"/>
      <c r="L3455" s="15"/>
      <c r="M3455" s="15"/>
      <c r="N3455" s="15"/>
      <c r="O3455" s="15"/>
      <c r="P3455" s="15"/>
      <c r="Q3455" s="15"/>
      <c r="R3455" s="15"/>
    </row>
    <row r="3456" spans="2:18" ht="13">
      <c r="B3456" s="33"/>
      <c r="C3456" s="34"/>
      <c r="D3456" s="68" t="s">
        <v>17</v>
      </c>
      <c r="E3456" s="69" t="s">
        <v>27</v>
      </c>
      <c r="F3456" s="20" t="s">
        <v>533</v>
      </c>
      <c r="G3456" s="15"/>
      <c r="H3456" s="15"/>
      <c r="I3456" s="15"/>
      <c r="J3456" s="15"/>
      <c r="K3456" s="15"/>
      <c r="L3456" s="15"/>
      <c r="M3456" s="15"/>
      <c r="N3456" s="15"/>
      <c r="O3456" s="15"/>
      <c r="P3456" s="15"/>
      <c r="Q3456" s="15"/>
      <c r="R3456" s="15"/>
    </row>
    <row r="3457" spans="2:18" ht="13">
      <c r="B3457" s="33"/>
      <c r="C3457" s="34"/>
      <c r="D3457" s="68" t="s">
        <v>17</v>
      </c>
      <c r="E3457" s="69" t="s">
        <v>27</v>
      </c>
      <c r="F3457" s="20" t="s">
        <v>533</v>
      </c>
      <c r="G3457" s="15"/>
      <c r="H3457" s="15"/>
      <c r="I3457" s="15"/>
      <c r="J3457" s="15"/>
      <c r="K3457" s="15"/>
      <c r="L3457" s="15"/>
      <c r="M3457" s="15"/>
      <c r="N3457" s="15"/>
      <c r="O3457" s="15"/>
      <c r="P3457" s="15"/>
      <c r="Q3457" s="15"/>
      <c r="R3457" s="15"/>
    </row>
    <row r="3458" spans="2:18" ht="13">
      <c r="B3458" s="33"/>
      <c r="C3458" s="34"/>
      <c r="D3458" s="68" t="s">
        <v>17</v>
      </c>
      <c r="E3458" s="69" t="s">
        <v>27</v>
      </c>
      <c r="F3458" s="20" t="s">
        <v>533</v>
      </c>
      <c r="G3458" s="15"/>
      <c r="H3458" s="15"/>
      <c r="I3458" s="15"/>
      <c r="J3458" s="15"/>
      <c r="K3458" s="15"/>
      <c r="L3458" s="15"/>
      <c r="M3458" s="15"/>
      <c r="N3458" s="15"/>
      <c r="O3458" s="15"/>
      <c r="P3458" s="15"/>
      <c r="Q3458" s="15"/>
      <c r="R3458" s="15"/>
    </row>
    <row r="3459" spans="2:18" ht="13">
      <c r="B3459" s="33"/>
      <c r="C3459" s="34"/>
      <c r="D3459" s="68" t="s">
        <v>17</v>
      </c>
      <c r="E3459" s="69" t="s">
        <v>27</v>
      </c>
      <c r="F3459" s="20" t="s">
        <v>533</v>
      </c>
      <c r="G3459" s="15"/>
      <c r="H3459" s="15"/>
      <c r="I3459" s="15"/>
      <c r="J3459" s="15"/>
      <c r="K3459" s="15"/>
      <c r="L3459" s="15"/>
      <c r="M3459" s="15"/>
      <c r="N3459" s="15"/>
      <c r="O3459" s="15"/>
      <c r="P3459" s="15"/>
      <c r="Q3459" s="15"/>
      <c r="R3459" s="15"/>
    </row>
    <row r="3460" spans="2:18" ht="13">
      <c r="B3460" s="33"/>
      <c r="C3460" s="34"/>
      <c r="D3460" s="68" t="s">
        <v>17</v>
      </c>
      <c r="E3460" s="69" t="s">
        <v>27</v>
      </c>
      <c r="F3460" s="20" t="s">
        <v>533</v>
      </c>
      <c r="G3460" s="15"/>
      <c r="H3460" s="15"/>
      <c r="I3460" s="15"/>
      <c r="J3460" s="15"/>
      <c r="K3460" s="15"/>
      <c r="L3460" s="15"/>
      <c r="M3460" s="15"/>
      <c r="N3460" s="15"/>
      <c r="O3460" s="15"/>
      <c r="P3460" s="15"/>
      <c r="Q3460" s="15"/>
      <c r="R3460" s="15"/>
    </row>
    <row r="3461" spans="2:18" ht="13">
      <c r="B3461" s="33"/>
      <c r="C3461" s="34"/>
      <c r="D3461" s="68" t="s">
        <v>26</v>
      </c>
      <c r="E3461" s="69" t="s">
        <v>27</v>
      </c>
      <c r="F3461" s="20" t="s">
        <v>533</v>
      </c>
      <c r="G3461" s="15"/>
      <c r="H3461" s="15"/>
      <c r="I3461" s="15"/>
      <c r="J3461" s="15"/>
      <c r="K3461" s="15"/>
      <c r="L3461" s="15"/>
      <c r="M3461" s="15"/>
      <c r="N3461" s="15"/>
      <c r="O3461" s="15"/>
      <c r="P3461" s="15"/>
      <c r="Q3461" s="15"/>
      <c r="R3461" s="15"/>
    </row>
    <row r="3462" spans="2:18" ht="13">
      <c r="B3462" s="33"/>
      <c r="C3462" s="34"/>
      <c r="D3462" s="68" t="s">
        <v>26</v>
      </c>
      <c r="E3462" s="69" t="s">
        <v>27</v>
      </c>
      <c r="F3462" s="20" t="s">
        <v>533</v>
      </c>
      <c r="G3462" s="15"/>
      <c r="H3462" s="15"/>
      <c r="I3462" s="15"/>
      <c r="J3462" s="15"/>
      <c r="K3462" s="15"/>
      <c r="L3462" s="15"/>
      <c r="M3462" s="15"/>
      <c r="N3462" s="15"/>
      <c r="O3462" s="15"/>
      <c r="P3462" s="15"/>
      <c r="Q3462" s="15"/>
      <c r="R3462" s="15"/>
    </row>
    <row r="3463" spans="2:18" ht="13">
      <c r="B3463" s="33"/>
      <c r="C3463" s="34"/>
      <c r="D3463" s="68" t="s">
        <v>17</v>
      </c>
      <c r="E3463" s="69" t="s">
        <v>27</v>
      </c>
      <c r="F3463" s="20" t="s">
        <v>533</v>
      </c>
      <c r="G3463" s="15"/>
      <c r="H3463" s="15"/>
      <c r="I3463" s="15"/>
      <c r="J3463" s="15"/>
      <c r="K3463" s="15"/>
      <c r="L3463" s="15"/>
      <c r="M3463" s="15"/>
      <c r="N3463" s="15"/>
      <c r="O3463" s="15"/>
      <c r="P3463" s="15"/>
      <c r="Q3463" s="15"/>
      <c r="R3463" s="15"/>
    </row>
    <row r="3464" spans="2:18" ht="13">
      <c r="B3464" s="33"/>
      <c r="C3464" s="34"/>
      <c r="D3464" s="68" t="s">
        <v>26</v>
      </c>
      <c r="E3464" s="69" t="s">
        <v>27</v>
      </c>
      <c r="F3464" s="20" t="s">
        <v>533</v>
      </c>
      <c r="G3464" s="15"/>
      <c r="H3464" s="15"/>
      <c r="I3464" s="15"/>
      <c r="J3464" s="15"/>
      <c r="K3464" s="15"/>
      <c r="L3464" s="15"/>
      <c r="M3464" s="15"/>
      <c r="N3464" s="15"/>
      <c r="O3464" s="15"/>
      <c r="P3464" s="15"/>
      <c r="Q3464" s="15"/>
      <c r="R3464" s="15"/>
    </row>
    <row r="3465" spans="2:18" ht="13">
      <c r="B3465" s="33"/>
      <c r="C3465" s="34"/>
      <c r="D3465" s="68" t="s">
        <v>17</v>
      </c>
      <c r="E3465" s="69" t="s">
        <v>27</v>
      </c>
      <c r="F3465" s="20" t="s">
        <v>533</v>
      </c>
      <c r="G3465" s="15"/>
      <c r="H3465" s="15"/>
      <c r="I3465" s="15"/>
      <c r="J3465" s="15"/>
      <c r="K3465" s="15"/>
      <c r="L3465" s="15"/>
      <c r="M3465" s="15"/>
      <c r="N3465" s="15"/>
      <c r="O3465" s="15"/>
      <c r="P3465" s="15"/>
      <c r="Q3465" s="15"/>
      <c r="R3465" s="15"/>
    </row>
    <row r="3466" spans="2:18" ht="13">
      <c r="B3466" s="33"/>
      <c r="C3466" s="34"/>
      <c r="D3466" s="68" t="s">
        <v>17</v>
      </c>
      <c r="E3466" s="69" t="s">
        <v>27</v>
      </c>
      <c r="F3466" s="20" t="s">
        <v>533</v>
      </c>
      <c r="G3466" s="15"/>
      <c r="H3466" s="15"/>
      <c r="I3466" s="15"/>
      <c r="J3466" s="15"/>
      <c r="K3466" s="15"/>
      <c r="L3466" s="15"/>
      <c r="M3466" s="15"/>
      <c r="N3466" s="15"/>
      <c r="O3466" s="15"/>
      <c r="P3466" s="15"/>
      <c r="Q3466" s="15"/>
      <c r="R3466" s="15"/>
    </row>
    <row r="3467" spans="2:18" ht="13">
      <c r="B3467" s="33"/>
      <c r="C3467" s="34"/>
      <c r="D3467" s="68" t="s">
        <v>86</v>
      </c>
      <c r="E3467" s="69" t="s">
        <v>121</v>
      </c>
      <c r="F3467" s="20" t="s">
        <v>533</v>
      </c>
      <c r="G3467" s="15"/>
      <c r="H3467" s="15"/>
      <c r="I3467" s="15"/>
      <c r="J3467" s="15"/>
      <c r="K3467" s="15"/>
      <c r="L3467" s="15"/>
      <c r="M3467" s="15"/>
      <c r="N3467" s="15"/>
      <c r="O3467" s="15"/>
      <c r="P3467" s="15"/>
      <c r="Q3467" s="15"/>
      <c r="R3467" s="15"/>
    </row>
    <row r="3468" spans="2:18" ht="13">
      <c r="B3468" s="33"/>
      <c r="C3468" s="34"/>
      <c r="D3468" s="68" t="s">
        <v>26</v>
      </c>
      <c r="E3468" s="69" t="s">
        <v>27</v>
      </c>
      <c r="F3468" s="20" t="s">
        <v>533</v>
      </c>
      <c r="G3468" s="15"/>
      <c r="H3468" s="15"/>
      <c r="I3468" s="15"/>
      <c r="J3468" s="15"/>
      <c r="K3468" s="15"/>
      <c r="L3468" s="15"/>
      <c r="M3468" s="15"/>
      <c r="N3468" s="15"/>
      <c r="O3468" s="15"/>
      <c r="P3468" s="15"/>
      <c r="Q3468" s="15"/>
      <c r="R3468" s="15"/>
    </row>
    <row r="3469" spans="2:18" ht="13">
      <c r="B3469" s="33"/>
      <c r="C3469" s="34"/>
      <c r="D3469" s="68" t="s">
        <v>26</v>
      </c>
      <c r="E3469" s="69" t="s">
        <v>27</v>
      </c>
      <c r="F3469" s="20" t="s">
        <v>533</v>
      </c>
      <c r="G3469" s="15"/>
      <c r="H3469" s="15"/>
      <c r="I3469" s="15"/>
      <c r="J3469" s="15"/>
      <c r="K3469" s="15"/>
      <c r="L3469" s="15"/>
      <c r="M3469" s="15"/>
      <c r="N3469" s="15"/>
      <c r="O3469" s="15"/>
      <c r="P3469" s="15"/>
      <c r="Q3469" s="15"/>
      <c r="R3469" s="15"/>
    </row>
    <row r="3470" spans="2:18" ht="13">
      <c r="B3470" s="33"/>
      <c r="C3470" s="34"/>
      <c r="D3470" s="68" t="s">
        <v>290</v>
      </c>
      <c r="E3470" s="69" t="s">
        <v>32</v>
      </c>
      <c r="F3470" s="20" t="s">
        <v>533</v>
      </c>
      <c r="G3470" s="15"/>
      <c r="H3470" s="15"/>
      <c r="I3470" s="15"/>
      <c r="J3470" s="15"/>
      <c r="K3470" s="15"/>
      <c r="L3470" s="15"/>
      <c r="M3470" s="15"/>
      <c r="N3470" s="15"/>
      <c r="O3470" s="15"/>
      <c r="P3470" s="15"/>
      <c r="Q3470" s="15"/>
      <c r="R3470" s="15"/>
    </row>
    <row r="3471" spans="2:18" ht="13">
      <c r="B3471" s="33"/>
      <c r="C3471" s="34"/>
      <c r="D3471" s="68" t="s">
        <v>17</v>
      </c>
      <c r="E3471" s="69" t="s">
        <v>27</v>
      </c>
      <c r="F3471" s="20" t="s">
        <v>533</v>
      </c>
      <c r="G3471" s="15"/>
      <c r="H3471" s="15"/>
      <c r="I3471" s="15"/>
      <c r="J3471" s="15"/>
      <c r="K3471" s="15"/>
      <c r="L3471" s="15"/>
      <c r="M3471" s="15"/>
      <c r="N3471" s="15"/>
      <c r="O3471" s="15"/>
      <c r="P3471" s="15"/>
      <c r="Q3471" s="15"/>
      <c r="R3471" s="15"/>
    </row>
    <row r="3472" spans="2:18" ht="13">
      <c r="B3472" s="33"/>
      <c r="C3472" s="34"/>
      <c r="D3472" s="68" t="s">
        <v>17</v>
      </c>
      <c r="E3472" s="69" t="s">
        <v>27</v>
      </c>
      <c r="F3472" s="20" t="s">
        <v>533</v>
      </c>
      <c r="G3472" s="15"/>
      <c r="H3472" s="15"/>
      <c r="I3472" s="15"/>
      <c r="J3472" s="15"/>
      <c r="K3472" s="15"/>
      <c r="L3472" s="15"/>
      <c r="M3472" s="15"/>
      <c r="N3472" s="15"/>
      <c r="O3472" s="15"/>
      <c r="P3472" s="15"/>
      <c r="Q3472" s="15"/>
      <c r="R3472" s="15"/>
    </row>
    <row r="3473" spans="2:18" ht="13">
      <c r="B3473" s="33"/>
      <c r="C3473" s="34"/>
      <c r="D3473" s="68" t="s">
        <v>618</v>
      </c>
      <c r="E3473" s="69" t="s">
        <v>121</v>
      </c>
      <c r="F3473" s="20" t="s">
        <v>533</v>
      </c>
      <c r="G3473" s="15"/>
      <c r="H3473" s="15"/>
      <c r="I3473" s="15"/>
      <c r="J3473" s="15"/>
      <c r="K3473" s="15"/>
      <c r="L3473" s="15"/>
      <c r="M3473" s="15"/>
      <c r="N3473" s="15"/>
      <c r="O3473" s="15"/>
      <c r="P3473" s="15"/>
      <c r="Q3473" s="15"/>
      <c r="R3473" s="15"/>
    </row>
    <row r="3474" spans="2:18" ht="13">
      <c r="B3474" s="33"/>
      <c r="C3474" s="34"/>
      <c r="D3474" s="68" t="s">
        <v>404</v>
      </c>
      <c r="E3474" s="69" t="s">
        <v>32</v>
      </c>
      <c r="F3474" s="20" t="s">
        <v>533</v>
      </c>
      <c r="G3474" s="15"/>
      <c r="H3474" s="15"/>
      <c r="I3474" s="15"/>
      <c r="J3474" s="15"/>
      <c r="K3474" s="15"/>
      <c r="L3474" s="15"/>
      <c r="M3474" s="15"/>
      <c r="N3474" s="15"/>
      <c r="O3474" s="15"/>
      <c r="P3474" s="15"/>
      <c r="Q3474" s="15"/>
      <c r="R3474" s="15"/>
    </row>
    <row r="3475" spans="2:18" ht="13">
      <c r="B3475" s="33"/>
      <c r="C3475" s="34"/>
      <c r="D3475" s="68" t="s">
        <v>26</v>
      </c>
      <c r="E3475" s="69" t="s">
        <v>27</v>
      </c>
      <c r="F3475" s="20" t="s">
        <v>533</v>
      </c>
      <c r="G3475" s="15"/>
      <c r="H3475" s="15"/>
      <c r="I3475" s="15"/>
      <c r="J3475" s="15"/>
      <c r="K3475" s="15"/>
      <c r="L3475" s="15"/>
      <c r="M3475" s="15"/>
      <c r="N3475" s="15"/>
      <c r="O3475" s="15"/>
      <c r="P3475" s="15"/>
      <c r="Q3475" s="15"/>
      <c r="R3475" s="15"/>
    </row>
    <row r="3476" spans="2:18" ht="13">
      <c r="B3476" s="33"/>
      <c r="C3476" s="34"/>
      <c r="D3476" s="68" t="s">
        <v>17</v>
      </c>
      <c r="E3476" s="69" t="s">
        <v>27</v>
      </c>
      <c r="F3476" s="20" t="s">
        <v>533</v>
      </c>
      <c r="G3476" s="15"/>
      <c r="H3476" s="15"/>
      <c r="I3476" s="15"/>
      <c r="J3476" s="15"/>
      <c r="K3476" s="15"/>
      <c r="L3476" s="15"/>
      <c r="M3476" s="15"/>
      <c r="N3476" s="15"/>
      <c r="O3476" s="15"/>
      <c r="P3476" s="15"/>
      <c r="Q3476" s="15"/>
      <c r="R3476" s="15"/>
    </row>
    <row r="3477" spans="2:18" ht="13">
      <c r="B3477" s="33"/>
      <c r="C3477" s="34"/>
      <c r="D3477" s="68" t="s">
        <v>26</v>
      </c>
      <c r="E3477" s="69" t="s">
        <v>27</v>
      </c>
      <c r="F3477" s="20" t="s">
        <v>533</v>
      </c>
      <c r="G3477" s="15"/>
      <c r="H3477" s="15"/>
      <c r="I3477" s="15"/>
      <c r="J3477" s="15"/>
      <c r="K3477" s="15"/>
      <c r="L3477" s="15"/>
      <c r="M3477" s="15"/>
      <c r="N3477" s="15"/>
      <c r="O3477" s="15"/>
      <c r="P3477" s="15"/>
      <c r="Q3477" s="15"/>
      <c r="R3477" s="15"/>
    </row>
    <row r="3478" spans="2:18" ht="13">
      <c r="B3478" s="33"/>
      <c r="C3478" s="34"/>
      <c r="D3478" s="68" t="s">
        <v>17</v>
      </c>
      <c r="E3478" s="69" t="s">
        <v>27</v>
      </c>
      <c r="F3478" s="20" t="s">
        <v>533</v>
      </c>
      <c r="G3478" s="15"/>
      <c r="H3478" s="15"/>
      <c r="I3478" s="15"/>
      <c r="J3478" s="15"/>
      <c r="K3478" s="15"/>
      <c r="L3478" s="15"/>
      <c r="M3478" s="15"/>
      <c r="N3478" s="15"/>
      <c r="O3478" s="15"/>
      <c r="P3478" s="15"/>
      <c r="Q3478" s="15"/>
      <c r="R3478" s="15"/>
    </row>
    <row r="3479" spans="2:18" ht="13">
      <c r="B3479" s="33"/>
      <c r="C3479" s="34"/>
      <c r="D3479" s="68" t="s">
        <v>26</v>
      </c>
      <c r="E3479" s="69" t="s">
        <v>27</v>
      </c>
      <c r="F3479" s="20" t="s">
        <v>533</v>
      </c>
      <c r="G3479" s="15"/>
      <c r="H3479" s="15"/>
      <c r="I3479" s="15"/>
      <c r="J3479" s="15"/>
      <c r="K3479" s="15"/>
      <c r="L3479" s="15"/>
      <c r="M3479" s="15"/>
      <c r="N3479" s="15"/>
      <c r="O3479" s="15"/>
      <c r="P3479" s="15"/>
      <c r="Q3479" s="15"/>
      <c r="R3479" s="15"/>
    </row>
    <row r="3480" spans="2:18" ht="13">
      <c r="B3480" s="33"/>
      <c r="C3480" s="34"/>
      <c r="D3480" s="68" t="s">
        <v>17</v>
      </c>
      <c r="E3480" s="69" t="s">
        <v>27</v>
      </c>
      <c r="F3480" s="20" t="s">
        <v>533</v>
      </c>
      <c r="G3480" s="15"/>
      <c r="H3480" s="15"/>
      <c r="I3480" s="15"/>
      <c r="J3480" s="15"/>
      <c r="K3480" s="15"/>
      <c r="L3480" s="15"/>
      <c r="M3480" s="15"/>
      <c r="N3480" s="15"/>
      <c r="O3480" s="15"/>
      <c r="P3480" s="15"/>
      <c r="Q3480" s="15"/>
      <c r="R3480" s="15"/>
    </row>
    <row r="3481" spans="2:18" ht="13">
      <c r="B3481" s="33"/>
      <c r="C3481" s="34"/>
      <c r="D3481" s="68" t="s">
        <v>86</v>
      </c>
      <c r="E3481" s="69" t="s">
        <v>163</v>
      </c>
      <c r="F3481" s="20" t="s">
        <v>533</v>
      </c>
      <c r="G3481" s="15"/>
      <c r="H3481" s="15"/>
      <c r="I3481" s="15"/>
      <c r="J3481" s="15"/>
      <c r="K3481" s="15"/>
      <c r="L3481" s="15"/>
      <c r="M3481" s="15"/>
      <c r="N3481" s="15"/>
      <c r="O3481" s="15"/>
      <c r="P3481" s="15"/>
      <c r="Q3481" s="15"/>
      <c r="R3481" s="15"/>
    </row>
    <row r="3482" spans="2:18" ht="13">
      <c r="B3482" s="33"/>
      <c r="C3482" s="34"/>
      <c r="D3482" s="68" t="s">
        <v>17</v>
      </c>
      <c r="E3482" s="69" t="s">
        <v>27</v>
      </c>
      <c r="F3482" s="20" t="s">
        <v>533</v>
      </c>
      <c r="G3482" s="15"/>
      <c r="H3482" s="15"/>
      <c r="I3482" s="15"/>
      <c r="J3482" s="15"/>
      <c r="K3482" s="15"/>
      <c r="L3482" s="15"/>
      <c r="M3482" s="15"/>
      <c r="N3482" s="15"/>
      <c r="O3482" s="15"/>
      <c r="P3482" s="15"/>
      <c r="Q3482" s="15"/>
      <c r="R3482" s="15"/>
    </row>
    <row r="3483" spans="2:18" ht="13">
      <c r="B3483" s="33"/>
      <c r="C3483" s="34"/>
      <c r="D3483" s="68" t="s">
        <v>17</v>
      </c>
      <c r="E3483" s="69" t="s">
        <v>27</v>
      </c>
      <c r="F3483" s="20" t="s">
        <v>533</v>
      </c>
      <c r="G3483" s="15"/>
      <c r="H3483" s="15"/>
      <c r="I3483" s="15"/>
      <c r="J3483" s="15"/>
      <c r="K3483" s="15"/>
      <c r="L3483" s="15"/>
      <c r="M3483" s="15"/>
      <c r="N3483" s="15"/>
      <c r="O3483" s="15"/>
      <c r="P3483" s="15"/>
      <c r="Q3483" s="15"/>
      <c r="R3483" s="15"/>
    </row>
    <row r="3484" spans="2:18" ht="13">
      <c r="B3484" s="33"/>
      <c r="C3484" s="34"/>
      <c r="D3484" s="68" t="s">
        <v>17</v>
      </c>
      <c r="E3484" s="69" t="s">
        <v>27</v>
      </c>
      <c r="F3484" s="20" t="s">
        <v>533</v>
      </c>
      <c r="G3484" s="15"/>
      <c r="H3484" s="15"/>
      <c r="I3484" s="15"/>
      <c r="J3484" s="15"/>
      <c r="K3484" s="15"/>
      <c r="L3484" s="15"/>
      <c r="M3484" s="15"/>
      <c r="N3484" s="15"/>
      <c r="O3484" s="15"/>
      <c r="P3484" s="15"/>
      <c r="Q3484" s="15"/>
      <c r="R3484" s="15"/>
    </row>
    <row r="3485" spans="2:18" ht="13">
      <c r="B3485" s="33"/>
      <c r="C3485" s="34"/>
      <c r="D3485" s="68" t="s">
        <v>86</v>
      </c>
      <c r="E3485" s="69" t="s">
        <v>121</v>
      </c>
      <c r="F3485" s="20" t="s">
        <v>533</v>
      </c>
      <c r="G3485" s="15"/>
      <c r="H3485" s="15"/>
      <c r="I3485" s="15"/>
      <c r="J3485" s="15"/>
      <c r="K3485" s="15"/>
      <c r="L3485" s="15"/>
      <c r="M3485" s="15"/>
      <c r="N3485" s="15"/>
      <c r="O3485" s="15"/>
      <c r="P3485" s="15"/>
      <c r="Q3485" s="15"/>
      <c r="R3485" s="15"/>
    </row>
    <row r="3486" spans="2:18" ht="13">
      <c r="B3486" s="33"/>
      <c r="C3486" s="34"/>
      <c r="D3486" s="68" t="s">
        <v>17</v>
      </c>
      <c r="E3486" s="69" t="s">
        <v>27</v>
      </c>
      <c r="F3486" s="20" t="s">
        <v>533</v>
      </c>
      <c r="G3486" s="15"/>
      <c r="H3486" s="15"/>
      <c r="I3486" s="15"/>
      <c r="J3486" s="15"/>
      <c r="K3486" s="15"/>
      <c r="L3486" s="15"/>
      <c r="M3486" s="15"/>
      <c r="N3486" s="15"/>
      <c r="O3486" s="15"/>
      <c r="P3486" s="15"/>
      <c r="Q3486" s="15"/>
      <c r="R3486" s="15"/>
    </row>
    <row r="3487" spans="2:18" ht="13">
      <c r="B3487" s="33"/>
      <c r="C3487" s="34"/>
      <c r="D3487" s="68" t="s">
        <v>17</v>
      </c>
      <c r="E3487" s="69" t="s">
        <v>27</v>
      </c>
      <c r="F3487" s="20" t="s">
        <v>533</v>
      </c>
      <c r="G3487" s="15"/>
      <c r="H3487" s="15"/>
      <c r="I3487" s="15"/>
      <c r="J3487" s="15"/>
      <c r="K3487" s="15"/>
      <c r="L3487" s="15"/>
      <c r="M3487" s="15"/>
      <c r="N3487" s="15"/>
      <c r="O3487" s="15"/>
      <c r="P3487" s="15"/>
      <c r="Q3487" s="15"/>
      <c r="R3487" s="15"/>
    </row>
    <row r="3488" spans="2:18" ht="13">
      <c r="B3488" s="33"/>
      <c r="C3488" s="34"/>
      <c r="D3488" s="68" t="s">
        <v>17</v>
      </c>
      <c r="E3488" s="69" t="s">
        <v>628</v>
      </c>
      <c r="F3488" s="20" t="s">
        <v>533</v>
      </c>
      <c r="G3488" s="15"/>
      <c r="H3488" s="15"/>
      <c r="I3488" s="15"/>
      <c r="J3488" s="15"/>
      <c r="K3488" s="15"/>
      <c r="L3488" s="15"/>
      <c r="M3488" s="15"/>
      <c r="N3488" s="15"/>
      <c r="O3488" s="15"/>
      <c r="P3488" s="15"/>
      <c r="Q3488" s="15"/>
      <c r="R3488" s="15"/>
    </row>
    <row r="3489" spans="2:18" ht="13">
      <c r="B3489" s="33"/>
      <c r="C3489" s="34"/>
      <c r="D3489" s="68" t="s">
        <v>26</v>
      </c>
      <c r="E3489" s="69" t="s">
        <v>27</v>
      </c>
      <c r="F3489" s="20" t="s">
        <v>533</v>
      </c>
      <c r="G3489" s="15"/>
      <c r="H3489" s="15"/>
      <c r="I3489" s="15"/>
      <c r="J3489" s="15"/>
      <c r="K3489" s="15"/>
      <c r="L3489" s="15"/>
      <c r="M3489" s="15"/>
      <c r="N3489" s="15"/>
      <c r="O3489" s="15"/>
      <c r="P3489" s="15"/>
      <c r="Q3489" s="15"/>
      <c r="R3489" s="15"/>
    </row>
    <row r="3490" spans="2:18" ht="13">
      <c r="B3490" s="33"/>
      <c r="C3490" s="34"/>
      <c r="D3490" s="68" t="s">
        <v>17</v>
      </c>
      <c r="E3490" s="69" t="s">
        <v>27</v>
      </c>
      <c r="F3490" s="20" t="s">
        <v>533</v>
      </c>
      <c r="G3490" s="15"/>
      <c r="H3490" s="15"/>
      <c r="I3490" s="15"/>
      <c r="J3490" s="15"/>
      <c r="K3490" s="15"/>
      <c r="L3490" s="15"/>
      <c r="M3490" s="15"/>
      <c r="N3490" s="15"/>
      <c r="O3490" s="15"/>
      <c r="P3490" s="15"/>
      <c r="Q3490" s="15"/>
      <c r="R3490" s="15"/>
    </row>
    <row r="3491" spans="2:18" ht="13">
      <c r="B3491" s="33"/>
      <c r="C3491" s="34"/>
      <c r="D3491" s="68" t="s">
        <v>17</v>
      </c>
      <c r="E3491" s="69" t="s">
        <v>27</v>
      </c>
      <c r="F3491" s="20" t="s">
        <v>533</v>
      </c>
      <c r="G3491" s="15"/>
      <c r="H3491" s="15"/>
      <c r="I3491" s="15"/>
      <c r="J3491" s="15"/>
      <c r="K3491" s="15"/>
      <c r="L3491" s="15"/>
      <c r="M3491" s="15"/>
      <c r="N3491" s="15"/>
      <c r="O3491" s="15"/>
      <c r="P3491" s="15"/>
      <c r="Q3491" s="15"/>
      <c r="R3491" s="15"/>
    </row>
    <row r="3492" spans="2:18" ht="13">
      <c r="B3492" s="33"/>
      <c r="C3492" s="34"/>
      <c r="D3492" s="15"/>
      <c r="E3492" s="15"/>
      <c r="F3492" s="15"/>
      <c r="G3492" s="15"/>
      <c r="H3492" s="15"/>
      <c r="I3492" s="15"/>
      <c r="J3492" s="15"/>
      <c r="K3492" s="15"/>
      <c r="L3492" s="15"/>
      <c r="M3492" s="15"/>
      <c r="N3492" s="15"/>
      <c r="O3492" s="15"/>
      <c r="P3492" s="15"/>
      <c r="Q3492" s="15"/>
      <c r="R3492" s="15"/>
    </row>
    <row r="3493" spans="2:18" ht="13">
      <c r="B3493" s="33"/>
      <c r="C3493" s="34"/>
      <c r="D3493" s="15"/>
      <c r="E3493" s="15"/>
      <c r="F3493" s="15"/>
      <c r="G3493" s="15"/>
      <c r="H3493" s="15"/>
      <c r="I3493" s="15"/>
      <c r="J3493" s="15"/>
      <c r="K3493" s="15"/>
      <c r="L3493" s="15"/>
      <c r="M3493" s="15"/>
      <c r="N3493" s="15"/>
      <c r="O3493" s="15"/>
      <c r="P3493" s="15"/>
      <c r="Q3493" s="15"/>
      <c r="R3493" s="15"/>
    </row>
    <row r="3494" spans="2:18" ht="13">
      <c r="B3494" s="33"/>
      <c r="C3494" s="34"/>
      <c r="D3494" s="15"/>
      <c r="E3494" s="15"/>
      <c r="F3494" s="15"/>
      <c r="G3494" s="15"/>
      <c r="H3494" s="15"/>
      <c r="I3494" s="15"/>
      <c r="J3494" s="15"/>
      <c r="K3494" s="15"/>
      <c r="L3494" s="15"/>
      <c r="M3494" s="15"/>
      <c r="N3494" s="15"/>
      <c r="O3494" s="15"/>
      <c r="P3494" s="15"/>
      <c r="Q3494" s="15"/>
      <c r="R3494" s="15"/>
    </row>
    <row r="3495" spans="2:18" ht="13">
      <c r="B3495" s="33"/>
      <c r="C3495" s="34"/>
      <c r="D3495" s="15"/>
      <c r="E3495" s="15"/>
      <c r="F3495" s="15"/>
      <c r="G3495" s="15"/>
      <c r="H3495" s="15"/>
      <c r="I3495" s="15"/>
      <c r="J3495" s="15"/>
      <c r="K3495" s="15"/>
      <c r="L3495" s="15"/>
      <c r="M3495" s="15"/>
      <c r="N3495" s="15"/>
      <c r="O3495" s="15"/>
      <c r="P3495" s="15"/>
      <c r="Q3495" s="15"/>
      <c r="R3495" s="15"/>
    </row>
    <row r="3496" spans="2:18" ht="13">
      <c r="B3496" s="33"/>
      <c r="C3496" s="34"/>
      <c r="D3496" s="15"/>
      <c r="E3496" s="15"/>
      <c r="F3496" s="15"/>
      <c r="G3496" s="15"/>
      <c r="H3496" s="15"/>
      <c r="I3496" s="15"/>
      <c r="J3496" s="15"/>
      <c r="K3496" s="15"/>
      <c r="L3496" s="15"/>
      <c r="M3496" s="15"/>
      <c r="N3496" s="15"/>
      <c r="O3496" s="15"/>
      <c r="P3496" s="15"/>
      <c r="Q3496" s="15"/>
      <c r="R3496" s="15"/>
    </row>
    <row r="3497" spans="2:18" ht="13">
      <c r="B3497" s="33"/>
      <c r="C3497" s="34"/>
      <c r="D3497" s="15"/>
      <c r="E3497" s="15"/>
      <c r="F3497" s="15"/>
      <c r="G3497" s="15"/>
      <c r="H3497" s="15"/>
      <c r="I3497" s="15"/>
      <c r="J3497" s="15"/>
      <c r="K3497" s="15"/>
      <c r="L3497" s="15"/>
      <c r="M3497" s="15"/>
      <c r="N3497" s="15"/>
      <c r="O3497" s="15"/>
      <c r="P3497" s="15"/>
      <c r="Q3497" s="15"/>
      <c r="R3497" s="15"/>
    </row>
    <row r="3498" spans="2:18" ht="13">
      <c r="B3498" s="33"/>
      <c r="C3498" s="34"/>
      <c r="D3498" s="15"/>
      <c r="E3498" s="15"/>
      <c r="F3498" s="15"/>
      <c r="G3498" s="15"/>
      <c r="H3498" s="15"/>
      <c r="I3498" s="15"/>
      <c r="J3498" s="15"/>
      <c r="K3498" s="15"/>
      <c r="L3498" s="15"/>
      <c r="M3498" s="15"/>
      <c r="N3498" s="15"/>
      <c r="O3498" s="15"/>
      <c r="P3498" s="15"/>
      <c r="Q3498" s="15"/>
      <c r="R3498" s="15"/>
    </row>
    <row r="3499" spans="2:18" ht="13">
      <c r="B3499" s="33"/>
      <c r="C3499" s="34"/>
      <c r="D3499" s="15"/>
      <c r="E3499" s="15"/>
      <c r="F3499" s="15"/>
      <c r="G3499" s="15"/>
      <c r="H3499" s="15"/>
      <c r="I3499" s="15"/>
      <c r="J3499" s="15"/>
      <c r="K3499" s="15"/>
      <c r="L3499" s="15"/>
      <c r="M3499" s="15"/>
      <c r="N3499" s="15"/>
      <c r="O3499" s="15"/>
      <c r="P3499" s="15"/>
      <c r="Q3499" s="15"/>
      <c r="R3499" s="15"/>
    </row>
    <row r="3500" spans="2:18" ht="13">
      <c r="B3500" s="33"/>
      <c r="C3500" s="34"/>
      <c r="D3500" s="15"/>
      <c r="E3500" s="15"/>
      <c r="F3500" s="15"/>
      <c r="G3500" s="15"/>
      <c r="H3500" s="15"/>
      <c r="I3500" s="15"/>
      <c r="J3500" s="15"/>
      <c r="K3500" s="15"/>
      <c r="L3500" s="15"/>
      <c r="M3500" s="15"/>
      <c r="N3500" s="15"/>
      <c r="O3500" s="15"/>
      <c r="P3500" s="15"/>
      <c r="Q3500" s="15"/>
      <c r="R3500" s="15"/>
    </row>
    <row r="3501" spans="2:18" ht="13">
      <c r="B3501" s="33"/>
      <c r="C3501" s="34"/>
      <c r="D3501" s="15"/>
      <c r="E3501" s="15"/>
      <c r="F3501" s="15"/>
      <c r="G3501" s="15"/>
      <c r="H3501" s="15"/>
      <c r="I3501" s="15"/>
      <c r="J3501" s="15"/>
      <c r="K3501" s="15"/>
      <c r="L3501" s="15"/>
      <c r="M3501" s="15"/>
      <c r="N3501" s="15"/>
      <c r="O3501" s="15"/>
      <c r="P3501" s="15"/>
      <c r="Q3501" s="15"/>
      <c r="R3501" s="15"/>
    </row>
    <row r="3502" spans="2:18" ht="13">
      <c r="B3502" s="33"/>
      <c r="C3502" s="34"/>
      <c r="D3502" s="15"/>
      <c r="E3502" s="15"/>
      <c r="F3502" s="15"/>
      <c r="G3502" s="15"/>
      <c r="H3502" s="15"/>
      <c r="I3502" s="15"/>
      <c r="J3502" s="15"/>
      <c r="K3502" s="15"/>
      <c r="L3502" s="15"/>
      <c r="M3502" s="15"/>
      <c r="N3502" s="15"/>
      <c r="O3502" s="15"/>
      <c r="P3502" s="15"/>
      <c r="Q3502" s="15"/>
      <c r="R3502" s="15"/>
    </row>
    <row r="3503" spans="2:18" ht="13">
      <c r="B3503" s="33"/>
      <c r="C3503" s="34"/>
      <c r="D3503" s="15"/>
      <c r="E3503" s="15"/>
      <c r="F3503" s="15"/>
      <c r="G3503" s="15"/>
      <c r="H3503" s="15"/>
      <c r="I3503" s="15"/>
      <c r="J3503" s="15"/>
      <c r="K3503" s="15"/>
      <c r="L3503" s="15"/>
      <c r="M3503" s="15"/>
      <c r="N3503" s="15"/>
      <c r="O3503" s="15"/>
      <c r="P3503" s="15"/>
      <c r="Q3503" s="15"/>
      <c r="R3503" s="15"/>
    </row>
    <row r="3504" spans="2:18" ht="13">
      <c r="B3504" s="33"/>
      <c r="C3504" s="34"/>
      <c r="D3504" s="15"/>
      <c r="E3504" s="15"/>
      <c r="F3504" s="15"/>
      <c r="G3504" s="15"/>
      <c r="H3504" s="15"/>
      <c r="I3504" s="15"/>
      <c r="J3504" s="15"/>
      <c r="K3504" s="15"/>
      <c r="L3504" s="15"/>
      <c r="M3504" s="15"/>
      <c r="N3504" s="15"/>
      <c r="O3504" s="15"/>
      <c r="P3504" s="15"/>
      <c r="Q3504" s="15"/>
      <c r="R3504" s="15"/>
    </row>
    <row r="3505" spans="2:18" ht="13">
      <c r="B3505" s="33"/>
      <c r="C3505" s="34"/>
      <c r="D3505" s="15"/>
      <c r="E3505" s="15"/>
      <c r="F3505" s="15"/>
      <c r="G3505" s="15"/>
      <c r="H3505" s="15"/>
      <c r="I3505" s="15"/>
      <c r="J3505" s="15"/>
      <c r="K3505" s="15"/>
      <c r="L3505" s="15"/>
      <c r="M3505" s="15"/>
      <c r="N3505" s="15"/>
      <c r="O3505" s="15"/>
      <c r="P3505" s="15"/>
      <c r="Q3505" s="15"/>
      <c r="R3505" s="15"/>
    </row>
    <row r="3506" spans="2:18" ht="13">
      <c r="B3506" s="33"/>
      <c r="C3506" s="34"/>
      <c r="D3506" s="15"/>
      <c r="E3506" s="15"/>
      <c r="F3506" s="15"/>
      <c r="G3506" s="15"/>
      <c r="H3506" s="15"/>
      <c r="I3506" s="15"/>
      <c r="J3506" s="15"/>
      <c r="K3506" s="15"/>
      <c r="L3506" s="15"/>
      <c r="M3506" s="15"/>
      <c r="N3506" s="15"/>
      <c r="O3506" s="15"/>
      <c r="P3506" s="15"/>
      <c r="Q3506" s="15"/>
      <c r="R3506" s="15"/>
    </row>
    <row r="3507" spans="2:18" ht="13">
      <c r="B3507" s="33"/>
      <c r="C3507" s="34"/>
      <c r="D3507" s="15"/>
      <c r="E3507" s="15"/>
      <c r="F3507" s="15"/>
      <c r="G3507" s="15"/>
      <c r="H3507" s="15"/>
      <c r="I3507" s="15"/>
      <c r="J3507" s="15"/>
      <c r="K3507" s="15"/>
      <c r="L3507" s="15"/>
      <c r="M3507" s="15"/>
      <c r="N3507" s="15"/>
      <c r="O3507" s="15"/>
      <c r="P3507" s="15"/>
      <c r="Q3507" s="15"/>
      <c r="R3507" s="15"/>
    </row>
    <row r="3508" spans="2:18" ht="13">
      <c r="B3508" s="33"/>
      <c r="C3508" s="34"/>
      <c r="D3508" s="15"/>
      <c r="E3508" s="15"/>
      <c r="F3508" s="15"/>
      <c r="G3508" s="15"/>
      <c r="H3508" s="15"/>
      <c r="I3508" s="15"/>
      <c r="J3508" s="15"/>
      <c r="K3508" s="15"/>
      <c r="L3508" s="15"/>
      <c r="M3508" s="15"/>
      <c r="N3508" s="15"/>
      <c r="O3508" s="15"/>
      <c r="P3508" s="15"/>
      <c r="Q3508" s="15"/>
      <c r="R3508" s="15"/>
    </row>
    <row r="3509" spans="2:18" ht="13">
      <c r="B3509" s="33"/>
      <c r="C3509" s="34"/>
      <c r="D3509" s="15"/>
      <c r="E3509" s="15"/>
      <c r="F3509" s="15"/>
      <c r="G3509" s="15"/>
      <c r="H3509" s="15"/>
      <c r="I3509" s="15"/>
      <c r="J3509" s="15"/>
      <c r="K3509" s="15"/>
      <c r="L3509" s="15"/>
      <c r="M3509" s="15"/>
      <c r="N3509" s="15"/>
      <c r="O3509" s="15"/>
      <c r="P3509" s="15"/>
      <c r="Q3509" s="15"/>
      <c r="R3509" s="15"/>
    </row>
    <row r="3510" spans="2:18" ht="13">
      <c r="B3510" s="33"/>
      <c r="C3510" s="34"/>
      <c r="D3510" s="15"/>
      <c r="E3510" s="15"/>
      <c r="F3510" s="15"/>
      <c r="G3510" s="15"/>
      <c r="H3510" s="15"/>
      <c r="I3510" s="15"/>
      <c r="J3510" s="15"/>
      <c r="K3510" s="15"/>
      <c r="L3510" s="15"/>
      <c r="M3510" s="15"/>
      <c r="N3510" s="15"/>
      <c r="O3510" s="15"/>
      <c r="P3510" s="15"/>
      <c r="Q3510" s="15"/>
      <c r="R3510" s="15"/>
    </row>
    <row r="3511" spans="2:18" ht="13">
      <c r="B3511" s="33"/>
      <c r="C3511" s="34"/>
      <c r="D3511" s="15"/>
      <c r="E3511" s="15"/>
      <c r="F3511" s="15"/>
      <c r="G3511" s="15"/>
      <c r="H3511" s="15"/>
      <c r="I3511" s="15"/>
      <c r="J3511" s="15"/>
      <c r="K3511" s="15"/>
      <c r="L3511" s="15"/>
      <c r="M3511" s="15"/>
      <c r="N3511" s="15"/>
      <c r="O3511" s="15"/>
      <c r="P3511" s="15"/>
      <c r="Q3511" s="15"/>
      <c r="R3511" s="15"/>
    </row>
    <row r="3512" spans="2:18" ht="13">
      <c r="B3512" s="33"/>
      <c r="C3512" s="34"/>
      <c r="D3512" s="15"/>
      <c r="E3512" s="15"/>
      <c r="F3512" s="15"/>
      <c r="G3512" s="15"/>
      <c r="H3512" s="15"/>
      <c r="I3512" s="15"/>
      <c r="J3512" s="15"/>
      <c r="K3512" s="15"/>
      <c r="L3512" s="15"/>
      <c r="M3512" s="15"/>
      <c r="N3512" s="15"/>
      <c r="O3512" s="15"/>
      <c r="P3512" s="15"/>
      <c r="Q3512" s="15"/>
      <c r="R3512" s="15"/>
    </row>
    <row r="3513" spans="2:18" ht="13">
      <c r="B3513" s="33"/>
      <c r="C3513" s="34"/>
      <c r="D3513" s="15"/>
      <c r="E3513" s="15"/>
      <c r="F3513" s="15"/>
      <c r="G3513" s="15"/>
      <c r="H3513" s="15"/>
      <c r="I3513" s="15"/>
      <c r="J3513" s="15"/>
      <c r="K3513" s="15"/>
      <c r="L3513" s="15"/>
      <c r="M3513" s="15"/>
      <c r="N3513" s="15"/>
      <c r="O3513" s="15"/>
      <c r="P3513" s="15"/>
      <c r="Q3513" s="15"/>
      <c r="R3513" s="15"/>
    </row>
    <row r="3514" spans="2:18" ht="13">
      <c r="B3514" s="33"/>
      <c r="C3514" s="34"/>
      <c r="D3514" s="15"/>
      <c r="E3514" s="15"/>
      <c r="F3514" s="15"/>
      <c r="G3514" s="15"/>
      <c r="H3514" s="15"/>
      <c r="I3514" s="15"/>
      <c r="J3514" s="15"/>
      <c r="K3514" s="15"/>
      <c r="L3514" s="15"/>
      <c r="M3514" s="15"/>
      <c r="N3514" s="15"/>
      <c r="O3514" s="15"/>
      <c r="P3514" s="15"/>
      <c r="Q3514" s="15"/>
      <c r="R3514" s="15"/>
    </row>
    <row r="3515" spans="2:18" ht="13">
      <c r="B3515" s="33"/>
      <c r="C3515" s="34"/>
      <c r="D3515" s="15"/>
      <c r="E3515" s="15"/>
      <c r="F3515" s="15"/>
      <c r="G3515" s="15"/>
      <c r="H3515" s="15"/>
      <c r="I3515" s="15"/>
      <c r="J3515" s="15"/>
      <c r="K3515" s="15"/>
      <c r="L3515" s="15"/>
      <c r="M3515" s="15"/>
      <c r="N3515" s="15"/>
      <c r="O3515" s="15"/>
      <c r="P3515" s="15"/>
      <c r="Q3515" s="15"/>
      <c r="R3515" s="15"/>
    </row>
    <row r="3516" spans="2:18" ht="13">
      <c r="B3516" s="33"/>
      <c r="C3516" s="34"/>
      <c r="D3516" s="15"/>
      <c r="E3516" s="15"/>
      <c r="F3516" s="15"/>
      <c r="G3516" s="15"/>
      <c r="H3516" s="15"/>
      <c r="I3516" s="15"/>
      <c r="J3516" s="15"/>
      <c r="K3516" s="15"/>
      <c r="L3516" s="15"/>
      <c r="M3516" s="15"/>
      <c r="N3516" s="15"/>
      <c r="O3516" s="15"/>
      <c r="P3516" s="15"/>
      <c r="Q3516" s="15"/>
      <c r="R3516" s="15"/>
    </row>
    <row r="3517" spans="2:18" ht="13">
      <c r="B3517" s="33"/>
      <c r="C3517" s="34"/>
      <c r="D3517" s="15"/>
      <c r="E3517" s="15"/>
      <c r="F3517" s="15"/>
      <c r="G3517" s="15"/>
      <c r="H3517" s="15"/>
      <c r="I3517" s="15"/>
      <c r="J3517" s="15"/>
      <c r="K3517" s="15"/>
      <c r="L3517" s="15"/>
      <c r="M3517" s="15"/>
      <c r="N3517" s="15"/>
      <c r="O3517" s="15"/>
      <c r="P3517" s="15"/>
      <c r="Q3517" s="15"/>
      <c r="R3517" s="15"/>
    </row>
    <row r="3518" spans="2:18" ht="13">
      <c r="B3518" s="33"/>
      <c r="C3518" s="34"/>
      <c r="D3518" s="15"/>
      <c r="E3518" s="15"/>
      <c r="F3518" s="15"/>
      <c r="G3518" s="15"/>
      <c r="H3518" s="15"/>
      <c r="I3518" s="15"/>
      <c r="J3518" s="15"/>
      <c r="K3518" s="15"/>
      <c r="L3518" s="15"/>
      <c r="M3518" s="15"/>
      <c r="N3518" s="15"/>
      <c r="O3518" s="15"/>
      <c r="P3518" s="15"/>
      <c r="Q3518" s="15"/>
      <c r="R3518" s="15"/>
    </row>
    <row r="3519" spans="2:18" ht="13">
      <c r="B3519" s="33"/>
      <c r="C3519" s="34"/>
      <c r="D3519" s="15"/>
      <c r="E3519" s="15"/>
      <c r="F3519" s="15"/>
      <c r="G3519" s="15"/>
      <c r="H3519" s="15"/>
      <c r="I3519" s="15"/>
      <c r="J3519" s="15"/>
      <c r="K3519" s="15"/>
      <c r="L3519" s="15"/>
      <c r="M3519" s="15"/>
      <c r="N3519" s="15"/>
      <c r="O3519" s="15"/>
      <c r="P3519" s="15"/>
      <c r="Q3519" s="15"/>
      <c r="R3519" s="15"/>
    </row>
    <row r="3520" spans="2:18" ht="13">
      <c r="B3520" s="33"/>
      <c r="C3520" s="34"/>
      <c r="D3520" s="15"/>
      <c r="E3520" s="15"/>
      <c r="F3520" s="15"/>
      <c r="G3520" s="15"/>
      <c r="H3520" s="15"/>
      <c r="I3520" s="15"/>
      <c r="J3520" s="15"/>
      <c r="K3520" s="15"/>
      <c r="L3520" s="15"/>
      <c r="M3520" s="15"/>
      <c r="N3520" s="15"/>
      <c r="O3520" s="15"/>
      <c r="P3520" s="15"/>
      <c r="Q3520" s="15"/>
      <c r="R3520" s="15"/>
    </row>
    <row r="3521" spans="2:18" ht="13">
      <c r="B3521" s="33"/>
      <c r="C3521" s="34"/>
      <c r="D3521" s="15"/>
      <c r="E3521" s="15"/>
      <c r="F3521" s="15"/>
      <c r="G3521" s="15"/>
      <c r="H3521" s="15"/>
      <c r="I3521" s="15"/>
      <c r="J3521" s="15"/>
      <c r="K3521" s="15"/>
      <c r="L3521" s="15"/>
      <c r="M3521" s="15"/>
      <c r="N3521" s="15"/>
      <c r="O3521" s="15"/>
      <c r="P3521" s="15"/>
      <c r="Q3521" s="15"/>
      <c r="R3521" s="15"/>
    </row>
    <row r="3522" spans="2:18" ht="13">
      <c r="B3522" s="33"/>
      <c r="C3522" s="34"/>
      <c r="D3522" s="15"/>
      <c r="E3522" s="15"/>
      <c r="F3522" s="15"/>
      <c r="G3522" s="15"/>
      <c r="H3522" s="15"/>
      <c r="I3522" s="15"/>
      <c r="J3522" s="15"/>
      <c r="K3522" s="15"/>
      <c r="L3522" s="15"/>
      <c r="M3522" s="15"/>
      <c r="N3522" s="15"/>
      <c r="O3522" s="15"/>
      <c r="P3522" s="15"/>
      <c r="Q3522" s="15"/>
      <c r="R3522" s="15"/>
    </row>
    <row r="3523" spans="2:18" ht="13">
      <c r="B3523" s="33"/>
      <c r="C3523" s="34"/>
      <c r="D3523" s="15"/>
      <c r="E3523" s="15"/>
      <c r="F3523" s="15"/>
      <c r="G3523" s="15"/>
      <c r="H3523" s="15"/>
      <c r="I3523" s="15"/>
      <c r="J3523" s="15"/>
      <c r="K3523" s="15"/>
      <c r="L3523" s="15"/>
      <c r="M3523" s="15"/>
      <c r="N3523" s="15"/>
      <c r="O3523" s="15"/>
      <c r="P3523" s="15"/>
      <c r="Q3523" s="15"/>
      <c r="R3523" s="15"/>
    </row>
    <row r="3524" spans="2:18" ht="13">
      <c r="B3524" s="33"/>
      <c r="C3524" s="34"/>
      <c r="D3524" s="15"/>
      <c r="E3524" s="15"/>
      <c r="F3524" s="15"/>
      <c r="G3524" s="15"/>
      <c r="H3524" s="15"/>
      <c r="I3524" s="15"/>
      <c r="J3524" s="15"/>
      <c r="K3524" s="15"/>
      <c r="L3524" s="15"/>
      <c r="M3524" s="15"/>
      <c r="N3524" s="15"/>
      <c r="O3524" s="15"/>
      <c r="P3524" s="15"/>
      <c r="Q3524" s="15"/>
      <c r="R3524" s="15"/>
    </row>
    <row r="3525" spans="2:18" ht="13">
      <c r="B3525" s="33"/>
      <c r="C3525" s="34"/>
      <c r="D3525" s="15"/>
      <c r="E3525" s="15"/>
      <c r="F3525" s="15"/>
      <c r="G3525" s="15"/>
      <c r="H3525" s="15"/>
      <c r="I3525" s="15"/>
      <c r="J3525" s="15"/>
      <c r="K3525" s="15"/>
      <c r="L3525" s="15"/>
      <c r="M3525" s="15"/>
      <c r="N3525" s="15"/>
      <c r="O3525" s="15"/>
      <c r="P3525" s="15"/>
      <c r="Q3525" s="15"/>
      <c r="R3525" s="15"/>
    </row>
    <row r="3526" spans="2:18" ht="13">
      <c r="B3526" s="33"/>
      <c r="C3526" s="34"/>
      <c r="D3526" s="15"/>
      <c r="E3526" s="15"/>
      <c r="F3526" s="15"/>
      <c r="G3526" s="15"/>
      <c r="H3526" s="15"/>
      <c r="I3526" s="15"/>
      <c r="J3526" s="15"/>
      <c r="K3526" s="15"/>
      <c r="L3526" s="15"/>
      <c r="M3526" s="15"/>
      <c r="N3526" s="15"/>
      <c r="O3526" s="15"/>
      <c r="P3526" s="15"/>
      <c r="Q3526" s="15"/>
      <c r="R3526" s="15"/>
    </row>
    <row r="3527" spans="2:18" ht="13">
      <c r="B3527" s="33"/>
      <c r="C3527" s="34"/>
      <c r="D3527" s="15"/>
      <c r="E3527" s="15"/>
      <c r="F3527" s="15"/>
      <c r="G3527" s="15"/>
      <c r="H3527" s="15"/>
      <c r="I3527" s="15"/>
      <c r="J3527" s="15"/>
      <c r="K3527" s="15"/>
      <c r="L3527" s="15"/>
      <c r="M3527" s="15"/>
      <c r="N3527" s="15"/>
      <c r="O3527" s="15"/>
      <c r="P3527" s="15"/>
      <c r="Q3527" s="15"/>
      <c r="R3527" s="15"/>
    </row>
    <row r="3528" spans="2:18" ht="13">
      <c r="B3528" s="33"/>
      <c r="C3528" s="34"/>
      <c r="D3528" s="15"/>
      <c r="E3528" s="15"/>
      <c r="F3528" s="15"/>
      <c r="G3528" s="15"/>
      <c r="H3528" s="15"/>
      <c r="I3528" s="15"/>
      <c r="J3528" s="15"/>
      <c r="K3528" s="15"/>
      <c r="L3528" s="15"/>
      <c r="M3528" s="15"/>
      <c r="N3528" s="15"/>
      <c r="O3528" s="15"/>
      <c r="P3528" s="15"/>
      <c r="Q3528" s="15"/>
      <c r="R3528" s="15"/>
    </row>
    <row r="3529" spans="2:18" ht="13">
      <c r="B3529" s="33"/>
      <c r="C3529" s="34"/>
      <c r="D3529" s="15"/>
      <c r="E3529" s="15"/>
      <c r="F3529" s="15"/>
      <c r="G3529" s="15"/>
      <c r="H3529" s="15"/>
      <c r="I3529" s="15"/>
      <c r="J3529" s="15"/>
      <c r="K3529" s="15"/>
      <c r="L3529" s="15"/>
      <c r="M3529" s="15"/>
      <c r="N3529" s="15"/>
      <c r="O3529" s="15"/>
      <c r="P3529" s="15"/>
      <c r="Q3529" s="15"/>
      <c r="R3529" s="15"/>
    </row>
    <row r="3530" spans="2:18" ht="13">
      <c r="B3530" s="33"/>
      <c r="C3530" s="34"/>
      <c r="D3530" s="15"/>
      <c r="E3530" s="15"/>
      <c r="F3530" s="15"/>
      <c r="G3530" s="15"/>
      <c r="H3530" s="15"/>
      <c r="I3530" s="15"/>
      <c r="J3530" s="15"/>
      <c r="K3530" s="15"/>
      <c r="L3530" s="15"/>
      <c r="M3530" s="15"/>
      <c r="N3530" s="15"/>
      <c r="O3530" s="15"/>
      <c r="P3530" s="15"/>
      <c r="Q3530" s="15"/>
      <c r="R3530" s="15"/>
    </row>
    <row r="3531" spans="2:18" ht="13">
      <c r="B3531" s="33"/>
      <c r="C3531" s="34"/>
      <c r="D3531" s="15"/>
      <c r="E3531" s="15"/>
      <c r="F3531" s="15"/>
      <c r="G3531" s="15"/>
      <c r="H3531" s="15"/>
      <c r="I3531" s="15"/>
      <c r="J3531" s="15"/>
      <c r="K3531" s="15"/>
      <c r="L3531" s="15"/>
      <c r="M3531" s="15"/>
      <c r="N3531" s="15"/>
      <c r="O3531" s="15"/>
      <c r="P3531" s="15"/>
      <c r="Q3531" s="15"/>
      <c r="R3531" s="15"/>
    </row>
    <row r="3532" spans="2:18" ht="13">
      <c r="B3532" s="33"/>
      <c r="C3532" s="34"/>
      <c r="D3532" s="15"/>
      <c r="E3532" s="15"/>
      <c r="F3532" s="15"/>
      <c r="G3532" s="15"/>
      <c r="H3532" s="15"/>
      <c r="I3532" s="15"/>
      <c r="J3532" s="15"/>
      <c r="K3532" s="15"/>
      <c r="L3532" s="15"/>
      <c r="M3532" s="15"/>
      <c r="N3532" s="15"/>
      <c r="O3532" s="15"/>
      <c r="P3532" s="15"/>
      <c r="Q3532" s="15"/>
      <c r="R3532" s="15"/>
    </row>
    <row r="3533" spans="2:18" ht="13">
      <c r="B3533" s="33"/>
      <c r="C3533" s="34"/>
      <c r="D3533" s="15"/>
      <c r="E3533" s="15"/>
      <c r="F3533" s="15"/>
      <c r="G3533" s="15"/>
      <c r="H3533" s="15"/>
      <c r="I3533" s="15"/>
      <c r="J3533" s="15"/>
      <c r="K3533" s="15"/>
      <c r="L3533" s="15"/>
      <c r="M3533" s="15"/>
      <c r="N3533" s="15"/>
      <c r="O3533" s="15"/>
      <c r="P3533" s="15"/>
      <c r="Q3533" s="15"/>
      <c r="R3533" s="15"/>
    </row>
    <row r="3534" spans="2:18" ht="13">
      <c r="B3534" s="33"/>
      <c r="C3534" s="34"/>
      <c r="D3534" s="15"/>
      <c r="E3534" s="15"/>
      <c r="F3534" s="15"/>
      <c r="G3534" s="15"/>
      <c r="H3534" s="15"/>
      <c r="I3534" s="15"/>
      <c r="J3534" s="15"/>
      <c r="K3534" s="15"/>
      <c r="L3534" s="15"/>
      <c r="M3534" s="15"/>
      <c r="N3534" s="15"/>
      <c r="O3534" s="15"/>
      <c r="P3534" s="15"/>
      <c r="Q3534" s="15"/>
      <c r="R3534" s="15"/>
    </row>
    <row r="3535" spans="2:18" ht="13">
      <c r="B3535" s="33"/>
      <c r="C3535" s="34"/>
      <c r="D3535" s="15"/>
      <c r="E3535" s="15"/>
      <c r="F3535" s="15"/>
      <c r="G3535" s="15"/>
      <c r="H3535" s="15"/>
      <c r="I3535" s="15"/>
      <c r="J3535" s="15"/>
      <c r="K3535" s="15"/>
      <c r="L3535" s="15"/>
      <c r="M3535" s="15"/>
      <c r="N3535" s="15"/>
      <c r="O3535" s="15"/>
      <c r="P3535" s="15"/>
      <c r="Q3535" s="15"/>
      <c r="R3535" s="15"/>
    </row>
    <row r="3536" spans="2:18" ht="13">
      <c r="B3536" s="33"/>
      <c r="C3536" s="34"/>
      <c r="D3536" s="15"/>
      <c r="E3536" s="15"/>
      <c r="F3536" s="15"/>
      <c r="G3536" s="15"/>
      <c r="H3536" s="15"/>
      <c r="I3536" s="15"/>
      <c r="J3536" s="15"/>
      <c r="K3536" s="15"/>
      <c r="L3536" s="15"/>
      <c r="M3536" s="15"/>
      <c r="N3536" s="15"/>
      <c r="O3536" s="15"/>
      <c r="P3536" s="15"/>
      <c r="Q3536" s="15"/>
      <c r="R3536" s="15"/>
    </row>
    <row r="3537" spans="2:18" ht="13">
      <c r="B3537" s="33"/>
      <c r="C3537" s="34"/>
      <c r="D3537" s="15"/>
      <c r="E3537" s="15"/>
      <c r="F3537" s="15"/>
      <c r="G3537" s="15"/>
      <c r="H3537" s="15"/>
      <c r="I3537" s="15"/>
      <c r="J3537" s="15"/>
      <c r="K3537" s="15"/>
      <c r="L3537" s="15"/>
      <c r="M3537" s="15"/>
      <c r="N3537" s="15"/>
      <c r="O3537" s="15"/>
      <c r="P3537" s="15"/>
      <c r="Q3537" s="15"/>
      <c r="R3537" s="15"/>
    </row>
    <row r="3538" spans="2:18" ht="13">
      <c r="B3538" s="33"/>
      <c r="C3538" s="34"/>
      <c r="D3538" s="15"/>
      <c r="E3538" s="15"/>
      <c r="F3538" s="15"/>
      <c r="G3538" s="15"/>
      <c r="H3538" s="15"/>
      <c r="I3538" s="15"/>
      <c r="J3538" s="15"/>
      <c r="K3538" s="15"/>
      <c r="L3538" s="15"/>
      <c r="M3538" s="15"/>
      <c r="N3538" s="15"/>
      <c r="O3538" s="15"/>
      <c r="P3538" s="15"/>
      <c r="Q3538" s="15"/>
      <c r="R3538" s="15"/>
    </row>
    <row r="3539" spans="2:18" ht="13">
      <c r="B3539" s="33"/>
      <c r="C3539" s="34"/>
      <c r="D3539" s="15"/>
      <c r="E3539" s="15"/>
      <c r="F3539" s="15"/>
      <c r="G3539" s="15"/>
      <c r="H3539" s="15"/>
      <c r="I3539" s="15"/>
      <c r="J3539" s="15"/>
      <c r="K3539" s="15"/>
      <c r="L3539" s="15"/>
      <c r="M3539" s="15"/>
      <c r="N3539" s="15"/>
      <c r="O3539" s="15"/>
      <c r="P3539" s="15"/>
      <c r="Q3539" s="15"/>
      <c r="R3539" s="15"/>
    </row>
    <row r="3540" spans="2:18" ht="13">
      <c r="B3540" s="33"/>
      <c r="C3540" s="34"/>
      <c r="D3540" s="15"/>
      <c r="E3540" s="15"/>
      <c r="F3540" s="15"/>
      <c r="G3540" s="15"/>
      <c r="H3540" s="15"/>
      <c r="I3540" s="15"/>
      <c r="J3540" s="15"/>
      <c r="K3540" s="15"/>
      <c r="L3540" s="15"/>
      <c r="M3540" s="15"/>
      <c r="N3540" s="15"/>
      <c r="O3540" s="15"/>
      <c r="P3540" s="15"/>
      <c r="Q3540" s="15"/>
      <c r="R3540" s="15"/>
    </row>
    <row r="3541" spans="2:18" ht="13">
      <c r="B3541" s="33"/>
      <c r="C3541" s="34"/>
      <c r="D3541" s="15"/>
      <c r="E3541" s="15"/>
      <c r="F3541" s="15"/>
      <c r="G3541" s="15"/>
      <c r="H3541" s="15"/>
      <c r="I3541" s="15"/>
      <c r="J3541" s="15"/>
      <c r="K3541" s="15"/>
      <c r="L3541" s="15"/>
      <c r="M3541" s="15"/>
      <c r="N3541" s="15"/>
      <c r="O3541" s="15"/>
      <c r="P3541" s="15"/>
      <c r="Q3541" s="15"/>
      <c r="R3541" s="15"/>
    </row>
    <row r="3542" spans="2:18" ht="13">
      <c r="B3542" s="33"/>
      <c r="C3542" s="34"/>
      <c r="D3542" s="15"/>
      <c r="E3542" s="15"/>
      <c r="F3542" s="15"/>
      <c r="G3542" s="15"/>
      <c r="H3542" s="15"/>
      <c r="I3542" s="15"/>
      <c r="J3542" s="15"/>
      <c r="K3542" s="15"/>
      <c r="L3542" s="15"/>
      <c r="M3542" s="15"/>
      <c r="N3542" s="15"/>
      <c r="O3542" s="15"/>
      <c r="P3542" s="15"/>
      <c r="Q3542" s="15"/>
      <c r="R3542" s="15"/>
    </row>
    <row r="3543" spans="2:18" ht="13">
      <c r="B3543" s="33"/>
      <c r="C3543" s="34"/>
      <c r="D3543" s="15"/>
      <c r="E3543" s="15"/>
      <c r="F3543" s="15"/>
      <c r="G3543" s="15"/>
      <c r="H3543" s="15"/>
      <c r="I3543" s="15"/>
      <c r="J3543" s="15"/>
      <c r="K3543" s="15"/>
      <c r="L3543" s="15"/>
      <c r="M3543" s="15"/>
      <c r="N3543" s="15"/>
      <c r="O3543" s="15"/>
      <c r="P3543" s="15"/>
      <c r="Q3543" s="15"/>
      <c r="R3543" s="15"/>
    </row>
    <row r="3544" spans="2:18" ht="13">
      <c r="B3544" s="33"/>
      <c r="C3544" s="34"/>
      <c r="D3544" s="15"/>
      <c r="E3544" s="15"/>
      <c r="F3544" s="15"/>
      <c r="G3544" s="15"/>
      <c r="H3544" s="15"/>
      <c r="I3544" s="15"/>
      <c r="J3544" s="15"/>
      <c r="K3544" s="15"/>
      <c r="L3544" s="15"/>
      <c r="M3544" s="15"/>
      <c r="N3544" s="15"/>
      <c r="O3544" s="15"/>
      <c r="P3544" s="15"/>
      <c r="Q3544" s="15"/>
      <c r="R3544" s="15"/>
    </row>
    <row r="3545" spans="2:18" ht="13">
      <c r="B3545" s="33"/>
      <c r="C3545" s="34"/>
      <c r="D3545" s="15"/>
      <c r="E3545" s="15"/>
      <c r="F3545" s="15"/>
      <c r="G3545" s="15"/>
      <c r="H3545" s="15"/>
      <c r="I3545" s="15"/>
      <c r="J3545" s="15"/>
      <c r="K3545" s="15"/>
      <c r="L3545" s="15"/>
      <c r="M3545" s="15"/>
      <c r="N3545" s="15"/>
      <c r="O3545" s="15"/>
      <c r="P3545" s="15"/>
      <c r="Q3545" s="15"/>
      <c r="R3545" s="15"/>
    </row>
    <row r="3546" spans="2:18" ht="13">
      <c r="B3546" s="33"/>
      <c r="C3546" s="34"/>
      <c r="D3546" s="15"/>
      <c r="E3546" s="15"/>
      <c r="F3546" s="15"/>
      <c r="G3546" s="15"/>
      <c r="H3546" s="15"/>
      <c r="I3546" s="15"/>
      <c r="J3546" s="15"/>
      <c r="K3546" s="15"/>
      <c r="L3546" s="15"/>
      <c r="M3546" s="15"/>
      <c r="N3546" s="15"/>
      <c r="O3546" s="15"/>
      <c r="P3546" s="15"/>
      <c r="Q3546" s="15"/>
      <c r="R3546" s="15"/>
    </row>
    <row r="3547" spans="2:18" ht="13">
      <c r="B3547" s="33"/>
      <c r="C3547" s="34"/>
      <c r="D3547" s="15"/>
      <c r="E3547" s="15"/>
      <c r="F3547" s="15"/>
      <c r="G3547" s="15"/>
      <c r="H3547" s="15"/>
      <c r="I3547" s="15"/>
      <c r="J3547" s="15"/>
      <c r="K3547" s="15"/>
      <c r="L3547" s="15"/>
      <c r="M3547" s="15"/>
      <c r="N3547" s="15"/>
      <c r="O3547" s="15"/>
      <c r="P3547" s="15"/>
      <c r="Q3547" s="15"/>
      <c r="R3547" s="15"/>
    </row>
    <row r="3548" spans="2:18" ht="13">
      <c r="B3548" s="33"/>
      <c r="C3548" s="34"/>
      <c r="D3548" s="15"/>
      <c r="E3548" s="15"/>
      <c r="F3548" s="15"/>
      <c r="G3548" s="15"/>
      <c r="H3548" s="15"/>
      <c r="I3548" s="15"/>
      <c r="J3548" s="15"/>
      <c r="K3548" s="15"/>
      <c r="L3548" s="15"/>
      <c r="M3548" s="15"/>
      <c r="N3548" s="15"/>
      <c r="O3548" s="15"/>
      <c r="P3548" s="15"/>
      <c r="Q3548" s="15"/>
      <c r="R3548" s="15"/>
    </row>
    <row r="3549" spans="2:18" ht="13">
      <c r="B3549" s="33"/>
      <c r="C3549" s="34"/>
      <c r="D3549" s="15"/>
      <c r="E3549" s="15"/>
      <c r="F3549" s="15"/>
      <c r="G3549" s="15"/>
      <c r="H3549" s="15"/>
      <c r="I3549" s="15"/>
      <c r="J3549" s="15"/>
      <c r="K3549" s="15"/>
      <c r="L3549" s="15"/>
      <c r="M3549" s="15"/>
      <c r="N3549" s="15"/>
      <c r="O3549" s="15"/>
      <c r="P3549" s="15"/>
      <c r="Q3549" s="15"/>
      <c r="R3549" s="15"/>
    </row>
    <row r="3550" spans="2:18" ht="13">
      <c r="B3550" s="33"/>
      <c r="C3550" s="34"/>
      <c r="D3550" s="15"/>
      <c r="E3550" s="15"/>
      <c r="F3550" s="15"/>
      <c r="G3550" s="15"/>
      <c r="H3550" s="15"/>
      <c r="I3550" s="15"/>
      <c r="J3550" s="15"/>
      <c r="K3550" s="15"/>
      <c r="L3550" s="15"/>
      <c r="M3550" s="15"/>
      <c r="N3550" s="15"/>
      <c r="O3550" s="15"/>
      <c r="P3550" s="15"/>
      <c r="Q3550" s="15"/>
      <c r="R3550" s="15"/>
    </row>
    <row r="3551" spans="2:18" ht="13">
      <c r="B3551" s="33"/>
      <c r="C3551" s="34"/>
      <c r="D3551" s="15"/>
      <c r="E3551" s="15"/>
      <c r="F3551" s="15"/>
      <c r="G3551" s="15"/>
      <c r="H3551" s="15"/>
      <c r="I3551" s="15"/>
      <c r="J3551" s="15"/>
      <c r="K3551" s="15"/>
      <c r="L3551" s="15"/>
      <c r="M3551" s="15"/>
      <c r="N3551" s="15"/>
      <c r="O3551" s="15"/>
      <c r="P3551" s="15"/>
      <c r="Q3551" s="15"/>
      <c r="R3551" s="15"/>
    </row>
    <row r="3552" spans="2:18" ht="13">
      <c r="B3552" s="33"/>
      <c r="C3552" s="34"/>
      <c r="D3552" s="15"/>
      <c r="E3552" s="15"/>
      <c r="F3552" s="15"/>
      <c r="G3552" s="15"/>
      <c r="H3552" s="15"/>
      <c r="I3552" s="15"/>
      <c r="J3552" s="15"/>
      <c r="K3552" s="15"/>
      <c r="L3552" s="15"/>
      <c r="M3552" s="15"/>
      <c r="N3552" s="15"/>
      <c r="O3552" s="15"/>
      <c r="P3552" s="15"/>
      <c r="Q3552" s="15"/>
      <c r="R3552" s="15"/>
    </row>
    <row r="3553" spans="2:18" ht="13">
      <c r="B3553" s="33"/>
      <c r="C3553" s="34"/>
      <c r="D3553" s="15"/>
      <c r="E3553" s="15"/>
      <c r="F3553" s="15"/>
      <c r="G3553" s="15"/>
      <c r="H3553" s="15"/>
      <c r="I3553" s="15"/>
      <c r="J3553" s="15"/>
      <c r="K3553" s="15"/>
      <c r="L3553" s="15"/>
      <c r="M3553" s="15"/>
      <c r="N3553" s="15"/>
      <c r="O3553" s="15"/>
      <c r="P3553" s="15"/>
      <c r="Q3553" s="15"/>
      <c r="R3553" s="15"/>
    </row>
    <row r="3554" spans="2:18" ht="13">
      <c r="B3554" s="33"/>
      <c r="C3554" s="34"/>
      <c r="D3554" s="15"/>
      <c r="E3554" s="15"/>
      <c r="F3554" s="15"/>
      <c r="G3554" s="15"/>
      <c r="H3554" s="15"/>
      <c r="I3554" s="15"/>
      <c r="J3554" s="15"/>
      <c r="K3554" s="15"/>
      <c r="L3554" s="15"/>
      <c r="M3554" s="15"/>
      <c r="N3554" s="15"/>
      <c r="O3554" s="15"/>
      <c r="P3554" s="15"/>
      <c r="Q3554" s="15"/>
      <c r="R3554" s="15"/>
    </row>
    <row r="3555" spans="2:18" ht="13">
      <c r="B3555" s="33"/>
      <c r="C3555" s="34"/>
      <c r="D3555" s="15"/>
      <c r="E3555" s="15"/>
      <c r="F3555" s="15"/>
      <c r="G3555" s="15"/>
      <c r="H3555" s="15"/>
      <c r="I3555" s="15"/>
      <c r="J3555" s="15"/>
      <c r="K3555" s="15"/>
      <c r="L3555" s="15"/>
      <c r="M3555" s="15"/>
      <c r="N3555" s="15"/>
      <c r="O3555" s="15"/>
      <c r="P3555" s="15"/>
      <c r="Q3555" s="15"/>
      <c r="R3555" s="15"/>
    </row>
    <row r="3556" spans="2:18" ht="13">
      <c r="B3556" s="33"/>
      <c r="C3556" s="34"/>
      <c r="D3556" s="15"/>
      <c r="E3556" s="15"/>
      <c r="F3556" s="15"/>
      <c r="G3556" s="15"/>
      <c r="H3556" s="15"/>
      <c r="I3556" s="15"/>
      <c r="J3556" s="15"/>
      <c r="K3556" s="15"/>
      <c r="L3556" s="15"/>
      <c r="M3556" s="15"/>
      <c r="N3556" s="15"/>
      <c r="O3556" s="15"/>
      <c r="P3556" s="15"/>
      <c r="Q3556" s="15"/>
      <c r="R3556" s="15"/>
    </row>
    <row r="3557" spans="2:18" ht="13">
      <c r="B3557" s="33"/>
      <c r="C3557" s="34"/>
      <c r="D3557" s="15"/>
      <c r="E3557" s="15"/>
      <c r="F3557" s="15"/>
      <c r="G3557" s="15"/>
      <c r="H3557" s="15"/>
      <c r="I3557" s="15"/>
      <c r="J3557" s="15"/>
      <c r="K3557" s="15"/>
      <c r="L3557" s="15"/>
      <c r="M3557" s="15"/>
      <c r="N3557" s="15"/>
      <c r="O3557" s="15"/>
      <c r="P3557" s="15"/>
      <c r="Q3557" s="15"/>
      <c r="R3557" s="15"/>
    </row>
    <row r="3558" spans="2:18" ht="13">
      <c r="B3558" s="33"/>
      <c r="C3558" s="34"/>
      <c r="D3558" s="15"/>
      <c r="E3558" s="15"/>
      <c r="F3558" s="15"/>
      <c r="G3558" s="15"/>
      <c r="H3558" s="15"/>
      <c r="I3558" s="15"/>
      <c r="J3558" s="15"/>
      <c r="K3558" s="15"/>
      <c r="L3558" s="15"/>
      <c r="M3558" s="15"/>
      <c r="N3558" s="15"/>
      <c r="O3558" s="15"/>
      <c r="P3558" s="15"/>
      <c r="Q3558" s="15"/>
      <c r="R3558" s="15"/>
    </row>
    <row r="3559" spans="2:18" ht="13">
      <c r="B3559" s="33"/>
      <c r="C3559" s="34"/>
      <c r="D3559" s="15"/>
      <c r="E3559" s="15"/>
      <c r="F3559" s="15"/>
      <c r="G3559" s="15"/>
      <c r="H3559" s="15"/>
      <c r="I3559" s="15"/>
      <c r="J3559" s="15"/>
      <c r="K3559" s="15"/>
      <c r="L3559" s="15"/>
      <c r="M3559" s="15"/>
      <c r="N3559" s="15"/>
      <c r="O3559" s="15"/>
      <c r="P3559" s="15"/>
      <c r="Q3559" s="15"/>
      <c r="R3559" s="15"/>
    </row>
    <row r="3560" spans="2:18" ht="13">
      <c r="B3560" s="33"/>
      <c r="C3560" s="34"/>
      <c r="D3560" s="15"/>
      <c r="E3560" s="15"/>
      <c r="F3560" s="15"/>
      <c r="G3560" s="15"/>
      <c r="H3560" s="15"/>
      <c r="I3560" s="15"/>
      <c r="J3560" s="15"/>
      <c r="K3560" s="15"/>
      <c r="L3560" s="15"/>
      <c r="M3560" s="15"/>
      <c r="N3560" s="15"/>
      <c r="O3560" s="15"/>
      <c r="P3560" s="15"/>
      <c r="Q3560" s="15"/>
      <c r="R3560" s="15"/>
    </row>
    <row r="3561" spans="2:18" ht="13">
      <c r="B3561" s="33"/>
      <c r="C3561" s="34"/>
      <c r="D3561" s="15"/>
      <c r="E3561" s="15"/>
      <c r="F3561" s="15"/>
      <c r="G3561" s="15"/>
      <c r="H3561" s="15"/>
      <c r="I3561" s="15"/>
      <c r="J3561" s="15"/>
      <c r="K3561" s="15"/>
      <c r="L3561" s="15"/>
      <c r="M3561" s="15"/>
      <c r="N3561" s="15"/>
      <c r="O3561" s="15"/>
      <c r="P3561" s="15"/>
      <c r="Q3561" s="15"/>
      <c r="R3561" s="15"/>
    </row>
    <row r="3562" spans="2:18" ht="13">
      <c r="B3562" s="33"/>
      <c r="C3562" s="34"/>
      <c r="D3562" s="15"/>
      <c r="E3562" s="15"/>
      <c r="F3562" s="15"/>
      <c r="G3562" s="15"/>
      <c r="H3562" s="15"/>
      <c r="I3562" s="15"/>
      <c r="J3562" s="15"/>
      <c r="K3562" s="15"/>
      <c r="L3562" s="15"/>
      <c r="M3562" s="15"/>
      <c r="N3562" s="15"/>
      <c r="O3562" s="15"/>
      <c r="P3562" s="15"/>
      <c r="Q3562" s="15"/>
      <c r="R3562" s="15"/>
    </row>
    <row r="3563" spans="2:18" ht="13">
      <c r="B3563" s="33"/>
      <c r="C3563" s="34"/>
      <c r="D3563" s="15"/>
      <c r="E3563" s="15"/>
      <c r="F3563" s="15"/>
      <c r="G3563" s="15"/>
      <c r="H3563" s="15"/>
      <c r="I3563" s="15"/>
      <c r="J3563" s="15"/>
      <c r="K3563" s="15"/>
      <c r="L3563" s="15"/>
      <c r="M3563" s="15"/>
      <c r="N3563" s="15"/>
      <c r="O3563" s="15"/>
      <c r="P3563" s="15"/>
      <c r="Q3563" s="15"/>
      <c r="R3563" s="15"/>
    </row>
    <row r="3564" spans="2:18" ht="13">
      <c r="B3564" s="33"/>
      <c r="C3564" s="34"/>
      <c r="D3564" s="15"/>
      <c r="E3564" s="15"/>
      <c r="F3564" s="15"/>
      <c r="G3564" s="15"/>
      <c r="H3564" s="15"/>
      <c r="I3564" s="15"/>
      <c r="J3564" s="15"/>
      <c r="K3564" s="15"/>
      <c r="L3564" s="15"/>
      <c r="M3564" s="15"/>
      <c r="N3564" s="15"/>
      <c r="O3564" s="15"/>
      <c r="P3564" s="15"/>
      <c r="Q3564" s="15"/>
      <c r="R3564" s="15"/>
    </row>
    <row r="3565" spans="2:18" ht="13">
      <c r="B3565" s="33"/>
      <c r="C3565" s="34"/>
      <c r="D3565" s="15"/>
      <c r="E3565" s="15"/>
      <c r="F3565" s="15"/>
      <c r="G3565" s="15"/>
      <c r="H3565" s="15"/>
      <c r="I3565" s="15"/>
      <c r="J3565" s="15"/>
      <c r="K3565" s="15"/>
      <c r="L3565" s="15"/>
      <c r="M3565" s="15"/>
      <c r="N3565" s="15"/>
      <c r="O3565" s="15"/>
      <c r="P3565" s="15"/>
      <c r="Q3565" s="15"/>
      <c r="R3565" s="15"/>
    </row>
    <row r="3566" spans="2:18" ht="13">
      <c r="B3566" s="33"/>
      <c r="C3566" s="34"/>
      <c r="D3566" s="15"/>
      <c r="E3566" s="15"/>
      <c r="F3566" s="15"/>
      <c r="G3566" s="15"/>
      <c r="H3566" s="15"/>
      <c r="I3566" s="15"/>
      <c r="J3566" s="15"/>
      <c r="K3566" s="15"/>
      <c r="L3566" s="15"/>
      <c r="M3566" s="15"/>
      <c r="N3566" s="15"/>
      <c r="O3566" s="15"/>
      <c r="P3566" s="15"/>
      <c r="Q3566" s="15"/>
      <c r="R3566" s="15"/>
    </row>
    <row r="3567" spans="2:18" ht="13">
      <c r="B3567" s="33"/>
      <c r="C3567" s="34"/>
      <c r="D3567" s="15"/>
      <c r="E3567" s="15"/>
      <c r="F3567" s="15"/>
      <c r="G3567" s="15"/>
      <c r="H3567" s="15"/>
      <c r="I3567" s="15"/>
      <c r="J3567" s="15"/>
      <c r="K3567" s="15"/>
      <c r="L3567" s="15"/>
      <c r="M3567" s="15"/>
      <c r="N3567" s="15"/>
      <c r="O3567" s="15"/>
      <c r="P3567" s="15"/>
      <c r="Q3567" s="15"/>
      <c r="R3567" s="15"/>
    </row>
    <row r="3568" spans="2:18" ht="13">
      <c r="B3568" s="33"/>
      <c r="C3568" s="34"/>
      <c r="D3568" s="15"/>
      <c r="E3568" s="15"/>
      <c r="F3568" s="15"/>
      <c r="G3568" s="15"/>
      <c r="H3568" s="15"/>
      <c r="I3568" s="15"/>
      <c r="J3568" s="15"/>
      <c r="K3568" s="15"/>
      <c r="L3568" s="15"/>
      <c r="M3568" s="15"/>
      <c r="N3568" s="15"/>
      <c r="O3568" s="15"/>
      <c r="P3568" s="15"/>
      <c r="Q3568" s="15"/>
      <c r="R3568" s="15"/>
    </row>
    <row r="3569" spans="2:18" ht="13">
      <c r="B3569" s="33"/>
      <c r="C3569" s="34"/>
      <c r="D3569" s="15"/>
      <c r="E3569" s="15"/>
      <c r="F3569" s="15"/>
      <c r="G3569" s="15"/>
      <c r="H3569" s="15"/>
      <c r="I3569" s="15"/>
      <c r="J3569" s="15"/>
      <c r="K3569" s="15"/>
      <c r="L3569" s="15"/>
      <c r="M3569" s="15"/>
      <c r="N3569" s="15"/>
      <c r="O3569" s="15"/>
      <c r="P3569" s="15"/>
      <c r="Q3569" s="15"/>
      <c r="R3569" s="15"/>
    </row>
    <row r="3570" spans="2:18" ht="13">
      <c r="B3570" s="33"/>
      <c r="C3570" s="34"/>
      <c r="D3570" s="15"/>
      <c r="E3570" s="15"/>
      <c r="F3570" s="15"/>
      <c r="G3570" s="15"/>
      <c r="H3570" s="15"/>
      <c r="I3570" s="15"/>
      <c r="J3570" s="15"/>
      <c r="K3570" s="15"/>
      <c r="L3570" s="15"/>
      <c r="M3570" s="15"/>
      <c r="N3570" s="15"/>
      <c r="O3570" s="15"/>
      <c r="P3570" s="15"/>
      <c r="Q3570" s="15"/>
      <c r="R3570" s="15"/>
    </row>
    <row r="3571" spans="2:18" ht="13">
      <c r="B3571" s="33"/>
      <c r="C3571" s="34"/>
      <c r="D3571" s="15"/>
      <c r="E3571" s="15"/>
      <c r="F3571" s="15"/>
      <c r="G3571" s="15"/>
      <c r="H3571" s="15"/>
      <c r="I3571" s="15"/>
      <c r="J3571" s="15"/>
      <c r="K3571" s="15"/>
      <c r="L3571" s="15"/>
      <c r="M3571" s="15"/>
      <c r="N3571" s="15"/>
      <c r="O3571" s="15"/>
      <c r="P3571" s="15"/>
      <c r="Q3571" s="15"/>
      <c r="R3571" s="15"/>
    </row>
    <row r="3572" spans="2:18" ht="13">
      <c r="B3572" s="33"/>
      <c r="C3572" s="34"/>
      <c r="D3572" s="15"/>
      <c r="E3572" s="15"/>
      <c r="F3572" s="15"/>
      <c r="G3572" s="15"/>
      <c r="H3572" s="15"/>
      <c r="I3572" s="15"/>
      <c r="J3572" s="15"/>
      <c r="K3572" s="15"/>
      <c r="L3572" s="15"/>
      <c r="M3572" s="15"/>
      <c r="N3572" s="15"/>
      <c r="O3572" s="15"/>
      <c r="P3572" s="15"/>
      <c r="Q3572" s="15"/>
      <c r="R3572" s="15"/>
    </row>
    <row r="3573" spans="2:18" ht="13">
      <c r="B3573" s="33"/>
      <c r="C3573" s="34"/>
      <c r="D3573" s="15"/>
      <c r="E3573" s="15"/>
      <c r="F3573" s="15"/>
      <c r="G3573" s="15"/>
      <c r="H3573" s="15"/>
      <c r="I3573" s="15"/>
      <c r="J3573" s="15"/>
      <c r="K3573" s="15"/>
      <c r="L3573" s="15"/>
      <c r="M3573" s="15"/>
      <c r="N3573" s="15"/>
      <c r="O3573" s="15"/>
      <c r="P3573" s="15"/>
      <c r="Q3573" s="15"/>
      <c r="R3573" s="15"/>
    </row>
    <row r="3574" spans="2:18" ht="13">
      <c r="B3574" s="33"/>
      <c r="C3574" s="34"/>
      <c r="D3574" s="15"/>
      <c r="E3574" s="15"/>
      <c r="F3574" s="15"/>
      <c r="G3574" s="15"/>
      <c r="H3574" s="15"/>
      <c r="I3574" s="15"/>
      <c r="J3574" s="15"/>
      <c r="K3574" s="15"/>
      <c r="L3574" s="15"/>
      <c r="M3574" s="15"/>
      <c r="N3574" s="15"/>
      <c r="O3574" s="15"/>
      <c r="P3574" s="15"/>
      <c r="Q3574" s="15"/>
      <c r="R3574" s="15"/>
    </row>
    <row r="3575" spans="2:18" ht="13">
      <c r="B3575" s="33"/>
      <c r="C3575" s="34"/>
      <c r="D3575" s="15"/>
      <c r="E3575" s="15"/>
      <c r="F3575" s="15"/>
      <c r="G3575" s="15"/>
      <c r="H3575" s="15"/>
      <c r="I3575" s="15"/>
      <c r="J3575" s="15"/>
      <c r="K3575" s="15"/>
      <c r="L3575" s="15"/>
      <c r="M3575" s="15"/>
      <c r="N3575" s="15"/>
      <c r="O3575" s="15"/>
      <c r="P3575" s="15"/>
      <c r="Q3575" s="15"/>
      <c r="R3575" s="15"/>
    </row>
    <row r="3576" spans="2:18" ht="13">
      <c r="B3576" s="33"/>
      <c r="C3576" s="34"/>
      <c r="D3576" s="15"/>
      <c r="E3576" s="15"/>
      <c r="F3576" s="15"/>
      <c r="G3576" s="15"/>
      <c r="H3576" s="15"/>
      <c r="I3576" s="15"/>
      <c r="J3576" s="15"/>
      <c r="K3576" s="15"/>
      <c r="L3576" s="15"/>
      <c r="M3576" s="15"/>
      <c r="N3576" s="15"/>
      <c r="O3576" s="15"/>
      <c r="P3576" s="15"/>
      <c r="Q3576" s="15"/>
      <c r="R3576" s="15"/>
    </row>
    <row r="3577" spans="2:18" ht="13">
      <c r="B3577" s="33"/>
      <c r="C3577" s="34"/>
      <c r="D3577" s="15"/>
      <c r="E3577" s="15"/>
      <c r="F3577" s="15"/>
      <c r="G3577" s="15"/>
      <c r="H3577" s="15"/>
      <c r="I3577" s="15"/>
      <c r="J3577" s="15"/>
      <c r="K3577" s="15"/>
      <c r="L3577" s="15"/>
      <c r="M3577" s="15"/>
      <c r="N3577" s="15"/>
      <c r="O3577" s="15"/>
      <c r="P3577" s="15"/>
      <c r="Q3577" s="15"/>
      <c r="R3577" s="15"/>
    </row>
    <row r="3578" spans="2:18" ht="13">
      <c r="B3578" s="33"/>
      <c r="C3578" s="34"/>
      <c r="D3578" s="15"/>
      <c r="E3578" s="15"/>
      <c r="F3578" s="15"/>
      <c r="G3578" s="15"/>
      <c r="H3578" s="15"/>
      <c r="I3578" s="15"/>
      <c r="J3578" s="15"/>
      <c r="K3578" s="15"/>
      <c r="L3578" s="15"/>
      <c r="M3578" s="15"/>
      <c r="N3578" s="15"/>
      <c r="O3578" s="15"/>
      <c r="P3578" s="15"/>
      <c r="Q3578" s="15"/>
      <c r="R3578" s="15"/>
    </row>
    <row r="3579" spans="2:18" ht="13">
      <c r="B3579" s="33"/>
      <c r="C3579" s="34"/>
      <c r="D3579" s="15"/>
      <c r="E3579" s="15"/>
      <c r="F3579" s="15"/>
      <c r="G3579" s="15"/>
      <c r="H3579" s="15"/>
      <c r="I3579" s="15"/>
      <c r="J3579" s="15"/>
      <c r="K3579" s="15"/>
      <c r="L3579" s="15"/>
      <c r="M3579" s="15"/>
      <c r="N3579" s="15"/>
      <c r="O3579" s="15"/>
      <c r="P3579" s="15"/>
      <c r="Q3579" s="15"/>
      <c r="R3579" s="15"/>
    </row>
    <row r="3580" spans="2:18" ht="13">
      <c r="B3580" s="33"/>
      <c r="C3580" s="34"/>
      <c r="D3580" s="15"/>
      <c r="E3580" s="15"/>
      <c r="F3580" s="15"/>
      <c r="G3580" s="15"/>
      <c r="H3580" s="15"/>
      <c r="I3580" s="15"/>
      <c r="J3580" s="15"/>
      <c r="K3580" s="15"/>
      <c r="L3580" s="15"/>
      <c r="M3580" s="15"/>
      <c r="N3580" s="15"/>
      <c r="O3580" s="15"/>
      <c r="P3580" s="15"/>
      <c r="Q3580" s="15"/>
      <c r="R3580" s="15"/>
    </row>
    <row r="3581" spans="2:18" ht="13">
      <c r="B3581" s="33"/>
      <c r="C3581" s="34"/>
      <c r="D3581" s="15"/>
      <c r="E3581" s="15"/>
      <c r="F3581" s="15"/>
      <c r="G3581" s="15"/>
      <c r="H3581" s="15"/>
      <c r="I3581" s="15"/>
      <c r="J3581" s="15"/>
      <c r="K3581" s="15"/>
      <c r="L3581" s="15"/>
      <c r="M3581" s="15"/>
      <c r="N3581" s="15"/>
      <c r="O3581" s="15"/>
      <c r="P3581" s="15"/>
      <c r="Q3581" s="15"/>
      <c r="R3581" s="15"/>
    </row>
    <row r="3582" spans="2:18" ht="13">
      <c r="B3582" s="33"/>
      <c r="C3582" s="34"/>
      <c r="D3582" s="15"/>
      <c r="E3582" s="15"/>
      <c r="F3582" s="15"/>
      <c r="G3582" s="15"/>
      <c r="H3582" s="15"/>
      <c r="I3582" s="15"/>
      <c r="J3582" s="15"/>
      <c r="K3582" s="15"/>
      <c r="L3582" s="15"/>
      <c r="M3582" s="15"/>
      <c r="N3582" s="15"/>
      <c r="O3582" s="15"/>
      <c r="P3582" s="15"/>
      <c r="Q3582" s="15"/>
      <c r="R3582" s="15"/>
    </row>
    <row r="3583" spans="2:18" ht="13">
      <c r="B3583" s="33"/>
      <c r="C3583" s="34"/>
      <c r="D3583" s="15"/>
      <c r="E3583" s="15"/>
      <c r="F3583" s="15"/>
      <c r="G3583" s="15"/>
      <c r="H3583" s="15"/>
      <c r="I3583" s="15"/>
      <c r="J3583" s="15"/>
      <c r="K3583" s="15"/>
      <c r="L3583" s="15"/>
      <c r="M3583" s="15"/>
      <c r="N3583" s="15"/>
      <c r="O3583" s="15"/>
      <c r="P3583" s="15"/>
      <c r="Q3583" s="15"/>
      <c r="R3583" s="15"/>
    </row>
    <row r="3584" spans="2:18" ht="13">
      <c r="B3584" s="33"/>
      <c r="C3584" s="34"/>
      <c r="D3584" s="15"/>
      <c r="E3584" s="15"/>
      <c r="F3584" s="15"/>
      <c r="G3584" s="15"/>
      <c r="H3584" s="15"/>
      <c r="I3584" s="15"/>
      <c r="J3584" s="15"/>
      <c r="K3584" s="15"/>
      <c r="L3584" s="15"/>
      <c r="M3584" s="15"/>
      <c r="N3584" s="15"/>
      <c r="O3584" s="15"/>
      <c r="P3584" s="15"/>
      <c r="Q3584" s="15"/>
      <c r="R3584" s="15"/>
    </row>
    <row r="3585" spans="2:18" ht="13">
      <c r="B3585" s="33"/>
      <c r="C3585" s="34"/>
      <c r="D3585" s="15"/>
      <c r="E3585" s="15"/>
      <c r="F3585" s="15"/>
      <c r="G3585" s="15"/>
      <c r="H3585" s="15"/>
      <c r="I3585" s="15"/>
      <c r="J3585" s="15"/>
      <c r="K3585" s="15"/>
      <c r="L3585" s="15"/>
      <c r="M3585" s="15"/>
      <c r="N3585" s="15"/>
      <c r="O3585" s="15"/>
      <c r="P3585" s="15"/>
      <c r="Q3585" s="15"/>
      <c r="R3585" s="15"/>
    </row>
    <row r="3586" spans="2:18" ht="13">
      <c r="B3586" s="33"/>
      <c r="C3586" s="34"/>
      <c r="D3586" s="15"/>
      <c r="E3586" s="15"/>
      <c r="F3586" s="15"/>
      <c r="G3586" s="15"/>
      <c r="H3586" s="15"/>
      <c r="I3586" s="15"/>
      <c r="J3586" s="15"/>
      <c r="K3586" s="15"/>
      <c r="L3586" s="15"/>
      <c r="M3586" s="15"/>
      <c r="N3586" s="15"/>
      <c r="O3586" s="15"/>
      <c r="P3586" s="15"/>
      <c r="Q3586" s="15"/>
      <c r="R3586" s="15"/>
    </row>
    <row r="3587" spans="2:18" ht="13">
      <c r="B3587" s="33"/>
      <c r="C3587" s="34"/>
      <c r="D3587" s="15"/>
      <c r="E3587" s="15"/>
      <c r="F3587" s="15"/>
      <c r="G3587" s="15"/>
      <c r="H3587" s="15"/>
      <c r="I3587" s="15"/>
      <c r="J3587" s="15"/>
      <c r="K3587" s="15"/>
      <c r="L3587" s="15"/>
      <c r="M3587" s="15"/>
      <c r="N3587" s="15"/>
      <c r="O3587" s="15"/>
      <c r="P3587" s="15"/>
      <c r="Q3587" s="15"/>
      <c r="R3587" s="15"/>
    </row>
    <row r="3588" spans="2:18" ht="13">
      <c r="B3588" s="33"/>
      <c r="C3588" s="34"/>
      <c r="D3588" s="15"/>
      <c r="E3588" s="15"/>
      <c r="F3588" s="15"/>
      <c r="G3588" s="15"/>
      <c r="H3588" s="15"/>
      <c r="I3588" s="15"/>
      <c r="J3588" s="15"/>
      <c r="K3588" s="15"/>
      <c r="L3588" s="15"/>
      <c r="M3588" s="15"/>
      <c r="N3588" s="15"/>
      <c r="O3588" s="15"/>
      <c r="P3588" s="15"/>
      <c r="Q3588" s="15"/>
      <c r="R3588" s="15"/>
    </row>
    <row r="3589" spans="2:18" ht="13">
      <c r="B3589" s="33"/>
      <c r="C3589" s="34"/>
      <c r="D3589" s="15"/>
      <c r="E3589" s="15"/>
      <c r="F3589" s="15"/>
      <c r="G3589" s="15"/>
      <c r="H3589" s="15"/>
      <c r="I3589" s="15"/>
      <c r="J3589" s="15"/>
      <c r="K3589" s="15"/>
      <c r="L3589" s="15"/>
      <c r="M3589" s="15"/>
      <c r="N3589" s="15"/>
      <c r="O3589" s="15"/>
      <c r="P3589" s="15"/>
      <c r="Q3589" s="15"/>
      <c r="R3589" s="15"/>
    </row>
    <row r="3590" spans="2:18" ht="13">
      <c r="B3590" s="33"/>
      <c r="C3590" s="34"/>
      <c r="D3590" s="15"/>
      <c r="E3590" s="15"/>
      <c r="F3590" s="15"/>
      <c r="G3590" s="15"/>
      <c r="H3590" s="15"/>
      <c r="I3590" s="15"/>
      <c r="J3590" s="15"/>
      <c r="K3590" s="15"/>
      <c r="L3590" s="15"/>
      <c r="M3590" s="15"/>
      <c r="N3590" s="15"/>
      <c r="O3590" s="15"/>
      <c r="P3590" s="15"/>
      <c r="Q3590" s="15"/>
      <c r="R3590" s="15"/>
    </row>
    <row r="3591" spans="2:18" ht="13">
      <c r="B3591" s="33"/>
      <c r="C3591" s="34"/>
      <c r="D3591" s="15"/>
      <c r="E3591" s="15"/>
      <c r="F3591" s="15"/>
      <c r="G3591" s="15"/>
      <c r="H3591" s="15"/>
      <c r="I3591" s="15"/>
      <c r="J3591" s="15"/>
      <c r="K3591" s="15"/>
      <c r="L3591" s="15"/>
      <c r="M3591" s="15"/>
      <c r="N3591" s="15"/>
      <c r="O3591" s="15"/>
      <c r="P3591" s="15"/>
      <c r="Q3591" s="15"/>
      <c r="R3591" s="15"/>
    </row>
    <row r="3592" spans="2:18" ht="13">
      <c r="B3592" s="33"/>
      <c r="C3592" s="34"/>
      <c r="D3592" s="15"/>
      <c r="E3592" s="15"/>
      <c r="F3592" s="15"/>
      <c r="G3592" s="15"/>
      <c r="H3592" s="15"/>
      <c r="I3592" s="15"/>
      <c r="J3592" s="15"/>
      <c r="K3592" s="15"/>
      <c r="L3592" s="15"/>
      <c r="M3592" s="15"/>
      <c r="N3592" s="15"/>
      <c r="O3592" s="15"/>
      <c r="P3592" s="15"/>
      <c r="Q3592" s="15"/>
      <c r="R3592" s="15"/>
    </row>
    <row r="3593" spans="2:18" ht="13">
      <c r="B3593" s="33"/>
      <c r="C3593" s="34"/>
      <c r="D3593" s="15"/>
      <c r="E3593" s="15"/>
      <c r="F3593" s="15"/>
      <c r="G3593" s="15"/>
      <c r="H3593" s="15"/>
      <c r="I3593" s="15"/>
      <c r="J3593" s="15"/>
      <c r="K3593" s="15"/>
      <c r="L3593" s="15"/>
      <c r="M3593" s="15"/>
      <c r="N3593" s="15"/>
      <c r="O3593" s="15"/>
      <c r="P3593" s="15"/>
      <c r="Q3593" s="15"/>
      <c r="R3593" s="15"/>
    </row>
    <row r="3594" spans="2:18" ht="13">
      <c r="B3594" s="33"/>
      <c r="C3594" s="34"/>
      <c r="D3594" s="15"/>
      <c r="E3594" s="15"/>
      <c r="F3594" s="15"/>
      <c r="G3594" s="15"/>
      <c r="H3594" s="15"/>
      <c r="I3594" s="15"/>
      <c r="J3594" s="15"/>
      <c r="K3594" s="15"/>
      <c r="L3594" s="15"/>
      <c r="M3594" s="15"/>
      <c r="N3594" s="15"/>
      <c r="O3594" s="15"/>
      <c r="P3594" s="15"/>
      <c r="Q3594" s="15"/>
      <c r="R3594" s="15"/>
    </row>
    <row r="3595" spans="2:18" ht="13">
      <c r="B3595" s="33"/>
      <c r="C3595" s="34"/>
      <c r="D3595" s="15"/>
      <c r="E3595" s="15"/>
      <c r="F3595" s="15"/>
      <c r="G3595" s="15"/>
      <c r="H3595" s="15"/>
      <c r="I3595" s="15"/>
      <c r="J3595" s="15"/>
      <c r="K3595" s="15"/>
      <c r="L3595" s="15"/>
      <c r="M3595" s="15"/>
      <c r="N3595" s="15"/>
      <c r="O3595" s="15"/>
      <c r="P3595" s="15"/>
      <c r="Q3595" s="15"/>
      <c r="R3595" s="15"/>
    </row>
    <row r="3596" spans="2:18" ht="13">
      <c r="B3596" s="33"/>
      <c r="C3596" s="34"/>
      <c r="D3596" s="15"/>
      <c r="E3596" s="15"/>
      <c r="F3596" s="15"/>
      <c r="G3596" s="15"/>
      <c r="H3596" s="15"/>
      <c r="I3596" s="15"/>
      <c r="J3596" s="15"/>
      <c r="K3596" s="15"/>
      <c r="L3596" s="15"/>
      <c r="M3596" s="15"/>
      <c r="N3596" s="15"/>
      <c r="O3596" s="15"/>
      <c r="P3596" s="15"/>
      <c r="Q3596" s="15"/>
      <c r="R3596" s="15"/>
    </row>
    <row r="3597" spans="2:18" ht="13">
      <c r="B3597" s="33"/>
      <c r="C3597" s="34"/>
      <c r="D3597" s="15"/>
      <c r="E3597" s="15"/>
      <c r="F3597" s="15"/>
      <c r="G3597" s="15"/>
      <c r="H3597" s="15"/>
      <c r="I3597" s="15"/>
      <c r="J3597" s="15"/>
      <c r="K3597" s="15"/>
      <c r="L3597" s="15"/>
      <c r="M3597" s="15"/>
      <c r="N3597" s="15"/>
      <c r="O3597" s="15"/>
      <c r="P3597" s="15"/>
      <c r="Q3597" s="15"/>
      <c r="R3597" s="15"/>
    </row>
    <row r="3598" spans="2:18" ht="13">
      <c r="B3598" s="33"/>
      <c r="C3598" s="34"/>
      <c r="D3598" s="15"/>
      <c r="E3598" s="15"/>
      <c r="F3598" s="15"/>
      <c r="G3598" s="15"/>
      <c r="H3598" s="15"/>
      <c r="I3598" s="15"/>
      <c r="J3598" s="15"/>
      <c r="K3598" s="15"/>
      <c r="L3598" s="15"/>
      <c r="M3598" s="15"/>
      <c r="N3598" s="15"/>
      <c r="O3598" s="15"/>
      <c r="P3598" s="15"/>
      <c r="Q3598" s="15"/>
      <c r="R3598" s="15"/>
    </row>
    <row r="3599" spans="2:18" ht="13">
      <c r="B3599" s="33"/>
      <c r="C3599" s="34"/>
      <c r="D3599" s="15"/>
      <c r="E3599" s="15"/>
      <c r="F3599" s="15"/>
      <c r="G3599" s="15"/>
      <c r="H3599" s="15"/>
      <c r="I3599" s="15"/>
      <c r="J3599" s="15"/>
      <c r="K3599" s="15"/>
      <c r="L3599" s="15"/>
      <c r="M3599" s="15"/>
      <c r="N3599" s="15"/>
      <c r="O3599" s="15"/>
      <c r="P3599" s="15"/>
      <c r="Q3599" s="15"/>
      <c r="R3599" s="15"/>
    </row>
    <row r="3600" spans="2:18" ht="13">
      <c r="B3600" s="33"/>
      <c r="C3600" s="34"/>
      <c r="D3600" s="15"/>
      <c r="E3600" s="15"/>
      <c r="F3600" s="15"/>
      <c r="G3600" s="15"/>
      <c r="H3600" s="15"/>
      <c r="I3600" s="15"/>
      <c r="J3600" s="15"/>
      <c r="K3600" s="15"/>
      <c r="L3600" s="15"/>
      <c r="M3600" s="15"/>
      <c r="N3600" s="15"/>
      <c r="O3600" s="15"/>
      <c r="P3600" s="15"/>
      <c r="Q3600" s="15"/>
      <c r="R3600" s="15"/>
    </row>
    <row r="3601" spans="2:18" ht="13">
      <c r="B3601" s="33"/>
      <c r="C3601" s="34"/>
      <c r="D3601" s="15"/>
      <c r="E3601" s="15"/>
      <c r="F3601" s="15"/>
      <c r="G3601" s="15"/>
      <c r="H3601" s="15"/>
      <c r="I3601" s="15"/>
      <c r="J3601" s="15"/>
      <c r="K3601" s="15"/>
      <c r="L3601" s="15"/>
      <c r="M3601" s="15"/>
      <c r="N3601" s="15"/>
      <c r="O3601" s="15"/>
      <c r="P3601" s="15"/>
      <c r="Q3601" s="15"/>
      <c r="R3601" s="15"/>
    </row>
    <row r="3602" spans="2:18" ht="13">
      <c r="B3602" s="33"/>
      <c r="C3602" s="34"/>
      <c r="D3602" s="15"/>
      <c r="E3602" s="15"/>
      <c r="F3602" s="15"/>
      <c r="G3602" s="15"/>
      <c r="H3602" s="15"/>
      <c r="I3602" s="15"/>
      <c r="J3602" s="15"/>
      <c r="K3602" s="15"/>
      <c r="L3602" s="15"/>
      <c r="M3602" s="15"/>
      <c r="N3602" s="15"/>
      <c r="O3602" s="15"/>
      <c r="P3602" s="15"/>
      <c r="Q3602" s="15"/>
      <c r="R3602" s="15"/>
    </row>
    <row r="3603" spans="2:18" ht="13">
      <c r="B3603" s="33"/>
      <c r="C3603" s="34"/>
      <c r="D3603" s="15"/>
      <c r="E3603" s="15"/>
      <c r="F3603" s="15"/>
      <c r="G3603" s="15"/>
      <c r="H3603" s="15"/>
      <c r="I3603" s="15"/>
      <c r="J3603" s="15"/>
      <c r="K3603" s="15"/>
      <c r="L3603" s="15"/>
      <c r="M3603" s="15"/>
      <c r="N3603" s="15"/>
      <c r="O3603" s="15"/>
      <c r="P3603" s="15"/>
      <c r="Q3603" s="15"/>
      <c r="R3603" s="15"/>
    </row>
    <row r="3604" spans="2:18" ht="13">
      <c r="B3604" s="33"/>
      <c r="C3604" s="34"/>
      <c r="D3604" s="15"/>
      <c r="E3604" s="15"/>
      <c r="F3604" s="15"/>
      <c r="G3604" s="15"/>
      <c r="H3604" s="15"/>
      <c r="I3604" s="15"/>
      <c r="J3604" s="15"/>
      <c r="K3604" s="15"/>
      <c r="L3604" s="15"/>
      <c r="M3604" s="15"/>
      <c r="N3604" s="15"/>
      <c r="O3604" s="15"/>
      <c r="P3604" s="15"/>
      <c r="Q3604" s="15"/>
      <c r="R3604" s="15"/>
    </row>
    <row r="3605" spans="2:18" ht="13">
      <c r="B3605" s="33"/>
      <c r="C3605" s="34"/>
      <c r="D3605" s="15"/>
      <c r="E3605" s="15"/>
      <c r="F3605" s="15"/>
      <c r="G3605" s="15"/>
      <c r="H3605" s="15"/>
      <c r="I3605" s="15"/>
      <c r="J3605" s="15"/>
      <c r="K3605" s="15"/>
      <c r="L3605" s="15"/>
      <c r="M3605" s="15"/>
      <c r="N3605" s="15"/>
      <c r="O3605" s="15"/>
      <c r="P3605" s="15"/>
      <c r="Q3605" s="15"/>
      <c r="R3605" s="15"/>
    </row>
    <row r="3606" spans="2:18" ht="13">
      <c r="B3606" s="33"/>
      <c r="C3606" s="34"/>
      <c r="D3606" s="15"/>
      <c r="E3606" s="15"/>
      <c r="F3606" s="15"/>
      <c r="G3606" s="15"/>
      <c r="H3606" s="15"/>
      <c r="I3606" s="15"/>
      <c r="J3606" s="15"/>
      <c r="K3606" s="15"/>
      <c r="L3606" s="15"/>
      <c r="M3606" s="15"/>
      <c r="N3606" s="15"/>
      <c r="O3606" s="15"/>
      <c r="P3606" s="15"/>
      <c r="Q3606" s="15"/>
      <c r="R3606" s="15"/>
    </row>
    <row r="3607" spans="2:18" ht="13">
      <c r="B3607" s="33"/>
      <c r="C3607" s="34"/>
      <c r="D3607" s="15"/>
      <c r="E3607" s="15"/>
      <c r="F3607" s="15"/>
      <c r="G3607" s="15"/>
      <c r="H3607" s="15"/>
      <c r="I3607" s="15"/>
      <c r="J3607" s="15"/>
      <c r="K3607" s="15"/>
      <c r="L3607" s="15"/>
      <c r="M3607" s="15"/>
      <c r="N3607" s="15"/>
      <c r="O3607" s="15"/>
      <c r="P3607" s="15"/>
      <c r="Q3607" s="15"/>
      <c r="R3607" s="15"/>
    </row>
    <row r="3608" spans="2:18" ht="13">
      <c r="B3608" s="33"/>
      <c r="C3608" s="34"/>
      <c r="D3608" s="15"/>
      <c r="E3608" s="15"/>
      <c r="F3608" s="15"/>
      <c r="G3608" s="15"/>
      <c r="H3608" s="15"/>
      <c r="I3608" s="15"/>
      <c r="J3608" s="15"/>
      <c r="K3608" s="15"/>
      <c r="L3608" s="15"/>
      <c r="M3608" s="15"/>
      <c r="N3608" s="15"/>
      <c r="O3608" s="15"/>
      <c r="P3608" s="15"/>
      <c r="Q3608" s="15"/>
      <c r="R3608" s="15"/>
    </row>
    <row r="3609" spans="2:18" ht="13">
      <c r="B3609" s="33"/>
      <c r="C3609" s="34"/>
      <c r="D3609" s="15"/>
      <c r="E3609" s="15"/>
      <c r="F3609" s="15"/>
      <c r="G3609" s="15"/>
      <c r="H3609" s="15"/>
      <c r="I3609" s="15"/>
      <c r="J3609" s="15"/>
      <c r="K3609" s="15"/>
      <c r="L3609" s="15"/>
      <c r="M3609" s="15"/>
      <c r="N3609" s="15"/>
      <c r="O3609" s="15"/>
      <c r="P3609" s="15"/>
      <c r="Q3609" s="15"/>
      <c r="R3609" s="15"/>
    </row>
    <row r="3610" spans="2:18" ht="13">
      <c r="B3610" s="33"/>
      <c r="C3610" s="34"/>
      <c r="D3610" s="15"/>
      <c r="E3610" s="15"/>
      <c r="F3610" s="15"/>
      <c r="G3610" s="15"/>
      <c r="H3610" s="15"/>
      <c r="I3610" s="15"/>
      <c r="J3610" s="15"/>
      <c r="K3610" s="15"/>
      <c r="L3610" s="15"/>
      <c r="M3610" s="15"/>
      <c r="N3610" s="15"/>
      <c r="O3610" s="15"/>
      <c r="P3610" s="15"/>
      <c r="Q3610" s="15"/>
      <c r="R3610" s="15"/>
    </row>
    <row r="3611" spans="2:18" ht="13">
      <c r="B3611" s="33"/>
      <c r="C3611" s="34"/>
      <c r="D3611" s="15"/>
      <c r="E3611" s="15"/>
      <c r="F3611" s="15"/>
      <c r="G3611" s="15"/>
      <c r="H3611" s="15"/>
      <c r="I3611" s="15"/>
      <c r="J3611" s="15"/>
      <c r="K3611" s="15"/>
      <c r="L3611" s="15"/>
      <c r="M3611" s="15"/>
      <c r="N3611" s="15"/>
      <c r="O3611" s="15"/>
      <c r="P3611" s="15"/>
      <c r="Q3611" s="15"/>
      <c r="R3611" s="15"/>
    </row>
    <row r="3612" spans="2:18" ht="13">
      <c r="B3612" s="33"/>
      <c r="C3612" s="34"/>
      <c r="D3612" s="15"/>
      <c r="E3612" s="15"/>
      <c r="F3612" s="15"/>
      <c r="G3612" s="15"/>
      <c r="H3612" s="15"/>
      <c r="I3612" s="15"/>
      <c r="J3612" s="15"/>
      <c r="K3612" s="15"/>
      <c r="L3612" s="15"/>
      <c r="M3612" s="15"/>
      <c r="N3612" s="15"/>
      <c r="O3612" s="15"/>
      <c r="P3612" s="15"/>
      <c r="Q3612" s="15"/>
      <c r="R3612" s="15"/>
    </row>
    <row r="3613" spans="2:18" ht="13">
      <c r="B3613" s="33"/>
      <c r="C3613" s="34"/>
      <c r="D3613" s="15"/>
      <c r="E3613" s="15"/>
      <c r="F3613" s="15"/>
      <c r="G3613" s="15"/>
      <c r="H3613" s="15"/>
      <c r="I3613" s="15"/>
      <c r="J3613" s="15"/>
      <c r="K3613" s="15"/>
      <c r="L3613" s="15"/>
      <c r="M3613" s="15"/>
      <c r="N3613" s="15"/>
      <c r="O3613" s="15"/>
      <c r="P3613" s="15"/>
      <c r="Q3613" s="15"/>
      <c r="R3613" s="15"/>
    </row>
    <row r="3614" spans="2:18" ht="13">
      <c r="B3614" s="33"/>
      <c r="C3614" s="34"/>
      <c r="D3614" s="15"/>
      <c r="E3614" s="15"/>
      <c r="F3614" s="15"/>
      <c r="G3614" s="15"/>
      <c r="H3614" s="15"/>
      <c r="I3614" s="15"/>
      <c r="J3614" s="15"/>
      <c r="K3614" s="15"/>
      <c r="L3614" s="15"/>
      <c r="M3614" s="15"/>
      <c r="N3614" s="15"/>
      <c r="O3614" s="15"/>
      <c r="P3614" s="15"/>
      <c r="Q3614" s="15"/>
      <c r="R3614" s="15"/>
    </row>
    <row r="3615" spans="2:18" ht="13">
      <c r="B3615" s="33"/>
      <c r="C3615" s="34"/>
      <c r="D3615" s="15"/>
      <c r="E3615" s="15"/>
      <c r="F3615" s="15"/>
      <c r="G3615" s="15"/>
      <c r="H3615" s="15"/>
      <c r="I3615" s="15"/>
      <c r="J3615" s="15"/>
      <c r="K3615" s="15"/>
      <c r="L3615" s="15"/>
      <c r="M3615" s="15"/>
      <c r="N3615" s="15"/>
      <c r="O3615" s="15"/>
      <c r="P3615" s="15"/>
      <c r="Q3615" s="15"/>
      <c r="R3615" s="15"/>
    </row>
    <row r="3616" spans="2:18" ht="13">
      <c r="B3616" s="33"/>
      <c r="C3616" s="34"/>
      <c r="D3616" s="15"/>
      <c r="E3616" s="15"/>
      <c r="F3616" s="15"/>
      <c r="G3616" s="15"/>
      <c r="H3616" s="15"/>
      <c r="I3616" s="15"/>
      <c r="J3616" s="15"/>
      <c r="K3616" s="15"/>
      <c r="L3616" s="15"/>
      <c r="M3616" s="15"/>
      <c r="N3616" s="15"/>
      <c r="O3616" s="15"/>
      <c r="P3616" s="15"/>
      <c r="Q3616" s="15"/>
      <c r="R3616" s="15"/>
    </row>
    <row r="3617" spans="2:18" ht="13">
      <c r="B3617" s="33"/>
      <c r="C3617" s="34"/>
      <c r="D3617" s="15"/>
      <c r="E3617" s="15"/>
      <c r="F3617" s="15"/>
      <c r="G3617" s="15"/>
      <c r="H3617" s="15"/>
      <c r="I3617" s="15"/>
      <c r="J3617" s="15"/>
      <c r="K3617" s="15"/>
      <c r="L3617" s="15"/>
      <c r="M3617" s="15"/>
      <c r="N3617" s="15"/>
      <c r="O3617" s="15"/>
      <c r="P3617" s="15"/>
      <c r="Q3617" s="15"/>
      <c r="R3617" s="15"/>
    </row>
    <row r="3618" spans="2:18" ht="13">
      <c r="B3618" s="33"/>
      <c r="C3618" s="34"/>
      <c r="D3618" s="15"/>
      <c r="E3618" s="15"/>
      <c r="F3618" s="15"/>
      <c r="G3618" s="15"/>
      <c r="H3618" s="15"/>
      <c r="I3618" s="15"/>
      <c r="J3618" s="15"/>
      <c r="K3618" s="15"/>
      <c r="L3618" s="15"/>
      <c r="M3618" s="15"/>
      <c r="N3618" s="15"/>
      <c r="O3618" s="15"/>
      <c r="P3618" s="15"/>
      <c r="Q3618" s="15"/>
      <c r="R3618" s="15"/>
    </row>
    <row r="3619" spans="2:18" ht="13">
      <c r="B3619" s="33"/>
      <c r="C3619" s="34"/>
      <c r="D3619" s="15"/>
      <c r="E3619" s="15"/>
      <c r="F3619" s="15"/>
      <c r="G3619" s="15"/>
      <c r="H3619" s="15"/>
      <c r="I3619" s="15"/>
      <c r="J3619" s="15"/>
      <c r="K3619" s="15"/>
      <c r="L3619" s="15"/>
      <c r="M3619" s="15"/>
      <c r="N3619" s="15"/>
      <c r="O3619" s="15"/>
      <c r="P3619" s="15"/>
      <c r="Q3619" s="15"/>
      <c r="R3619" s="15"/>
    </row>
    <row r="3620" spans="2:18" ht="13">
      <c r="B3620" s="33"/>
      <c r="C3620" s="34"/>
      <c r="D3620" s="15"/>
      <c r="E3620" s="15"/>
      <c r="F3620" s="15"/>
      <c r="G3620" s="15"/>
      <c r="H3620" s="15"/>
      <c r="I3620" s="15"/>
      <c r="J3620" s="15"/>
      <c r="K3620" s="15"/>
      <c r="L3620" s="15"/>
      <c r="M3620" s="15"/>
      <c r="N3620" s="15"/>
      <c r="O3620" s="15"/>
      <c r="P3620" s="15"/>
      <c r="Q3620" s="15"/>
      <c r="R3620" s="15"/>
    </row>
    <row r="3621" spans="2:18" ht="13">
      <c r="B3621" s="33"/>
      <c r="C3621" s="34"/>
      <c r="D3621" s="15"/>
      <c r="E3621" s="15"/>
      <c r="F3621" s="15"/>
      <c r="G3621" s="15"/>
      <c r="H3621" s="15"/>
      <c r="I3621" s="15"/>
      <c r="J3621" s="15"/>
      <c r="K3621" s="15"/>
      <c r="L3621" s="15"/>
      <c r="M3621" s="15"/>
      <c r="N3621" s="15"/>
      <c r="O3621" s="15"/>
      <c r="P3621" s="15"/>
      <c r="Q3621" s="15"/>
      <c r="R3621" s="15"/>
    </row>
    <row r="3622" spans="2:18" ht="13">
      <c r="B3622" s="33"/>
      <c r="C3622" s="34"/>
      <c r="D3622" s="15"/>
      <c r="E3622" s="15"/>
      <c r="F3622" s="15"/>
      <c r="G3622" s="15"/>
      <c r="H3622" s="15"/>
      <c r="I3622" s="15"/>
      <c r="J3622" s="15"/>
      <c r="K3622" s="15"/>
      <c r="L3622" s="15"/>
      <c r="M3622" s="15"/>
      <c r="N3622" s="15"/>
      <c r="O3622" s="15"/>
      <c r="P3622" s="15"/>
      <c r="Q3622" s="15"/>
      <c r="R3622" s="15"/>
    </row>
    <row r="3623" spans="2:18" ht="13">
      <c r="B3623" s="33"/>
      <c r="C3623" s="34"/>
      <c r="D3623" s="15"/>
      <c r="E3623" s="15"/>
      <c r="F3623" s="15"/>
      <c r="G3623" s="15"/>
      <c r="H3623" s="15"/>
      <c r="I3623" s="15"/>
      <c r="J3623" s="15"/>
      <c r="K3623" s="15"/>
      <c r="L3623" s="15"/>
      <c r="M3623" s="15"/>
      <c r="N3623" s="15"/>
      <c r="O3623" s="15"/>
      <c r="P3623" s="15"/>
      <c r="Q3623" s="15"/>
      <c r="R3623" s="15"/>
    </row>
    <row r="3624" spans="2:18" ht="13">
      <c r="B3624" s="33"/>
      <c r="C3624" s="34"/>
      <c r="D3624" s="15"/>
      <c r="E3624" s="15"/>
      <c r="F3624" s="15"/>
      <c r="G3624" s="15"/>
      <c r="H3624" s="15"/>
      <c r="I3624" s="15"/>
      <c r="J3624" s="15"/>
      <c r="K3624" s="15"/>
      <c r="L3624" s="15"/>
      <c r="M3624" s="15"/>
      <c r="N3624" s="15"/>
      <c r="O3624" s="15"/>
      <c r="P3624" s="15"/>
      <c r="Q3624" s="15"/>
      <c r="R3624" s="15"/>
    </row>
    <row r="3625" spans="2:18" ht="13">
      <c r="B3625" s="33"/>
      <c r="C3625" s="34"/>
      <c r="D3625" s="15"/>
      <c r="E3625" s="15"/>
      <c r="F3625" s="15"/>
      <c r="G3625" s="15"/>
      <c r="H3625" s="15"/>
      <c r="I3625" s="15"/>
      <c r="J3625" s="15"/>
      <c r="K3625" s="15"/>
      <c r="L3625" s="15"/>
      <c r="M3625" s="15"/>
      <c r="N3625" s="15"/>
      <c r="O3625" s="15"/>
      <c r="P3625" s="15"/>
      <c r="Q3625" s="15"/>
      <c r="R3625" s="15"/>
    </row>
    <row r="3626" spans="2:18" ht="13">
      <c r="B3626" s="33"/>
      <c r="C3626" s="34"/>
      <c r="D3626" s="15"/>
      <c r="E3626" s="15"/>
      <c r="F3626" s="15"/>
      <c r="G3626" s="15"/>
      <c r="H3626" s="15"/>
      <c r="I3626" s="15"/>
      <c r="J3626" s="15"/>
      <c r="K3626" s="15"/>
      <c r="L3626" s="15"/>
      <c r="M3626" s="15"/>
      <c r="N3626" s="15"/>
      <c r="O3626" s="15"/>
      <c r="P3626" s="15"/>
      <c r="Q3626" s="15"/>
      <c r="R3626" s="15"/>
    </row>
    <row r="3627" spans="2:18" ht="13">
      <c r="B3627" s="33"/>
      <c r="C3627" s="34"/>
      <c r="D3627" s="15"/>
      <c r="E3627" s="15"/>
      <c r="F3627" s="15"/>
      <c r="G3627" s="15"/>
      <c r="H3627" s="15"/>
      <c r="I3627" s="15"/>
      <c r="J3627" s="15"/>
      <c r="K3627" s="15"/>
      <c r="L3627" s="15"/>
      <c r="M3627" s="15"/>
      <c r="N3627" s="15"/>
      <c r="O3627" s="15"/>
      <c r="P3627" s="15"/>
      <c r="Q3627" s="15"/>
      <c r="R3627" s="15"/>
    </row>
    <row r="3628" spans="2:18" ht="13">
      <c r="B3628" s="33"/>
      <c r="C3628" s="34"/>
      <c r="D3628" s="15"/>
      <c r="E3628" s="15"/>
      <c r="F3628" s="15"/>
      <c r="G3628" s="15"/>
      <c r="H3628" s="15"/>
      <c r="I3628" s="15"/>
      <c r="J3628" s="15"/>
      <c r="K3628" s="15"/>
      <c r="L3628" s="15"/>
      <c r="M3628" s="15"/>
      <c r="N3628" s="15"/>
      <c r="O3628" s="15"/>
      <c r="P3628" s="15"/>
      <c r="Q3628" s="15"/>
      <c r="R3628" s="15"/>
    </row>
    <row r="3629" spans="2:18" ht="13">
      <c r="B3629" s="33"/>
      <c r="C3629" s="34"/>
      <c r="D3629" s="15"/>
      <c r="E3629" s="15"/>
      <c r="F3629" s="15"/>
      <c r="G3629" s="15"/>
      <c r="H3629" s="15"/>
      <c r="I3629" s="15"/>
      <c r="J3629" s="15"/>
      <c r="K3629" s="15"/>
      <c r="L3629" s="15"/>
      <c r="M3629" s="15"/>
      <c r="N3629" s="15"/>
      <c r="O3629" s="15"/>
      <c r="P3629" s="15"/>
      <c r="Q3629" s="15"/>
      <c r="R3629" s="15"/>
    </row>
    <row r="3630" spans="2:18" ht="13">
      <c r="B3630" s="33"/>
      <c r="C3630" s="34"/>
      <c r="D3630" s="15"/>
      <c r="E3630" s="15"/>
      <c r="F3630" s="15"/>
      <c r="G3630" s="15"/>
      <c r="H3630" s="15"/>
      <c r="I3630" s="15"/>
      <c r="J3630" s="15"/>
      <c r="K3630" s="15"/>
      <c r="L3630" s="15"/>
      <c r="M3630" s="15"/>
      <c r="N3630" s="15"/>
      <c r="O3630" s="15"/>
      <c r="P3630" s="15"/>
      <c r="Q3630" s="15"/>
      <c r="R3630" s="15"/>
    </row>
    <row r="3631" spans="2:18" ht="13">
      <c r="B3631" s="33"/>
      <c r="C3631" s="34"/>
      <c r="D3631" s="15"/>
      <c r="E3631" s="15"/>
      <c r="F3631" s="15"/>
      <c r="G3631" s="15"/>
      <c r="H3631" s="15"/>
      <c r="I3631" s="15"/>
      <c r="J3631" s="15"/>
      <c r="K3631" s="15"/>
      <c r="L3631" s="15"/>
      <c r="M3631" s="15"/>
      <c r="N3631" s="15"/>
      <c r="O3631" s="15"/>
      <c r="P3631" s="15"/>
      <c r="Q3631" s="15"/>
      <c r="R3631" s="15"/>
    </row>
    <row r="3632" spans="2:18" ht="13">
      <c r="B3632" s="33"/>
      <c r="C3632" s="34"/>
      <c r="D3632" s="15"/>
      <c r="E3632" s="15"/>
      <c r="F3632" s="15"/>
      <c r="G3632" s="15"/>
      <c r="H3632" s="15"/>
      <c r="I3632" s="15"/>
      <c r="J3632" s="15"/>
      <c r="K3632" s="15"/>
      <c r="L3632" s="15"/>
      <c r="M3632" s="15"/>
      <c r="N3632" s="15"/>
      <c r="O3632" s="15"/>
      <c r="P3632" s="15"/>
      <c r="Q3632" s="15"/>
      <c r="R3632" s="15"/>
    </row>
    <row r="3633" spans="2:18" ht="13">
      <c r="B3633" s="33"/>
      <c r="C3633" s="34"/>
      <c r="D3633" s="15"/>
      <c r="E3633" s="15"/>
      <c r="F3633" s="15"/>
      <c r="G3633" s="15"/>
      <c r="H3633" s="15"/>
      <c r="I3633" s="15"/>
      <c r="J3633" s="15"/>
      <c r="K3633" s="15"/>
      <c r="L3633" s="15"/>
      <c r="M3633" s="15"/>
      <c r="N3633" s="15"/>
      <c r="O3633" s="15"/>
      <c r="P3633" s="15"/>
      <c r="Q3633" s="15"/>
      <c r="R3633" s="15"/>
    </row>
    <row r="3634" spans="2:18" ht="13">
      <c r="B3634" s="33"/>
      <c r="C3634" s="34"/>
      <c r="D3634" s="15"/>
      <c r="E3634" s="15"/>
      <c r="F3634" s="15"/>
      <c r="G3634" s="15"/>
      <c r="H3634" s="15"/>
      <c r="I3634" s="15"/>
      <c r="J3634" s="15"/>
      <c r="K3634" s="15"/>
      <c r="L3634" s="15"/>
      <c r="M3634" s="15"/>
      <c r="N3634" s="15"/>
      <c r="O3634" s="15"/>
      <c r="P3634" s="15"/>
      <c r="Q3634" s="15"/>
      <c r="R3634" s="15"/>
    </row>
    <row r="3635" spans="2:18" ht="13">
      <c r="B3635" s="33"/>
      <c r="C3635" s="34"/>
      <c r="D3635" s="15"/>
      <c r="E3635" s="15"/>
      <c r="F3635" s="15"/>
      <c r="G3635" s="15"/>
      <c r="H3635" s="15"/>
      <c r="I3635" s="15"/>
      <c r="J3635" s="15"/>
      <c r="K3635" s="15"/>
      <c r="L3635" s="15"/>
      <c r="M3635" s="15"/>
      <c r="N3635" s="15"/>
      <c r="O3635" s="15"/>
      <c r="P3635" s="15"/>
      <c r="Q3635" s="15"/>
      <c r="R3635" s="15"/>
    </row>
    <row r="3636" spans="2:18" ht="13">
      <c r="B3636" s="33"/>
      <c r="C3636" s="34"/>
      <c r="D3636" s="15"/>
      <c r="E3636" s="15"/>
      <c r="F3636" s="15"/>
      <c r="G3636" s="15"/>
      <c r="H3636" s="15"/>
      <c r="I3636" s="15"/>
      <c r="J3636" s="15"/>
      <c r="K3636" s="15"/>
      <c r="L3636" s="15"/>
      <c r="M3636" s="15"/>
      <c r="N3636" s="15"/>
      <c r="O3636" s="15"/>
      <c r="P3636" s="15"/>
      <c r="Q3636" s="15"/>
      <c r="R3636" s="15"/>
    </row>
    <row r="3637" spans="2:18" ht="13">
      <c r="B3637" s="33"/>
      <c r="C3637" s="34"/>
      <c r="D3637" s="15"/>
      <c r="E3637" s="15"/>
      <c r="F3637" s="15"/>
      <c r="G3637" s="15"/>
      <c r="H3637" s="15"/>
      <c r="I3637" s="15"/>
      <c r="J3637" s="15"/>
      <c r="K3637" s="15"/>
      <c r="L3637" s="15"/>
      <c r="M3637" s="15"/>
      <c r="N3637" s="15"/>
      <c r="O3637" s="15"/>
      <c r="P3637" s="15"/>
      <c r="Q3637" s="15"/>
      <c r="R3637" s="15"/>
    </row>
    <row r="3638" spans="2:18" ht="13">
      <c r="B3638" s="33"/>
      <c r="C3638" s="34"/>
      <c r="D3638" s="15"/>
      <c r="E3638" s="15"/>
      <c r="F3638" s="15"/>
      <c r="G3638" s="15"/>
      <c r="H3638" s="15"/>
      <c r="I3638" s="15"/>
      <c r="J3638" s="15"/>
      <c r="K3638" s="15"/>
      <c r="L3638" s="15"/>
      <c r="M3638" s="15"/>
      <c r="N3638" s="15"/>
      <c r="O3638" s="15"/>
      <c r="P3638" s="15"/>
      <c r="Q3638" s="15"/>
      <c r="R3638" s="15"/>
    </row>
    <row r="3639" spans="2:18" ht="13">
      <c r="B3639" s="33"/>
      <c r="C3639" s="34"/>
      <c r="D3639" s="15"/>
      <c r="E3639" s="15"/>
      <c r="F3639" s="15"/>
      <c r="G3639" s="15"/>
      <c r="H3639" s="15"/>
      <c r="I3639" s="15"/>
      <c r="J3639" s="15"/>
      <c r="K3639" s="15"/>
      <c r="L3639" s="15"/>
      <c r="M3639" s="15"/>
      <c r="N3639" s="15"/>
      <c r="O3639" s="15"/>
      <c r="P3639" s="15"/>
      <c r="Q3639" s="15"/>
      <c r="R3639" s="15"/>
    </row>
    <row r="3640" spans="2:18" ht="13">
      <c r="B3640" s="33"/>
      <c r="C3640" s="34"/>
      <c r="D3640" s="15"/>
      <c r="E3640" s="15"/>
      <c r="F3640" s="15"/>
      <c r="G3640" s="15"/>
      <c r="H3640" s="15"/>
      <c r="I3640" s="15"/>
      <c r="J3640" s="15"/>
      <c r="K3640" s="15"/>
      <c r="L3640" s="15"/>
      <c r="M3640" s="15"/>
      <c r="N3640" s="15"/>
      <c r="O3640" s="15"/>
      <c r="P3640" s="15"/>
      <c r="Q3640" s="15"/>
      <c r="R3640" s="15"/>
    </row>
    <row r="3641" spans="2:18" ht="13">
      <c r="B3641" s="33"/>
      <c r="C3641" s="34"/>
      <c r="D3641" s="15"/>
      <c r="E3641" s="15"/>
      <c r="F3641" s="15"/>
      <c r="G3641" s="15"/>
      <c r="H3641" s="15"/>
      <c r="I3641" s="15"/>
      <c r="J3641" s="15"/>
      <c r="K3641" s="15"/>
      <c r="L3641" s="15"/>
      <c r="M3641" s="15"/>
      <c r="N3641" s="15"/>
      <c r="O3641" s="15"/>
      <c r="P3641" s="15"/>
      <c r="Q3641" s="15"/>
      <c r="R3641" s="15"/>
    </row>
    <row r="3642" spans="2:18" ht="13">
      <c r="B3642" s="33"/>
      <c r="C3642" s="34"/>
      <c r="D3642" s="15"/>
      <c r="E3642" s="15"/>
      <c r="F3642" s="15"/>
      <c r="G3642" s="15"/>
      <c r="H3642" s="15"/>
      <c r="I3642" s="15"/>
      <c r="J3642" s="15"/>
      <c r="K3642" s="15"/>
      <c r="L3642" s="15"/>
      <c r="M3642" s="15"/>
      <c r="N3642" s="15"/>
      <c r="O3642" s="15"/>
      <c r="P3642" s="15"/>
      <c r="Q3642" s="15"/>
      <c r="R3642" s="15"/>
    </row>
    <row r="3643" spans="2:18" ht="13">
      <c r="B3643" s="33"/>
      <c r="C3643" s="34"/>
      <c r="D3643" s="15"/>
      <c r="E3643" s="15"/>
      <c r="F3643" s="15"/>
      <c r="G3643" s="15"/>
      <c r="H3643" s="15"/>
      <c r="I3643" s="15"/>
      <c r="J3643" s="15"/>
      <c r="K3643" s="15"/>
      <c r="L3643" s="15"/>
      <c r="M3643" s="15"/>
      <c r="N3643" s="15"/>
      <c r="O3643" s="15"/>
      <c r="P3643" s="15"/>
      <c r="Q3643" s="15"/>
      <c r="R3643" s="15"/>
    </row>
    <row r="3644" spans="2:18" ht="13">
      <c r="B3644" s="33"/>
      <c r="C3644" s="34"/>
      <c r="D3644" s="15"/>
      <c r="E3644" s="15"/>
      <c r="F3644" s="15"/>
      <c r="G3644" s="15"/>
      <c r="H3644" s="15"/>
      <c r="I3644" s="15"/>
      <c r="J3644" s="15"/>
      <c r="K3644" s="15"/>
      <c r="L3644" s="15"/>
      <c r="M3644" s="15"/>
      <c r="N3644" s="15"/>
      <c r="O3644" s="15"/>
      <c r="P3644" s="15"/>
      <c r="Q3644" s="15"/>
      <c r="R3644" s="15"/>
    </row>
    <row r="3645" spans="2:18" ht="13">
      <c r="B3645" s="33"/>
      <c r="C3645" s="34"/>
      <c r="D3645" s="15"/>
      <c r="E3645" s="15"/>
      <c r="F3645" s="15"/>
      <c r="G3645" s="15"/>
      <c r="H3645" s="15"/>
      <c r="I3645" s="15"/>
      <c r="J3645" s="15"/>
      <c r="K3645" s="15"/>
      <c r="L3645" s="15"/>
      <c r="M3645" s="15"/>
      <c r="N3645" s="15"/>
      <c r="O3645" s="15"/>
      <c r="P3645" s="15"/>
      <c r="Q3645" s="15"/>
      <c r="R3645" s="15"/>
    </row>
    <row r="3646" spans="2:18" ht="13">
      <c r="B3646" s="33"/>
      <c r="C3646" s="34"/>
      <c r="D3646" s="15"/>
      <c r="E3646" s="15"/>
      <c r="F3646" s="15"/>
      <c r="G3646" s="15"/>
      <c r="H3646" s="15"/>
      <c r="I3646" s="15"/>
      <c r="J3646" s="15"/>
      <c r="K3646" s="15"/>
      <c r="L3646" s="15"/>
      <c r="M3646" s="15"/>
      <c r="N3646" s="15"/>
      <c r="O3646" s="15"/>
      <c r="P3646" s="15"/>
      <c r="Q3646" s="15"/>
      <c r="R3646" s="15"/>
    </row>
    <row r="3647" spans="2:18" ht="13">
      <c r="B3647" s="33"/>
      <c r="C3647" s="34"/>
      <c r="D3647" s="15"/>
      <c r="E3647" s="15"/>
      <c r="F3647" s="15"/>
      <c r="G3647" s="15"/>
      <c r="H3647" s="15"/>
      <c r="I3647" s="15"/>
      <c r="J3647" s="15"/>
      <c r="K3647" s="15"/>
      <c r="L3647" s="15"/>
      <c r="M3647" s="15"/>
      <c r="N3647" s="15"/>
      <c r="O3647" s="15"/>
      <c r="P3647" s="15"/>
      <c r="Q3647" s="15"/>
      <c r="R3647" s="15"/>
    </row>
    <row r="3648" spans="2:18" ht="13">
      <c r="B3648" s="33"/>
      <c r="C3648" s="34"/>
      <c r="D3648" s="15"/>
      <c r="E3648" s="15"/>
      <c r="F3648" s="15"/>
      <c r="G3648" s="15"/>
      <c r="H3648" s="15"/>
      <c r="I3648" s="15"/>
      <c r="J3648" s="15"/>
      <c r="K3648" s="15"/>
      <c r="L3648" s="15"/>
      <c r="M3648" s="15"/>
      <c r="N3648" s="15"/>
      <c r="O3648" s="15"/>
      <c r="P3648" s="15"/>
      <c r="Q3648" s="15"/>
      <c r="R3648" s="15"/>
    </row>
    <row r="3649" spans="2:18" ht="13">
      <c r="B3649" s="33"/>
      <c r="C3649" s="34"/>
      <c r="D3649" s="15"/>
      <c r="E3649" s="15"/>
      <c r="F3649" s="15"/>
      <c r="G3649" s="15"/>
      <c r="H3649" s="15"/>
      <c r="I3649" s="15"/>
      <c r="J3649" s="15"/>
      <c r="K3649" s="15"/>
      <c r="L3649" s="15"/>
      <c r="M3649" s="15"/>
      <c r="N3649" s="15"/>
      <c r="O3649" s="15"/>
      <c r="P3649" s="15"/>
      <c r="Q3649" s="15"/>
      <c r="R3649" s="15"/>
    </row>
    <row r="3650" spans="2:18" ht="13">
      <c r="B3650" s="33"/>
      <c r="C3650" s="34"/>
      <c r="D3650" s="15"/>
      <c r="E3650" s="15"/>
      <c r="F3650" s="15"/>
      <c r="G3650" s="15"/>
      <c r="H3650" s="15"/>
      <c r="I3650" s="15"/>
      <c r="J3650" s="15"/>
      <c r="K3650" s="15"/>
      <c r="L3650" s="15"/>
      <c r="M3650" s="15"/>
      <c r="N3650" s="15"/>
      <c r="O3650" s="15"/>
      <c r="P3650" s="15"/>
      <c r="Q3650" s="15"/>
      <c r="R3650" s="15"/>
    </row>
    <row r="3651" spans="2:18" ht="13">
      <c r="B3651" s="33"/>
      <c r="C3651" s="34"/>
      <c r="D3651" s="15"/>
      <c r="E3651" s="15"/>
      <c r="F3651" s="15"/>
      <c r="G3651" s="15"/>
      <c r="H3651" s="15"/>
      <c r="I3651" s="15"/>
      <c r="J3651" s="15"/>
      <c r="K3651" s="15"/>
      <c r="L3651" s="15"/>
      <c r="M3651" s="15"/>
      <c r="N3651" s="15"/>
      <c r="O3651" s="15"/>
      <c r="P3651" s="15"/>
      <c r="Q3651" s="15"/>
      <c r="R3651" s="15"/>
    </row>
    <row r="3652" spans="2:18" ht="13">
      <c r="B3652" s="33"/>
      <c r="C3652" s="34"/>
      <c r="D3652" s="15"/>
      <c r="E3652" s="15"/>
      <c r="F3652" s="15"/>
      <c r="G3652" s="15"/>
      <c r="H3652" s="15"/>
      <c r="I3652" s="15"/>
      <c r="J3652" s="15"/>
      <c r="K3652" s="15"/>
      <c r="L3652" s="15"/>
      <c r="M3652" s="15"/>
      <c r="N3652" s="15"/>
      <c r="O3652" s="15"/>
      <c r="P3652" s="15"/>
      <c r="Q3652" s="15"/>
      <c r="R3652" s="15"/>
    </row>
    <row r="3653" spans="2:18" ht="13">
      <c r="B3653" s="33"/>
      <c r="C3653" s="34"/>
      <c r="D3653" s="15"/>
      <c r="E3653" s="15"/>
      <c r="F3653" s="15"/>
      <c r="G3653" s="15"/>
      <c r="H3653" s="15"/>
      <c r="I3653" s="15"/>
      <c r="J3653" s="15"/>
      <c r="K3653" s="15"/>
      <c r="L3653" s="15"/>
      <c r="M3653" s="15"/>
      <c r="N3653" s="15"/>
      <c r="O3653" s="15"/>
      <c r="P3653" s="15"/>
      <c r="Q3653" s="15"/>
      <c r="R3653" s="15"/>
    </row>
    <row r="3654" spans="2:18" ht="13">
      <c r="B3654" s="33"/>
      <c r="C3654" s="34"/>
      <c r="D3654" s="15"/>
      <c r="E3654" s="15"/>
      <c r="F3654" s="15"/>
      <c r="G3654" s="15"/>
      <c r="H3654" s="15"/>
      <c r="I3654" s="15"/>
      <c r="J3654" s="15"/>
      <c r="K3654" s="15"/>
      <c r="L3654" s="15"/>
      <c r="M3654" s="15"/>
      <c r="N3654" s="15"/>
      <c r="O3654" s="15"/>
      <c r="P3654" s="15"/>
      <c r="Q3654" s="15"/>
      <c r="R3654" s="15"/>
    </row>
    <row r="3655" spans="2:18" ht="13">
      <c r="B3655" s="33"/>
      <c r="C3655" s="34"/>
      <c r="D3655" s="15"/>
      <c r="E3655" s="15"/>
      <c r="F3655" s="15"/>
      <c r="G3655" s="15"/>
      <c r="H3655" s="15"/>
      <c r="I3655" s="15"/>
      <c r="J3655" s="15"/>
      <c r="K3655" s="15"/>
      <c r="L3655" s="15"/>
      <c r="M3655" s="15"/>
      <c r="N3655" s="15"/>
      <c r="O3655" s="15"/>
      <c r="P3655" s="15"/>
      <c r="Q3655" s="15"/>
      <c r="R3655" s="15"/>
    </row>
    <row r="3656" spans="2:18" ht="13">
      <c r="B3656" s="33"/>
      <c r="C3656" s="34"/>
      <c r="D3656" s="15"/>
      <c r="E3656" s="15"/>
      <c r="F3656" s="15"/>
      <c r="G3656" s="15"/>
      <c r="H3656" s="15"/>
      <c r="I3656" s="15"/>
      <c r="J3656" s="15"/>
      <c r="K3656" s="15"/>
      <c r="L3656" s="15"/>
      <c r="M3656" s="15"/>
      <c r="N3656" s="15"/>
      <c r="O3656" s="15"/>
      <c r="P3656" s="15"/>
      <c r="Q3656" s="15"/>
      <c r="R3656" s="15"/>
    </row>
    <row r="3657" spans="2:18" ht="13">
      <c r="B3657" s="33"/>
      <c r="C3657" s="34"/>
      <c r="D3657" s="15"/>
      <c r="E3657" s="15"/>
      <c r="F3657" s="15"/>
      <c r="G3657" s="15"/>
      <c r="H3657" s="15"/>
      <c r="I3657" s="15"/>
      <c r="J3657" s="15"/>
      <c r="K3657" s="15"/>
      <c r="L3657" s="15"/>
      <c r="M3657" s="15"/>
      <c r="N3657" s="15"/>
      <c r="O3657" s="15"/>
      <c r="P3657" s="15"/>
      <c r="Q3657" s="15"/>
      <c r="R3657" s="15"/>
    </row>
    <row r="3658" spans="2:18" ht="13">
      <c r="B3658" s="33"/>
      <c r="C3658" s="34"/>
      <c r="D3658" s="15"/>
      <c r="E3658" s="15"/>
      <c r="F3658" s="15"/>
      <c r="G3658" s="15"/>
      <c r="H3658" s="15"/>
      <c r="I3658" s="15"/>
      <c r="J3658" s="15"/>
      <c r="K3658" s="15"/>
      <c r="L3658" s="15"/>
      <c r="M3658" s="15"/>
      <c r="N3658" s="15"/>
      <c r="O3658" s="15"/>
      <c r="P3658" s="15"/>
      <c r="Q3658" s="15"/>
      <c r="R3658" s="15"/>
    </row>
    <row r="3659" spans="2:18" ht="13">
      <c r="B3659" s="33"/>
      <c r="C3659" s="34"/>
      <c r="D3659" s="15"/>
      <c r="E3659" s="15"/>
      <c r="F3659" s="15"/>
      <c r="G3659" s="15"/>
      <c r="H3659" s="15"/>
      <c r="I3659" s="15"/>
      <c r="J3659" s="15"/>
      <c r="K3659" s="15"/>
      <c r="L3659" s="15"/>
      <c r="M3659" s="15"/>
      <c r="N3659" s="15"/>
      <c r="O3659" s="15"/>
      <c r="P3659" s="15"/>
      <c r="Q3659" s="15"/>
      <c r="R3659" s="15"/>
    </row>
    <row r="3660" spans="2:18" ht="13">
      <c r="B3660" s="33"/>
      <c r="C3660" s="34"/>
      <c r="D3660" s="15"/>
      <c r="E3660" s="15"/>
      <c r="F3660" s="15"/>
      <c r="G3660" s="15"/>
      <c r="H3660" s="15"/>
      <c r="I3660" s="15"/>
      <c r="J3660" s="15"/>
      <c r="K3660" s="15"/>
      <c r="L3660" s="15"/>
      <c r="M3660" s="15"/>
      <c r="N3660" s="15"/>
      <c r="O3660" s="15"/>
      <c r="P3660" s="15"/>
      <c r="Q3660" s="15"/>
      <c r="R3660" s="15"/>
    </row>
    <row r="3661" spans="2:18" ht="13">
      <c r="B3661" s="33"/>
      <c r="C3661" s="34"/>
      <c r="D3661" s="15"/>
      <c r="E3661" s="15"/>
      <c r="F3661" s="15"/>
      <c r="G3661" s="15"/>
      <c r="H3661" s="15"/>
      <c r="I3661" s="15"/>
      <c r="J3661" s="15"/>
      <c r="K3661" s="15"/>
      <c r="L3661" s="15"/>
      <c r="M3661" s="15"/>
      <c r="N3661" s="15"/>
      <c r="O3661" s="15"/>
      <c r="P3661" s="15"/>
      <c r="Q3661" s="15"/>
      <c r="R3661" s="15"/>
    </row>
    <row r="3662" spans="2:18" ht="13">
      <c r="B3662" s="33"/>
      <c r="C3662" s="34"/>
      <c r="D3662" s="15"/>
      <c r="E3662" s="15"/>
      <c r="F3662" s="15"/>
      <c r="G3662" s="15"/>
      <c r="H3662" s="15"/>
      <c r="I3662" s="15"/>
      <c r="J3662" s="15"/>
      <c r="K3662" s="15"/>
      <c r="L3662" s="15"/>
      <c r="M3662" s="15"/>
      <c r="N3662" s="15"/>
      <c r="O3662" s="15"/>
      <c r="P3662" s="15"/>
      <c r="Q3662" s="15"/>
      <c r="R3662" s="15"/>
    </row>
    <row r="3663" spans="2:18" ht="13">
      <c r="B3663" s="33"/>
      <c r="C3663" s="34"/>
      <c r="D3663" s="15"/>
      <c r="E3663" s="15"/>
      <c r="F3663" s="15"/>
      <c r="G3663" s="15"/>
      <c r="H3663" s="15"/>
      <c r="I3663" s="15"/>
      <c r="J3663" s="15"/>
      <c r="K3663" s="15"/>
      <c r="L3663" s="15"/>
      <c r="M3663" s="15"/>
      <c r="N3663" s="15"/>
      <c r="O3663" s="15"/>
      <c r="P3663" s="15"/>
      <c r="Q3663" s="15"/>
      <c r="R3663" s="15"/>
    </row>
    <row r="3664" spans="2:18" ht="13">
      <c r="B3664" s="33"/>
      <c r="C3664" s="34"/>
      <c r="D3664" s="15"/>
      <c r="E3664" s="15"/>
      <c r="F3664" s="15"/>
      <c r="G3664" s="15"/>
      <c r="H3664" s="15"/>
      <c r="I3664" s="15"/>
      <c r="J3664" s="15"/>
      <c r="K3664" s="15"/>
      <c r="L3664" s="15"/>
      <c r="M3664" s="15"/>
      <c r="N3664" s="15"/>
      <c r="O3664" s="15"/>
      <c r="P3664" s="15"/>
      <c r="Q3664" s="15"/>
      <c r="R3664" s="15"/>
    </row>
    <row r="3665" spans="2:18" ht="13">
      <c r="B3665" s="33"/>
      <c r="C3665" s="34"/>
      <c r="D3665" s="15"/>
      <c r="E3665" s="15"/>
      <c r="F3665" s="15"/>
      <c r="G3665" s="15"/>
      <c r="H3665" s="15"/>
      <c r="I3665" s="15"/>
      <c r="J3665" s="15"/>
      <c r="K3665" s="15"/>
      <c r="L3665" s="15"/>
      <c r="M3665" s="15"/>
      <c r="N3665" s="15"/>
      <c r="O3665" s="15"/>
      <c r="P3665" s="15"/>
      <c r="Q3665" s="15"/>
      <c r="R3665" s="15"/>
    </row>
    <row r="3666" spans="2:18" ht="13">
      <c r="B3666" s="33"/>
      <c r="C3666" s="34"/>
      <c r="D3666" s="15"/>
      <c r="E3666" s="15"/>
      <c r="F3666" s="15"/>
      <c r="G3666" s="15"/>
      <c r="H3666" s="15"/>
      <c r="I3666" s="15"/>
      <c r="J3666" s="15"/>
      <c r="K3666" s="15"/>
      <c r="L3666" s="15"/>
      <c r="M3666" s="15"/>
      <c r="N3666" s="15"/>
      <c r="O3666" s="15"/>
      <c r="P3666" s="15"/>
      <c r="Q3666" s="15"/>
      <c r="R3666" s="15"/>
    </row>
    <row r="3667" spans="2:18" ht="13">
      <c r="B3667" s="33"/>
      <c r="C3667" s="34"/>
      <c r="D3667" s="15"/>
      <c r="E3667" s="15"/>
      <c r="F3667" s="15"/>
      <c r="G3667" s="15"/>
      <c r="H3667" s="15"/>
      <c r="I3667" s="15"/>
      <c r="J3667" s="15"/>
      <c r="K3667" s="15"/>
      <c r="L3667" s="15"/>
      <c r="M3667" s="15"/>
      <c r="N3667" s="15"/>
      <c r="O3667" s="15"/>
      <c r="P3667" s="15"/>
      <c r="Q3667" s="15"/>
      <c r="R3667" s="15"/>
    </row>
    <row r="3668" spans="2:18" ht="13">
      <c r="B3668" s="33"/>
      <c r="C3668" s="34"/>
      <c r="D3668" s="15"/>
      <c r="E3668" s="15"/>
      <c r="F3668" s="15"/>
      <c r="G3668" s="15"/>
      <c r="H3668" s="15"/>
      <c r="I3668" s="15"/>
      <c r="J3668" s="15"/>
      <c r="K3668" s="15"/>
      <c r="L3668" s="15"/>
      <c r="M3668" s="15"/>
      <c r="N3668" s="15"/>
      <c r="O3668" s="15"/>
      <c r="P3668" s="15"/>
      <c r="Q3668" s="15"/>
      <c r="R3668" s="15"/>
    </row>
    <row r="3669" spans="2:18" ht="13">
      <c r="B3669" s="33"/>
      <c r="C3669" s="34"/>
      <c r="D3669" s="15"/>
      <c r="E3669" s="15"/>
      <c r="F3669" s="15"/>
      <c r="G3669" s="15"/>
      <c r="H3669" s="15"/>
      <c r="I3669" s="15"/>
      <c r="J3669" s="15"/>
      <c r="K3669" s="15"/>
      <c r="L3669" s="15"/>
      <c r="M3669" s="15"/>
      <c r="N3669" s="15"/>
      <c r="O3669" s="15"/>
      <c r="P3669" s="15"/>
      <c r="Q3669" s="15"/>
      <c r="R3669" s="15"/>
    </row>
    <row r="3670" spans="2:18" ht="13">
      <c r="B3670" s="33"/>
      <c r="C3670" s="34"/>
      <c r="D3670" s="15"/>
      <c r="E3670" s="15"/>
      <c r="F3670" s="15"/>
      <c r="G3670" s="15"/>
      <c r="H3670" s="15"/>
      <c r="I3670" s="15"/>
      <c r="J3670" s="15"/>
      <c r="K3670" s="15"/>
      <c r="L3670" s="15"/>
      <c r="M3670" s="15"/>
      <c r="N3670" s="15"/>
      <c r="O3670" s="15"/>
      <c r="P3670" s="15"/>
      <c r="Q3670" s="15"/>
      <c r="R3670" s="15"/>
    </row>
    <row r="3671" spans="2:18" ht="13">
      <c r="B3671" s="33"/>
      <c r="C3671" s="34"/>
      <c r="D3671" s="15"/>
      <c r="E3671" s="15"/>
      <c r="F3671" s="15"/>
      <c r="G3671" s="15"/>
      <c r="H3671" s="15"/>
      <c r="I3671" s="15"/>
      <c r="J3671" s="15"/>
      <c r="K3671" s="15"/>
      <c r="L3671" s="15"/>
      <c r="M3671" s="15"/>
      <c r="N3671" s="15"/>
      <c r="O3671" s="15"/>
      <c r="P3671" s="15"/>
      <c r="Q3671" s="15"/>
      <c r="R3671" s="15"/>
    </row>
    <row r="3672" spans="2:18" ht="13">
      <c r="B3672" s="33"/>
      <c r="C3672" s="34"/>
      <c r="D3672" s="15"/>
      <c r="E3672" s="15"/>
      <c r="F3672" s="15"/>
      <c r="G3672" s="15"/>
      <c r="H3672" s="15"/>
      <c r="I3672" s="15"/>
      <c r="J3672" s="15"/>
      <c r="K3672" s="15"/>
      <c r="L3672" s="15"/>
      <c r="M3672" s="15"/>
      <c r="N3672" s="15"/>
      <c r="O3672" s="15"/>
      <c r="P3672" s="15"/>
      <c r="Q3672" s="15"/>
      <c r="R3672" s="15"/>
    </row>
    <row r="3673" spans="2:18" ht="13">
      <c r="B3673" s="33"/>
      <c r="C3673" s="34"/>
      <c r="D3673" s="15"/>
      <c r="E3673" s="15"/>
      <c r="F3673" s="15"/>
      <c r="G3673" s="15"/>
      <c r="H3673" s="15"/>
      <c r="I3673" s="15"/>
      <c r="J3673" s="15"/>
      <c r="K3673" s="15"/>
      <c r="L3673" s="15"/>
      <c r="M3673" s="15"/>
      <c r="N3673" s="15"/>
      <c r="O3673" s="15"/>
      <c r="P3673" s="15"/>
      <c r="Q3673" s="15"/>
      <c r="R3673" s="15"/>
    </row>
    <row r="3674" spans="2:18" ht="13">
      <c r="B3674" s="33"/>
      <c r="C3674" s="34"/>
      <c r="D3674" s="15"/>
      <c r="E3674" s="15"/>
      <c r="F3674" s="15"/>
      <c r="G3674" s="15"/>
      <c r="H3674" s="15"/>
      <c r="I3674" s="15"/>
      <c r="J3674" s="15"/>
      <c r="K3674" s="15"/>
      <c r="L3674" s="15"/>
      <c r="M3674" s="15"/>
      <c r="N3674" s="15"/>
      <c r="O3674" s="15"/>
      <c r="P3674" s="15"/>
      <c r="Q3674" s="15"/>
      <c r="R3674" s="15"/>
    </row>
    <row r="3675" spans="2:18" ht="13">
      <c r="B3675" s="33"/>
      <c r="C3675" s="34"/>
      <c r="D3675" s="15"/>
      <c r="E3675" s="15"/>
      <c r="F3675" s="15"/>
      <c r="G3675" s="15"/>
      <c r="H3675" s="15"/>
      <c r="I3675" s="15"/>
      <c r="J3675" s="15"/>
      <c r="K3675" s="15"/>
      <c r="L3675" s="15"/>
      <c r="M3675" s="15"/>
      <c r="N3675" s="15"/>
      <c r="O3675" s="15"/>
      <c r="P3675" s="15"/>
      <c r="Q3675" s="15"/>
      <c r="R3675" s="15"/>
    </row>
    <row r="3676" spans="2:18" ht="13">
      <c r="B3676" s="33"/>
      <c r="C3676" s="34"/>
      <c r="D3676" s="15"/>
      <c r="E3676" s="15"/>
      <c r="F3676" s="15"/>
      <c r="G3676" s="15"/>
      <c r="H3676" s="15"/>
      <c r="I3676" s="15"/>
      <c r="J3676" s="15"/>
      <c r="K3676" s="15"/>
      <c r="L3676" s="15"/>
      <c r="M3676" s="15"/>
      <c r="N3676" s="15"/>
      <c r="O3676" s="15"/>
      <c r="P3676" s="15"/>
      <c r="Q3676" s="15"/>
      <c r="R3676" s="15"/>
    </row>
    <row r="3677" spans="2:18" ht="13">
      <c r="B3677" s="33"/>
      <c r="C3677" s="34"/>
      <c r="D3677" s="15"/>
      <c r="E3677" s="15"/>
      <c r="F3677" s="15"/>
      <c r="G3677" s="15"/>
      <c r="H3677" s="15"/>
      <c r="I3677" s="15"/>
      <c r="J3677" s="15"/>
      <c r="K3677" s="15"/>
      <c r="L3677" s="15"/>
      <c r="M3677" s="15"/>
      <c r="N3677" s="15"/>
      <c r="O3677" s="15"/>
      <c r="P3677" s="15"/>
      <c r="Q3677" s="15"/>
      <c r="R3677" s="15"/>
    </row>
    <row r="3678" spans="2:18" ht="13">
      <c r="B3678" s="33"/>
      <c r="C3678" s="34"/>
      <c r="D3678" s="15"/>
      <c r="E3678" s="15"/>
      <c r="F3678" s="15"/>
      <c r="G3678" s="15"/>
      <c r="H3678" s="15"/>
      <c r="I3678" s="15"/>
      <c r="J3678" s="15"/>
      <c r="K3678" s="15"/>
      <c r="L3678" s="15"/>
      <c r="M3678" s="15"/>
      <c r="N3678" s="15"/>
      <c r="O3678" s="15"/>
      <c r="P3678" s="15"/>
      <c r="Q3678" s="15"/>
      <c r="R3678" s="15"/>
    </row>
    <row r="3679" spans="2:18" ht="13">
      <c r="B3679" s="33"/>
      <c r="C3679" s="34"/>
      <c r="D3679" s="15"/>
      <c r="E3679" s="15"/>
      <c r="F3679" s="15"/>
      <c r="G3679" s="15"/>
      <c r="H3679" s="15"/>
      <c r="I3679" s="15"/>
      <c r="J3679" s="15"/>
      <c r="K3679" s="15"/>
      <c r="L3679" s="15"/>
      <c r="M3679" s="15"/>
      <c r="N3679" s="15"/>
      <c r="O3679" s="15"/>
      <c r="P3679" s="15"/>
      <c r="Q3679" s="15"/>
      <c r="R3679" s="15"/>
    </row>
    <row r="3680" spans="2:18" ht="13">
      <c r="B3680" s="33"/>
      <c r="C3680" s="34"/>
      <c r="D3680" s="15"/>
      <c r="E3680" s="15"/>
      <c r="F3680" s="15"/>
      <c r="G3680" s="15"/>
      <c r="H3680" s="15"/>
      <c r="I3680" s="15"/>
      <c r="J3680" s="15"/>
      <c r="K3680" s="15"/>
      <c r="L3680" s="15"/>
      <c r="M3680" s="15"/>
      <c r="N3680" s="15"/>
      <c r="O3680" s="15"/>
      <c r="P3680" s="15"/>
      <c r="Q3680" s="15"/>
      <c r="R3680" s="15"/>
    </row>
    <row r="3681" spans="2:18" ht="13">
      <c r="B3681" s="33"/>
      <c r="C3681" s="34"/>
      <c r="D3681" s="15"/>
      <c r="E3681" s="15"/>
      <c r="F3681" s="15"/>
      <c r="G3681" s="15"/>
      <c r="H3681" s="15"/>
      <c r="I3681" s="15"/>
      <c r="J3681" s="15"/>
      <c r="K3681" s="15"/>
      <c r="L3681" s="15"/>
      <c r="M3681" s="15"/>
      <c r="N3681" s="15"/>
      <c r="O3681" s="15"/>
      <c r="P3681" s="15"/>
      <c r="Q3681" s="15"/>
      <c r="R3681" s="15"/>
    </row>
    <row r="3682" spans="2:18" ht="13">
      <c r="B3682" s="33"/>
      <c r="C3682" s="34"/>
      <c r="D3682" s="15"/>
      <c r="E3682" s="15"/>
      <c r="F3682" s="15"/>
      <c r="G3682" s="15"/>
      <c r="H3682" s="15"/>
      <c r="I3682" s="15"/>
      <c r="J3682" s="15"/>
      <c r="K3682" s="15"/>
      <c r="L3682" s="15"/>
      <c r="M3682" s="15"/>
      <c r="N3682" s="15"/>
      <c r="O3682" s="15"/>
      <c r="P3682" s="15"/>
      <c r="Q3682" s="15"/>
      <c r="R3682" s="15"/>
    </row>
    <row r="3683" spans="2:18" ht="13">
      <c r="B3683" s="33"/>
      <c r="C3683" s="34"/>
      <c r="D3683" s="15"/>
      <c r="E3683" s="15"/>
      <c r="F3683" s="15"/>
      <c r="G3683" s="15"/>
      <c r="H3683" s="15"/>
      <c r="I3683" s="15"/>
      <c r="J3683" s="15"/>
      <c r="K3683" s="15"/>
      <c r="L3683" s="15"/>
      <c r="M3683" s="15"/>
      <c r="N3683" s="15"/>
      <c r="O3683" s="15"/>
      <c r="P3683" s="15"/>
      <c r="Q3683" s="15"/>
      <c r="R3683" s="15"/>
    </row>
    <row r="3684" spans="2:18" ht="13">
      <c r="B3684" s="33"/>
      <c r="C3684" s="34"/>
      <c r="D3684" s="15"/>
      <c r="E3684" s="15"/>
      <c r="F3684" s="15"/>
      <c r="G3684" s="15"/>
      <c r="H3684" s="15"/>
      <c r="I3684" s="15"/>
      <c r="J3684" s="15"/>
      <c r="K3684" s="15"/>
      <c r="L3684" s="15"/>
      <c r="M3684" s="15"/>
      <c r="N3684" s="15"/>
      <c r="O3684" s="15"/>
      <c r="P3684" s="15"/>
      <c r="Q3684" s="15"/>
      <c r="R3684" s="15"/>
    </row>
    <row r="3685" spans="2:18" ht="13">
      <c r="B3685" s="33"/>
      <c r="C3685" s="34"/>
      <c r="D3685" s="15"/>
      <c r="E3685" s="15"/>
      <c r="F3685" s="15"/>
      <c r="G3685" s="15"/>
      <c r="H3685" s="15"/>
      <c r="I3685" s="15"/>
      <c r="J3685" s="15"/>
      <c r="K3685" s="15"/>
      <c r="L3685" s="15"/>
      <c r="M3685" s="15"/>
      <c r="N3685" s="15"/>
      <c r="O3685" s="15"/>
      <c r="P3685" s="15"/>
      <c r="Q3685" s="15"/>
      <c r="R3685" s="15"/>
    </row>
    <row r="3686" spans="2:18" ht="13">
      <c r="B3686" s="33"/>
      <c r="C3686" s="34"/>
      <c r="D3686" s="15"/>
      <c r="E3686" s="15"/>
      <c r="F3686" s="15"/>
      <c r="G3686" s="15"/>
      <c r="H3686" s="15"/>
      <c r="I3686" s="15"/>
      <c r="J3686" s="15"/>
      <c r="K3686" s="15"/>
      <c r="L3686" s="15"/>
      <c r="M3686" s="15"/>
      <c r="N3686" s="15"/>
      <c r="O3686" s="15"/>
      <c r="P3686" s="15"/>
      <c r="Q3686" s="15"/>
      <c r="R3686" s="15"/>
    </row>
    <row r="3687" spans="2:18" ht="13">
      <c r="B3687" s="33"/>
      <c r="C3687" s="34"/>
      <c r="D3687" s="15"/>
      <c r="E3687" s="15"/>
      <c r="F3687" s="15"/>
      <c r="G3687" s="15"/>
      <c r="H3687" s="15"/>
      <c r="I3687" s="15"/>
      <c r="J3687" s="15"/>
      <c r="K3687" s="15"/>
      <c r="L3687" s="15"/>
      <c r="M3687" s="15"/>
      <c r="N3687" s="15"/>
      <c r="O3687" s="15"/>
      <c r="P3687" s="15"/>
      <c r="Q3687" s="15"/>
      <c r="R3687" s="15"/>
    </row>
    <row r="3688" spans="2:18" ht="13">
      <c r="B3688" s="33"/>
      <c r="C3688" s="34"/>
      <c r="D3688" s="15"/>
      <c r="E3688" s="15"/>
      <c r="F3688" s="15"/>
      <c r="G3688" s="15"/>
      <c r="H3688" s="15"/>
      <c r="I3688" s="15"/>
      <c r="J3688" s="15"/>
      <c r="K3688" s="15"/>
      <c r="L3688" s="15"/>
      <c r="M3688" s="15"/>
      <c r="N3688" s="15"/>
      <c r="O3688" s="15"/>
      <c r="P3688" s="15"/>
      <c r="Q3688" s="15"/>
      <c r="R3688" s="15"/>
    </row>
    <row r="3689" spans="2:18" ht="13">
      <c r="B3689" s="33"/>
      <c r="C3689" s="34"/>
      <c r="D3689" s="15"/>
      <c r="E3689" s="15"/>
      <c r="F3689" s="15"/>
      <c r="G3689" s="15"/>
      <c r="H3689" s="15"/>
      <c r="I3689" s="15"/>
      <c r="J3689" s="15"/>
      <c r="K3689" s="15"/>
      <c r="L3689" s="15"/>
      <c r="M3689" s="15"/>
      <c r="N3689" s="15"/>
      <c r="O3689" s="15"/>
      <c r="P3689" s="15"/>
      <c r="Q3689" s="15"/>
      <c r="R3689" s="15"/>
    </row>
    <row r="3690" spans="2:18" ht="13">
      <c r="B3690" s="33"/>
      <c r="C3690" s="34"/>
      <c r="D3690" s="15"/>
      <c r="E3690" s="15"/>
      <c r="F3690" s="15"/>
      <c r="G3690" s="15"/>
      <c r="H3690" s="15"/>
      <c r="I3690" s="15"/>
      <c r="J3690" s="15"/>
      <c r="K3690" s="15"/>
      <c r="L3690" s="15"/>
      <c r="M3690" s="15"/>
      <c r="N3690" s="15"/>
      <c r="O3690" s="15"/>
      <c r="P3690" s="15"/>
      <c r="Q3690" s="15"/>
      <c r="R3690" s="15"/>
    </row>
    <row r="3691" spans="2:18" ht="13">
      <c r="B3691" s="33"/>
      <c r="C3691" s="34"/>
      <c r="D3691" s="15"/>
      <c r="E3691" s="15"/>
      <c r="F3691" s="15"/>
      <c r="G3691" s="15"/>
      <c r="H3691" s="15"/>
      <c r="I3691" s="15"/>
      <c r="J3691" s="15"/>
      <c r="K3691" s="15"/>
      <c r="L3691" s="15"/>
      <c r="M3691" s="15"/>
      <c r="N3691" s="15"/>
      <c r="O3691" s="15"/>
      <c r="P3691" s="15"/>
      <c r="Q3691" s="15"/>
      <c r="R3691" s="15"/>
    </row>
    <row r="3692" spans="2:18" ht="13">
      <c r="B3692" s="33"/>
      <c r="C3692" s="34"/>
      <c r="D3692" s="15"/>
      <c r="E3692" s="15"/>
      <c r="F3692" s="15"/>
      <c r="G3692" s="15"/>
      <c r="H3692" s="15"/>
      <c r="I3692" s="15"/>
      <c r="J3692" s="15"/>
      <c r="K3692" s="15"/>
      <c r="L3692" s="15"/>
      <c r="M3692" s="15"/>
      <c r="N3692" s="15"/>
      <c r="O3692" s="15"/>
      <c r="P3692" s="15"/>
      <c r="Q3692" s="15"/>
      <c r="R3692" s="15"/>
    </row>
    <row r="3693" spans="2:18" ht="13">
      <c r="B3693" s="33"/>
      <c r="C3693" s="34"/>
      <c r="D3693" s="15"/>
      <c r="E3693" s="15"/>
      <c r="F3693" s="15"/>
      <c r="G3693" s="15"/>
      <c r="H3693" s="15"/>
      <c r="I3693" s="15"/>
      <c r="J3693" s="15"/>
      <c r="K3693" s="15"/>
      <c r="L3693" s="15"/>
      <c r="M3693" s="15"/>
      <c r="N3693" s="15"/>
      <c r="O3693" s="15"/>
      <c r="P3693" s="15"/>
      <c r="Q3693" s="15"/>
      <c r="R3693" s="15"/>
    </row>
    <row r="3694" spans="2:18" ht="13">
      <c r="B3694" s="33"/>
      <c r="C3694" s="34"/>
      <c r="D3694" s="15"/>
      <c r="E3694" s="15"/>
      <c r="F3694" s="15"/>
      <c r="G3694" s="15"/>
      <c r="H3694" s="15"/>
      <c r="I3694" s="15"/>
      <c r="J3694" s="15"/>
      <c r="K3694" s="15"/>
      <c r="L3694" s="15"/>
      <c r="M3694" s="15"/>
      <c r="N3694" s="15"/>
      <c r="O3694" s="15"/>
      <c r="P3694" s="15"/>
      <c r="Q3694" s="15"/>
      <c r="R3694" s="15"/>
    </row>
    <row r="3695" spans="2:18" ht="13">
      <c r="B3695" s="33"/>
      <c r="C3695" s="34"/>
      <c r="D3695" s="15"/>
      <c r="E3695" s="15"/>
      <c r="F3695" s="15"/>
      <c r="G3695" s="15"/>
      <c r="H3695" s="15"/>
      <c r="I3695" s="15"/>
      <c r="J3695" s="15"/>
      <c r="K3695" s="15"/>
      <c r="L3695" s="15"/>
      <c r="M3695" s="15"/>
      <c r="N3695" s="15"/>
      <c r="O3695" s="15"/>
      <c r="P3695" s="15"/>
      <c r="Q3695" s="15"/>
      <c r="R3695" s="15"/>
    </row>
    <row r="3696" spans="2:18" ht="13">
      <c r="B3696" s="33"/>
      <c r="C3696" s="34"/>
      <c r="D3696" s="15"/>
      <c r="E3696" s="15"/>
      <c r="F3696" s="15"/>
      <c r="G3696" s="15"/>
      <c r="H3696" s="15"/>
      <c r="I3696" s="15"/>
      <c r="J3696" s="15"/>
      <c r="K3696" s="15"/>
      <c r="L3696" s="15"/>
      <c r="M3696" s="15"/>
      <c r="N3696" s="15"/>
      <c r="O3696" s="15"/>
      <c r="P3696" s="15"/>
      <c r="Q3696" s="15"/>
      <c r="R3696" s="15"/>
    </row>
    <row r="3697" spans="2:18" ht="13">
      <c r="B3697" s="33"/>
      <c r="C3697" s="34"/>
      <c r="D3697" s="15"/>
      <c r="E3697" s="15"/>
      <c r="F3697" s="15"/>
      <c r="G3697" s="15"/>
      <c r="H3697" s="15"/>
      <c r="I3697" s="15"/>
      <c r="J3697" s="15"/>
      <c r="K3697" s="15"/>
      <c r="L3697" s="15"/>
      <c r="M3697" s="15"/>
      <c r="N3697" s="15"/>
      <c r="O3697" s="15"/>
      <c r="P3697" s="15"/>
      <c r="Q3697" s="15"/>
      <c r="R3697" s="15"/>
    </row>
    <row r="3698" spans="2:18" ht="13">
      <c r="B3698" s="33"/>
      <c r="C3698" s="34"/>
      <c r="D3698" s="15"/>
      <c r="E3698" s="15"/>
      <c r="F3698" s="15"/>
      <c r="G3698" s="15"/>
      <c r="H3698" s="15"/>
      <c r="I3698" s="15"/>
      <c r="J3698" s="15"/>
      <c r="K3698" s="15"/>
      <c r="L3698" s="15"/>
      <c r="M3698" s="15"/>
      <c r="N3698" s="15"/>
      <c r="O3698" s="15"/>
      <c r="P3698" s="15"/>
      <c r="Q3698" s="15"/>
      <c r="R3698" s="15"/>
    </row>
    <row r="3699" spans="2:18" ht="13">
      <c r="B3699" s="33"/>
      <c r="C3699" s="34"/>
      <c r="D3699" s="15"/>
      <c r="E3699" s="15"/>
      <c r="F3699" s="15"/>
      <c r="G3699" s="15"/>
      <c r="H3699" s="15"/>
      <c r="I3699" s="15"/>
      <c r="J3699" s="15"/>
      <c r="K3699" s="15"/>
      <c r="L3699" s="15"/>
      <c r="M3699" s="15"/>
      <c r="N3699" s="15"/>
      <c r="O3699" s="15"/>
      <c r="P3699" s="15"/>
      <c r="Q3699" s="15"/>
      <c r="R3699" s="15"/>
    </row>
    <row r="3700" spans="2:18" ht="13">
      <c r="B3700" s="33"/>
      <c r="C3700" s="34"/>
      <c r="D3700" s="15"/>
      <c r="E3700" s="15"/>
      <c r="F3700" s="15"/>
      <c r="G3700" s="15"/>
      <c r="H3700" s="15"/>
      <c r="I3700" s="15"/>
      <c r="J3700" s="15"/>
      <c r="K3700" s="15"/>
      <c r="L3700" s="15"/>
      <c r="M3700" s="15"/>
      <c r="N3700" s="15"/>
      <c r="O3700" s="15"/>
      <c r="P3700" s="15"/>
      <c r="Q3700" s="15"/>
      <c r="R3700" s="15"/>
    </row>
    <row r="3701" spans="2:18" ht="13">
      <c r="B3701" s="33"/>
      <c r="C3701" s="34"/>
      <c r="D3701" s="15"/>
      <c r="E3701" s="15"/>
      <c r="F3701" s="15"/>
      <c r="G3701" s="15"/>
      <c r="H3701" s="15"/>
      <c r="I3701" s="15"/>
      <c r="J3701" s="15"/>
      <c r="K3701" s="15"/>
      <c r="L3701" s="15"/>
      <c r="M3701" s="15"/>
      <c r="N3701" s="15"/>
      <c r="O3701" s="15"/>
      <c r="P3701" s="15"/>
      <c r="Q3701" s="15"/>
      <c r="R3701" s="15"/>
    </row>
    <row r="3702" spans="2:18" ht="13">
      <c r="B3702" s="33"/>
      <c r="C3702" s="34"/>
      <c r="D3702" s="15"/>
      <c r="E3702" s="15"/>
      <c r="F3702" s="15"/>
      <c r="G3702" s="15"/>
      <c r="H3702" s="15"/>
      <c r="I3702" s="15"/>
      <c r="J3702" s="15"/>
      <c r="K3702" s="15"/>
      <c r="L3702" s="15"/>
      <c r="M3702" s="15"/>
      <c r="N3702" s="15"/>
      <c r="O3702" s="15"/>
      <c r="P3702" s="15"/>
      <c r="Q3702" s="15"/>
      <c r="R3702" s="15"/>
    </row>
    <row r="3703" spans="2:18" ht="13">
      <c r="B3703" s="33"/>
      <c r="C3703" s="34"/>
      <c r="D3703" s="15"/>
      <c r="E3703" s="15"/>
      <c r="F3703" s="15"/>
      <c r="G3703" s="15"/>
      <c r="H3703" s="15"/>
      <c r="I3703" s="15"/>
      <c r="J3703" s="15"/>
      <c r="K3703" s="15"/>
      <c r="L3703" s="15"/>
      <c r="M3703" s="15"/>
      <c r="N3703" s="15"/>
      <c r="O3703" s="15"/>
      <c r="P3703" s="15"/>
      <c r="Q3703" s="15"/>
      <c r="R3703" s="15"/>
    </row>
    <row r="3704" spans="2:18" ht="13">
      <c r="B3704" s="33"/>
      <c r="C3704" s="34"/>
      <c r="D3704" s="15"/>
      <c r="E3704" s="15"/>
      <c r="F3704" s="15"/>
      <c r="G3704" s="15"/>
      <c r="H3704" s="15"/>
      <c r="I3704" s="15"/>
      <c r="J3704" s="15"/>
      <c r="K3704" s="15"/>
      <c r="L3704" s="15"/>
      <c r="M3704" s="15"/>
      <c r="N3704" s="15"/>
      <c r="O3704" s="15"/>
      <c r="P3704" s="15"/>
      <c r="Q3704" s="15"/>
      <c r="R3704" s="15"/>
    </row>
    <row r="3705" spans="2:18" ht="13">
      <c r="B3705" s="33"/>
      <c r="C3705" s="34"/>
      <c r="D3705" s="15"/>
      <c r="E3705" s="15"/>
      <c r="F3705" s="15"/>
      <c r="G3705" s="15"/>
      <c r="H3705" s="15"/>
      <c r="I3705" s="15"/>
      <c r="J3705" s="15"/>
      <c r="K3705" s="15"/>
      <c r="L3705" s="15"/>
      <c r="M3705" s="15"/>
      <c r="N3705" s="15"/>
      <c r="O3705" s="15"/>
      <c r="P3705" s="15"/>
      <c r="Q3705" s="15"/>
      <c r="R3705" s="15"/>
    </row>
    <row r="3706" spans="2:18" ht="13">
      <c r="B3706" s="33"/>
      <c r="C3706" s="34"/>
      <c r="D3706" s="15"/>
      <c r="E3706" s="15"/>
      <c r="F3706" s="15"/>
      <c r="G3706" s="15"/>
      <c r="H3706" s="15"/>
      <c r="I3706" s="15"/>
      <c r="J3706" s="15"/>
      <c r="K3706" s="15"/>
      <c r="L3706" s="15"/>
      <c r="M3706" s="15"/>
      <c r="N3706" s="15"/>
      <c r="O3706" s="15"/>
      <c r="P3706" s="15"/>
      <c r="Q3706" s="15"/>
      <c r="R3706" s="15"/>
    </row>
    <row r="3707" spans="2:18" ht="13">
      <c r="B3707" s="33"/>
      <c r="C3707" s="34"/>
      <c r="D3707" s="15"/>
      <c r="E3707" s="15"/>
      <c r="F3707" s="15"/>
      <c r="G3707" s="15"/>
      <c r="H3707" s="15"/>
      <c r="I3707" s="15"/>
      <c r="J3707" s="15"/>
      <c r="K3707" s="15"/>
      <c r="L3707" s="15"/>
      <c r="M3707" s="15"/>
      <c r="N3707" s="15"/>
      <c r="O3707" s="15"/>
      <c r="P3707" s="15"/>
      <c r="Q3707" s="15"/>
      <c r="R3707" s="15"/>
    </row>
  </sheetData>
  <autoFilter ref="D1:F1"/>
  <mergeCells count="1">
    <mergeCell ref="H1:I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filterMode="1">
    <outlinePr summaryBelow="0" summaryRight="0"/>
  </sheetPr>
  <dimension ref="A1:R103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54296875" defaultRowHeight="15.75" customHeight="1"/>
  <cols>
    <col min="1" max="1" width="15.54296875" customWidth="1"/>
    <col min="4" max="4" width="42.26953125" customWidth="1"/>
    <col min="5" max="5" width="35" hidden="1" customWidth="1"/>
    <col min="6" max="6" width="27.26953125" customWidth="1"/>
    <col min="7" max="7" width="16.7265625" hidden="1" customWidth="1"/>
    <col min="8" max="8" width="17.1796875" hidden="1" customWidth="1"/>
    <col min="9" max="9" width="21.7265625" customWidth="1"/>
    <col min="10" max="10" width="18.453125" customWidth="1"/>
    <col min="11" max="11" width="14.453125" customWidth="1"/>
    <col min="12" max="12" width="11.81640625" customWidth="1"/>
    <col min="13" max="13" width="25.54296875" customWidth="1"/>
    <col min="14" max="14" width="14.453125" customWidth="1"/>
    <col min="15" max="15" width="15.453125" customWidth="1"/>
    <col min="16" max="16" width="16.81640625" customWidth="1"/>
    <col min="17" max="17" width="16.26953125" customWidth="1"/>
    <col min="18" max="18" width="12.7265625" customWidth="1"/>
  </cols>
  <sheetData>
    <row r="1" spans="1:18" ht="13">
      <c r="A1" s="30" t="s">
        <v>671</v>
      </c>
      <c r="B1" s="35" t="s">
        <v>672</v>
      </c>
      <c r="C1" s="35" t="s">
        <v>673</v>
      </c>
      <c r="D1" s="30" t="s">
        <v>524</v>
      </c>
      <c r="E1" s="30" t="s">
        <v>674</v>
      </c>
      <c r="F1" s="36" t="s">
        <v>522</v>
      </c>
      <c r="G1" s="37" t="s">
        <v>523</v>
      </c>
      <c r="H1" s="30" t="s">
        <v>675</v>
      </c>
      <c r="I1" s="36" t="s">
        <v>676</v>
      </c>
      <c r="J1" s="30" t="s">
        <v>548</v>
      </c>
      <c r="K1" s="30" t="s">
        <v>526</v>
      </c>
      <c r="L1" s="37" t="s">
        <v>677</v>
      </c>
      <c r="M1" s="35" t="s">
        <v>678</v>
      </c>
      <c r="N1" s="35" t="s">
        <v>679</v>
      </c>
      <c r="O1" s="35" t="s">
        <v>13</v>
      </c>
      <c r="P1" s="37" t="s">
        <v>14</v>
      </c>
      <c r="Q1" s="37" t="s">
        <v>15</v>
      </c>
      <c r="R1" s="37" t="s">
        <v>16</v>
      </c>
    </row>
    <row r="2" spans="1:18" ht="13">
      <c r="A2" s="8">
        <v>1</v>
      </c>
      <c r="B2" s="10">
        <v>45074</v>
      </c>
      <c r="C2" s="10">
        <v>45074</v>
      </c>
      <c r="D2" s="8" t="s">
        <v>595</v>
      </c>
      <c r="E2" s="8" t="s">
        <v>680</v>
      </c>
      <c r="F2" s="8" t="s">
        <v>681</v>
      </c>
      <c r="G2" s="6" t="e">
        <f>IF(F2="","",VLOOKUP(F2,'PLAN SUPORTE'!A:B,2,0))</f>
        <v>#N/A</v>
      </c>
      <c r="H2" s="7"/>
      <c r="I2" s="8" t="s">
        <v>682</v>
      </c>
      <c r="J2" s="8" t="s">
        <v>24</v>
      </c>
      <c r="K2" s="8" t="s">
        <v>25</v>
      </c>
      <c r="L2" s="8">
        <f>IF(K2="","",VLOOKUP(K2,'PLAN SUPORTE'!$H$2:$I$4,2,0))</f>
        <v>15</v>
      </c>
      <c r="M2" s="10">
        <v>45093</v>
      </c>
      <c r="N2" s="10">
        <v>45100</v>
      </c>
      <c r="O2" s="9" t="str">
        <f t="shared" ref="O2:O83" si="0">IF(AND(C2="",K2=""),"",IF(R2="","Em Andamento",IF(M2&lt;=P2,"Dentro do Prazo","Fora do Prazo")))</f>
        <v>Fora do Prazo</v>
      </c>
      <c r="P2" s="10">
        <f t="shared" ref="P2:P12" si="1">IF(OR(C2="",L2=""),"",C2+L2)</f>
        <v>45089</v>
      </c>
      <c r="Q2" s="6" t="str">
        <f t="shared" ref="Q2:Q12" ca="1" si="2">IF(P2="","",IF(P2-TODAY()=0,"Vence Hoje!",IF(P2-TODAY()&gt;=0,P2-TODAY()&amp;" Dia(s) para vencer","Prazo Vencido")))</f>
        <v>Prazo Vencido</v>
      </c>
      <c r="R2" s="8">
        <f t="shared" ref="R2:R224" si="3">IF(OR(C2="",M2=""),"",M2-C2)</f>
        <v>19</v>
      </c>
    </row>
    <row r="3" spans="1:18" ht="13">
      <c r="A3" s="8">
        <v>2</v>
      </c>
      <c r="B3" s="10">
        <v>44994</v>
      </c>
      <c r="C3" s="10">
        <v>44994</v>
      </c>
      <c r="D3" s="8" t="s">
        <v>683</v>
      </c>
      <c r="E3" s="8" t="s">
        <v>684</v>
      </c>
      <c r="F3" s="8" t="s">
        <v>685</v>
      </c>
      <c r="G3" s="6" t="e">
        <f>IF(F3="","",VLOOKUP(F3,'PLAN SUPORTE'!A:B,2,0))</f>
        <v>#N/A</v>
      </c>
      <c r="H3" s="7" t="s">
        <v>686</v>
      </c>
      <c r="I3" s="8" t="s">
        <v>687</v>
      </c>
      <c r="J3" s="8" t="s">
        <v>24</v>
      </c>
      <c r="K3" s="8" t="s">
        <v>167</v>
      </c>
      <c r="L3" s="8">
        <f>IF(K3="","",VLOOKUP(K3,'PLAN SUPORTE'!$H$2:$I$4,2,0))</f>
        <v>30</v>
      </c>
      <c r="M3" s="10">
        <v>45017</v>
      </c>
      <c r="N3" s="10">
        <v>45028</v>
      </c>
      <c r="O3" s="9" t="str">
        <f t="shared" si="0"/>
        <v>Dentro do Prazo</v>
      </c>
      <c r="P3" s="10">
        <f t="shared" si="1"/>
        <v>45024</v>
      </c>
      <c r="Q3" s="6" t="str">
        <f t="shared" ca="1" si="2"/>
        <v>Prazo Vencido</v>
      </c>
      <c r="R3" s="8">
        <f t="shared" si="3"/>
        <v>23</v>
      </c>
    </row>
    <row r="4" spans="1:18" ht="13">
      <c r="A4" s="8">
        <v>3</v>
      </c>
      <c r="B4" s="10">
        <v>44991</v>
      </c>
      <c r="C4" s="10">
        <v>44991</v>
      </c>
      <c r="D4" s="8" t="s">
        <v>688</v>
      </c>
      <c r="E4" s="8" t="s">
        <v>689</v>
      </c>
      <c r="F4" s="8" t="s">
        <v>690</v>
      </c>
      <c r="G4" s="6" t="e">
        <f>IF(F4="","",VLOOKUP(F4,'PLAN SUPORTE'!A:B,2,0))</f>
        <v>#N/A</v>
      </c>
      <c r="H4" s="7" t="s">
        <v>686</v>
      </c>
      <c r="I4" s="8" t="s">
        <v>682</v>
      </c>
      <c r="J4" s="8" t="s">
        <v>24</v>
      </c>
      <c r="K4" s="8" t="s">
        <v>691</v>
      </c>
      <c r="L4" s="8" t="e">
        <f>IF(K4="","",VLOOKUP(K4,'PLAN SUPORTE'!$H$2:$I$4,2,0))</f>
        <v>#N/A</v>
      </c>
      <c r="M4" s="10">
        <v>45014</v>
      </c>
      <c r="N4" s="10">
        <v>45022</v>
      </c>
      <c r="O4" s="9" t="e">
        <f t="shared" si="0"/>
        <v>#N/A</v>
      </c>
      <c r="P4" s="10" t="e">
        <f t="shared" si="1"/>
        <v>#N/A</v>
      </c>
      <c r="Q4" s="6" t="e">
        <f t="shared" ca="1" si="2"/>
        <v>#N/A</v>
      </c>
      <c r="R4" s="8">
        <f t="shared" si="3"/>
        <v>23</v>
      </c>
    </row>
    <row r="5" spans="1:18" ht="13">
      <c r="A5" s="8">
        <v>4</v>
      </c>
      <c r="B5" s="10">
        <v>44991</v>
      </c>
      <c r="C5" s="10">
        <v>44991</v>
      </c>
      <c r="D5" s="8" t="s">
        <v>688</v>
      </c>
      <c r="E5" s="8" t="s">
        <v>689</v>
      </c>
      <c r="F5" s="8" t="s">
        <v>690</v>
      </c>
      <c r="G5" s="6" t="e">
        <f>IF(F5="","",VLOOKUP(F5,'PLAN SUPORTE'!A:B,2,0))</f>
        <v>#N/A</v>
      </c>
      <c r="H5" s="7" t="s">
        <v>686</v>
      </c>
      <c r="I5" s="8" t="s">
        <v>692</v>
      </c>
      <c r="J5" s="8" t="s">
        <v>24</v>
      </c>
      <c r="K5" s="8" t="s">
        <v>691</v>
      </c>
      <c r="L5" s="8" t="e">
        <f>IF(K5="","",VLOOKUP(K5,'PLAN SUPORTE'!$H$2:$I$4,2,0))</f>
        <v>#N/A</v>
      </c>
      <c r="M5" s="10">
        <v>45014</v>
      </c>
      <c r="N5" s="10">
        <v>45022</v>
      </c>
      <c r="O5" s="9" t="e">
        <f t="shared" si="0"/>
        <v>#N/A</v>
      </c>
      <c r="P5" s="10" t="e">
        <f t="shared" si="1"/>
        <v>#N/A</v>
      </c>
      <c r="Q5" s="6" t="e">
        <f t="shared" ca="1" si="2"/>
        <v>#N/A</v>
      </c>
      <c r="R5" s="8">
        <f t="shared" si="3"/>
        <v>23</v>
      </c>
    </row>
    <row r="6" spans="1:18" ht="13">
      <c r="A6" s="8">
        <v>5</v>
      </c>
      <c r="B6" s="10">
        <v>44992</v>
      </c>
      <c r="C6" s="10">
        <v>44992</v>
      </c>
      <c r="D6" s="8" t="s">
        <v>693</v>
      </c>
      <c r="E6" s="8" t="s">
        <v>694</v>
      </c>
      <c r="F6" s="8" t="s">
        <v>695</v>
      </c>
      <c r="G6" s="6" t="e">
        <f>IF(F6="","",VLOOKUP(F6,'PLAN SUPORTE'!A:B,2,0))</f>
        <v>#N/A</v>
      </c>
      <c r="H6" s="7" t="s">
        <v>686</v>
      </c>
      <c r="I6" s="8" t="s">
        <v>696</v>
      </c>
      <c r="J6" s="8" t="s">
        <v>24</v>
      </c>
      <c r="K6" s="8" t="s">
        <v>691</v>
      </c>
      <c r="L6" s="8" t="e">
        <f>IF(K6="","",VLOOKUP(K6,'PLAN SUPORTE'!$H$2:$I$4,2,0))</f>
        <v>#N/A</v>
      </c>
      <c r="M6" s="10">
        <v>45015</v>
      </c>
      <c r="N6" s="10">
        <v>45022</v>
      </c>
      <c r="O6" s="9" t="e">
        <f t="shared" si="0"/>
        <v>#N/A</v>
      </c>
      <c r="P6" s="10" t="e">
        <f t="shared" si="1"/>
        <v>#N/A</v>
      </c>
      <c r="Q6" s="6" t="e">
        <f t="shared" ca="1" si="2"/>
        <v>#N/A</v>
      </c>
      <c r="R6" s="8">
        <f t="shared" si="3"/>
        <v>23</v>
      </c>
    </row>
    <row r="7" spans="1:18" ht="13">
      <c r="A7" s="8">
        <v>6</v>
      </c>
      <c r="B7" s="10">
        <v>44992</v>
      </c>
      <c r="C7" s="10">
        <v>44992</v>
      </c>
      <c r="D7" s="8" t="s">
        <v>697</v>
      </c>
      <c r="E7" s="8" t="s">
        <v>698</v>
      </c>
      <c r="F7" s="8" t="s">
        <v>699</v>
      </c>
      <c r="G7" s="6" t="e">
        <f>IF(F7="","",VLOOKUP(F7,'PLAN SUPORTE'!A:B,2,0))</f>
        <v>#N/A</v>
      </c>
      <c r="H7" s="7" t="s">
        <v>686</v>
      </c>
      <c r="I7" s="8" t="s">
        <v>682</v>
      </c>
      <c r="J7" s="8" t="s">
        <v>24</v>
      </c>
      <c r="K7" s="8" t="s">
        <v>691</v>
      </c>
      <c r="L7" s="8" t="e">
        <f>IF(K7="","",VLOOKUP(K7,'PLAN SUPORTE'!$H$2:$I$4,2,0))</f>
        <v>#N/A</v>
      </c>
      <c r="M7" s="10">
        <v>45015</v>
      </c>
      <c r="N7" s="10">
        <v>45022</v>
      </c>
      <c r="O7" s="9" t="e">
        <f t="shared" si="0"/>
        <v>#N/A</v>
      </c>
      <c r="P7" s="10" t="e">
        <f t="shared" si="1"/>
        <v>#N/A</v>
      </c>
      <c r="Q7" s="6" t="e">
        <f t="shared" ca="1" si="2"/>
        <v>#N/A</v>
      </c>
      <c r="R7" s="8">
        <f t="shared" si="3"/>
        <v>23</v>
      </c>
    </row>
    <row r="8" spans="1:18" ht="13">
      <c r="A8" s="8">
        <v>7</v>
      </c>
      <c r="B8" s="10">
        <v>44992</v>
      </c>
      <c r="C8" s="10">
        <v>44992</v>
      </c>
      <c r="D8" s="8" t="s">
        <v>697</v>
      </c>
      <c r="E8" s="8" t="s">
        <v>700</v>
      </c>
      <c r="F8" s="8" t="s">
        <v>701</v>
      </c>
      <c r="G8" s="6" t="e">
        <f>IF(F8="","",VLOOKUP(F8,'PLAN SUPORTE'!A:B,2,0))</f>
        <v>#N/A</v>
      </c>
      <c r="H8" s="7" t="s">
        <v>686</v>
      </c>
      <c r="I8" s="8" t="s">
        <v>682</v>
      </c>
      <c r="J8" s="8" t="s">
        <v>24</v>
      </c>
      <c r="K8" s="8" t="s">
        <v>691</v>
      </c>
      <c r="L8" s="8" t="e">
        <f>IF(K8="","",VLOOKUP(K8,'PLAN SUPORTE'!$H$2:$I$4,2,0))</f>
        <v>#N/A</v>
      </c>
      <c r="M8" s="10">
        <v>45015</v>
      </c>
      <c r="N8" s="10">
        <v>45022</v>
      </c>
      <c r="O8" s="9" t="e">
        <f t="shared" si="0"/>
        <v>#N/A</v>
      </c>
      <c r="P8" s="10" t="e">
        <f t="shared" si="1"/>
        <v>#N/A</v>
      </c>
      <c r="Q8" s="6" t="e">
        <f t="shared" ca="1" si="2"/>
        <v>#N/A</v>
      </c>
      <c r="R8" s="8">
        <f t="shared" si="3"/>
        <v>23</v>
      </c>
    </row>
    <row r="9" spans="1:18" ht="13">
      <c r="A9" s="8">
        <v>8</v>
      </c>
      <c r="B9" s="10">
        <v>44992</v>
      </c>
      <c r="C9" s="10">
        <v>44992</v>
      </c>
      <c r="D9" s="8" t="s">
        <v>702</v>
      </c>
      <c r="E9" s="8" t="s">
        <v>703</v>
      </c>
      <c r="F9" s="8" t="s">
        <v>704</v>
      </c>
      <c r="G9" s="6" t="s">
        <v>705</v>
      </c>
      <c r="H9" s="7" t="s">
        <v>686</v>
      </c>
      <c r="I9" s="8" t="s">
        <v>687</v>
      </c>
      <c r="J9" s="8" t="s">
        <v>24</v>
      </c>
      <c r="K9" s="8" t="s">
        <v>691</v>
      </c>
      <c r="L9" s="8" t="e">
        <f>IF(K9="","",VLOOKUP(K9,'PLAN SUPORTE'!$H$2:$I$4,2,0))</f>
        <v>#N/A</v>
      </c>
      <c r="M9" s="10">
        <v>45019</v>
      </c>
      <c r="N9" s="10">
        <v>45007</v>
      </c>
      <c r="O9" s="9" t="e">
        <f t="shared" si="0"/>
        <v>#N/A</v>
      </c>
      <c r="P9" s="10" t="e">
        <f t="shared" si="1"/>
        <v>#N/A</v>
      </c>
      <c r="Q9" s="6" t="e">
        <f t="shared" ca="1" si="2"/>
        <v>#N/A</v>
      </c>
      <c r="R9" s="8">
        <f t="shared" si="3"/>
        <v>27</v>
      </c>
    </row>
    <row r="10" spans="1:18" ht="13">
      <c r="A10" s="8">
        <v>9</v>
      </c>
      <c r="B10" s="10">
        <v>44992</v>
      </c>
      <c r="C10" s="10">
        <v>44992</v>
      </c>
      <c r="D10" s="8" t="s">
        <v>706</v>
      </c>
      <c r="E10" s="8" t="s">
        <v>694</v>
      </c>
      <c r="F10" s="8" t="s">
        <v>695</v>
      </c>
      <c r="G10" s="6" t="e">
        <f>IF(F10="","",VLOOKUP(F10,'PLAN SUPORTE'!A:B,2,0))</f>
        <v>#N/A</v>
      </c>
      <c r="H10" s="7" t="s">
        <v>686</v>
      </c>
      <c r="I10" s="8" t="s">
        <v>687</v>
      </c>
      <c r="J10" s="8" t="s">
        <v>24</v>
      </c>
      <c r="K10" s="8" t="s">
        <v>167</v>
      </c>
      <c r="L10" s="8">
        <f>IF(K10="","",VLOOKUP(K10,'PLAN SUPORTE'!$H$2:$I$4,2,0))</f>
        <v>30</v>
      </c>
      <c r="M10" s="10">
        <v>45024</v>
      </c>
      <c r="N10" s="10"/>
      <c r="O10" s="9" t="str">
        <f t="shared" si="0"/>
        <v>Fora do Prazo</v>
      </c>
      <c r="P10" s="10">
        <f t="shared" si="1"/>
        <v>45022</v>
      </c>
      <c r="Q10" s="6" t="str">
        <f t="shared" ca="1" si="2"/>
        <v>Prazo Vencido</v>
      </c>
      <c r="R10" s="8">
        <f t="shared" si="3"/>
        <v>32</v>
      </c>
    </row>
    <row r="11" spans="1:18" ht="13">
      <c r="A11" s="8">
        <v>11</v>
      </c>
      <c r="B11" s="10">
        <v>44992</v>
      </c>
      <c r="C11" s="10">
        <v>44992</v>
      </c>
      <c r="D11" s="8" t="s">
        <v>706</v>
      </c>
      <c r="E11" s="8" t="s">
        <v>707</v>
      </c>
      <c r="F11" s="8" t="s">
        <v>699</v>
      </c>
      <c r="G11" s="6" t="e">
        <f>IF(F11="","",VLOOKUP(F11,'PLAN SUPORTE'!A:B,2,0))</f>
        <v>#N/A</v>
      </c>
      <c r="H11" s="7" t="s">
        <v>686</v>
      </c>
      <c r="I11" s="8" t="s">
        <v>687</v>
      </c>
      <c r="J11" s="8" t="s">
        <v>24</v>
      </c>
      <c r="K11" s="8" t="s">
        <v>167</v>
      </c>
      <c r="L11" s="8">
        <f>IF(K11="","",VLOOKUP(K11,'PLAN SUPORTE'!$H$2:$I$4,2,0))</f>
        <v>30</v>
      </c>
      <c r="M11" s="10">
        <v>45024</v>
      </c>
      <c r="N11" s="10">
        <v>45048</v>
      </c>
      <c r="O11" s="9" t="str">
        <f t="shared" si="0"/>
        <v>Fora do Prazo</v>
      </c>
      <c r="P11" s="10">
        <f t="shared" si="1"/>
        <v>45022</v>
      </c>
      <c r="Q11" s="6" t="str">
        <f t="shared" ca="1" si="2"/>
        <v>Prazo Vencido</v>
      </c>
      <c r="R11" s="8">
        <f t="shared" si="3"/>
        <v>32</v>
      </c>
    </row>
    <row r="12" spans="1:18" ht="13" hidden="1">
      <c r="A12" s="8">
        <v>13</v>
      </c>
      <c r="B12" s="10">
        <v>45021</v>
      </c>
      <c r="C12" s="10">
        <v>45021</v>
      </c>
      <c r="D12" s="8" t="s">
        <v>708</v>
      </c>
      <c r="E12" s="8" t="s">
        <v>709</v>
      </c>
      <c r="F12" s="8" t="s">
        <v>704</v>
      </c>
      <c r="G12" s="6" t="e">
        <f>IF(F12="","",VLOOKUP(F12,'PLAN SUPORTE'!A:B,2,0))</f>
        <v>#N/A</v>
      </c>
      <c r="H12" s="7" t="s">
        <v>686</v>
      </c>
      <c r="I12" s="8" t="s">
        <v>682</v>
      </c>
      <c r="J12" s="8" t="s">
        <v>265</v>
      </c>
      <c r="K12" s="8" t="s">
        <v>691</v>
      </c>
      <c r="L12" s="8" t="e">
        <f>IF(K12="","",VLOOKUP(K12,'PLAN SUPORTE'!$H$2:$I$4,2,0))</f>
        <v>#N/A</v>
      </c>
      <c r="M12" s="10"/>
      <c r="N12" s="10"/>
      <c r="O12" s="9" t="str">
        <f t="shared" si="0"/>
        <v>Em Andamento</v>
      </c>
      <c r="P12" s="10" t="e">
        <f t="shared" si="1"/>
        <v>#N/A</v>
      </c>
      <c r="Q12" s="6" t="e">
        <f t="shared" ca="1" si="2"/>
        <v>#N/A</v>
      </c>
      <c r="R12" s="8" t="str">
        <f t="shared" si="3"/>
        <v/>
      </c>
    </row>
    <row r="13" spans="1:18" ht="13">
      <c r="A13" s="8">
        <v>14</v>
      </c>
      <c r="B13" s="10">
        <v>45083</v>
      </c>
      <c r="C13" s="10">
        <v>45083</v>
      </c>
      <c r="D13" s="63" t="s">
        <v>710</v>
      </c>
      <c r="E13" s="8" t="s">
        <v>711</v>
      </c>
      <c r="F13" s="52" t="s">
        <v>712</v>
      </c>
      <c r="G13" s="6" t="e">
        <f>IF(F13="","",VLOOKUP(F13,'PLAN SUPORTE'!A:B,2,0))</f>
        <v>#N/A</v>
      </c>
      <c r="H13" s="7" t="s">
        <v>713</v>
      </c>
      <c r="I13" s="8"/>
      <c r="J13" s="8" t="s">
        <v>24</v>
      </c>
      <c r="K13" s="8" t="s">
        <v>25</v>
      </c>
      <c r="L13" s="8">
        <f>IF(K13="","",VLOOKUP(K13,'PLAN SUPORTE'!$H$2:$I$4,2,0))</f>
        <v>15</v>
      </c>
      <c r="M13" s="64">
        <v>45090</v>
      </c>
      <c r="N13" s="64">
        <v>45098</v>
      </c>
      <c r="O13" s="9" t="str">
        <f t="shared" si="0"/>
        <v>Fora do Prazo</v>
      </c>
      <c r="P13" s="10"/>
      <c r="Q13" s="6"/>
      <c r="R13" s="8">
        <f t="shared" si="3"/>
        <v>7</v>
      </c>
    </row>
    <row r="14" spans="1:18" ht="13">
      <c r="A14" s="8">
        <v>15</v>
      </c>
      <c r="B14" s="10">
        <v>45083</v>
      </c>
      <c r="C14" s="10">
        <v>45083</v>
      </c>
      <c r="D14" s="63" t="s">
        <v>714</v>
      </c>
      <c r="E14" s="8" t="s">
        <v>715</v>
      </c>
      <c r="F14" s="52" t="s">
        <v>712</v>
      </c>
      <c r="G14" s="6" t="e">
        <f>IF(F14="","",VLOOKUP(F14,'PLAN SUPORTE'!A:B,2,0))</f>
        <v>#N/A</v>
      </c>
      <c r="H14" s="7" t="s">
        <v>713</v>
      </c>
      <c r="I14" s="8"/>
      <c r="J14" s="8" t="s">
        <v>24</v>
      </c>
      <c r="K14" s="8" t="s">
        <v>25</v>
      </c>
      <c r="L14" s="8">
        <f>IF(K14="","",VLOOKUP(K14,'PLAN SUPORTE'!$H$2:$I$4,2,0))</f>
        <v>15</v>
      </c>
      <c r="M14" s="64">
        <v>45090</v>
      </c>
      <c r="N14" s="64">
        <v>45098</v>
      </c>
      <c r="O14" s="9" t="str">
        <f t="shared" si="0"/>
        <v>Fora do Prazo</v>
      </c>
      <c r="P14" s="10"/>
      <c r="Q14" s="6"/>
      <c r="R14" s="8">
        <f t="shared" si="3"/>
        <v>7</v>
      </c>
    </row>
    <row r="15" spans="1:18" ht="13">
      <c r="A15" s="8">
        <v>16</v>
      </c>
      <c r="B15" s="10">
        <v>45083</v>
      </c>
      <c r="C15" s="10">
        <v>45083</v>
      </c>
      <c r="D15" s="63" t="s">
        <v>714</v>
      </c>
      <c r="E15" s="8" t="s">
        <v>715</v>
      </c>
      <c r="F15" s="52" t="s">
        <v>712</v>
      </c>
      <c r="G15" s="6" t="e">
        <f>IF(F15="","",VLOOKUP(F15,'PLAN SUPORTE'!A:B,2,0))</f>
        <v>#N/A</v>
      </c>
      <c r="H15" s="7" t="s">
        <v>713</v>
      </c>
      <c r="I15" s="8"/>
      <c r="J15" s="8" t="s">
        <v>24</v>
      </c>
      <c r="K15" s="8" t="s">
        <v>25</v>
      </c>
      <c r="L15" s="8">
        <f>IF(K15="","",VLOOKUP(K15,'PLAN SUPORTE'!$H$2:$I$4,2,0))</f>
        <v>15</v>
      </c>
      <c r="M15" s="64">
        <v>45097</v>
      </c>
      <c r="N15" s="64">
        <v>45103</v>
      </c>
      <c r="O15" s="9" t="str">
        <f t="shared" si="0"/>
        <v>Fora do Prazo</v>
      </c>
      <c r="P15" s="10"/>
      <c r="Q15" s="6"/>
      <c r="R15" s="8">
        <f t="shared" si="3"/>
        <v>14</v>
      </c>
    </row>
    <row r="16" spans="1:18" ht="13">
      <c r="A16" s="8">
        <v>17</v>
      </c>
      <c r="B16" s="10">
        <v>45083</v>
      </c>
      <c r="C16" s="10">
        <v>45083</v>
      </c>
      <c r="D16" s="63" t="s">
        <v>714</v>
      </c>
      <c r="E16" s="8" t="s">
        <v>715</v>
      </c>
      <c r="F16" s="52" t="s">
        <v>712</v>
      </c>
      <c r="G16" s="6" t="e">
        <f>IF(F16="","",VLOOKUP(F16,'PLAN SUPORTE'!A:B,2,0))</f>
        <v>#N/A</v>
      </c>
      <c r="H16" s="7" t="s">
        <v>713</v>
      </c>
      <c r="I16" s="8"/>
      <c r="J16" s="8" t="s">
        <v>24</v>
      </c>
      <c r="K16" s="8" t="s">
        <v>25</v>
      </c>
      <c r="L16" s="8">
        <f>IF(K16="","",VLOOKUP(K16,'PLAN SUPORTE'!$H$2:$I$4,2,0))</f>
        <v>15</v>
      </c>
      <c r="M16" s="64">
        <v>45093</v>
      </c>
      <c r="N16" s="64">
        <v>45103</v>
      </c>
      <c r="O16" s="9" t="str">
        <f t="shared" si="0"/>
        <v>Fora do Prazo</v>
      </c>
      <c r="P16" s="10"/>
      <c r="Q16" s="6"/>
      <c r="R16" s="8">
        <f t="shared" si="3"/>
        <v>10</v>
      </c>
    </row>
    <row r="17" spans="1:18" ht="13">
      <c r="A17" s="8">
        <v>18</v>
      </c>
      <c r="B17" s="10">
        <v>45083</v>
      </c>
      <c r="C17" s="10">
        <v>45083</v>
      </c>
      <c r="D17" s="63" t="s">
        <v>714</v>
      </c>
      <c r="E17" s="8" t="s">
        <v>715</v>
      </c>
      <c r="F17" s="52" t="s">
        <v>712</v>
      </c>
      <c r="G17" s="6" t="e">
        <f>IF(F17="","",VLOOKUP(F17,'PLAN SUPORTE'!A:B,2,0))</f>
        <v>#N/A</v>
      </c>
      <c r="H17" s="7" t="s">
        <v>713</v>
      </c>
      <c r="I17" s="8"/>
      <c r="J17" s="8" t="s">
        <v>24</v>
      </c>
      <c r="K17" s="8" t="s">
        <v>25</v>
      </c>
      <c r="L17" s="8">
        <f>IF(K17="","",VLOOKUP(K17,'PLAN SUPORTE'!$H$2:$I$4,2,0))</f>
        <v>15</v>
      </c>
      <c r="M17" s="64">
        <v>45098</v>
      </c>
      <c r="N17" s="64">
        <v>45103</v>
      </c>
      <c r="O17" s="9" t="str">
        <f t="shared" si="0"/>
        <v>Fora do Prazo</v>
      </c>
      <c r="P17" s="10"/>
      <c r="Q17" s="6"/>
      <c r="R17" s="8">
        <f t="shared" si="3"/>
        <v>15</v>
      </c>
    </row>
    <row r="18" spans="1:18" ht="13">
      <c r="A18" s="8">
        <v>19</v>
      </c>
      <c r="B18" s="10">
        <v>45083</v>
      </c>
      <c r="C18" s="10">
        <v>45083</v>
      </c>
      <c r="D18" s="63" t="s">
        <v>714</v>
      </c>
      <c r="E18" s="8" t="s">
        <v>715</v>
      </c>
      <c r="F18" s="52" t="s">
        <v>716</v>
      </c>
      <c r="G18" s="6" t="e">
        <f>IF(F18="","",VLOOKUP(F18,'PLAN SUPORTE'!A:B,2,0))</f>
        <v>#N/A</v>
      </c>
      <c r="H18" s="7" t="s">
        <v>713</v>
      </c>
      <c r="I18" s="8" t="s">
        <v>692</v>
      </c>
      <c r="J18" s="8" t="s">
        <v>24</v>
      </c>
      <c r="K18" s="8" t="s">
        <v>25</v>
      </c>
      <c r="L18" s="8">
        <f>IF(K18="","",VLOOKUP(K18,'PLAN SUPORTE'!$H$2:$I$4,2,0))</f>
        <v>15</v>
      </c>
      <c r="M18" s="64">
        <v>45090</v>
      </c>
      <c r="N18" s="64">
        <v>45098</v>
      </c>
      <c r="O18" s="9" t="str">
        <f t="shared" si="0"/>
        <v>Fora do Prazo</v>
      </c>
      <c r="P18" s="10"/>
      <c r="Q18" s="6"/>
      <c r="R18" s="8">
        <f t="shared" si="3"/>
        <v>7</v>
      </c>
    </row>
    <row r="19" spans="1:18" ht="13">
      <c r="A19" s="8">
        <v>20</v>
      </c>
      <c r="B19" s="10">
        <v>45083</v>
      </c>
      <c r="C19" s="10">
        <v>45083</v>
      </c>
      <c r="D19" s="63" t="s">
        <v>714</v>
      </c>
      <c r="E19" s="8" t="s">
        <v>715</v>
      </c>
      <c r="F19" s="52" t="s">
        <v>716</v>
      </c>
      <c r="G19" s="6" t="e">
        <f>IF(F19="","",VLOOKUP(F19,'PLAN SUPORTE'!A:B,2,0))</f>
        <v>#N/A</v>
      </c>
      <c r="H19" s="7" t="s">
        <v>713</v>
      </c>
      <c r="I19" s="8" t="s">
        <v>692</v>
      </c>
      <c r="J19" s="8" t="s">
        <v>24</v>
      </c>
      <c r="K19" s="8" t="s">
        <v>25</v>
      </c>
      <c r="L19" s="8">
        <f>IF(K19="","",VLOOKUP(K19,'PLAN SUPORTE'!$H$2:$I$4,2,0))</f>
        <v>15</v>
      </c>
      <c r="M19" s="64">
        <v>45098</v>
      </c>
      <c r="N19" s="64">
        <v>45103</v>
      </c>
      <c r="O19" s="9" t="str">
        <f t="shared" si="0"/>
        <v>Fora do Prazo</v>
      </c>
      <c r="P19" s="10"/>
      <c r="Q19" s="6"/>
      <c r="R19" s="8">
        <f t="shared" si="3"/>
        <v>15</v>
      </c>
    </row>
    <row r="20" spans="1:18" ht="13">
      <c r="A20" s="8">
        <v>21</v>
      </c>
      <c r="B20" s="10">
        <v>45083</v>
      </c>
      <c r="C20" s="10">
        <v>45083</v>
      </c>
      <c r="D20" s="63" t="s">
        <v>714</v>
      </c>
      <c r="E20" s="8" t="s">
        <v>715</v>
      </c>
      <c r="F20" s="65" t="s">
        <v>717</v>
      </c>
      <c r="G20" s="6" t="e">
        <f>IF(F20="","",VLOOKUP(F20,'PLAN SUPORTE'!A:B,2,0))</f>
        <v>#N/A</v>
      </c>
      <c r="H20" s="7" t="s">
        <v>713</v>
      </c>
      <c r="I20" s="8" t="s">
        <v>692</v>
      </c>
      <c r="J20" s="8" t="s">
        <v>24</v>
      </c>
      <c r="K20" s="8" t="s">
        <v>25</v>
      </c>
      <c r="L20" s="8">
        <f>IF(K20="","",VLOOKUP(K20,'PLAN SUPORTE'!$H$2:$I$4,2,0))</f>
        <v>15</v>
      </c>
      <c r="M20" s="64">
        <v>45090</v>
      </c>
      <c r="N20" s="64">
        <v>45098</v>
      </c>
      <c r="O20" s="9" t="str">
        <f t="shared" si="0"/>
        <v>Fora do Prazo</v>
      </c>
      <c r="P20" s="10"/>
      <c r="Q20" s="6"/>
      <c r="R20" s="8">
        <f t="shared" si="3"/>
        <v>7</v>
      </c>
    </row>
    <row r="21" spans="1:18" ht="13">
      <c r="A21" s="8">
        <v>22</v>
      </c>
      <c r="B21" s="10">
        <v>45083</v>
      </c>
      <c r="C21" s="10">
        <v>45083</v>
      </c>
      <c r="D21" s="63" t="s">
        <v>714</v>
      </c>
      <c r="E21" s="8" t="s">
        <v>715</v>
      </c>
      <c r="F21" s="65" t="s">
        <v>717</v>
      </c>
      <c r="G21" s="6" t="e">
        <f>IF(F21="","",VLOOKUP(F21,'PLAN SUPORTE'!A:B,2,0))</f>
        <v>#N/A</v>
      </c>
      <c r="H21" s="7" t="s">
        <v>713</v>
      </c>
      <c r="I21" s="8" t="s">
        <v>692</v>
      </c>
      <c r="J21" s="8" t="s">
        <v>24</v>
      </c>
      <c r="K21" s="8" t="s">
        <v>25</v>
      </c>
      <c r="L21" s="8">
        <f>IF(K21="","",VLOOKUP(K21,'PLAN SUPORTE'!$H$2:$I$4,2,0))</f>
        <v>15</v>
      </c>
      <c r="M21" s="64">
        <v>45090</v>
      </c>
      <c r="N21" s="64">
        <v>45098</v>
      </c>
      <c r="O21" s="9" t="str">
        <f t="shared" si="0"/>
        <v>Fora do Prazo</v>
      </c>
      <c r="P21" s="10"/>
      <c r="Q21" s="6"/>
      <c r="R21" s="8">
        <f t="shared" si="3"/>
        <v>7</v>
      </c>
    </row>
    <row r="22" spans="1:18" ht="13">
      <c r="A22" s="8">
        <v>23</v>
      </c>
      <c r="B22" s="10">
        <v>45083</v>
      </c>
      <c r="C22" s="10">
        <v>45083</v>
      </c>
      <c r="D22" s="63" t="s">
        <v>714</v>
      </c>
      <c r="E22" s="8" t="s">
        <v>715</v>
      </c>
      <c r="F22" s="65" t="s">
        <v>718</v>
      </c>
      <c r="G22" s="6" t="e">
        <f>IF(F22="","",VLOOKUP(F22,'PLAN SUPORTE'!A:B,2,0))</f>
        <v>#N/A</v>
      </c>
      <c r="H22" s="7" t="s">
        <v>713</v>
      </c>
      <c r="I22" s="8" t="s">
        <v>692</v>
      </c>
      <c r="J22" s="8" t="s">
        <v>24</v>
      </c>
      <c r="K22" s="8" t="s">
        <v>25</v>
      </c>
      <c r="L22" s="8">
        <f>IF(K22="","",VLOOKUP(K22,'PLAN SUPORTE'!$H$2:$I$4,2,0))</f>
        <v>15</v>
      </c>
      <c r="M22" s="64">
        <v>45097</v>
      </c>
      <c r="N22" s="64">
        <v>45103</v>
      </c>
      <c r="O22" s="9" t="str">
        <f t="shared" si="0"/>
        <v>Fora do Prazo</v>
      </c>
      <c r="P22" s="10"/>
      <c r="Q22" s="6"/>
      <c r="R22" s="8">
        <f t="shared" si="3"/>
        <v>14</v>
      </c>
    </row>
    <row r="23" spans="1:18" ht="13">
      <c r="A23" s="8">
        <v>24</v>
      </c>
      <c r="B23" s="10">
        <v>45083</v>
      </c>
      <c r="C23" s="10">
        <v>45083</v>
      </c>
      <c r="D23" s="63" t="s">
        <v>714</v>
      </c>
      <c r="E23" s="8" t="s">
        <v>715</v>
      </c>
      <c r="F23" s="65" t="s">
        <v>717</v>
      </c>
      <c r="G23" s="6" t="e">
        <f>IF(F23="","",VLOOKUP(F23,'PLAN SUPORTE'!A:B,2,0))</f>
        <v>#N/A</v>
      </c>
      <c r="H23" s="7" t="s">
        <v>713</v>
      </c>
      <c r="I23" s="8" t="s">
        <v>692</v>
      </c>
      <c r="J23" s="8" t="s">
        <v>24</v>
      </c>
      <c r="K23" s="8" t="s">
        <v>25</v>
      </c>
      <c r="L23" s="8">
        <v>13</v>
      </c>
      <c r="M23" s="64">
        <v>45097</v>
      </c>
      <c r="N23" s="64">
        <v>45103</v>
      </c>
      <c r="O23" s="9" t="str">
        <f t="shared" si="0"/>
        <v>Fora do Prazo</v>
      </c>
      <c r="P23" s="10">
        <f t="shared" ref="P23:P88" si="4">IF(OR(C23="",L23=""),"",C23+L23)</f>
        <v>45096</v>
      </c>
      <c r="Q23" s="6" t="str">
        <f t="shared" ref="Q23:Q88" ca="1" si="5">IF(P23="","",IF(P23-TODAY()=0,"Vence Hoje!",IF(P23-TODAY()&gt;=0,P23-TODAY()&amp;" Dia(s) para vencer","Prazo Vencido")))</f>
        <v>Prazo Vencido</v>
      </c>
      <c r="R23" s="8">
        <f t="shared" si="3"/>
        <v>14</v>
      </c>
    </row>
    <row r="24" spans="1:18" ht="13">
      <c r="A24" s="8">
        <v>25</v>
      </c>
      <c r="B24" s="10">
        <v>45083</v>
      </c>
      <c r="C24" s="10">
        <v>45083</v>
      </c>
      <c r="D24" s="63" t="s">
        <v>714</v>
      </c>
      <c r="E24" s="8" t="s">
        <v>715</v>
      </c>
      <c r="F24" s="65" t="s">
        <v>719</v>
      </c>
      <c r="G24" s="6" t="e">
        <f>IF(F24="","",VLOOKUP(F24,'PLAN SUPORTE'!A:B,2,0))</f>
        <v>#N/A</v>
      </c>
      <c r="H24" s="7" t="s">
        <v>713</v>
      </c>
      <c r="I24" s="8"/>
      <c r="J24" s="8" t="s">
        <v>24</v>
      </c>
      <c r="K24" s="8" t="s">
        <v>25</v>
      </c>
      <c r="L24" s="8">
        <v>13</v>
      </c>
      <c r="M24" s="64">
        <v>45093</v>
      </c>
      <c r="N24" s="64">
        <v>45103</v>
      </c>
      <c r="O24" s="9" t="str">
        <f t="shared" si="0"/>
        <v>Dentro do Prazo</v>
      </c>
      <c r="P24" s="10">
        <f t="shared" si="4"/>
        <v>45096</v>
      </c>
      <c r="Q24" s="6" t="str">
        <f t="shared" ca="1" si="5"/>
        <v>Prazo Vencido</v>
      </c>
      <c r="R24" s="8">
        <f t="shared" si="3"/>
        <v>10</v>
      </c>
    </row>
    <row r="25" spans="1:18" ht="13">
      <c r="A25" s="8">
        <v>26</v>
      </c>
      <c r="B25" s="10">
        <v>45083</v>
      </c>
      <c r="C25" s="10">
        <v>45083</v>
      </c>
      <c r="D25" s="63" t="s">
        <v>714</v>
      </c>
      <c r="E25" s="8" t="s">
        <v>715</v>
      </c>
      <c r="F25" s="65" t="s">
        <v>720</v>
      </c>
      <c r="G25" s="6" t="e">
        <f>IF(F25="","",VLOOKUP(F25,'PLAN SUPORTE'!A:B,2,0))</f>
        <v>#N/A</v>
      </c>
      <c r="H25" s="7" t="s">
        <v>713</v>
      </c>
      <c r="I25" s="8" t="s">
        <v>692</v>
      </c>
      <c r="J25" s="8" t="s">
        <v>24</v>
      </c>
      <c r="K25" s="8" t="s">
        <v>25</v>
      </c>
      <c r="L25" s="8">
        <v>13</v>
      </c>
      <c r="M25" s="64">
        <v>45090</v>
      </c>
      <c r="N25" s="64">
        <v>45098</v>
      </c>
      <c r="O25" s="9" t="str">
        <f t="shared" si="0"/>
        <v>Dentro do Prazo</v>
      </c>
      <c r="P25" s="10">
        <f t="shared" si="4"/>
        <v>45096</v>
      </c>
      <c r="Q25" s="6" t="str">
        <f t="shared" ca="1" si="5"/>
        <v>Prazo Vencido</v>
      </c>
      <c r="R25" s="8">
        <f t="shared" si="3"/>
        <v>7</v>
      </c>
    </row>
    <row r="26" spans="1:18" ht="13">
      <c r="A26" s="8">
        <v>27</v>
      </c>
      <c r="B26" s="10">
        <v>45083</v>
      </c>
      <c r="C26" s="10">
        <v>45083</v>
      </c>
      <c r="D26" s="63" t="s">
        <v>714</v>
      </c>
      <c r="E26" s="8" t="s">
        <v>721</v>
      </c>
      <c r="F26" s="65" t="s">
        <v>720</v>
      </c>
      <c r="G26" s="6" t="e">
        <f>IF(F26="","",VLOOKUP(F26,'PLAN SUPORTE'!A:B,2,0))</f>
        <v>#N/A</v>
      </c>
      <c r="H26" s="7" t="s">
        <v>713</v>
      </c>
      <c r="I26" s="8" t="s">
        <v>692</v>
      </c>
      <c r="J26" s="8" t="s">
        <v>24</v>
      </c>
      <c r="K26" s="8" t="s">
        <v>25</v>
      </c>
      <c r="L26" s="8">
        <f>IF(K26="","",VLOOKUP(K26,'PLAN SUPORTE'!$H$2:$I$4,2,0))</f>
        <v>15</v>
      </c>
      <c r="M26" s="64">
        <v>45090</v>
      </c>
      <c r="N26" s="64">
        <v>45098</v>
      </c>
      <c r="O26" s="9" t="str">
        <f t="shared" si="0"/>
        <v>Dentro do Prazo</v>
      </c>
      <c r="P26" s="10">
        <f t="shared" si="4"/>
        <v>45098</v>
      </c>
      <c r="Q26" s="6" t="str">
        <f t="shared" ca="1" si="5"/>
        <v>Prazo Vencido</v>
      </c>
      <c r="R26" s="8">
        <f t="shared" si="3"/>
        <v>7</v>
      </c>
    </row>
    <row r="27" spans="1:18" ht="13">
      <c r="A27" s="8">
        <v>28</v>
      </c>
      <c r="B27" s="10">
        <v>45083</v>
      </c>
      <c r="C27" s="10">
        <v>45083</v>
      </c>
      <c r="D27" s="63" t="s">
        <v>710</v>
      </c>
      <c r="E27" s="8" t="s">
        <v>711</v>
      </c>
      <c r="F27" s="65" t="s">
        <v>722</v>
      </c>
      <c r="G27" s="6" t="e">
        <f>IF(F27="","",VLOOKUP(F27,'PLAN SUPORTE'!A:B,2,0))</f>
        <v>#N/A</v>
      </c>
      <c r="H27" s="7" t="s">
        <v>713</v>
      </c>
      <c r="I27" s="8"/>
      <c r="J27" s="8" t="s">
        <v>24</v>
      </c>
      <c r="K27" s="8" t="s">
        <v>25</v>
      </c>
      <c r="L27" s="8">
        <f>IF(K27="","",VLOOKUP(K27,'PLAN SUPORTE'!$H$2:$I$4,2,0))</f>
        <v>15</v>
      </c>
      <c r="M27" s="64">
        <v>45090</v>
      </c>
      <c r="N27" s="64">
        <v>45098</v>
      </c>
      <c r="O27" s="9" t="str">
        <f t="shared" si="0"/>
        <v>Dentro do Prazo</v>
      </c>
      <c r="P27" s="10">
        <f t="shared" si="4"/>
        <v>45098</v>
      </c>
      <c r="Q27" s="6" t="str">
        <f t="shared" ca="1" si="5"/>
        <v>Prazo Vencido</v>
      </c>
      <c r="R27" s="8">
        <f t="shared" si="3"/>
        <v>7</v>
      </c>
    </row>
    <row r="28" spans="1:18" ht="13">
      <c r="A28" s="8">
        <v>29</v>
      </c>
      <c r="B28" s="10">
        <v>45083</v>
      </c>
      <c r="C28" s="10">
        <v>45083</v>
      </c>
      <c r="D28" s="63" t="s">
        <v>714</v>
      </c>
      <c r="E28" s="8" t="s">
        <v>715</v>
      </c>
      <c r="F28" s="65" t="s">
        <v>722</v>
      </c>
      <c r="G28" s="6" t="e">
        <f>IF(F28="","",VLOOKUP(F28,'PLAN SUPORTE'!A:B,2,0))</f>
        <v>#N/A</v>
      </c>
      <c r="H28" s="7" t="s">
        <v>713</v>
      </c>
      <c r="I28" s="8"/>
      <c r="J28" s="8" t="s">
        <v>24</v>
      </c>
      <c r="K28" s="8" t="s">
        <v>25</v>
      </c>
      <c r="L28" s="8">
        <f>IF(K28="","",VLOOKUP(K28,'PLAN SUPORTE'!$H$2:$I$4,2,0))</f>
        <v>15</v>
      </c>
      <c r="M28" s="64">
        <v>45090</v>
      </c>
      <c r="N28" s="64">
        <v>45098</v>
      </c>
      <c r="O28" s="9" t="str">
        <f t="shared" si="0"/>
        <v>Dentro do Prazo</v>
      </c>
      <c r="P28" s="10">
        <f t="shared" si="4"/>
        <v>45098</v>
      </c>
      <c r="Q28" s="6" t="str">
        <f t="shared" ca="1" si="5"/>
        <v>Prazo Vencido</v>
      </c>
      <c r="R28" s="8">
        <f t="shared" si="3"/>
        <v>7</v>
      </c>
    </row>
    <row r="29" spans="1:18" ht="13">
      <c r="A29" s="8">
        <v>30</v>
      </c>
      <c r="B29" s="10">
        <v>45083</v>
      </c>
      <c r="C29" s="10">
        <v>45083</v>
      </c>
      <c r="D29" s="63" t="s">
        <v>714</v>
      </c>
      <c r="E29" s="8" t="s">
        <v>715</v>
      </c>
      <c r="F29" s="65" t="s">
        <v>722</v>
      </c>
      <c r="G29" s="6" t="e">
        <f>IF(F29="","",VLOOKUP(F29,'PLAN SUPORTE'!A:B,2,0))</f>
        <v>#N/A</v>
      </c>
      <c r="H29" s="7" t="s">
        <v>713</v>
      </c>
      <c r="I29" s="8" t="s">
        <v>692</v>
      </c>
      <c r="J29" s="8" t="s">
        <v>24</v>
      </c>
      <c r="K29" s="8" t="s">
        <v>25</v>
      </c>
      <c r="L29" s="8">
        <f>IF(K29="","",VLOOKUP(K29,'PLAN SUPORTE'!$H$2:$I$4,2,0))</f>
        <v>15</v>
      </c>
      <c r="M29" s="64">
        <v>45090</v>
      </c>
      <c r="N29" s="64">
        <v>45098</v>
      </c>
      <c r="O29" s="38" t="str">
        <f t="shared" si="0"/>
        <v>Dentro do Prazo</v>
      </c>
      <c r="P29" s="10">
        <f t="shared" si="4"/>
        <v>45098</v>
      </c>
      <c r="Q29" s="6" t="str">
        <f t="shared" ca="1" si="5"/>
        <v>Prazo Vencido</v>
      </c>
      <c r="R29" s="8">
        <f t="shared" si="3"/>
        <v>7</v>
      </c>
    </row>
    <row r="30" spans="1:18" ht="13">
      <c r="A30" s="8">
        <v>31</v>
      </c>
      <c r="B30" s="10">
        <v>45083</v>
      </c>
      <c r="C30" s="10">
        <v>45083</v>
      </c>
      <c r="D30" s="63" t="s">
        <v>714</v>
      </c>
      <c r="E30" s="8" t="s">
        <v>715</v>
      </c>
      <c r="F30" s="65" t="s">
        <v>723</v>
      </c>
      <c r="G30" s="6" t="e">
        <f>IF(F30="","",VLOOKUP(F30,'PLAN SUPORTE'!A:B,2,0))</f>
        <v>#N/A</v>
      </c>
      <c r="H30" s="7" t="s">
        <v>713</v>
      </c>
      <c r="I30" s="8" t="s">
        <v>692</v>
      </c>
      <c r="J30" s="8" t="s">
        <v>24</v>
      </c>
      <c r="K30" s="8" t="s">
        <v>25</v>
      </c>
      <c r="L30" s="8">
        <f>IF(K30="","",VLOOKUP(K30,'PLAN SUPORTE'!$H$2:$I$4,2,0))</f>
        <v>15</v>
      </c>
      <c r="M30" s="64">
        <v>45098</v>
      </c>
      <c r="N30" s="64">
        <v>45103</v>
      </c>
      <c r="O30" s="9" t="str">
        <f t="shared" si="0"/>
        <v>Dentro do Prazo</v>
      </c>
      <c r="P30" s="10">
        <f t="shared" si="4"/>
        <v>45098</v>
      </c>
      <c r="Q30" s="6" t="str">
        <f t="shared" ca="1" si="5"/>
        <v>Prazo Vencido</v>
      </c>
      <c r="R30" s="8">
        <f t="shared" si="3"/>
        <v>15</v>
      </c>
    </row>
    <row r="31" spans="1:18" ht="13">
      <c r="A31" s="8">
        <v>32</v>
      </c>
      <c r="B31" s="10">
        <v>45083</v>
      </c>
      <c r="C31" s="10">
        <v>45083</v>
      </c>
      <c r="D31" s="63" t="s">
        <v>714</v>
      </c>
      <c r="E31" s="8" t="s">
        <v>715</v>
      </c>
      <c r="F31" s="65" t="s">
        <v>723</v>
      </c>
      <c r="G31" s="6" t="e">
        <f>IF(F31="","",VLOOKUP(F31,'PLAN SUPORTE'!A:B,2,0))</f>
        <v>#N/A</v>
      </c>
      <c r="H31" s="7" t="s">
        <v>713</v>
      </c>
      <c r="I31" s="8" t="s">
        <v>692</v>
      </c>
      <c r="J31" s="8" t="s">
        <v>24</v>
      </c>
      <c r="K31" s="8" t="s">
        <v>25</v>
      </c>
      <c r="L31" s="8">
        <f>IF(K31="","",VLOOKUP(K31,'PLAN SUPORTE'!$H$2:$I$4,2,0))</f>
        <v>15</v>
      </c>
      <c r="M31" s="64">
        <v>45097</v>
      </c>
      <c r="N31" s="64">
        <v>45103</v>
      </c>
      <c r="O31" s="8" t="str">
        <f t="shared" si="0"/>
        <v>Dentro do Prazo</v>
      </c>
      <c r="P31" s="10">
        <f t="shared" si="4"/>
        <v>45098</v>
      </c>
      <c r="Q31" s="6" t="str">
        <f t="shared" ca="1" si="5"/>
        <v>Prazo Vencido</v>
      </c>
      <c r="R31" s="8">
        <f t="shared" si="3"/>
        <v>14</v>
      </c>
    </row>
    <row r="32" spans="1:18" ht="13">
      <c r="A32" s="8">
        <v>33</v>
      </c>
      <c r="B32" s="10">
        <v>45083</v>
      </c>
      <c r="C32" s="10">
        <v>45083</v>
      </c>
      <c r="D32" s="63" t="s">
        <v>714</v>
      </c>
      <c r="E32" s="8" t="s">
        <v>715</v>
      </c>
      <c r="F32" s="65" t="s">
        <v>723</v>
      </c>
      <c r="G32" s="6" t="e">
        <f>IF(F32="","",VLOOKUP(F32,'PLAN SUPORTE'!A:B,2,0))</f>
        <v>#N/A</v>
      </c>
      <c r="H32" s="7" t="s">
        <v>713</v>
      </c>
      <c r="I32" s="8" t="s">
        <v>692</v>
      </c>
      <c r="J32" s="8" t="s">
        <v>24</v>
      </c>
      <c r="K32" s="8" t="s">
        <v>25</v>
      </c>
      <c r="L32" s="8">
        <f>IF(K32="","",VLOOKUP(K32,'PLAN SUPORTE'!$H$2:$I$4,2,0))</f>
        <v>15</v>
      </c>
      <c r="M32" s="64">
        <v>45098</v>
      </c>
      <c r="N32" s="64">
        <v>45103</v>
      </c>
      <c r="O32" s="8" t="str">
        <f t="shared" si="0"/>
        <v>Dentro do Prazo</v>
      </c>
      <c r="P32" s="10">
        <f t="shared" si="4"/>
        <v>45098</v>
      </c>
      <c r="Q32" s="6" t="str">
        <f t="shared" ca="1" si="5"/>
        <v>Prazo Vencido</v>
      </c>
      <c r="R32" s="8">
        <f t="shared" si="3"/>
        <v>15</v>
      </c>
    </row>
    <row r="33" spans="1:18" ht="13">
      <c r="A33" s="8">
        <v>34</v>
      </c>
      <c r="B33" s="10">
        <v>45083</v>
      </c>
      <c r="C33" s="10">
        <v>45083</v>
      </c>
      <c r="D33" s="63" t="s">
        <v>714</v>
      </c>
      <c r="E33" s="8" t="s">
        <v>715</v>
      </c>
      <c r="F33" s="65" t="s">
        <v>724</v>
      </c>
      <c r="G33" s="6" t="e">
        <f>IF(F33="","",VLOOKUP(F33,'PLAN SUPORTE'!A:B,2,0))</f>
        <v>#N/A</v>
      </c>
      <c r="H33" s="7" t="s">
        <v>713</v>
      </c>
      <c r="I33" s="8" t="s">
        <v>692</v>
      </c>
      <c r="J33" s="8" t="s">
        <v>24</v>
      </c>
      <c r="K33" s="8" t="s">
        <v>25</v>
      </c>
      <c r="L33" s="8">
        <f>IF(K33="","",VLOOKUP(K33,'PLAN SUPORTE'!$H$2:$I$4,2,0))</f>
        <v>15</v>
      </c>
      <c r="M33" s="64">
        <v>45093</v>
      </c>
      <c r="N33" s="64">
        <v>45103</v>
      </c>
      <c r="O33" s="8" t="str">
        <f t="shared" si="0"/>
        <v>Dentro do Prazo</v>
      </c>
      <c r="P33" s="10">
        <f t="shared" si="4"/>
        <v>45098</v>
      </c>
      <c r="Q33" s="6" t="str">
        <f t="shared" ca="1" si="5"/>
        <v>Prazo Vencido</v>
      </c>
      <c r="R33" s="8">
        <f t="shared" si="3"/>
        <v>10</v>
      </c>
    </row>
    <row r="34" spans="1:18" ht="13">
      <c r="A34" s="8">
        <v>35</v>
      </c>
      <c r="B34" s="10">
        <v>45083</v>
      </c>
      <c r="C34" s="10">
        <v>45083</v>
      </c>
      <c r="D34" s="63" t="s">
        <v>714</v>
      </c>
      <c r="E34" s="8" t="s">
        <v>715</v>
      </c>
      <c r="F34" s="65" t="s">
        <v>725</v>
      </c>
      <c r="G34" s="6" t="e">
        <f>IF(F34="","",VLOOKUP(F34,'PLAN SUPORTE'!A:B,2,0))</f>
        <v>#N/A</v>
      </c>
      <c r="H34" s="7" t="s">
        <v>713</v>
      </c>
      <c r="I34" s="8"/>
      <c r="J34" s="8" t="s">
        <v>24</v>
      </c>
      <c r="K34" s="8" t="s">
        <v>25</v>
      </c>
      <c r="L34" s="8">
        <f>IF(K34="","",VLOOKUP(K34,'PLAN SUPORTE'!$H$2:$I$4,2,0))</f>
        <v>15</v>
      </c>
      <c r="M34" s="64">
        <v>45090</v>
      </c>
      <c r="N34" s="64">
        <v>45098</v>
      </c>
      <c r="O34" s="8" t="str">
        <f t="shared" si="0"/>
        <v>Dentro do Prazo</v>
      </c>
      <c r="P34" s="10">
        <f t="shared" si="4"/>
        <v>45098</v>
      </c>
      <c r="Q34" s="6" t="str">
        <f t="shared" ca="1" si="5"/>
        <v>Prazo Vencido</v>
      </c>
      <c r="R34" s="8">
        <f t="shared" si="3"/>
        <v>7</v>
      </c>
    </row>
    <row r="35" spans="1:18" ht="13">
      <c r="A35" s="8">
        <v>36</v>
      </c>
      <c r="B35" s="10">
        <v>45083</v>
      </c>
      <c r="C35" s="10">
        <v>45083</v>
      </c>
      <c r="D35" s="63" t="s">
        <v>714</v>
      </c>
      <c r="E35" s="8" t="s">
        <v>715</v>
      </c>
      <c r="F35" s="65" t="s">
        <v>725</v>
      </c>
      <c r="G35" s="6" t="e">
        <f>IF(F35="","",VLOOKUP(F35,'PLAN SUPORTE'!A:B,2,0))</f>
        <v>#N/A</v>
      </c>
      <c r="H35" s="7" t="s">
        <v>713</v>
      </c>
      <c r="I35" s="8"/>
      <c r="J35" s="8" t="s">
        <v>24</v>
      </c>
      <c r="K35" s="8" t="s">
        <v>25</v>
      </c>
      <c r="L35" s="8">
        <f>IF(K35="","",VLOOKUP(K35,'PLAN SUPORTE'!$H$2:$I$4,2,0))</f>
        <v>15</v>
      </c>
      <c r="M35" s="64">
        <v>45090</v>
      </c>
      <c r="N35" s="64">
        <v>45098</v>
      </c>
      <c r="O35" s="8" t="str">
        <f t="shared" si="0"/>
        <v>Dentro do Prazo</v>
      </c>
      <c r="P35" s="10">
        <f t="shared" si="4"/>
        <v>45098</v>
      </c>
      <c r="Q35" s="6" t="str">
        <f t="shared" ca="1" si="5"/>
        <v>Prazo Vencido</v>
      </c>
      <c r="R35" s="8">
        <f t="shared" si="3"/>
        <v>7</v>
      </c>
    </row>
    <row r="36" spans="1:18" ht="13">
      <c r="A36" s="8">
        <v>37</v>
      </c>
      <c r="B36" s="10">
        <v>45083</v>
      </c>
      <c r="C36" s="10">
        <v>45083</v>
      </c>
      <c r="D36" s="63" t="s">
        <v>714</v>
      </c>
      <c r="E36" s="8" t="s">
        <v>715</v>
      </c>
      <c r="F36" s="65" t="s">
        <v>725</v>
      </c>
      <c r="G36" s="6" t="e">
        <f>IF(F36="","",VLOOKUP(F36,'PLAN SUPORTE'!A:B,2,0))</f>
        <v>#N/A</v>
      </c>
      <c r="H36" s="7" t="s">
        <v>713</v>
      </c>
      <c r="I36" s="8"/>
      <c r="J36" s="8" t="s">
        <v>24</v>
      </c>
      <c r="K36" s="8" t="s">
        <v>25</v>
      </c>
      <c r="L36" s="8">
        <f>IF(K36="","",VLOOKUP(K36,'PLAN SUPORTE'!$H$2:$I$4,2,0))</f>
        <v>15</v>
      </c>
      <c r="M36" s="64">
        <v>45089</v>
      </c>
      <c r="N36" s="64">
        <v>45098</v>
      </c>
      <c r="O36" s="8" t="str">
        <f t="shared" si="0"/>
        <v>Dentro do Prazo</v>
      </c>
      <c r="P36" s="10">
        <f t="shared" si="4"/>
        <v>45098</v>
      </c>
      <c r="Q36" s="6" t="str">
        <f t="shared" ca="1" si="5"/>
        <v>Prazo Vencido</v>
      </c>
      <c r="R36" s="8">
        <f t="shared" si="3"/>
        <v>6</v>
      </c>
    </row>
    <row r="37" spans="1:18" ht="13">
      <c r="A37" s="8">
        <v>38</v>
      </c>
      <c r="B37" s="10">
        <v>45083</v>
      </c>
      <c r="C37" s="10">
        <v>45083</v>
      </c>
      <c r="D37" s="63" t="s">
        <v>714</v>
      </c>
      <c r="E37" s="8" t="s">
        <v>715</v>
      </c>
      <c r="F37" s="65" t="s">
        <v>724</v>
      </c>
      <c r="G37" s="6" t="e">
        <f>IF(F37="","",VLOOKUP(F37,'PLAN SUPORTE'!A:B,2,0))</f>
        <v>#N/A</v>
      </c>
      <c r="H37" s="7" t="s">
        <v>713</v>
      </c>
      <c r="I37" s="8" t="s">
        <v>692</v>
      </c>
      <c r="J37" s="8" t="s">
        <v>24</v>
      </c>
      <c r="K37" s="8" t="s">
        <v>25</v>
      </c>
      <c r="L37" s="8">
        <f>IF(K37="","",VLOOKUP(K37,'PLAN SUPORTE'!$H$2:$I$4,2,0))</f>
        <v>15</v>
      </c>
      <c r="M37" s="64">
        <v>45090</v>
      </c>
      <c r="N37" s="64">
        <v>45098</v>
      </c>
      <c r="O37" s="8" t="str">
        <f t="shared" si="0"/>
        <v>Dentro do Prazo</v>
      </c>
      <c r="P37" s="10">
        <f t="shared" si="4"/>
        <v>45098</v>
      </c>
      <c r="Q37" s="6" t="str">
        <f t="shared" ca="1" si="5"/>
        <v>Prazo Vencido</v>
      </c>
      <c r="R37" s="8">
        <f t="shared" si="3"/>
        <v>7</v>
      </c>
    </row>
    <row r="38" spans="1:18" ht="13">
      <c r="A38" s="8">
        <v>39</v>
      </c>
      <c r="B38" s="10">
        <v>45083</v>
      </c>
      <c r="C38" s="10">
        <v>45083</v>
      </c>
      <c r="D38" s="63" t="s">
        <v>714</v>
      </c>
      <c r="E38" s="8" t="s">
        <v>715</v>
      </c>
      <c r="F38" s="65" t="s">
        <v>724</v>
      </c>
      <c r="G38" s="6" t="e">
        <f>IF(F38="","",VLOOKUP(F38,'PLAN SUPORTE'!A:B,2,0))</f>
        <v>#N/A</v>
      </c>
      <c r="H38" s="7" t="s">
        <v>713</v>
      </c>
      <c r="I38" s="8" t="s">
        <v>692</v>
      </c>
      <c r="J38" s="8" t="s">
        <v>24</v>
      </c>
      <c r="K38" s="8" t="s">
        <v>25</v>
      </c>
      <c r="L38" s="8">
        <f>IF(K38="","",VLOOKUP(K38,'PLAN SUPORTE'!$H$2:$I$4,2,0))</f>
        <v>15</v>
      </c>
      <c r="M38" s="64">
        <v>45090</v>
      </c>
      <c r="N38" s="64">
        <v>45098</v>
      </c>
      <c r="O38" s="8" t="str">
        <f t="shared" si="0"/>
        <v>Dentro do Prazo</v>
      </c>
      <c r="P38" s="10">
        <f t="shared" si="4"/>
        <v>45098</v>
      </c>
      <c r="Q38" s="6" t="str">
        <f t="shared" ca="1" si="5"/>
        <v>Prazo Vencido</v>
      </c>
      <c r="R38" s="8">
        <f t="shared" si="3"/>
        <v>7</v>
      </c>
    </row>
    <row r="39" spans="1:18" ht="13">
      <c r="A39" s="8">
        <v>40</v>
      </c>
      <c r="B39" s="10">
        <v>45083</v>
      </c>
      <c r="C39" s="10">
        <v>45083</v>
      </c>
      <c r="D39" s="63" t="s">
        <v>714</v>
      </c>
      <c r="E39" s="8" t="s">
        <v>715</v>
      </c>
      <c r="F39" s="65" t="s">
        <v>724</v>
      </c>
      <c r="G39" s="6" t="e">
        <f>IF(F39="","",VLOOKUP(F39,'PLAN SUPORTE'!A:B,2,0))</f>
        <v>#N/A</v>
      </c>
      <c r="H39" s="7" t="s">
        <v>713</v>
      </c>
      <c r="I39" s="8" t="s">
        <v>692</v>
      </c>
      <c r="J39" s="8" t="s">
        <v>24</v>
      </c>
      <c r="K39" s="8" t="s">
        <v>25</v>
      </c>
      <c r="L39" s="8">
        <f>IF(K39="","",VLOOKUP(K39,'PLAN SUPORTE'!$H$2:$I$4,2,0))</f>
        <v>15</v>
      </c>
      <c r="M39" s="64">
        <v>45098</v>
      </c>
      <c r="N39" s="64">
        <v>45103</v>
      </c>
      <c r="O39" s="8" t="str">
        <f t="shared" si="0"/>
        <v>Dentro do Prazo</v>
      </c>
      <c r="P39" s="10">
        <f t="shared" si="4"/>
        <v>45098</v>
      </c>
      <c r="Q39" s="6" t="str">
        <f t="shared" ca="1" si="5"/>
        <v>Prazo Vencido</v>
      </c>
      <c r="R39" s="8">
        <f t="shared" si="3"/>
        <v>15</v>
      </c>
    </row>
    <row r="40" spans="1:18" ht="13">
      <c r="A40" s="8">
        <v>41</v>
      </c>
      <c r="B40" s="10">
        <v>45083</v>
      </c>
      <c r="C40" s="10">
        <v>45083</v>
      </c>
      <c r="D40" s="63" t="s">
        <v>714</v>
      </c>
      <c r="E40" s="8" t="s">
        <v>715</v>
      </c>
      <c r="F40" s="65" t="s">
        <v>724</v>
      </c>
      <c r="G40" s="6" t="e">
        <f>IF(F40="","",VLOOKUP(F40,'PLAN SUPORTE'!A:B,2,0))</f>
        <v>#N/A</v>
      </c>
      <c r="H40" s="7" t="s">
        <v>713</v>
      </c>
      <c r="I40" s="8" t="s">
        <v>692</v>
      </c>
      <c r="J40" s="8" t="s">
        <v>24</v>
      </c>
      <c r="K40" s="8" t="s">
        <v>25</v>
      </c>
      <c r="L40" s="8">
        <f>IF(K40="","",VLOOKUP(K40,'PLAN SUPORTE'!$H$2:$I$4,2,0))</f>
        <v>15</v>
      </c>
      <c r="M40" s="64">
        <v>45090</v>
      </c>
      <c r="N40" s="64">
        <v>45098</v>
      </c>
      <c r="O40" s="8" t="str">
        <f t="shared" si="0"/>
        <v>Dentro do Prazo</v>
      </c>
      <c r="P40" s="10">
        <f t="shared" si="4"/>
        <v>45098</v>
      </c>
      <c r="Q40" s="6" t="str">
        <f t="shared" ca="1" si="5"/>
        <v>Prazo Vencido</v>
      </c>
      <c r="R40" s="8">
        <f t="shared" si="3"/>
        <v>7</v>
      </c>
    </row>
    <row r="41" spans="1:18" ht="13">
      <c r="A41" s="8">
        <v>42</v>
      </c>
      <c r="B41" s="10">
        <v>45083</v>
      </c>
      <c r="C41" s="10">
        <v>45083</v>
      </c>
      <c r="D41" s="63" t="s">
        <v>714</v>
      </c>
      <c r="E41" s="8" t="s">
        <v>715</v>
      </c>
      <c r="F41" s="65" t="s">
        <v>726</v>
      </c>
      <c r="G41" s="6" t="e">
        <f>IF(F41="","",VLOOKUP(F41,'PLAN SUPORTE'!A:B,2,0))</f>
        <v>#N/A</v>
      </c>
      <c r="H41" s="7" t="s">
        <v>713</v>
      </c>
      <c r="I41" s="8" t="s">
        <v>692</v>
      </c>
      <c r="J41" s="8" t="s">
        <v>24</v>
      </c>
      <c r="K41" s="8" t="s">
        <v>25</v>
      </c>
      <c r="L41" s="8">
        <f>IF(K41="","",VLOOKUP(K41,'PLAN SUPORTE'!$H$2:$I$4,2,0))</f>
        <v>15</v>
      </c>
      <c r="M41" s="64">
        <v>45090</v>
      </c>
      <c r="N41" s="64">
        <v>45098</v>
      </c>
      <c r="O41" s="8" t="str">
        <f t="shared" si="0"/>
        <v>Dentro do Prazo</v>
      </c>
      <c r="P41" s="10">
        <f t="shared" si="4"/>
        <v>45098</v>
      </c>
      <c r="Q41" s="6" t="str">
        <f t="shared" ca="1" si="5"/>
        <v>Prazo Vencido</v>
      </c>
      <c r="R41" s="8">
        <f t="shared" si="3"/>
        <v>7</v>
      </c>
    </row>
    <row r="42" spans="1:18" ht="13">
      <c r="A42" s="8">
        <v>43</v>
      </c>
      <c r="B42" s="10">
        <v>45083</v>
      </c>
      <c r="C42" s="10">
        <v>45083</v>
      </c>
      <c r="D42" s="63" t="s">
        <v>714</v>
      </c>
      <c r="E42" s="8" t="s">
        <v>715</v>
      </c>
      <c r="F42" s="65" t="s">
        <v>727</v>
      </c>
      <c r="G42" s="6" t="e">
        <f>IF(F42="","",VLOOKUP(F42,'PLAN SUPORTE'!A:B,2,0))</f>
        <v>#N/A</v>
      </c>
      <c r="H42" s="7" t="s">
        <v>713</v>
      </c>
      <c r="I42" s="8" t="s">
        <v>692</v>
      </c>
      <c r="J42" s="8" t="s">
        <v>24</v>
      </c>
      <c r="K42" s="8" t="s">
        <v>25</v>
      </c>
      <c r="L42" s="8">
        <f>IF(K42="","",VLOOKUP(K42,'PLAN SUPORTE'!$H$2:$I$4,2,0))</f>
        <v>15</v>
      </c>
      <c r="M42" s="64">
        <v>45098</v>
      </c>
      <c r="N42" s="64">
        <v>45103</v>
      </c>
      <c r="O42" s="8" t="str">
        <f t="shared" si="0"/>
        <v>Dentro do Prazo</v>
      </c>
      <c r="P42" s="10">
        <f t="shared" si="4"/>
        <v>45098</v>
      </c>
      <c r="Q42" s="6" t="str">
        <f t="shared" ca="1" si="5"/>
        <v>Prazo Vencido</v>
      </c>
      <c r="R42" s="8">
        <f t="shared" si="3"/>
        <v>15</v>
      </c>
    </row>
    <row r="43" spans="1:18" ht="13">
      <c r="A43" s="8">
        <v>44</v>
      </c>
      <c r="B43" s="10">
        <v>45083</v>
      </c>
      <c r="C43" s="10">
        <v>45083</v>
      </c>
      <c r="D43" s="63" t="s">
        <v>714</v>
      </c>
      <c r="E43" s="8" t="s">
        <v>715</v>
      </c>
      <c r="F43" s="65" t="s">
        <v>727</v>
      </c>
      <c r="G43" s="6" t="e">
        <f>IF(F43="","",VLOOKUP(F43,'PLAN SUPORTE'!A:B,2,0))</f>
        <v>#N/A</v>
      </c>
      <c r="H43" s="7" t="s">
        <v>713</v>
      </c>
      <c r="I43" s="8" t="s">
        <v>692</v>
      </c>
      <c r="J43" s="8" t="s">
        <v>24</v>
      </c>
      <c r="K43" s="8" t="s">
        <v>25</v>
      </c>
      <c r="L43" s="8">
        <f>IF(K43="","",VLOOKUP(K43,'PLAN SUPORTE'!$H$2:$I$4,2,0))</f>
        <v>15</v>
      </c>
      <c r="M43" s="64">
        <v>45097</v>
      </c>
      <c r="N43" s="64">
        <v>45103</v>
      </c>
      <c r="O43" s="9" t="str">
        <f t="shared" si="0"/>
        <v>Dentro do Prazo</v>
      </c>
      <c r="P43" s="10">
        <f t="shared" si="4"/>
        <v>45098</v>
      </c>
      <c r="Q43" s="6" t="str">
        <f t="shared" ca="1" si="5"/>
        <v>Prazo Vencido</v>
      </c>
      <c r="R43" s="8">
        <f t="shared" si="3"/>
        <v>14</v>
      </c>
    </row>
    <row r="44" spans="1:18" ht="13">
      <c r="A44" s="8">
        <v>45</v>
      </c>
      <c r="B44" s="10">
        <v>45083</v>
      </c>
      <c r="C44" s="10">
        <v>45083</v>
      </c>
      <c r="D44" s="63" t="s">
        <v>714</v>
      </c>
      <c r="E44" s="8" t="s">
        <v>715</v>
      </c>
      <c r="F44" s="65" t="s">
        <v>727</v>
      </c>
      <c r="G44" s="6" t="e">
        <f>IF(F44="","",VLOOKUP(F44,'PLAN SUPORTE'!A:B,2,0))</f>
        <v>#N/A</v>
      </c>
      <c r="H44" s="7" t="s">
        <v>713</v>
      </c>
      <c r="I44" s="8" t="s">
        <v>692</v>
      </c>
      <c r="J44" s="8" t="s">
        <v>24</v>
      </c>
      <c r="K44" s="8" t="s">
        <v>25</v>
      </c>
      <c r="L44" s="8">
        <f>IF(K44="","",VLOOKUP(K44,'PLAN SUPORTE'!$H$2:$I$4,2,0))</f>
        <v>15</v>
      </c>
      <c r="M44" s="64">
        <v>45098</v>
      </c>
      <c r="N44" s="64">
        <v>45103</v>
      </c>
      <c r="O44" s="9" t="str">
        <f t="shared" si="0"/>
        <v>Dentro do Prazo</v>
      </c>
      <c r="P44" s="10">
        <f t="shared" si="4"/>
        <v>45098</v>
      </c>
      <c r="Q44" s="6" t="str">
        <f t="shared" ca="1" si="5"/>
        <v>Prazo Vencido</v>
      </c>
      <c r="R44" s="8">
        <f t="shared" si="3"/>
        <v>15</v>
      </c>
    </row>
    <row r="45" spans="1:18" ht="13">
      <c r="A45" s="8">
        <v>46</v>
      </c>
      <c r="B45" s="10">
        <v>45083</v>
      </c>
      <c r="C45" s="10">
        <v>45083</v>
      </c>
      <c r="D45" s="63" t="s">
        <v>714</v>
      </c>
      <c r="E45" s="8" t="s">
        <v>715</v>
      </c>
      <c r="F45" s="65" t="s">
        <v>727</v>
      </c>
      <c r="G45" s="6" t="e">
        <f>IF(F45="","",VLOOKUP(F45,'PLAN SUPORTE'!A:B,2,0))</f>
        <v>#N/A</v>
      </c>
      <c r="H45" s="7" t="s">
        <v>713</v>
      </c>
      <c r="I45" s="8" t="s">
        <v>692</v>
      </c>
      <c r="J45" s="8" t="s">
        <v>24</v>
      </c>
      <c r="K45" s="8" t="s">
        <v>25</v>
      </c>
      <c r="L45" s="8">
        <f>IF(K45="","",VLOOKUP(K45,'PLAN SUPORTE'!$H$2:$I$4,2,0))</f>
        <v>15</v>
      </c>
      <c r="M45" s="64">
        <v>45093</v>
      </c>
      <c r="N45" s="64">
        <v>45103</v>
      </c>
      <c r="O45" s="9" t="str">
        <f t="shared" si="0"/>
        <v>Dentro do Prazo</v>
      </c>
      <c r="P45" s="10">
        <f t="shared" si="4"/>
        <v>45098</v>
      </c>
      <c r="Q45" s="6" t="str">
        <f t="shared" ca="1" si="5"/>
        <v>Prazo Vencido</v>
      </c>
      <c r="R45" s="8">
        <f t="shared" si="3"/>
        <v>10</v>
      </c>
    </row>
    <row r="46" spans="1:18" ht="13">
      <c r="A46" s="8">
        <v>47</v>
      </c>
      <c r="B46" s="10">
        <v>45083</v>
      </c>
      <c r="C46" s="10">
        <v>45083</v>
      </c>
      <c r="D46" s="63" t="s">
        <v>714</v>
      </c>
      <c r="E46" s="8" t="s">
        <v>673</v>
      </c>
      <c r="F46" s="65" t="s">
        <v>727</v>
      </c>
      <c r="G46" s="6" t="e">
        <f>IF(F46="","",VLOOKUP(F46,'PLAN SUPORTE'!A:B,2,0))</f>
        <v>#N/A</v>
      </c>
      <c r="H46" s="7" t="s">
        <v>713</v>
      </c>
      <c r="I46" s="8" t="s">
        <v>692</v>
      </c>
      <c r="J46" s="8" t="s">
        <v>24</v>
      </c>
      <c r="K46" s="8" t="s">
        <v>25</v>
      </c>
      <c r="L46" s="8">
        <f>IF(K46="","",VLOOKUP(K46,'PLAN SUPORTE'!$H$2:$I$4,2,0))</f>
        <v>15</v>
      </c>
      <c r="M46" s="64">
        <v>45098</v>
      </c>
      <c r="N46" s="64">
        <v>45103</v>
      </c>
      <c r="O46" s="9" t="str">
        <f t="shared" si="0"/>
        <v>Dentro do Prazo</v>
      </c>
      <c r="P46" s="10">
        <f t="shared" si="4"/>
        <v>45098</v>
      </c>
      <c r="Q46" s="6" t="str">
        <f t="shared" ca="1" si="5"/>
        <v>Prazo Vencido</v>
      </c>
      <c r="R46" s="8">
        <f t="shared" si="3"/>
        <v>15</v>
      </c>
    </row>
    <row r="47" spans="1:18" ht="13">
      <c r="A47" s="8">
        <v>48</v>
      </c>
      <c r="B47" s="10">
        <v>45083</v>
      </c>
      <c r="C47" s="10">
        <v>45083</v>
      </c>
      <c r="D47" s="63" t="s">
        <v>714</v>
      </c>
      <c r="E47" s="8" t="s">
        <v>715</v>
      </c>
      <c r="F47" s="65" t="s">
        <v>718</v>
      </c>
      <c r="G47" s="6" t="e">
        <f>IF(F47="","",VLOOKUP(F47,'PLAN SUPORTE'!A:B,2,0))</f>
        <v>#N/A</v>
      </c>
      <c r="H47" s="7" t="s">
        <v>713</v>
      </c>
      <c r="I47" s="8" t="s">
        <v>692</v>
      </c>
      <c r="J47" s="8" t="s">
        <v>24</v>
      </c>
      <c r="K47" s="8" t="s">
        <v>25</v>
      </c>
      <c r="L47" s="8">
        <f>IF(K47="","",VLOOKUP(K47,'PLAN SUPORTE'!$H$2:$I$4,2,0))</f>
        <v>15</v>
      </c>
      <c r="M47" s="64">
        <v>45093</v>
      </c>
      <c r="N47" s="64">
        <v>45103</v>
      </c>
      <c r="O47" s="9" t="str">
        <f t="shared" si="0"/>
        <v>Dentro do Prazo</v>
      </c>
      <c r="P47" s="10">
        <f t="shared" si="4"/>
        <v>45098</v>
      </c>
      <c r="Q47" s="6" t="str">
        <f t="shared" ca="1" si="5"/>
        <v>Prazo Vencido</v>
      </c>
      <c r="R47" s="8">
        <f t="shared" si="3"/>
        <v>10</v>
      </c>
    </row>
    <row r="48" spans="1:18" ht="13">
      <c r="A48" s="8">
        <v>49</v>
      </c>
      <c r="B48" s="10">
        <v>45083</v>
      </c>
      <c r="C48" s="10">
        <v>45083</v>
      </c>
      <c r="D48" s="63" t="s">
        <v>714</v>
      </c>
      <c r="E48" s="8" t="s">
        <v>715</v>
      </c>
      <c r="F48" s="65" t="s">
        <v>718</v>
      </c>
      <c r="G48" s="6" t="e">
        <f>IF(F48="","",VLOOKUP(F48,'PLAN SUPORTE'!A:B,2,0))</f>
        <v>#N/A</v>
      </c>
      <c r="H48" s="7" t="s">
        <v>713</v>
      </c>
      <c r="I48" s="8" t="s">
        <v>692</v>
      </c>
      <c r="J48" s="8" t="s">
        <v>24</v>
      </c>
      <c r="K48" s="8" t="s">
        <v>25</v>
      </c>
      <c r="L48" s="8">
        <f>IF(K48="","",VLOOKUP(K48,'PLAN SUPORTE'!$H$2:$I$4,2,0))</f>
        <v>15</v>
      </c>
      <c r="M48" s="64">
        <v>45098</v>
      </c>
      <c r="N48" s="64">
        <v>45103</v>
      </c>
      <c r="O48" s="9" t="str">
        <f t="shared" si="0"/>
        <v>Dentro do Prazo</v>
      </c>
      <c r="P48" s="10">
        <f t="shared" si="4"/>
        <v>45098</v>
      </c>
      <c r="Q48" s="6" t="str">
        <f t="shared" ca="1" si="5"/>
        <v>Prazo Vencido</v>
      </c>
      <c r="R48" s="8">
        <f t="shared" si="3"/>
        <v>15</v>
      </c>
    </row>
    <row r="49" spans="1:18" ht="13">
      <c r="A49" s="8">
        <v>50</v>
      </c>
      <c r="B49" s="10">
        <v>45083</v>
      </c>
      <c r="C49" s="10">
        <v>45083</v>
      </c>
      <c r="D49" s="63" t="s">
        <v>714</v>
      </c>
      <c r="E49" s="8" t="s">
        <v>715</v>
      </c>
      <c r="F49" s="65" t="s">
        <v>718</v>
      </c>
      <c r="G49" s="6" t="e">
        <f>IF(F49="","",VLOOKUP(F49,'PLAN SUPORTE'!A:B,2,0))</f>
        <v>#N/A</v>
      </c>
      <c r="H49" s="7" t="s">
        <v>713</v>
      </c>
      <c r="I49" s="8" t="s">
        <v>692</v>
      </c>
      <c r="J49" s="8" t="s">
        <v>24</v>
      </c>
      <c r="K49" s="8" t="s">
        <v>25</v>
      </c>
      <c r="L49" s="8">
        <f>IF(K49="","",VLOOKUP(K49,'PLAN SUPORTE'!$H$2:$I$4,2,0))</f>
        <v>15</v>
      </c>
      <c r="M49" s="64">
        <v>45098</v>
      </c>
      <c r="N49" s="64">
        <v>45103</v>
      </c>
      <c r="O49" s="9" t="str">
        <f t="shared" si="0"/>
        <v>Dentro do Prazo</v>
      </c>
      <c r="P49" s="10">
        <f t="shared" si="4"/>
        <v>45098</v>
      </c>
      <c r="Q49" s="6" t="str">
        <f t="shared" ca="1" si="5"/>
        <v>Prazo Vencido</v>
      </c>
      <c r="R49" s="8">
        <f t="shared" si="3"/>
        <v>15</v>
      </c>
    </row>
    <row r="50" spans="1:18" ht="13">
      <c r="A50" s="8">
        <v>51</v>
      </c>
      <c r="B50" s="10">
        <v>45083</v>
      </c>
      <c r="C50" s="10">
        <v>45083</v>
      </c>
      <c r="D50" s="63" t="s">
        <v>714</v>
      </c>
      <c r="E50" s="8" t="s">
        <v>715</v>
      </c>
      <c r="F50" s="65" t="s">
        <v>728</v>
      </c>
      <c r="G50" s="6" t="e">
        <f>IF(F50="","",VLOOKUP(F50,'PLAN SUPORTE'!A:B,2,0))</f>
        <v>#N/A</v>
      </c>
      <c r="H50" s="7" t="s">
        <v>713</v>
      </c>
      <c r="I50" s="8" t="s">
        <v>692</v>
      </c>
      <c r="J50" s="8" t="s">
        <v>24</v>
      </c>
      <c r="K50" s="8" t="s">
        <v>25</v>
      </c>
      <c r="L50" s="8">
        <f>IF(K50="","",VLOOKUP(K50,'PLAN SUPORTE'!$H$2:$I$4,2,0))</f>
        <v>15</v>
      </c>
      <c r="M50" s="64">
        <v>45097</v>
      </c>
      <c r="N50" s="64">
        <v>45103</v>
      </c>
      <c r="O50" s="9" t="str">
        <f t="shared" si="0"/>
        <v>Dentro do Prazo</v>
      </c>
      <c r="P50" s="10">
        <f t="shared" si="4"/>
        <v>45098</v>
      </c>
      <c r="Q50" s="6" t="str">
        <f t="shared" ca="1" si="5"/>
        <v>Prazo Vencido</v>
      </c>
      <c r="R50" s="8">
        <f t="shared" si="3"/>
        <v>14</v>
      </c>
    </row>
    <row r="51" spans="1:18" ht="13">
      <c r="A51" s="8">
        <v>52</v>
      </c>
      <c r="B51" s="10">
        <v>45083</v>
      </c>
      <c r="C51" s="10">
        <v>45083</v>
      </c>
      <c r="D51" s="63" t="s">
        <v>714</v>
      </c>
      <c r="E51" s="8" t="s">
        <v>715</v>
      </c>
      <c r="F51" s="65" t="s">
        <v>728</v>
      </c>
      <c r="G51" s="6" t="e">
        <f>IF(F51="","",VLOOKUP(F51,'PLAN SUPORTE'!A:B,2,0))</f>
        <v>#N/A</v>
      </c>
      <c r="H51" s="7" t="s">
        <v>713</v>
      </c>
      <c r="I51" s="8" t="s">
        <v>692</v>
      </c>
      <c r="J51" s="8" t="s">
        <v>24</v>
      </c>
      <c r="K51" s="8" t="s">
        <v>25</v>
      </c>
      <c r="L51" s="8">
        <f>IF(K51="","",VLOOKUP(K51,'PLAN SUPORTE'!$H$2:$I$4,2,0))</f>
        <v>15</v>
      </c>
      <c r="M51" s="64">
        <v>45097</v>
      </c>
      <c r="N51" s="64">
        <v>45103</v>
      </c>
      <c r="O51" s="9" t="str">
        <f t="shared" si="0"/>
        <v>Dentro do Prazo</v>
      </c>
      <c r="P51" s="10">
        <f t="shared" si="4"/>
        <v>45098</v>
      </c>
      <c r="Q51" s="6" t="str">
        <f t="shared" ca="1" si="5"/>
        <v>Prazo Vencido</v>
      </c>
      <c r="R51" s="8">
        <f t="shared" si="3"/>
        <v>14</v>
      </c>
    </row>
    <row r="52" spans="1:18" ht="13">
      <c r="A52" s="8">
        <v>53</v>
      </c>
      <c r="B52" s="10">
        <v>45083</v>
      </c>
      <c r="C52" s="10">
        <v>45083</v>
      </c>
      <c r="D52" s="63" t="s">
        <v>714</v>
      </c>
      <c r="E52" s="8" t="s">
        <v>729</v>
      </c>
      <c r="F52" s="65" t="s">
        <v>728</v>
      </c>
      <c r="G52" s="6" t="e">
        <f>IF(F52="","",VLOOKUP(F52,'PLAN SUPORTE'!A:B,2,0))</f>
        <v>#N/A</v>
      </c>
      <c r="H52" s="7" t="s">
        <v>713</v>
      </c>
      <c r="I52" s="8" t="s">
        <v>692</v>
      </c>
      <c r="J52" s="8" t="s">
        <v>24</v>
      </c>
      <c r="K52" s="8" t="s">
        <v>25</v>
      </c>
      <c r="L52" s="8">
        <f>IF(K52="","",VLOOKUP(K52,'PLAN SUPORTE'!$H$2:$I$4,2,0))</f>
        <v>15</v>
      </c>
      <c r="M52" s="64">
        <v>45098</v>
      </c>
      <c r="N52" s="64">
        <v>45103</v>
      </c>
      <c r="O52" s="38" t="str">
        <f t="shared" si="0"/>
        <v>Dentro do Prazo</v>
      </c>
      <c r="P52" s="10">
        <f t="shared" si="4"/>
        <v>45098</v>
      </c>
      <c r="Q52" s="6" t="str">
        <f t="shared" ca="1" si="5"/>
        <v>Prazo Vencido</v>
      </c>
      <c r="R52" s="8">
        <f t="shared" si="3"/>
        <v>15</v>
      </c>
    </row>
    <row r="53" spans="1:18" ht="13">
      <c r="A53" s="8">
        <v>54</v>
      </c>
      <c r="B53" s="10">
        <v>45083</v>
      </c>
      <c r="C53" s="10">
        <v>45083</v>
      </c>
      <c r="D53" s="63" t="s">
        <v>714</v>
      </c>
      <c r="E53" s="8" t="s">
        <v>730</v>
      </c>
      <c r="F53" s="65" t="s">
        <v>731</v>
      </c>
      <c r="G53" s="6" t="e">
        <f>IF(F53="","",VLOOKUP(F53,'PLAN SUPORTE'!A:B,2,0))</f>
        <v>#N/A</v>
      </c>
      <c r="H53" s="7" t="s">
        <v>713</v>
      </c>
      <c r="I53" s="8" t="s">
        <v>692</v>
      </c>
      <c r="J53" s="8" t="s">
        <v>24</v>
      </c>
      <c r="K53" s="8" t="s">
        <v>25</v>
      </c>
      <c r="L53" s="8">
        <f>IF(K53="","",VLOOKUP(K53,'PLAN SUPORTE'!$H$2:$I$4,2,0))</f>
        <v>15</v>
      </c>
      <c r="M53" s="64">
        <v>45098</v>
      </c>
      <c r="N53" s="64">
        <v>45103</v>
      </c>
      <c r="O53" s="39" t="str">
        <f t="shared" si="0"/>
        <v>Dentro do Prazo</v>
      </c>
      <c r="P53" s="10">
        <f t="shared" si="4"/>
        <v>45098</v>
      </c>
      <c r="Q53" s="6" t="str">
        <f t="shared" ca="1" si="5"/>
        <v>Prazo Vencido</v>
      </c>
      <c r="R53" s="8">
        <f t="shared" si="3"/>
        <v>15</v>
      </c>
    </row>
    <row r="54" spans="1:18" ht="13">
      <c r="A54" s="8">
        <v>55</v>
      </c>
      <c r="B54" s="10">
        <v>45083</v>
      </c>
      <c r="C54" s="10">
        <v>45083</v>
      </c>
      <c r="D54" s="63" t="s">
        <v>714</v>
      </c>
      <c r="E54" s="8" t="s">
        <v>732</v>
      </c>
      <c r="F54" s="65" t="s">
        <v>731</v>
      </c>
      <c r="G54" s="6" t="e">
        <f>IF(F54="","",VLOOKUP(F54,'PLAN SUPORTE'!A:B,2,0))</f>
        <v>#N/A</v>
      </c>
      <c r="H54" s="7" t="s">
        <v>713</v>
      </c>
      <c r="I54" s="8" t="s">
        <v>692</v>
      </c>
      <c r="J54" s="8" t="s">
        <v>24</v>
      </c>
      <c r="K54" s="8" t="s">
        <v>25</v>
      </c>
      <c r="L54" s="8">
        <f>IF(K54="","",VLOOKUP(K54,'PLAN SUPORTE'!$H$2:$I$4,2,0))</f>
        <v>15</v>
      </c>
      <c r="M54" s="64">
        <v>45097</v>
      </c>
      <c r="N54" s="64">
        <v>45103</v>
      </c>
      <c r="O54" s="39" t="str">
        <f t="shared" si="0"/>
        <v>Dentro do Prazo</v>
      </c>
      <c r="P54" s="10">
        <f t="shared" si="4"/>
        <v>45098</v>
      </c>
      <c r="Q54" s="6" t="str">
        <f t="shared" ca="1" si="5"/>
        <v>Prazo Vencido</v>
      </c>
      <c r="R54" s="8">
        <f t="shared" si="3"/>
        <v>14</v>
      </c>
    </row>
    <row r="55" spans="1:18" ht="13">
      <c r="A55" s="8">
        <v>56</v>
      </c>
      <c r="B55" s="10">
        <v>45083</v>
      </c>
      <c r="C55" s="10">
        <v>45083</v>
      </c>
      <c r="D55" s="63" t="s">
        <v>714</v>
      </c>
      <c r="E55" s="8" t="s">
        <v>715</v>
      </c>
      <c r="F55" s="65" t="s">
        <v>726</v>
      </c>
      <c r="G55" s="6" t="e">
        <f>IF(F55="","",VLOOKUP(F55,'PLAN SUPORTE'!A:B,2,0))</f>
        <v>#N/A</v>
      </c>
      <c r="H55" s="7" t="s">
        <v>713</v>
      </c>
      <c r="I55" s="8" t="s">
        <v>692</v>
      </c>
      <c r="J55" s="8" t="s">
        <v>24</v>
      </c>
      <c r="K55" s="8" t="s">
        <v>25</v>
      </c>
      <c r="L55" s="8">
        <f>IF(K55="","",VLOOKUP(K55,'PLAN SUPORTE'!$H$2:$I$4,2,0))</f>
        <v>15</v>
      </c>
      <c r="M55" s="64">
        <v>45093</v>
      </c>
      <c r="N55" s="64">
        <v>45103</v>
      </c>
      <c r="O55" s="39" t="str">
        <f t="shared" si="0"/>
        <v>Dentro do Prazo</v>
      </c>
      <c r="P55" s="10">
        <f t="shared" si="4"/>
        <v>45098</v>
      </c>
      <c r="Q55" s="6" t="str">
        <f t="shared" ca="1" si="5"/>
        <v>Prazo Vencido</v>
      </c>
      <c r="R55" s="8">
        <f t="shared" si="3"/>
        <v>10</v>
      </c>
    </row>
    <row r="56" spans="1:18" ht="13">
      <c r="A56" s="8">
        <v>57</v>
      </c>
      <c r="B56" s="10">
        <v>45083</v>
      </c>
      <c r="C56" s="10">
        <v>45083</v>
      </c>
      <c r="D56" s="63" t="s">
        <v>714</v>
      </c>
      <c r="E56" s="8" t="s">
        <v>715</v>
      </c>
      <c r="F56" s="65" t="s">
        <v>726</v>
      </c>
      <c r="G56" s="6" t="e">
        <f>IF(F56="","",VLOOKUP(F56,'PLAN SUPORTE'!A:B,2,0))</f>
        <v>#N/A</v>
      </c>
      <c r="H56" s="7" t="s">
        <v>713</v>
      </c>
      <c r="I56" s="8" t="s">
        <v>692</v>
      </c>
      <c r="J56" s="8" t="s">
        <v>24</v>
      </c>
      <c r="K56" s="8" t="s">
        <v>25</v>
      </c>
      <c r="L56" s="8">
        <f>IF(K56="","",VLOOKUP(K56,'PLAN SUPORTE'!$H$2:$I$4,2,0))</f>
        <v>15</v>
      </c>
      <c r="M56" s="64">
        <v>45097</v>
      </c>
      <c r="N56" s="64">
        <v>45103</v>
      </c>
      <c r="O56" s="39" t="str">
        <f t="shared" si="0"/>
        <v>Dentro do Prazo</v>
      </c>
      <c r="P56" s="10">
        <f t="shared" si="4"/>
        <v>45098</v>
      </c>
      <c r="Q56" s="6" t="str">
        <f t="shared" ca="1" si="5"/>
        <v>Prazo Vencido</v>
      </c>
      <c r="R56" s="8">
        <f t="shared" si="3"/>
        <v>14</v>
      </c>
    </row>
    <row r="57" spans="1:18" ht="13">
      <c r="A57" s="8">
        <v>58</v>
      </c>
      <c r="B57" s="10">
        <v>45083</v>
      </c>
      <c r="C57" s="10">
        <v>45083</v>
      </c>
      <c r="D57" s="63" t="s">
        <v>710</v>
      </c>
      <c r="E57" s="8" t="s">
        <v>711</v>
      </c>
      <c r="F57" s="65" t="s">
        <v>723</v>
      </c>
      <c r="G57" s="6" t="e">
        <f>IF(F57="","",VLOOKUP(F57,'PLAN SUPORTE'!A:B,2,0))</f>
        <v>#N/A</v>
      </c>
      <c r="H57" s="7" t="s">
        <v>713</v>
      </c>
      <c r="I57" s="8" t="s">
        <v>692</v>
      </c>
      <c r="J57" s="8" t="s">
        <v>24</v>
      </c>
      <c r="K57" s="8" t="s">
        <v>25</v>
      </c>
      <c r="L57" s="8">
        <f>IF(K57="","",VLOOKUP(K57,'PLAN SUPORTE'!$H$2:$I$4,2,0))</f>
        <v>15</v>
      </c>
      <c r="M57" s="64">
        <v>45087</v>
      </c>
      <c r="N57" s="64">
        <v>45098</v>
      </c>
      <c r="O57" s="39" t="str">
        <f t="shared" si="0"/>
        <v>Dentro do Prazo</v>
      </c>
      <c r="P57" s="10">
        <f t="shared" si="4"/>
        <v>45098</v>
      </c>
      <c r="Q57" s="6" t="str">
        <f t="shared" ca="1" si="5"/>
        <v>Prazo Vencido</v>
      </c>
      <c r="R57" s="8">
        <f t="shared" si="3"/>
        <v>4</v>
      </c>
    </row>
    <row r="58" spans="1:18" ht="13">
      <c r="A58" s="8">
        <v>59</v>
      </c>
      <c r="B58" s="10">
        <v>45114</v>
      </c>
      <c r="C58" s="10">
        <v>45115</v>
      </c>
      <c r="D58" s="63" t="s">
        <v>714</v>
      </c>
      <c r="E58" s="8" t="s">
        <v>715</v>
      </c>
      <c r="F58" s="8" t="s">
        <v>719</v>
      </c>
      <c r="G58" s="6" t="e">
        <f>IF(F58="","",VLOOKUP(F58,'PLAN SUPORTE'!A:B,2,0))</f>
        <v>#N/A</v>
      </c>
      <c r="H58" s="7" t="s">
        <v>713</v>
      </c>
      <c r="I58" s="8" t="s">
        <v>692</v>
      </c>
      <c r="J58" s="8" t="s">
        <v>24</v>
      </c>
      <c r="K58" s="8" t="s">
        <v>25</v>
      </c>
      <c r="L58" s="8">
        <f>IF(K58="","",VLOOKUP(K58,'PLAN SUPORTE'!$H$2:$I$4,2,0))</f>
        <v>15</v>
      </c>
      <c r="M58" s="10">
        <v>45128</v>
      </c>
      <c r="N58" s="10">
        <v>45133</v>
      </c>
      <c r="O58" s="39" t="str">
        <f t="shared" si="0"/>
        <v>Dentro do Prazo</v>
      </c>
      <c r="P58" s="10">
        <f t="shared" si="4"/>
        <v>45130</v>
      </c>
      <c r="Q58" s="6" t="str">
        <f t="shared" ca="1" si="5"/>
        <v>Prazo Vencido</v>
      </c>
      <c r="R58" s="8">
        <f t="shared" si="3"/>
        <v>13</v>
      </c>
    </row>
    <row r="59" spans="1:18" ht="13">
      <c r="A59" s="8">
        <v>60</v>
      </c>
      <c r="B59" s="10">
        <v>45114</v>
      </c>
      <c r="C59" s="10">
        <v>45115</v>
      </c>
      <c r="D59" s="63" t="s">
        <v>714</v>
      </c>
      <c r="E59" s="8" t="s">
        <v>715</v>
      </c>
      <c r="F59" s="8" t="s">
        <v>719</v>
      </c>
      <c r="G59" s="6" t="e">
        <f>IF(F59="","",VLOOKUP(F59,'PLAN SUPORTE'!A:B,2,0))</f>
        <v>#N/A</v>
      </c>
      <c r="H59" s="7" t="s">
        <v>713</v>
      </c>
      <c r="I59" s="8" t="s">
        <v>692</v>
      </c>
      <c r="J59" s="8" t="s">
        <v>24</v>
      </c>
      <c r="K59" s="8" t="s">
        <v>25</v>
      </c>
      <c r="L59" s="8">
        <f>IF(K59="","",VLOOKUP(K59,'PLAN SUPORTE'!$H$2:$I$4,2,0))</f>
        <v>15</v>
      </c>
      <c r="M59" s="10">
        <v>45128</v>
      </c>
      <c r="N59" s="10">
        <v>45133</v>
      </c>
      <c r="O59" s="39" t="str">
        <f t="shared" si="0"/>
        <v>Dentro do Prazo</v>
      </c>
      <c r="P59" s="10">
        <f t="shared" si="4"/>
        <v>45130</v>
      </c>
      <c r="Q59" s="6" t="str">
        <f t="shared" ca="1" si="5"/>
        <v>Prazo Vencido</v>
      </c>
      <c r="R59" s="8">
        <f t="shared" si="3"/>
        <v>13</v>
      </c>
    </row>
    <row r="60" spans="1:18" ht="13">
      <c r="A60" s="8">
        <v>61</v>
      </c>
      <c r="B60" s="10">
        <v>45114</v>
      </c>
      <c r="C60" s="10">
        <v>45115</v>
      </c>
      <c r="D60" s="63" t="s">
        <v>714</v>
      </c>
      <c r="E60" s="8" t="s">
        <v>715</v>
      </c>
      <c r="F60" s="8" t="s">
        <v>719</v>
      </c>
      <c r="G60" s="6" t="e">
        <f>IF(F60="","",VLOOKUP(F60,'PLAN SUPORTE'!A:B,2,0))</f>
        <v>#N/A</v>
      </c>
      <c r="H60" s="7" t="s">
        <v>713</v>
      </c>
      <c r="I60" s="8" t="s">
        <v>692</v>
      </c>
      <c r="J60" s="8" t="s">
        <v>24</v>
      </c>
      <c r="K60" s="8" t="s">
        <v>25</v>
      </c>
      <c r="L60" s="8">
        <f>IF(K60="","",VLOOKUP(K60,'PLAN SUPORTE'!$H$2:$I$4,2,0))</f>
        <v>15</v>
      </c>
      <c r="M60" s="10">
        <v>45128</v>
      </c>
      <c r="N60" s="10">
        <v>45133</v>
      </c>
      <c r="O60" s="39" t="str">
        <f t="shared" si="0"/>
        <v>Dentro do Prazo</v>
      </c>
      <c r="P60" s="10">
        <f t="shared" si="4"/>
        <v>45130</v>
      </c>
      <c r="Q60" s="6" t="str">
        <f t="shared" ca="1" si="5"/>
        <v>Prazo Vencido</v>
      </c>
      <c r="R60" s="8">
        <f t="shared" si="3"/>
        <v>13</v>
      </c>
    </row>
    <row r="61" spans="1:18" ht="13">
      <c r="A61" s="8">
        <v>62</v>
      </c>
      <c r="B61" s="10">
        <v>45114</v>
      </c>
      <c r="C61" s="10">
        <v>45115</v>
      </c>
      <c r="D61" s="63" t="s">
        <v>714</v>
      </c>
      <c r="E61" s="8" t="s">
        <v>715</v>
      </c>
      <c r="F61" s="8" t="s">
        <v>719</v>
      </c>
      <c r="G61" s="6" t="e">
        <f>IF(F61="","",VLOOKUP(F61,'PLAN SUPORTE'!A:B,2,0))</f>
        <v>#N/A</v>
      </c>
      <c r="H61" s="7" t="s">
        <v>713</v>
      </c>
      <c r="I61" s="8" t="s">
        <v>692</v>
      </c>
      <c r="J61" s="8" t="s">
        <v>24</v>
      </c>
      <c r="K61" s="8" t="s">
        <v>25</v>
      </c>
      <c r="L61" s="8">
        <f>IF(K61="","",VLOOKUP(K61,'PLAN SUPORTE'!$H$2:$I$4,2,0))</f>
        <v>15</v>
      </c>
      <c r="M61" s="10">
        <v>45128</v>
      </c>
      <c r="N61" s="10">
        <v>45133</v>
      </c>
      <c r="O61" s="39" t="str">
        <f t="shared" si="0"/>
        <v>Dentro do Prazo</v>
      </c>
      <c r="P61" s="10">
        <f t="shared" si="4"/>
        <v>45130</v>
      </c>
      <c r="Q61" s="6" t="str">
        <f t="shared" ca="1" si="5"/>
        <v>Prazo Vencido</v>
      </c>
      <c r="R61" s="8">
        <f t="shared" si="3"/>
        <v>13</v>
      </c>
    </row>
    <row r="62" spans="1:18" ht="13">
      <c r="A62" s="8">
        <v>63</v>
      </c>
      <c r="B62" s="10">
        <v>45114</v>
      </c>
      <c r="C62" s="10">
        <v>45115</v>
      </c>
      <c r="D62" s="63" t="s">
        <v>714</v>
      </c>
      <c r="E62" s="8" t="s">
        <v>715</v>
      </c>
      <c r="F62" s="8" t="s">
        <v>719</v>
      </c>
      <c r="G62" s="6" t="e">
        <f>IF(F62="","",VLOOKUP(F62,'PLAN SUPORTE'!A:B,2,0))</f>
        <v>#N/A</v>
      </c>
      <c r="H62" s="7" t="s">
        <v>713</v>
      </c>
      <c r="I62" s="8" t="s">
        <v>692</v>
      </c>
      <c r="J62" s="8" t="s">
        <v>24</v>
      </c>
      <c r="K62" s="8" t="s">
        <v>25</v>
      </c>
      <c r="L62" s="8">
        <f>IF(K62="","",VLOOKUP(K62,'PLAN SUPORTE'!$H$2:$I$4,2,0))</f>
        <v>15</v>
      </c>
      <c r="M62" s="10">
        <v>45128</v>
      </c>
      <c r="N62" s="10">
        <v>45133</v>
      </c>
      <c r="O62" s="39" t="str">
        <f t="shared" si="0"/>
        <v>Dentro do Prazo</v>
      </c>
      <c r="P62" s="10">
        <f t="shared" si="4"/>
        <v>45130</v>
      </c>
      <c r="Q62" s="6" t="str">
        <f t="shared" ca="1" si="5"/>
        <v>Prazo Vencido</v>
      </c>
      <c r="R62" s="8">
        <f t="shared" si="3"/>
        <v>13</v>
      </c>
    </row>
    <row r="63" spans="1:18" ht="13">
      <c r="A63" s="8">
        <v>64</v>
      </c>
      <c r="B63" s="10">
        <v>45114</v>
      </c>
      <c r="C63" s="10">
        <v>45115</v>
      </c>
      <c r="D63" s="63" t="s">
        <v>714</v>
      </c>
      <c r="E63" s="8" t="s">
        <v>715</v>
      </c>
      <c r="F63" s="8" t="s">
        <v>719</v>
      </c>
      <c r="G63" s="6" t="e">
        <f>IF(F63="","",VLOOKUP(F63,'PLAN SUPORTE'!A:B,2,0))</f>
        <v>#N/A</v>
      </c>
      <c r="H63" s="7" t="s">
        <v>713</v>
      </c>
      <c r="I63" s="8" t="s">
        <v>692</v>
      </c>
      <c r="J63" s="8" t="s">
        <v>24</v>
      </c>
      <c r="K63" s="8" t="s">
        <v>25</v>
      </c>
      <c r="L63" s="8">
        <f>IF(K63="","",VLOOKUP(K63,'PLAN SUPORTE'!$H$2:$I$4,2,0))</f>
        <v>15</v>
      </c>
      <c r="M63" s="10">
        <v>45128</v>
      </c>
      <c r="N63" s="10">
        <v>45133</v>
      </c>
      <c r="O63" s="39" t="str">
        <f t="shared" si="0"/>
        <v>Dentro do Prazo</v>
      </c>
      <c r="P63" s="10">
        <f t="shared" si="4"/>
        <v>45130</v>
      </c>
      <c r="Q63" s="6" t="str">
        <f t="shared" ca="1" si="5"/>
        <v>Prazo Vencido</v>
      </c>
      <c r="R63" s="8">
        <f t="shared" si="3"/>
        <v>13</v>
      </c>
    </row>
    <row r="64" spans="1:18" ht="13">
      <c r="A64" s="8">
        <v>65</v>
      </c>
      <c r="B64" s="10">
        <v>45114</v>
      </c>
      <c r="C64" s="10">
        <v>45115</v>
      </c>
      <c r="D64" s="63" t="s">
        <v>714</v>
      </c>
      <c r="E64" s="8" t="s">
        <v>715</v>
      </c>
      <c r="F64" s="8" t="s">
        <v>720</v>
      </c>
      <c r="G64" s="6" t="e">
        <f>IF(F64="","",VLOOKUP(F64,'PLAN SUPORTE'!A:B,2,0))</f>
        <v>#N/A</v>
      </c>
      <c r="H64" s="7" t="s">
        <v>713</v>
      </c>
      <c r="I64" s="8" t="s">
        <v>692</v>
      </c>
      <c r="J64" s="8" t="s">
        <v>24</v>
      </c>
      <c r="K64" s="8" t="s">
        <v>25</v>
      </c>
      <c r="L64" s="8">
        <f>IF(K64="","",VLOOKUP(K64,'PLAN SUPORTE'!$H$2:$I$4,2,0))</f>
        <v>15</v>
      </c>
      <c r="M64" s="10">
        <v>45128</v>
      </c>
      <c r="N64" s="10">
        <v>45133</v>
      </c>
      <c r="O64" s="39" t="str">
        <f t="shared" si="0"/>
        <v>Dentro do Prazo</v>
      </c>
      <c r="P64" s="10">
        <f t="shared" si="4"/>
        <v>45130</v>
      </c>
      <c r="Q64" s="6" t="str">
        <f t="shared" ca="1" si="5"/>
        <v>Prazo Vencido</v>
      </c>
      <c r="R64" s="8">
        <f t="shared" si="3"/>
        <v>13</v>
      </c>
    </row>
    <row r="65" spans="1:18" ht="13">
      <c r="A65" s="8">
        <v>66</v>
      </c>
      <c r="B65" s="10">
        <v>45114</v>
      </c>
      <c r="C65" s="10">
        <v>45115</v>
      </c>
      <c r="D65" s="63" t="s">
        <v>714</v>
      </c>
      <c r="E65" s="8" t="s">
        <v>715</v>
      </c>
      <c r="F65" s="8" t="s">
        <v>720</v>
      </c>
      <c r="G65" s="6" t="e">
        <f>IF(F65="","",VLOOKUP(F65,'PLAN SUPORTE'!A:B,2,0))</f>
        <v>#N/A</v>
      </c>
      <c r="H65" s="7" t="s">
        <v>713</v>
      </c>
      <c r="I65" s="8" t="s">
        <v>692</v>
      </c>
      <c r="J65" s="8" t="s">
        <v>24</v>
      </c>
      <c r="K65" s="8" t="s">
        <v>25</v>
      </c>
      <c r="L65" s="8">
        <f>IF(K65="","",VLOOKUP(K65,'PLAN SUPORTE'!$H$2:$I$4,2,0))</f>
        <v>15</v>
      </c>
      <c r="M65" s="10">
        <v>45128</v>
      </c>
      <c r="N65" s="10">
        <v>45133</v>
      </c>
      <c r="O65" s="39" t="str">
        <f t="shared" si="0"/>
        <v>Dentro do Prazo</v>
      </c>
      <c r="P65" s="10">
        <f t="shared" si="4"/>
        <v>45130</v>
      </c>
      <c r="Q65" s="6" t="str">
        <f t="shared" ca="1" si="5"/>
        <v>Prazo Vencido</v>
      </c>
      <c r="R65" s="8">
        <f t="shared" si="3"/>
        <v>13</v>
      </c>
    </row>
    <row r="66" spans="1:18" ht="13">
      <c r="A66" s="8">
        <v>67</v>
      </c>
      <c r="B66" s="10">
        <v>45114</v>
      </c>
      <c r="C66" s="10">
        <v>45115</v>
      </c>
      <c r="D66" s="63" t="s">
        <v>714</v>
      </c>
      <c r="E66" s="8" t="s">
        <v>715</v>
      </c>
      <c r="F66" s="8" t="s">
        <v>720</v>
      </c>
      <c r="G66" s="6" t="e">
        <f>IF(F66="","",VLOOKUP(F66,'PLAN SUPORTE'!A:B,2,0))</f>
        <v>#N/A</v>
      </c>
      <c r="H66" s="7" t="s">
        <v>713</v>
      </c>
      <c r="I66" s="8" t="s">
        <v>692</v>
      </c>
      <c r="J66" s="8" t="s">
        <v>24</v>
      </c>
      <c r="K66" s="8" t="s">
        <v>25</v>
      </c>
      <c r="L66" s="8">
        <f>IF(K66="","",VLOOKUP(K66,'PLAN SUPORTE'!$H$2:$I$4,2,0))</f>
        <v>15</v>
      </c>
      <c r="M66" s="10">
        <v>45128</v>
      </c>
      <c r="N66" s="10">
        <v>45133</v>
      </c>
      <c r="O66" s="39" t="str">
        <f t="shared" si="0"/>
        <v>Dentro do Prazo</v>
      </c>
      <c r="P66" s="10">
        <f t="shared" si="4"/>
        <v>45130</v>
      </c>
      <c r="Q66" s="6" t="str">
        <f t="shared" ca="1" si="5"/>
        <v>Prazo Vencido</v>
      </c>
      <c r="R66" s="8">
        <f t="shared" si="3"/>
        <v>13</v>
      </c>
    </row>
    <row r="67" spans="1:18" ht="13">
      <c r="A67" s="8">
        <v>68</v>
      </c>
      <c r="B67" s="10">
        <v>45114</v>
      </c>
      <c r="C67" s="10">
        <v>45115</v>
      </c>
      <c r="D67" s="63" t="s">
        <v>714</v>
      </c>
      <c r="E67" s="8" t="s">
        <v>733</v>
      </c>
      <c r="F67" s="8" t="s">
        <v>690</v>
      </c>
      <c r="G67" s="6" t="e">
        <f>IF(F67="","",VLOOKUP(F67,'PLAN SUPORTE'!A:B,2,0))</f>
        <v>#N/A</v>
      </c>
      <c r="H67" s="7" t="s">
        <v>713</v>
      </c>
      <c r="I67" s="8" t="s">
        <v>692</v>
      </c>
      <c r="J67" s="8" t="s">
        <v>24</v>
      </c>
      <c r="K67" s="8" t="s">
        <v>25</v>
      </c>
      <c r="L67" s="8">
        <f>IF(K67="","",VLOOKUP(K67,'PLAN SUPORTE'!$H$2:$I$4,2,0))</f>
        <v>15</v>
      </c>
      <c r="M67" s="10">
        <v>45128</v>
      </c>
      <c r="N67" s="10">
        <v>45133</v>
      </c>
      <c r="O67" s="39" t="str">
        <f t="shared" si="0"/>
        <v>Dentro do Prazo</v>
      </c>
      <c r="P67" s="10">
        <f t="shared" si="4"/>
        <v>45130</v>
      </c>
      <c r="Q67" s="6" t="str">
        <f t="shared" ca="1" si="5"/>
        <v>Prazo Vencido</v>
      </c>
      <c r="R67" s="8">
        <f t="shared" si="3"/>
        <v>13</v>
      </c>
    </row>
    <row r="68" spans="1:18" ht="13">
      <c r="A68" s="8">
        <v>69</v>
      </c>
      <c r="B68" s="10">
        <v>45114</v>
      </c>
      <c r="C68" s="10">
        <v>45115</v>
      </c>
      <c r="D68" s="63" t="s">
        <v>714</v>
      </c>
      <c r="E68" s="8" t="s">
        <v>733</v>
      </c>
      <c r="F68" s="8" t="s">
        <v>690</v>
      </c>
      <c r="G68" s="6" t="e">
        <f>IF(F68="","",VLOOKUP(F68,'PLAN SUPORTE'!A:B,2,0))</f>
        <v>#N/A</v>
      </c>
      <c r="H68" s="7" t="s">
        <v>713</v>
      </c>
      <c r="I68" s="8" t="s">
        <v>692</v>
      </c>
      <c r="J68" s="8" t="s">
        <v>24</v>
      </c>
      <c r="K68" s="8" t="s">
        <v>25</v>
      </c>
      <c r="L68" s="8">
        <f>IF(K68="","",VLOOKUP(K68,'PLAN SUPORTE'!$H$2:$I$4,2,0))</f>
        <v>15</v>
      </c>
      <c r="M68" s="10">
        <v>45128</v>
      </c>
      <c r="N68" s="10">
        <v>45133</v>
      </c>
      <c r="O68" s="39" t="str">
        <f t="shared" si="0"/>
        <v>Dentro do Prazo</v>
      </c>
      <c r="P68" s="10">
        <f t="shared" si="4"/>
        <v>45130</v>
      </c>
      <c r="Q68" s="6" t="str">
        <f t="shared" ca="1" si="5"/>
        <v>Prazo Vencido</v>
      </c>
      <c r="R68" s="8">
        <f t="shared" si="3"/>
        <v>13</v>
      </c>
    </row>
    <row r="69" spans="1:18" ht="13">
      <c r="A69" s="8">
        <v>70</v>
      </c>
      <c r="B69" s="10">
        <v>45114</v>
      </c>
      <c r="C69" s="10">
        <v>45115</v>
      </c>
      <c r="D69" s="63" t="s">
        <v>714</v>
      </c>
      <c r="E69" s="8" t="s">
        <v>733</v>
      </c>
      <c r="F69" s="8" t="s">
        <v>690</v>
      </c>
      <c r="G69" s="6" t="e">
        <f>IF(F69="","",VLOOKUP(F69,'PLAN SUPORTE'!A:B,2,0))</f>
        <v>#N/A</v>
      </c>
      <c r="H69" s="7" t="s">
        <v>713</v>
      </c>
      <c r="I69" s="8" t="s">
        <v>692</v>
      </c>
      <c r="J69" s="8" t="s">
        <v>24</v>
      </c>
      <c r="K69" s="8" t="s">
        <v>25</v>
      </c>
      <c r="L69" s="8">
        <f>IF(K69="","",VLOOKUP(K69,'PLAN SUPORTE'!$H$2:$I$4,2,0))</f>
        <v>15</v>
      </c>
      <c r="M69" s="10">
        <v>45128</v>
      </c>
      <c r="N69" s="10">
        <v>45133</v>
      </c>
      <c r="O69" s="39" t="str">
        <f t="shared" si="0"/>
        <v>Dentro do Prazo</v>
      </c>
      <c r="P69" s="10">
        <f t="shared" si="4"/>
        <v>45130</v>
      </c>
      <c r="Q69" s="6" t="str">
        <f t="shared" ca="1" si="5"/>
        <v>Prazo Vencido</v>
      </c>
      <c r="R69" s="8">
        <f t="shared" si="3"/>
        <v>13</v>
      </c>
    </row>
    <row r="70" spans="1:18" ht="13">
      <c r="A70" s="8">
        <v>71</v>
      </c>
      <c r="B70" s="10">
        <v>45114</v>
      </c>
      <c r="C70" s="10">
        <v>45115</v>
      </c>
      <c r="D70" s="63" t="s">
        <v>714</v>
      </c>
      <c r="E70" s="8" t="s">
        <v>734</v>
      </c>
      <c r="F70" s="8" t="s">
        <v>735</v>
      </c>
      <c r="G70" s="6" t="e">
        <f>IF(F70="","",VLOOKUP(F70,'PLAN SUPORTE'!A:B,2,0))</f>
        <v>#N/A</v>
      </c>
      <c r="H70" s="7" t="s">
        <v>713</v>
      </c>
      <c r="I70" s="8" t="s">
        <v>692</v>
      </c>
      <c r="J70" s="8" t="s">
        <v>24</v>
      </c>
      <c r="K70" s="8" t="s">
        <v>25</v>
      </c>
      <c r="L70" s="8">
        <f>IF(K70="","",VLOOKUP(K70,'PLAN SUPORTE'!$H$2:$I$4,2,0))</f>
        <v>15</v>
      </c>
      <c r="M70" s="10">
        <v>45128</v>
      </c>
      <c r="N70" s="10">
        <v>45133</v>
      </c>
      <c r="O70" s="39" t="str">
        <f t="shared" si="0"/>
        <v>Dentro do Prazo</v>
      </c>
      <c r="P70" s="10">
        <f t="shared" si="4"/>
        <v>45130</v>
      </c>
      <c r="Q70" s="6" t="str">
        <f t="shared" ca="1" si="5"/>
        <v>Prazo Vencido</v>
      </c>
      <c r="R70" s="8">
        <f t="shared" si="3"/>
        <v>13</v>
      </c>
    </row>
    <row r="71" spans="1:18" ht="13">
      <c r="A71" s="8">
        <v>72</v>
      </c>
      <c r="B71" s="10">
        <v>45114</v>
      </c>
      <c r="C71" s="10">
        <v>45115</v>
      </c>
      <c r="D71" s="63" t="s">
        <v>714</v>
      </c>
      <c r="E71" s="8" t="s">
        <v>736</v>
      </c>
      <c r="F71" s="8" t="s">
        <v>724</v>
      </c>
      <c r="G71" s="6" t="e">
        <f>IF(F71="","",VLOOKUP(F71,'PLAN SUPORTE'!A:B,2,0))</f>
        <v>#N/A</v>
      </c>
      <c r="H71" s="7" t="s">
        <v>713</v>
      </c>
      <c r="I71" s="8" t="s">
        <v>692</v>
      </c>
      <c r="J71" s="8" t="s">
        <v>24</v>
      </c>
      <c r="K71" s="8" t="s">
        <v>25</v>
      </c>
      <c r="L71" s="8">
        <f>IF(K71="","",VLOOKUP(K71,'PLAN SUPORTE'!$H$2:$I$4,2,0))</f>
        <v>15</v>
      </c>
      <c r="M71" s="10">
        <v>45128</v>
      </c>
      <c r="N71" s="10">
        <v>45133</v>
      </c>
      <c r="O71" s="39" t="str">
        <f t="shared" si="0"/>
        <v>Dentro do Prazo</v>
      </c>
      <c r="P71" s="10">
        <f t="shared" si="4"/>
        <v>45130</v>
      </c>
      <c r="Q71" s="6" t="str">
        <f t="shared" ca="1" si="5"/>
        <v>Prazo Vencido</v>
      </c>
      <c r="R71" s="8">
        <f t="shared" si="3"/>
        <v>13</v>
      </c>
    </row>
    <row r="72" spans="1:18" ht="13">
      <c r="A72" s="8">
        <v>73</v>
      </c>
      <c r="B72" s="10">
        <v>45114</v>
      </c>
      <c r="C72" s="10">
        <v>45115</v>
      </c>
      <c r="D72" s="63" t="s">
        <v>714</v>
      </c>
      <c r="E72" s="8" t="s">
        <v>736</v>
      </c>
      <c r="F72" s="8" t="s">
        <v>724</v>
      </c>
      <c r="G72" s="6" t="e">
        <f>IF(F72="","",VLOOKUP(F72,'PLAN SUPORTE'!A:B,2,0))</f>
        <v>#N/A</v>
      </c>
      <c r="H72" s="7" t="s">
        <v>713</v>
      </c>
      <c r="I72" s="8" t="s">
        <v>692</v>
      </c>
      <c r="J72" s="8" t="s">
        <v>24</v>
      </c>
      <c r="K72" s="8" t="s">
        <v>25</v>
      </c>
      <c r="L72" s="8">
        <f>IF(K72="","",VLOOKUP(K72,'PLAN SUPORTE'!$H$2:$I$4,2,0))</f>
        <v>15</v>
      </c>
      <c r="M72" s="10">
        <v>45128</v>
      </c>
      <c r="N72" s="10">
        <v>45133</v>
      </c>
      <c r="O72" s="39" t="str">
        <f t="shared" si="0"/>
        <v>Dentro do Prazo</v>
      </c>
      <c r="P72" s="10">
        <f t="shared" si="4"/>
        <v>45130</v>
      </c>
      <c r="Q72" s="6" t="str">
        <f t="shared" ca="1" si="5"/>
        <v>Prazo Vencido</v>
      </c>
      <c r="R72" s="8">
        <f t="shared" si="3"/>
        <v>13</v>
      </c>
    </row>
    <row r="73" spans="1:18" ht="13">
      <c r="A73" s="8">
        <v>74</v>
      </c>
      <c r="B73" s="10">
        <v>45114</v>
      </c>
      <c r="C73" s="10">
        <v>45115</v>
      </c>
      <c r="D73" s="63" t="s">
        <v>714</v>
      </c>
      <c r="E73" s="8" t="s">
        <v>736</v>
      </c>
      <c r="F73" s="8" t="s">
        <v>724</v>
      </c>
      <c r="G73" s="6" t="e">
        <f>IF(F73="","",VLOOKUP(F73,'PLAN SUPORTE'!A:B,2,0))</f>
        <v>#N/A</v>
      </c>
      <c r="H73" s="7" t="s">
        <v>713</v>
      </c>
      <c r="I73" s="8" t="s">
        <v>692</v>
      </c>
      <c r="J73" s="8" t="s">
        <v>24</v>
      </c>
      <c r="K73" s="8" t="s">
        <v>25</v>
      </c>
      <c r="L73" s="8">
        <f>IF(K73="","",VLOOKUP(K73,'PLAN SUPORTE'!$H$2:$I$4,2,0))</f>
        <v>15</v>
      </c>
      <c r="M73" s="10">
        <v>45128</v>
      </c>
      <c r="N73" s="10">
        <v>45133</v>
      </c>
      <c r="O73" s="39" t="str">
        <f t="shared" si="0"/>
        <v>Dentro do Prazo</v>
      </c>
      <c r="P73" s="10">
        <f t="shared" si="4"/>
        <v>45130</v>
      </c>
      <c r="Q73" s="6" t="str">
        <f t="shared" ca="1" si="5"/>
        <v>Prazo Vencido</v>
      </c>
      <c r="R73" s="8">
        <f t="shared" si="3"/>
        <v>13</v>
      </c>
    </row>
    <row r="74" spans="1:18" ht="13">
      <c r="A74" s="8">
        <v>75</v>
      </c>
      <c r="B74" s="10">
        <v>45114</v>
      </c>
      <c r="C74" s="10">
        <v>45115</v>
      </c>
      <c r="D74" s="63" t="s">
        <v>714</v>
      </c>
      <c r="E74" s="8" t="s">
        <v>736</v>
      </c>
      <c r="F74" s="8" t="s">
        <v>724</v>
      </c>
      <c r="G74" s="6" t="e">
        <f>IF(F74="","",VLOOKUP(F74,'PLAN SUPORTE'!A:B,2,0))</f>
        <v>#N/A</v>
      </c>
      <c r="H74" s="7" t="s">
        <v>713</v>
      </c>
      <c r="I74" s="8" t="s">
        <v>692</v>
      </c>
      <c r="J74" s="8" t="s">
        <v>24</v>
      </c>
      <c r="K74" s="8" t="s">
        <v>25</v>
      </c>
      <c r="L74" s="8">
        <f>IF(K74="","",VLOOKUP(K74,'PLAN SUPORTE'!$H$2:$I$4,2,0))</f>
        <v>15</v>
      </c>
      <c r="M74" s="10">
        <v>45128</v>
      </c>
      <c r="N74" s="10">
        <v>45133</v>
      </c>
      <c r="O74" s="39" t="str">
        <f t="shared" si="0"/>
        <v>Dentro do Prazo</v>
      </c>
      <c r="P74" s="10">
        <f t="shared" si="4"/>
        <v>45130</v>
      </c>
      <c r="Q74" s="6" t="str">
        <f t="shared" ca="1" si="5"/>
        <v>Prazo Vencido</v>
      </c>
      <c r="R74" s="8">
        <f t="shared" si="3"/>
        <v>13</v>
      </c>
    </row>
    <row r="75" spans="1:18" ht="13">
      <c r="A75" s="8">
        <v>76</v>
      </c>
      <c r="B75" s="10">
        <v>45114</v>
      </c>
      <c r="C75" s="10">
        <v>45115</v>
      </c>
      <c r="D75" s="63" t="s">
        <v>714</v>
      </c>
      <c r="E75" s="8" t="s">
        <v>737</v>
      </c>
      <c r="F75" s="8" t="s">
        <v>716</v>
      </c>
      <c r="G75" s="6" t="e">
        <f>IF(F75="","",VLOOKUP(F75,'PLAN SUPORTE'!A:B,2,0))</f>
        <v>#N/A</v>
      </c>
      <c r="H75" s="7" t="s">
        <v>713</v>
      </c>
      <c r="I75" s="8" t="s">
        <v>692</v>
      </c>
      <c r="J75" s="8" t="s">
        <v>24</v>
      </c>
      <c r="K75" s="8" t="s">
        <v>25</v>
      </c>
      <c r="L75" s="8">
        <f>IF(K75="","",VLOOKUP(K75,'PLAN SUPORTE'!$H$2:$I$4,2,0))</f>
        <v>15</v>
      </c>
      <c r="M75" s="10">
        <v>45128</v>
      </c>
      <c r="N75" s="10">
        <v>45133</v>
      </c>
      <c r="O75" s="39" t="str">
        <f t="shared" si="0"/>
        <v>Dentro do Prazo</v>
      </c>
      <c r="P75" s="10">
        <f t="shared" si="4"/>
        <v>45130</v>
      </c>
      <c r="Q75" s="6" t="str">
        <f t="shared" ca="1" si="5"/>
        <v>Prazo Vencido</v>
      </c>
      <c r="R75" s="8">
        <f t="shared" si="3"/>
        <v>13</v>
      </c>
    </row>
    <row r="76" spans="1:18" ht="13">
      <c r="A76" s="8">
        <v>77</v>
      </c>
      <c r="B76" s="10">
        <v>45114</v>
      </c>
      <c r="C76" s="10">
        <v>45115</v>
      </c>
      <c r="D76" s="63" t="s">
        <v>714</v>
      </c>
      <c r="E76" s="8" t="s">
        <v>738</v>
      </c>
      <c r="F76" s="8" t="s">
        <v>726</v>
      </c>
      <c r="G76" s="6" t="e">
        <f>IF(F76="","",VLOOKUP(F76,'PLAN SUPORTE'!A:B,2,0))</f>
        <v>#N/A</v>
      </c>
      <c r="H76" s="7" t="s">
        <v>713</v>
      </c>
      <c r="I76" s="8" t="s">
        <v>692</v>
      </c>
      <c r="J76" s="8" t="s">
        <v>24</v>
      </c>
      <c r="K76" s="8" t="s">
        <v>25</v>
      </c>
      <c r="L76" s="8">
        <f>IF(K76="","",VLOOKUP(K76,'PLAN SUPORTE'!$H$2:$I$4,2,0))</f>
        <v>15</v>
      </c>
      <c r="M76" s="10">
        <v>45128</v>
      </c>
      <c r="N76" s="10">
        <v>45133</v>
      </c>
      <c r="O76" s="39" t="str">
        <f t="shared" si="0"/>
        <v>Dentro do Prazo</v>
      </c>
      <c r="P76" s="10">
        <f t="shared" si="4"/>
        <v>45130</v>
      </c>
      <c r="Q76" s="6" t="str">
        <f t="shared" ca="1" si="5"/>
        <v>Prazo Vencido</v>
      </c>
      <c r="R76" s="8">
        <f t="shared" si="3"/>
        <v>13</v>
      </c>
    </row>
    <row r="77" spans="1:18" ht="13">
      <c r="A77" s="8">
        <v>78</v>
      </c>
      <c r="B77" s="10">
        <v>45114</v>
      </c>
      <c r="C77" s="10">
        <v>45115</v>
      </c>
      <c r="D77" s="63" t="s">
        <v>714</v>
      </c>
      <c r="E77" s="8" t="s">
        <v>738</v>
      </c>
      <c r="F77" s="8" t="s">
        <v>726</v>
      </c>
      <c r="G77" s="6" t="e">
        <f>IF(F77="","",VLOOKUP(F77,'PLAN SUPORTE'!A:B,2,0))</f>
        <v>#N/A</v>
      </c>
      <c r="H77" s="7" t="s">
        <v>713</v>
      </c>
      <c r="I77" s="8" t="s">
        <v>692</v>
      </c>
      <c r="J77" s="8" t="s">
        <v>24</v>
      </c>
      <c r="K77" s="8" t="s">
        <v>25</v>
      </c>
      <c r="L77" s="8">
        <f>IF(K77="","",VLOOKUP(K77,'PLAN SUPORTE'!$H$2:$I$4,2,0))</f>
        <v>15</v>
      </c>
      <c r="M77" s="10">
        <v>45128</v>
      </c>
      <c r="N77" s="10">
        <v>45133</v>
      </c>
      <c r="O77" s="39" t="str">
        <f t="shared" si="0"/>
        <v>Dentro do Prazo</v>
      </c>
      <c r="P77" s="10">
        <f t="shared" si="4"/>
        <v>45130</v>
      </c>
      <c r="Q77" s="6" t="str">
        <f t="shared" ca="1" si="5"/>
        <v>Prazo Vencido</v>
      </c>
      <c r="R77" s="8">
        <f t="shared" si="3"/>
        <v>13</v>
      </c>
    </row>
    <row r="78" spans="1:18" ht="13">
      <c r="A78" s="8">
        <v>79</v>
      </c>
      <c r="B78" s="10">
        <v>45114</v>
      </c>
      <c r="C78" s="10">
        <v>45115</v>
      </c>
      <c r="D78" s="63" t="s">
        <v>714</v>
      </c>
      <c r="E78" s="8" t="s">
        <v>739</v>
      </c>
      <c r="F78" s="8" t="s">
        <v>723</v>
      </c>
      <c r="G78" s="6" t="e">
        <f>IF(F78="","",VLOOKUP(F78,'PLAN SUPORTE'!A:B,2,0))</f>
        <v>#N/A</v>
      </c>
      <c r="H78" s="7" t="s">
        <v>713</v>
      </c>
      <c r="I78" s="8" t="s">
        <v>692</v>
      </c>
      <c r="J78" s="8" t="s">
        <v>24</v>
      </c>
      <c r="K78" s="8" t="s">
        <v>25</v>
      </c>
      <c r="L78" s="8">
        <f>IF(K78="","",VLOOKUP(K78,'PLAN SUPORTE'!$H$2:$I$4,2,0))</f>
        <v>15</v>
      </c>
      <c r="M78" s="10">
        <v>45128</v>
      </c>
      <c r="N78" s="10">
        <v>45133</v>
      </c>
      <c r="O78" s="39" t="str">
        <f t="shared" si="0"/>
        <v>Dentro do Prazo</v>
      </c>
      <c r="P78" s="10">
        <f t="shared" si="4"/>
        <v>45130</v>
      </c>
      <c r="Q78" s="6" t="str">
        <f t="shared" ca="1" si="5"/>
        <v>Prazo Vencido</v>
      </c>
      <c r="R78" s="8">
        <f t="shared" si="3"/>
        <v>13</v>
      </c>
    </row>
    <row r="79" spans="1:18" ht="13">
      <c r="A79" s="8">
        <v>80</v>
      </c>
      <c r="B79" s="10">
        <v>45114</v>
      </c>
      <c r="C79" s="10">
        <v>45115</v>
      </c>
      <c r="D79" s="63" t="s">
        <v>714</v>
      </c>
      <c r="E79" s="8" t="s">
        <v>739</v>
      </c>
      <c r="F79" s="8" t="s">
        <v>723</v>
      </c>
      <c r="G79" s="6" t="e">
        <f>IF(F79="","",VLOOKUP(F79,'PLAN SUPORTE'!A:B,2,0))</f>
        <v>#N/A</v>
      </c>
      <c r="H79" s="7" t="s">
        <v>713</v>
      </c>
      <c r="I79" s="8" t="s">
        <v>692</v>
      </c>
      <c r="J79" s="8" t="s">
        <v>24</v>
      </c>
      <c r="K79" s="8" t="s">
        <v>25</v>
      </c>
      <c r="L79" s="8">
        <f>IF(K79="","",VLOOKUP(K79,'PLAN SUPORTE'!$H$2:$I$4,2,0))</f>
        <v>15</v>
      </c>
      <c r="M79" s="10">
        <v>45128</v>
      </c>
      <c r="N79" s="10">
        <v>45133</v>
      </c>
      <c r="O79" s="39" t="str">
        <f t="shared" si="0"/>
        <v>Dentro do Prazo</v>
      </c>
      <c r="P79" s="10">
        <f t="shared" si="4"/>
        <v>45130</v>
      </c>
      <c r="Q79" s="6" t="str">
        <f t="shared" ca="1" si="5"/>
        <v>Prazo Vencido</v>
      </c>
      <c r="R79" s="8">
        <f t="shared" si="3"/>
        <v>13</v>
      </c>
    </row>
    <row r="80" spans="1:18" ht="13">
      <c r="A80" s="8">
        <v>81</v>
      </c>
      <c r="B80" s="10">
        <v>45114</v>
      </c>
      <c r="C80" s="10">
        <v>45115</v>
      </c>
      <c r="D80" s="63" t="s">
        <v>714</v>
      </c>
      <c r="E80" s="8" t="s">
        <v>739</v>
      </c>
      <c r="F80" s="8" t="s">
        <v>723</v>
      </c>
      <c r="G80" s="6" t="e">
        <f>IF(F80="","",VLOOKUP(F80,'PLAN SUPORTE'!A:B,2,0))</f>
        <v>#N/A</v>
      </c>
      <c r="H80" s="7" t="s">
        <v>713</v>
      </c>
      <c r="I80" s="8" t="s">
        <v>692</v>
      </c>
      <c r="J80" s="8" t="s">
        <v>24</v>
      </c>
      <c r="K80" s="8" t="s">
        <v>25</v>
      </c>
      <c r="L80" s="8">
        <f>IF(K80="","",VLOOKUP(K80,'PLAN SUPORTE'!$H$2:$I$4,2,0))</f>
        <v>15</v>
      </c>
      <c r="M80" s="10">
        <v>45128</v>
      </c>
      <c r="N80" s="10">
        <v>45135</v>
      </c>
      <c r="O80" s="39" t="str">
        <f t="shared" si="0"/>
        <v>Dentro do Prazo</v>
      </c>
      <c r="P80" s="10">
        <f t="shared" si="4"/>
        <v>45130</v>
      </c>
      <c r="Q80" s="6" t="str">
        <f t="shared" ca="1" si="5"/>
        <v>Prazo Vencido</v>
      </c>
      <c r="R80" s="8">
        <f t="shared" si="3"/>
        <v>13</v>
      </c>
    </row>
    <row r="81" spans="1:18" ht="13">
      <c r="A81" s="8">
        <v>82</v>
      </c>
      <c r="B81" s="10">
        <v>45114</v>
      </c>
      <c r="C81" s="10">
        <v>45115</v>
      </c>
      <c r="D81" s="63" t="s">
        <v>714</v>
      </c>
      <c r="E81" s="8" t="s">
        <v>739</v>
      </c>
      <c r="F81" s="8" t="s">
        <v>723</v>
      </c>
      <c r="G81" s="6" t="e">
        <f>IF(F81="","",VLOOKUP(F81,'PLAN SUPORTE'!A:B,2,0))</f>
        <v>#N/A</v>
      </c>
      <c r="H81" s="7" t="s">
        <v>713</v>
      </c>
      <c r="I81" s="8" t="s">
        <v>692</v>
      </c>
      <c r="J81" s="8" t="s">
        <v>24</v>
      </c>
      <c r="K81" s="8" t="s">
        <v>25</v>
      </c>
      <c r="L81" s="8">
        <f>IF(K81="","",VLOOKUP(K81,'PLAN SUPORTE'!$H$2:$I$4,2,0))</f>
        <v>15</v>
      </c>
      <c r="M81" s="10">
        <v>45128</v>
      </c>
      <c r="N81" s="10">
        <v>45135</v>
      </c>
      <c r="O81" s="39" t="str">
        <f t="shared" si="0"/>
        <v>Dentro do Prazo</v>
      </c>
      <c r="P81" s="10">
        <f t="shared" si="4"/>
        <v>45130</v>
      </c>
      <c r="Q81" s="6" t="str">
        <f t="shared" ca="1" si="5"/>
        <v>Prazo Vencido</v>
      </c>
      <c r="R81" s="8">
        <f t="shared" si="3"/>
        <v>13</v>
      </c>
    </row>
    <row r="82" spans="1:18" ht="13">
      <c r="A82" s="8">
        <v>83</v>
      </c>
      <c r="B82" s="10">
        <v>45114</v>
      </c>
      <c r="C82" s="10">
        <v>45115</v>
      </c>
      <c r="D82" s="63" t="s">
        <v>714</v>
      </c>
      <c r="E82" s="8" t="s">
        <v>740</v>
      </c>
      <c r="F82" s="40" t="s">
        <v>718</v>
      </c>
      <c r="G82" s="6" t="e">
        <f>IF(F82="","",VLOOKUP(F82,'PLAN SUPORTE'!A:B,2,0))</f>
        <v>#N/A</v>
      </c>
      <c r="H82" s="7" t="s">
        <v>713</v>
      </c>
      <c r="I82" s="8" t="s">
        <v>692</v>
      </c>
      <c r="J82" s="8" t="s">
        <v>24</v>
      </c>
      <c r="K82" s="8" t="s">
        <v>25</v>
      </c>
      <c r="L82" s="8">
        <f>IF(K82="","",VLOOKUP(K82,'PLAN SUPORTE'!$H$2:$I$4,2,0))</f>
        <v>15</v>
      </c>
      <c r="M82" s="10">
        <v>45128</v>
      </c>
      <c r="N82" s="10">
        <v>45135</v>
      </c>
      <c r="O82" s="39" t="str">
        <f t="shared" si="0"/>
        <v>Dentro do Prazo</v>
      </c>
      <c r="P82" s="10">
        <f t="shared" si="4"/>
        <v>45130</v>
      </c>
      <c r="Q82" s="6" t="str">
        <f t="shared" ca="1" si="5"/>
        <v>Prazo Vencido</v>
      </c>
      <c r="R82" s="8">
        <f t="shared" si="3"/>
        <v>13</v>
      </c>
    </row>
    <row r="83" spans="1:18" ht="13">
      <c r="A83" s="8">
        <v>84</v>
      </c>
      <c r="B83" s="10">
        <v>45114</v>
      </c>
      <c r="C83" s="10">
        <v>45115</v>
      </c>
      <c r="D83" s="63" t="s">
        <v>714</v>
      </c>
      <c r="E83" s="8" t="s">
        <v>740</v>
      </c>
      <c r="F83" s="40" t="s">
        <v>718</v>
      </c>
      <c r="G83" s="6" t="e">
        <f>IF(F83="","",VLOOKUP(F83,'PLAN SUPORTE'!A:B,2,0))</f>
        <v>#N/A</v>
      </c>
      <c r="H83" s="7" t="s">
        <v>713</v>
      </c>
      <c r="I83" s="8" t="s">
        <v>692</v>
      </c>
      <c r="J83" s="8" t="s">
        <v>24</v>
      </c>
      <c r="K83" s="8" t="s">
        <v>25</v>
      </c>
      <c r="L83" s="8">
        <f>IF(K83="","",VLOOKUP(K83,'PLAN SUPORTE'!$H$2:$I$4,2,0))</f>
        <v>15</v>
      </c>
      <c r="M83" s="10">
        <v>45128</v>
      </c>
      <c r="N83" s="10">
        <v>45135</v>
      </c>
      <c r="O83" s="39" t="str">
        <f t="shared" si="0"/>
        <v>Dentro do Prazo</v>
      </c>
      <c r="P83" s="10">
        <f t="shared" si="4"/>
        <v>45130</v>
      </c>
      <c r="Q83" s="6" t="str">
        <f t="shared" ca="1" si="5"/>
        <v>Prazo Vencido</v>
      </c>
      <c r="R83" s="8">
        <f t="shared" si="3"/>
        <v>13</v>
      </c>
    </row>
    <row r="84" spans="1:18" ht="13" hidden="1">
      <c r="A84" s="8">
        <v>2519</v>
      </c>
      <c r="B84" s="10">
        <v>45103</v>
      </c>
      <c r="C84" s="10">
        <v>45103</v>
      </c>
      <c r="D84" s="8" t="s">
        <v>741</v>
      </c>
      <c r="E84" s="8" t="s">
        <v>742</v>
      </c>
      <c r="F84" s="8" t="s">
        <v>704</v>
      </c>
      <c r="G84" s="6" t="e">
        <f>IF(F84="","",VLOOKUP(F84,'PLAN SUPORTE'!A:B,2,0))</f>
        <v>#N/A</v>
      </c>
      <c r="H84" s="7" t="s">
        <v>686</v>
      </c>
      <c r="I84" s="8" t="s">
        <v>687</v>
      </c>
      <c r="J84" s="8" t="s">
        <v>265</v>
      </c>
      <c r="K84" s="8" t="s">
        <v>691</v>
      </c>
      <c r="L84" s="8" t="e">
        <f>IF(K84="","",VLOOKUP(K84,'PLAN SUPORTE'!$H$2:$I$4,2,0))</f>
        <v>#N/A</v>
      </c>
      <c r="M84" s="10"/>
      <c r="N84" s="10"/>
      <c r="O84" s="41" t="s">
        <v>743</v>
      </c>
      <c r="P84" s="10" t="e">
        <f t="shared" si="4"/>
        <v>#N/A</v>
      </c>
      <c r="Q84" s="6" t="e">
        <f t="shared" ca="1" si="5"/>
        <v>#N/A</v>
      </c>
      <c r="R84" s="8" t="str">
        <f t="shared" si="3"/>
        <v/>
      </c>
    </row>
    <row r="85" spans="1:18" ht="13">
      <c r="A85" s="8">
        <v>5086</v>
      </c>
      <c r="B85" s="10">
        <v>44986</v>
      </c>
      <c r="C85" s="10">
        <v>44986</v>
      </c>
      <c r="D85" s="8" t="s">
        <v>744</v>
      </c>
      <c r="E85" s="8" t="s">
        <v>745</v>
      </c>
      <c r="F85" s="8" t="s">
        <v>704</v>
      </c>
      <c r="G85" s="6" t="e">
        <f>IF(F85="","",VLOOKUP(F85,'PLAN SUPORTE'!A:B,2,0))</f>
        <v>#N/A</v>
      </c>
      <c r="H85" s="7" t="s">
        <v>686</v>
      </c>
      <c r="I85" s="8" t="s">
        <v>692</v>
      </c>
      <c r="J85" s="8" t="s">
        <v>24</v>
      </c>
      <c r="K85" s="8" t="s">
        <v>691</v>
      </c>
      <c r="L85" s="8" t="e">
        <f>IF(K85="","",VLOOKUP(K85,'PLAN SUPORTE'!$H$2:$I$4,2,0))</f>
        <v>#N/A</v>
      </c>
      <c r="M85" s="10">
        <v>45013</v>
      </c>
      <c r="N85" s="10">
        <v>45017</v>
      </c>
      <c r="O85" s="39" t="e">
        <f t="shared" ref="O85:O112" si="6">IF(AND(C85="",K85=""),"",IF(R85="","Em Andamento",IF(M85&lt;=P85,"Dentro do Prazo","Fora do Prazo")))</f>
        <v>#N/A</v>
      </c>
      <c r="P85" s="10" t="e">
        <f t="shared" si="4"/>
        <v>#N/A</v>
      </c>
      <c r="Q85" s="6" t="e">
        <f t="shared" ca="1" si="5"/>
        <v>#N/A</v>
      </c>
      <c r="R85" s="8">
        <f t="shared" si="3"/>
        <v>27</v>
      </c>
    </row>
    <row r="86" spans="1:18" ht="13">
      <c r="A86" s="8">
        <v>5126</v>
      </c>
      <c r="B86" s="10">
        <v>45033</v>
      </c>
      <c r="C86" s="10">
        <v>45033</v>
      </c>
      <c r="D86" s="8" t="s">
        <v>746</v>
      </c>
      <c r="E86" s="8" t="s">
        <v>747</v>
      </c>
      <c r="F86" s="8" t="s">
        <v>748</v>
      </c>
      <c r="G86" s="6" t="e">
        <f>IF(F86="","",VLOOKUP(F86,'PLAN SUPORTE'!A:B,2,0))</f>
        <v>#N/A</v>
      </c>
      <c r="H86" s="7" t="s">
        <v>749</v>
      </c>
      <c r="I86" s="8" t="s">
        <v>692</v>
      </c>
      <c r="J86" s="8" t="s">
        <v>24</v>
      </c>
      <c r="K86" s="8" t="s">
        <v>25</v>
      </c>
      <c r="L86" s="8">
        <f>IF(K86="","",VLOOKUP(K86,'PLAN SUPORTE'!$H$2:$I$4,2,0))</f>
        <v>15</v>
      </c>
      <c r="M86" s="10">
        <v>45057</v>
      </c>
      <c r="N86" s="10">
        <v>45058</v>
      </c>
      <c r="O86" s="39" t="str">
        <f t="shared" si="6"/>
        <v>Fora do Prazo</v>
      </c>
      <c r="P86" s="10">
        <f t="shared" si="4"/>
        <v>45048</v>
      </c>
      <c r="Q86" s="6" t="str">
        <f t="shared" ca="1" si="5"/>
        <v>Prazo Vencido</v>
      </c>
      <c r="R86" s="8">
        <f t="shared" si="3"/>
        <v>24</v>
      </c>
    </row>
    <row r="87" spans="1:18" ht="13">
      <c r="A87" s="8">
        <v>5127</v>
      </c>
      <c r="B87" s="10">
        <v>45033</v>
      </c>
      <c r="C87" s="10">
        <v>45033</v>
      </c>
      <c r="D87" s="8" t="s">
        <v>746</v>
      </c>
      <c r="E87" s="8" t="s">
        <v>747</v>
      </c>
      <c r="F87" s="8" t="s">
        <v>748</v>
      </c>
      <c r="G87" s="6" t="e">
        <f>IF(F87="","",VLOOKUP(F87,'PLAN SUPORTE'!A:B,2,0))</f>
        <v>#N/A</v>
      </c>
      <c r="H87" s="7" t="s">
        <v>749</v>
      </c>
      <c r="I87" s="8" t="s">
        <v>692</v>
      </c>
      <c r="J87" s="8" t="s">
        <v>24</v>
      </c>
      <c r="K87" s="8" t="s">
        <v>25</v>
      </c>
      <c r="L87" s="8">
        <f>IF(K87="","",VLOOKUP(K87,'PLAN SUPORTE'!$H$2:$I$4,2,0))</f>
        <v>15</v>
      </c>
      <c r="M87" s="10">
        <v>45057</v>
      </c>
      <c r="N87" s="10">
        <v>45065</v>
      </c>
      <c r="O87" s="39" t="str">
        <f t="shared" si="6"/>
        <v>Fora do Prazo</v>
      </c>
      <c r="P87" s="10">
        <f t="shared" si="4"/>
        <v>45048</v>
      </c>
      <c r="Q87" s="6" t="str">
        <f t="shared" ca="1" si="5"/>
        <v>Prazo Vencido</v>
      </c>
      <c r="R87" s="8">
        <f t="shared" si="3"/>
        <v>24</v>
      </c>
    </row>
    <row r="88" spans="1:18" ht="13" hidden="1">
      <c r="A88" s="8">
        <v>5131</v>
      </c>
      <c r="B88" s="10">
        <v>45034</v>
      </c>
      <c r="C88" s="10">
        <v>45034</v>
      </c>
      <c r="D88" s="8" t="s">
        <v>750</v>
      </c>
      <c r="E88" s="8" t="s">
        <v>751</v>
      </c>
      <c r="F88" s="8" t="s">
        <v>752</v>
      </c>
      <c r="G88" s="6" t="e">
        <f>IF(F88="","",VLOOKUP(F88,'PLAN SUPORTE'!A:B,2,0))</f>
        <v>#N/A</v>
      </c>
      <c r="H88" s="7" t="s">
        <v>753</v>
      </c>
      <c r="I88" s="8" t="s">
        <v>754</v>
      </c>
      <c r="J88" s="8" t="s">
        <v>296</v>
      </c>
      <c r="K88" s="8" t="s">
        <v>25</v>
      </c>
      <c r="L88" s="8">
        <f>IF(K88="","",VLOOKUP(K88,'PLAN SUPORTE'!$H$2:$I$4,2,0))</f>
        <v>15</v>
      </c>
      <c r="M88" s="10"/>
      <c r="N88" s="10"/>
      <c r="O88" s="39" t="str">
        <f t="shared" si="6"/>
        <v>Em Andamento</v>
      </c>
      <c r="P88" s="10">
        <f t="shared" si="4"/>
        <v>45049</v>
      </c>
      <c r="Q88" s="6" t="str">
        <f t="shared" ca="1" si="5"/>
        <v>Prazo Vencido</v>
      </c>
      <c r="R88" s="8" t="str">
        <f t="shared" si="3"/>
        <v/>
      </c>
    </row>
    <row r="89" spans="1:18" ht="13" hidden="1">
      <c r="A89" s="8">
        <v>5144</v>
      </c>
      <c r="B89" s="10">
        <v>45040</v>
      </c>
      <c r="C89" s="10">
        <v>45040</v>
      </c>
      <c r="D89" s="8" t="s">
        <v>755</v>
      </c>
      <c r="E89" s="8" t="s">
        <v>745</v>
      </c>
      <c r="F89" s="8" t="s">
        <v>704</v>
      </c>
      <c r="G89" s="6" t="e">
        <f>IF(F89="","",VLOOKUP(F89,'PLAN SUPORTE'!A:B,2,0))</f>
        <v>#N/A</v>
      </c>
      <c r="H89" s="7"/>
      <c r="I89" s="8" t="s">
        <v>692</v>
      </c>
      <c r="J89" s="8" t="s">
        <v>296</v>
      </c>
      <c r="K89" s="8" t="s">
        <v>691</v>
      </c>
      <c r="L89" s="8" t="e">
        <f>IF(K89="","",VLOOKUP(K89,'PLAN SUPORTE'!$H$2:$I$4,2,0))</f>
        <v>#N/A</v>
      </c>
      <c r="M89" s="10"/>
      <c r="N89" s="10"/>
      <c r="O89" s="39" t="str">
        <f t="shared" si="6"/>
        <v>Em Andamento</v>
      </c>
      <c r="P89" s="10"/>
      <c r="Q89" s="6"/>
      <c r="R89" s="8" t="str">
        <f t="shared" si="3"/>
        <v/>
      </c>
    </row>
    <row r="90" spans="1:18" ht="13">
      <c r="A90" s="8">
        <v>5145</v>
      </c>
      <c r="B90" s="10">
        <v>45040</v>
      </c>
      <c r="C90" s="10">
        <v>45040</v>
      </c>
      <c r="D90" s="8" t="s">
        <v>756</v>
      </c>
      <c r="E90" s="8" t="s">
        <v>742</v>
      </c>
      <c r="F90" s="8" t="s">
        <v>704</v>
      </c>
      <c r="G90" s="6" t="e">
        <f>IF(F90="","",VLOOKUP(F90,'PLAN SUPORTE'!A:B,2,0))</f>
        <v>#N/A</v>
      </c>
      <c r="H90" s="7"/>
      <c r="I90" s="8" t="s">
        <v>687</v>
      </c>
      <c r="J90" s="8" t="s">
        <v>24</v>
      </c>
      <c r="K90" s="8" t="s">
        <v>691</v>
      </c>
      <c r="L90" s="8" t="e">
        <f>IF(K90="","",VLOOKUP(K90,'PLAN SUPORTE'!$H$2:$I$4,2,0))</f>
        <v>#N/A</v>
      </c>
      <c r="M90" s="10">
        <v>45070</v>
      </c>
      <c r="N90" s="10">
        <v>45073</v>
      </c>
      <c r="O90" s="39" t="str">
        <f t="shared" si="6"/>
        <v>Fora do Prazo</v>
      </c>
      <c r="P90" s="10"/>
      <c r="Q90" s="6"/>
      <c r="R90" s="8">
        <f t="shared" si="3"/>
        <v>30</v>
      </c>
    </row>
    <row r="91" spans="1:18" ht="13" hidden="1">
      <c r="A91" s="8">
        <v>5146</v>
      </c>
      <c r="B91" s="10">
        <v>45041</v>
      </c>
      <c r="C91" s="10">
        <v>45041</v>
      </c>
      <c r="D91" s="8" t="s">
        <v>750</v>
      </c>
      <c r="E91" s="8" t="s">
        <v>751</v>
      </c>
      <c r="F91" s="8" t="s">
        <v>752</v>
      </c>
      <c r="G91" s="6" t="e">
        <f>IF(F91="","",VLOOKUP(F91,'PLAN SUPORTE'!A:B,2,0))</f>
        <v>#N/A</v>
      </c>
      <c r="H91" s="7" t="s">
        <v>753</v>
      </c>
      <c r="I91" s="8" t="s">
        <v>754</v>
      </c>
      <c r="J91" s="8" t="s">
        <v>296</v>
      </c>
      <c r="K91" s="8" t="s">
        <v>25</v>
      </c>
      <c r="L91" s="8">
        <f>IF(K91="","",VLOOKUP(K91,'PLAN SUPORTE'!$H$2:$I$4,2,0))</f>
        <v>15</v>
      </c>
      <c r="M91" s="10"/>
      <c r="N91" s="10"/>
      <c r="O91" s="39" t="str">
        <f t="shared" si="6"/>
        <v>Em Andamento</v>
      </c>
      <c r="P91" s="10">
        <f t="shared" ref="P91:P116" si="7">IF(OR(C91="",L91=""),"",C91+L91)</f>
        <v>45056</v>
      </c>
      <c r="Q91" s="6" t="str">
        <f t="shared" ref="Q91:Q122" ca="1" si="8">IF(P91="","",IF(P91-TODAY()=0,"Vence Hoje!",IF(P91-TODAY()&gt;=0,P91-TODAY()&amp;" Dia(s) para vencer","Prazo Vencido")))</f>
        <v>Prazo Vencido</v>
      </c>
      <c r="R91" s="8" t="str">
        <f t="shared" si="3"/>
        <v/>
      </c>
    </row>
    <row r="92" spans="1:18" ht="13" hidden="1">
      <c r="A92" s="8">
        <v>5149</v>
      </c>
      <c r="B92" s="10">
        <v>45042</v>
      </c>
      <c r="C92" s="10">
        <v>45042</v>
      </c>
      <c r="D92" s="8" t="s">
        <v>757</v>
      </c>
      <c r="E92" s="8" t="s">
        <v>758</v>
      </c>
      <c r="F92" s="8" t="s">
        <v>759</v>
      </c>
      <c r="G92" s="6" t="e">
        <f>IF(F92="","",VLOOKUP(F92,'PLAN SUPORTE'!A:B,2,0))</f>
        <v>#N/A</v>
      </c>
      <c r="H92" s="7" t="s">
        <v>749</v>
      </c>
      <c r="I92" s="8" t="s">
        <v>692</v>
      </c>
      <c r="J92" s="8" t="s">
        <v>296</v>
      </c>
      <c r="K92" s="8" t="s">
        <v>25</v>
      </c>
      <c r="L92" s="8">
        <f>IF(K92="","",VLOOKUP(K92,'PLAN SUPORTE'!$H$2:$I$4,2,0))</f>
        <v>15</v>
      </c>
      <c r="M92" s="10"/>
      <c r="N92" s="10"/>
      <c r="O92" s="39" t="str">
        <f t="shared" si="6"/>
        <v>Em Andamento</v>
      </c>
      <c r="P92" s="10">
        <f t="shared" si="7"/>
        <v>45057</v>
      </c>
      <c r="Q92" s="6" t="str">
        <f t="shared" ca="1" si="8"/>
        <v>Prazo Vencido</v>
      </c>
      <c r="R92" s="8" t="str">
        <f t="shared" si="3"/>
        <v/>
      </c>
    </row>
    <row r="93" spans="1:18" ht="13">
      <c r="A93" s="8">
        <v>5155</v>
      </c>
      <c r="B93" s="10">
        <v>45044</v>
      </c>
      <c r="C93" s="10">
        <v>45044</v>
      </c>
      <c r="D93" s="8" t="s">
        <v>162</v>
      </c>
      <c r="E93" s="8" t="s">
        <v>760</v>
      </c>
      <c r="F93" s="8" t="s">
        <v>761</v>
      </c>
      <c r="G93" s="6" t="e">
        <f>IF(F93="","",VLOOKUP(F93,'PLAN SUPORTE'!A:B,2,0))</f>
        <v>#N/A</v>
      </c>
      <c r="H93" s="7" t="s">
        <v>749</v>
      </c>
      <c r="I93" s="8" t="s">
        <v>692</v>
      </c>
      <c r="J93" s="8" t="s">
        <v>24</v>
      </c>
      <c r="K93" s="8" t="s">
        <v>25</v>
      </c>
      <c r="L93" s="8">
        <f>IF(K93="","",VLOOKUP(K93,'PLAN SUPORTE'!$H$2:$I$4,2,0))</f>
        <v>15</v>
      </c>
      <c r="M93" s="10">
        <v>45097</v>
      </c>
      <c r="N93" s="10">
        <v>45107</v>
      </c>
      <c r="O93" s="39" t="str">
        <f t="shared" si="6"/>
        <v>Fora do Prazo</v>
      </c>
      <c r="P93" s="10">
        <f t="shared" si="7"/>
        <v>45059</v>
      </c>
      <c r="Q93" s="6" t="str">
        <f t="shared" ca="1" si="8"/>
        <v>Prazo Vencido</v>
      </c>
      <c r="R93" s="42">
        <f t="shared" si="3"/>
        <v>53</v>
      </c>
    </row>
    <row r="94" spans="1:18" ht="13">
      <c r="A94" s="8">
        <v>5156</v>
      </c>
      <c r="B94" s="10">
        <v>45044</v>
      </c>
      <c r="C94" s="10">
        <v>45044</v>
      </c>
      <c r="D94" s="8" t="s">
        <v>746</v>
      </c>
      <c r="E94" s="8" t="s">
        <v>762</v>
      </c>
      <c r="F94" s="8" t="s">
        <v>705</v>
      </c>
      <c r="G94" s="6" t="e">
        <f>IF(F94="","",VLOOKUP(F94,'PLAN SUPORTE'!A:B,2,0))</f>
        <v>#N/A</v>
      </c>
      <c r="H94" s="7" t="s">
        <v>749</v>
      </c>
      <c r="I94" s="8" t="s">
        <v>682</v>
      </c>
      <c r="J94" s="8" t="s">
        <v>24</v>
      </c>
      <c r="K94" s="8" t="s">
        <v>25</v>
      </c>
      <c r="L94" s="8">
        <f>IF(K94="","",VLOOKUP(K94,'PLAN SUPORTE'!$H$2:$I$4,2,0))</f>
        <v>15</v>
      </c>
      <c r="M94" s="10">
        <v>45076</v>
      </c>
      <c r="N94" s="10">
        <v>45093</v>
      </c>
      <c r="O94" s="43" t="str">
        <f t="shared" si="6"/>
        <v>Fora do Prazo</v>
      </c>
      <c r="P94" s="10">
        <f t="shared" si="7"/>
        <v>45059</v>
      </c>
      <c r="Q94" s="6" t="str">
        <f t="shared" ca="1" si="8"/>
        <v>Prazo Vencido</v>
      </c>
      <c r="R94" s="8">
        <f t="shared" si="3"/>
        <v>32</v>
      </c>
    </row>
    <row r="95" spans="1:18" ht="13">
      <c r="A95" s="8">
        <v>5157</v>
      </c>
      <c r="B95" s="10">
        <v>45044</v>
      </c>
      <c r="C95" s="10">
        <v>45044</v>
      </c>
      <c r="D95" s="8" t="s">
        <v>746</v>
      </c>
      <c r="E95" s="8" t="s">
        <v>762</v>
      </c>
      <c r="F95" s="8" t="s">
        <v>705</v>
      </c>
      <c r="G95" s="6" t="e">
        <f>IF(F95="","",VLOOKUP(F95,'PLAN SUPORTE'!A:B,2,0))</f>
        <v>#N/A</v>
      </c>
      <c r="H95" s="7" t="s">
        <v>749</v>
      </c>
      <c r="I95" s="8" t="s">
        <v>682</v>
      </c>
      <c r="J95" s="8" t="s">
        <v>24</v>
      </c>
      <c r="K95" s="8" t="s">
        <v>25</v>
      </c>
      <c r="L95" s="8">
        <f>IF(K95="","",VLOOKUP(K95,'PLAN SUPORTE'!$H$2:$I$4,2,0))</f>
        <v>15</v>
      </c>
      <c r="M95" s="10">
        <v>45076</v>
      </c>
      <c r="N95" s="10">
        <v>45093</v>
      </c>
      <c r="O95" s="9" t="str">
        <f t="shared" si="6"/>
        <v>Fora do Prazo</v>
      </c>
      <c r="P95" s="10">
        <f t="shared" si="7"/>
        <v>45059</v>
      </c>
      <c r="Q95" s="6" t="str">
        <f t="shared" ca="1" si="8"/>
        <v>Prazo Vencido</v>
      </c>
      <c r="R95" s="8">
        <f t="shared" si="3"/>
        <v>32</v>
      </c>
    </row>
    <row r="96" spans="1:18" ht="13">
      <c r="A96" s="8">
        <v>5158</v>
      </c>
      <c r="B96" s="10">
        <v>45044</v>
      </c>
      <c r="C96" s="10">
        <v>45044</v>
      </c>
      <c r="D96" s="8" t="s">
        <v>746</v>
      </c>
      <c r="E96" s="8" t="s">
        <v>763</v>
      </c>
      <c r="F96" s="8" t="s">
        <v>699</v>
      </c>
      <c r="G96" s="6" t="e">
        <f>IF(F96="","",VLOOKUP(F96,'PLAN SUPORTE'!A:B,2,0))</f>
        <v>#N/A</v>
      </c>
      <c r="H96" s="7" t="s">
        <v>749</v>
      </c>
      <c r="I96" s="8" t="s">
        <v>682</v>
      </c>
      <c r="J96" s="8" t="s">
        <v>24</v>
      </c>
      <c r="K96" s="8" t="s">
        <v>25</v>
      </c>
      <c r="L96" s="8">
        <f>IF(K96="","",VLOOKUP(K96,'PLAN SUPORTE'!$H$2:$I$4,2,0))</f>
        <v>15</v>
      </c>
      <c r="M96" s="10">
        <v>45076</v>
      </c>
      <c r="N96" s="10">
        <v>45093</v>
      </c>
      <c r="O96" s="9" t="str">
        <f t="shared" si="6"/>
        <v>Fora do Prazo</v>
      </c>
      <c r="P96" s="10">
        <f t="shared" si="7"/>
        <v>45059</v>
      </c>
      <c r="Q96" s="6" t="str">
        <f t="shared" ca="1" si="8"/>
        <v>Prazo Vencido</v>
      </c>
      <c r="R96" s="8">
        <f t="shared" si="3"/>
        <v>32</v>
      </c>
    </row>
    <row r="97" spans="1:18" ht="13">
      <c r="A97" s="8">
        <v>5162</v>
      </c>
      <c r="B97" s="10">
        <v>45047</v>
      </c>
      <c r="C97" s="10">
        <v>45047</v>
      </c>
      <c r="D97" s="8" t="s">
        <v>764</v>
      </c>
      <c r="E97" s="8" t="s">
        <v>765</v>
      </c>
      <c r="F97" s="8" t="s">
        <v>705</v>
      </c>
      <c r="G97" s="6" t="e">
        <f>IF(F97="","",VLOOKUP(F97,'PLAN SUPORTE'!A:B,2,0))</f>
        <v>#N/A</v>
      </c>
      <c r="H97" s="7" t="s">
        <v>749</v>
      </c>
      <c r="I97" s="8" t="s">
        <v>692</v>
      </c>
      <c r="J97" s="8" t="s">
        <v>24</v>
      </c>
      <c r="K97" s="8" t="s">
        <v>25</v>
      </c>
      <c r="L97" s="8">
        <f>IF(K97="","",VLOOKUP(K97,'PLAN SUPORTE'!$H$2:$I$4,2,0))</f>
        <v>15</v>
      </c>
      <c r="M97" s="10">
        <v>45065</v>
      </c>
      <c r="N97" s="10">
        <v>45072</v>
      </c>
      <c r="O97" s="9" t="str">
        <f t="shared" si="6"/>
        <v>Fora do Prazo</v>
      </c>
      <c r="P97" s="10">
        <f t="shared" si="7"/>
        <v>45062</v>
      </c>
      <c r="Q97" s="6" t="str">
        <f t="shared" ca="1" si="8"/>
        <v>Prazo Vencido</v>
      </c>
      <c r="R97" s="8">
        <f t="shared" si="3"/>
        <v>18</v>
      </c>
    </row>
    <row r="98" spans="1:18" ht="13">
      <c r="A98" s="8">
        <v>5165</v>
      </c>
      <c r="B98" s="10">
        <v>45103</v>
      </c>
      <c r="C98" s="10">
        <v>45103</v>
      </c>
      <c r="D98" s="8" t="s">
        <v>766</v>
      </c>
      <c r="E98" s="8" t="s">
        <v>767</v>
      </c>
      <c r="F98" s="8" t="s">
        <v>681</v>
      </c>
      <c r="G98" s="6" t="e">
        <f>IF(F98="","",VLOOKUP(F98,'PLAN SUPORTE'!A:B,2,0))</f>
        <v>#N/A</v>
      </c>
      <c r="H98" s="7"/>
      <c r="I98" s="8" t="s">
        <v>682</v>
      </c>
      <c r="J98" s="8" t="s">
        <v>24</v>
      </c>
      <c r="K98" s="8" t="s">
        <v>25</v>
      </c>
      <c r="L98" s="8">
        <f>IF(K98="","",VLOOKUP(K98,'PLAN SUPORTE'!$H$2:$I$4,2,0))</f>
        <v>15</v>
      </c>
      <c r="M98" s="10">
        <v>45112</v>
      </c>
      <c r="N98" s="10">
        <v>45118</v>
      </c>
      <c r="O98" s="9" t="str">
        <f t="shared" si="6"/>
        <v>Dentro do Prazo</v>
      </c>
      <c r="P98" s="10">
        <f t="shared" si="7"/>
        <v>45118</v>
      </c>
      <c r="Q98" s="6" t="str">
        <f t="shared" ca="1" si="8"/>
        <v>Prazo Vencido</v>
      </c>
      <c r="R98" s="8">
        <f t="shared" si="3"/>
        <v>9</v>
      </c>
    </row>
    <row r="99" spans="1:18" ht="13">
      <c r="A99" s="8">
        <v>5170</v>
      </c>
      <c r="B99" s="10">
        <v>45103</v>
      </c>
      <c r="C99" s="10">
        <v>45103</v>
      </c>
      <c r="D99" s="8" t="s">
        <v>766</v>
      </c>
      <c r="E99" s="8" t="s">
        <v>767</v>
      </c>
      <c r="F99" s="8" t="s">
        <v>681</v>
      </c>
      <c r="G99" s="6" t="e">
        <f>IF(F99="","",VLOOKUP(F99,'PLAN SUPORTE'!A:B,2,0))</f>
        <v>#N/A</v>
      </c>
      <c r="H99" s="7"/>
      <c r="I99" s="8" t="s">
        <v>682</v>
      </c>
      <c r="J99" s="8" t="s">
        <v>24</v>
      </c>
      <c r="K99" s="8" t="s">
        <v>25</v>
      </c>
      <c r="L99" s="8">
        <f>IF(K99="","",VLOOKUP(K99,'PLAN SUPORTE'!$H$2:$I$4,2,0))</f>
        <v>15</v>
      </c>
      <c r="M99" s="10">
        <v>45114</v>
      </c>
      <c r="N99" s="10">
        <v>45118</v>
      </c>
      <c r="O99" s="9" t="str">
        <f t="shared" si="6"/>
        <v>Dentro do Prazo</v>
      </c>
      <c r="P99" s="10">
        <f t="shared" si="7"/>
        <v>45118</v>
      </c>
      <c r="Q99" s="6" t="str">
        <f t="shared" ca="1" si="8"/>
        <v>Prazo Vencido</v>
      </c>
      <c r="R99" s="8">
        <f t="shared" si="3"/>
        <v>11</v>
      </c>
    </row>
    <row r="100" spans="1:18" ht="13">
      <c r="A100" s="8">
        <v>5171</v>
      </c>
      <c r="B100" s="10">
        <v>45103</v>
      </c>
      <c r="C100" s="10">
        <v>45103</v>
      </c>
      <c r="D100" s="8" t="s">
        <v>768</v>
      </c>
      <c r="E100" s="8" t="s">
        <v>769</v>
      </c>
      <c r="F100" s="8" t="s">
        <v>770</v>
      </c>
      <c r="G100" s="6" t="e">
        <f>IF(F100="","",VLOOKUP(F100,'PLAN SUPORTE'!A:B,2,0))</f>
        <v>#N/A</v>
      </c>
      <c r="H100" s="7"/>
      <c r="I100" s="8" t="s">
        <v>682</v>
      </c>
      <c r="J100" s="8" t="s">
        <v>24</v>
      </c>
      <c r="K100" s="8" t="s">
        <v>25</v>
      </c>
      <c r="L100" s="8">
        <f>IF(K100="","",VLOOKUP(K100,'PLAN SUPORTE'!$H$2:$I$4,2,0))</f>
        <v>15</v>
      </c>
      <c r="M100" s="10">
        <v>45128</v>
      </c>
      <c r="N100" s="10">
        <v>45142</v>
      </c>
      <c r="O100" s="9" t="str">
        <f t="shared" si="6"/>
        <v>Fora do Prazo</v>
      </c>
      <c r="P100" s="10">
        <f t="shared" si="7"/>
        <v>45118</v>
      </c>
      <c r="Q100" s="6" t="str">
        <f t="shared" ca="1" si="8"/>
        <v>Prazo Vencido</v>
      </c>
      <c r="R100" s="8">
        <f t="shared" si="3"/>
        <v>25</v>
      </c>
    </row>
    <row r="101" spans="1:18" ht="13">
      <c r="A101" s="8">
        <v>5177</v>
      </c>
      <c r="B101" s="10">
        <v>45050</v>
      </c>
      <c r="C101" s="10">
        <v>45050</v>
      </c>
      <c r="D101" s="8" t="s">
        <v>771</v>
      </c>
      <c r="E101" s="8" t="s">
        <v>772</v>
      </c>
      <c r="F101" s="8" t="s">
        <v>748</v>
      </c>
      <c r="G101" s="6" t="e">
        <f>IF(F101="","",VLOOKUP(F101,'PLAN SUPORTE'!A:B,2,0))</f>
        <v>#N/A</v>
      </c>
      <c r="H101" s="7" t="s">
        <v>749</v>
      </c>
      <c r="I101" s="8" t="s">
        <v>692</v>
      </c>
      <c r="J101" s="8" t="s">
        <v>24</v>
      </c>
      <c r="K101" s="8" t="s">
        <v>25</v>
      </c>
      <c r="L101" s="8">
        <f>IF(K101="","",VLOOKUP(K101,'PLAN SUPORTE'!$H$2:$I$4,2,0))</f>
        <v>15</v>
      </c>
      <c r="M101" s="10">
        <v>45072</v>
      </c>
      <c r="N101" s="10">
        <v>45079</v>
      </c>
      <c r="O101" s="9" t="str">
        <f t="shared" si="6"/>
        <v>Fora do Prazo</v>
      </c>
      <c r="P101" s="10">
        <f t="shared" si="7"/>
        <v>45065</v>
      </c>
      <c r="Q101" s="6" t="str">
        <f t="shared" ca="1" si="8"/>
        <v>Prazo Vencido</v>
      </c>
      <c r="R101" s="8">
        <f t="shared" si="3"/>
        <v>22</v>
      </c>
    </row>
    <row r="102" spans="1:18" ht="13" hidden="1">
      <c r="A102" s="8">
        <v>5179</v>
      </c>
      <c r="B102" s="10">
        <v>45052</v>
      </c>
      <c r="C102" s="10">
        <v>45052</v>
      </c>
      <c r="D102" s="8" t="s">
        <v>773</v>
      </c>
      <c r="E102" s="8" t="s">
        <v>774</v>
      </c>
      <c r="F102" s="8" t="s">
        <v>775</v>
      </c>
      <c r="G102" s="6" t="e">
        <f>IF(F102="","",VLOOKUP(F102,'PLAN SUPORTE'!A:B,2,0))</f>
        <v>#N/A</v>
      </c>
      <c r="H102" s="7" t="s">
        <v>776</v>
      </c>
      <c r="I102" s="8" t="s">
        <v>754</v>
      </c>
      <c r="J102" s="8" t="s">
        <v>296</v>
      </c>
      <c r="K102" s="8" t="s">
        <v>25</v>
      </c>
      <c r="L102" s="8">
        <f>IF(K102="","",VLOOKUP(K102,'PLAN SUPORTE'!$H$2:$I$4,2,0))</f>
        <v>15</v>
      </c>
      <c r="M102" s="10"/>
      <c r="N102" s="10"/>
      <c r="O102" s="9" t="str">
        <f t="shared" si="6"/>
        <v>Em Andamento</v>
      </c>
      <c r="P102" s="10">
        <f t="shared" si="7"/>
        <v>45067</v>
      </c>
      <c r="Q102" s="6" t="str">
        <f t="shared" ca="1" si="8"/>
        <v>Prazo Vencido</v>
      </c>
      <c r="R102" s="8" t="str">
        <f t="shared" si="3"/>
        <v/>
      </c>
    </row>
    <row r="103" spans="1:18" ht="13">
      <c r="A103" s="8">
        <v>5180</v>
      </c>
      <c r="B103" s="10">
        <v>45103</v>
      </c>
      <c r="C103" s="10">
        <v>45103</v>
      </c>
      <c r="D103" s="8" t="s">
        <v>768</v>
      </c>
      <c r="E103" s="8" t="s">
        <v>769</v>
      </c>
      <c r="F103" s="8" t="s">
        <v>770</v>
      </c>
      <c r="G103" s="6" t="e">
        <f>IF(F103="","",VLOOKUP(F103,'PLAN SUPORTE'!A:B,2,0))</f>
        <v>#N/A</v>
      </c>
      <c r="H103" s="7"/>
      <c r="I103" s="8" t="s">
        <v>682</v>
      </c>
      <c r="J103" s="8" t="s">
        <v>24</v>
      </c>
      <c r="K103" s="8" t="s">
        <v>25</v>
      </c>
      <c r="L103" s="8">
        <f>IF(K103="","",VLOOKUP(K103,'PLAN SUPORTE'!$H$2:$I$4,2,0))</f>
        <v>15</v>
      </c>
      <c r="M103" s="10">
        <v>45128</v>
      </c>
      <c r="N103" s="10">
        <v>45142</v>
      </c>
      <c r="O103" s="9" t="str">
        <f t="shared" si="6"/>
        <v>Fora do Prazo</v>
      </c>
      <c r="P103" s="10">
        <f t="shared" si="7"/>
        <v>45118</v>
      </c>
      <c r="Q103" s="6" t="str">
        <f t="shared" ca="1" si="8"/>
        <v>Prazo Vencido</v>
      </c>
      <c r="R103" s="8">
        <f t="shared" si="3"/>
        <v>25</v>
      </c>
    </row>
    <row r="104" spans="1:18" ht="13">
      <c r="A104" s="8">
        <v>5181</v>
      </c>
      <c r="B104" s="10">
        <v>45103</v>
      </c>
      <c r="C104" s="10">
        <v>45103</v>
      </c>
      <c r="D104" s="8" t="s">
        <v>768</v>
      </c>
      <c r="E104" s="8" t="s">
        <v>769</v>
      </c>
      <c r="F104" s="8" t="s">
        <v>770</v>
      </c>
      <c r="G104" s="6" t="e">
        <f>IF(F104="","",VLOOKUP(F104,'PLAN SUPORTE'!A:B,2,0))</f>
        <v>#N/A</v>
      </c>
      <c r="H104" s="7"/>
      <c r="I104" s="8" t="s">
        <v>682</v>
      </c>
      <c r="J104" s="8" t="s">
        <v>24</v>
      </c>
      <c r="K104" s="8" t="s">
        <v>25</v>
      </c>
      <c r="L104" s="8">
        <f>IF(K104="","",VLOOKUP(K104,'PLAN SUPORTE'!$H$2:$I$4,2,0))</f>
        <v>15</v>
      </c>
      <c r="M104" s="10">
        <v>45135</v>
      </c>
      <c r="N104" s="10">
        <v>45142</v>
      </c>
      <c r="O104" s="9" t="str">
        <f t="shared" si="6"/>
        <v>Fora do Prazo</v>
      </c>
      <c r="P104" s="10">
        <f t="shared" si="7"/>
        <v>45118</v>
      </c>
      <c r="Q104" s="6" t="str">
        <f t="shared" ca="1" si="8"/>
        <v>Prazo Vencido</v>
      </c>
      <c r="R104" s="8">
        <f t="shared" si="3"/>
        <v>32</v>
      </c>
    </row>
    <row r="105" spans="1:18" ht="13">
      <c r="A105" s="8">
        <v>5186</v>
      </c>
      <c r="B105" s="10">
        <v>45055</v>
      </c>
      <c r="C105" s="10">
        <v>45055</v>
      </c>
      <c r="D105" s="8" t="s">
        <v>771</v>
      </c>
      <c r="E105" s="8" t="s">
        <v>777</v>
      </c>
      <c r="F105" s="8" t="s">
        <v>705</v>
      </c>
      <c r="G105" s="6" t="e">
        <f>IF(F105="","",VLOOKUP(F105,'PLAN SUPORTE'!A:B,2,0))</f>
        <v>#N/A</v>
      </c>
      <c r="H105" s="7" t="s">
        <v>749</v>
      </c>
      <c r="I105" s="8" t="s">
        <v>692</v>
      </c>
      <c r="J105" s="8" t="s">
        <v>24</v>
      </c>
      <c r="K105" s="8" t="s">
        <v>25</v>
      </c>
      <c r="L105" s="8">
        <f>IF(K105="","",VLOOKUP(K105,'PLAN SUPORTE'!$H$2:$I$4,2,0))</f>
        <v>15</v>
      </c>
      <c r="M105" s="10">
        <v>45056</v>
      </c>
      <c r="N105" s="10">
        <v>45065</v>
      </c>
      <c r="O105" s="9" t="str">
        <f t="shared" si="6"/>
        <v>Dentro do Prazo</v>
      </c>
      <c r="P105" s="10">
        <f t="shared" si="7"/>
        <v>45070</v>
      </c>
      <c r="Q105" s="6" t="str">
        <f t="shared" ca="1" si="8"/>
        <v>Prazo Vencido</v>
      </c>
      <c r="R105" s="8">
        <f t="shared" si="3"/>
        <v>1</v>
      </c>
    </row>
    <row r="106" spans="1:18" ht="13">
      <c r="A106" s="8">
        <v>5188</v>
      </c>
      <c r="B106" s="10">
        <v>45055</v>
      </c>
      <c r="C106" s="10">
        <v>45055</v>
      </c>
      <c r="D106" s="8" t="s">
        <v>771</v>
      </c>
      <c r="E106" s="8" t="s">
        <v>778</v>
      </c>
      <c r="F106" s="8" t="s">
        <v>759</v>
      </c>
      <c r="G106" s="6" t="e">
        <f>IF(F106="","",VLOOKUP(F106,'PLAN SUPORTE'!A:B,2,0))</f>
        <v>#N/A</v>
      </c>
      <c r="H106" s="7" t="s">
        <v>749</v>
      </c>
      <c r="I106" s="8" t="s">
        <v>692</v>
      </c>
      <c r="J106" s="8" t="s">
        <v>24</v>
      </c>
      <c r="K106" s="8" t="s">
        <v>25</v>
      </c>
      <c r="L106" s="8">
        <f>IF(K106="","",VLOOKUP(K106,'PLAN SUPORTE'!$H$2:$I$4,2,0))</f>
        <v>15</v>
      </c>
      <c r="M106" s="10">
        <v>45072</v>
      </c>
      <c r="N106" s="10">
        <v>45079</v>
      </c>
      <c r="O106" s="9" t="str">
        <f t="shared" si="6"/>
        <v>Fora do Prazo</v>
      </c>
      <c r="P106" s="10">
        <f t="shared" si="7"/>
        <v>45070</v>
      </c>
      <c r="Q106" s="6" t="str">
        <f t="shared" ca="1" si="8"/>
        <v>Prazo Vencido</v>
      </c>
      <c r="R106" s="8">
        <f t="shared" si="3"/>
        <v>17</v>
      </c>
    </row>
    <row r="107" spans="1:18" ht="13">
      <c r="A107" s="8">
        <v>5190</v>
      </c>
      <c r="B107" s="10">
        <v>45055</v>
      </c>
      <c r="C107" s="10">
        <v>45055</v>
      </c>
      <c r="D107" s="8" t="s">
        <v>766</v>
      </c>
      <c r="E107" s="8" t="s">
        <v>779</v>
      </c>
      <c r="F107" s="8" t="s">
        <v>761</v>
      </c>
      <c r="G107" s="6" t="e">
        <f>IF(F107="","",VLOOKUP(F107,'PLAN SUPORTE'!A:B,2,0))</f>
        <v>#N/A</v>
      </c>
      <c r="H107" s="7"/>
      <c r="I107" s="8" t="s">
        <v>692</v>
      </c>
      <c r="J107" s="8" t="s">
        <v>24</v>
      </c>
      <c r="K107" s="8" t="s">
        <v>25</v>
      </c>
      <c r="L107" s="8">
        <f>IF(K107="","",VLOOKUP(K107,'PLAN SUPORTE'!$H$2:$I$4,2,0))</f>
        <v>15</v>
      </c>
      <c r="M107" s="10">
        <v>45056</v>
      </c>
      <c r="N107" s="10">
        <v>45096</v>
      </c>
      <c r="O107" s="9" t="str">
        <f t="shared" si="6"/>
        <v>Dentro do Prazo</v>
      </c>
      <c r="P107" s="10">
        <f t="shared" si="7"/>
        <v>45070</v>
      </c>
      <c r="Q107" s="6" t="str">
        <f t="shared" ca="1" si="8"/>
        <v>Prazo Vencido</v>
      </c>
      <c r="R107" s="8">
        <f t="shared" si="3"/>
        <v>1</v>
      </c>
    </row>
    <row r="108" spans="1:18" ht="13">
      <c r="A108" s="8">
        <v>5194</v>
      </c>
      <c r="B108" s="10">
        <v>45056</v>
      </c>
      <c r="C108" s="10">
        <v>45056</v>
      </c>
      <c r="D108" s="8" t="s">
        <v>746</v>
      </c>
      <c r="E108" s="8" t="s">
        <v>769</v>
      </c>
      <c r="F108" s="8" t="s">
        <v>770</v>
      </c>
      <c r="G108" s="6" t="e">
        <f>IF(F108="","",VLOOKUP(F108,'PLAN SUPORTE'!A:B,2,0))</f>
        <v>#N/A</v>
      </c>
      <c r="H108" s="7"/>
      <c r="I108" s="8" t="s">
        <v>682</v>
      </c>
      <c r="J108" s="8" t="s">
        <v>24</v>
      </c>
      <c r="K108" s="8" t="s">
        <v>25</v>
      </c>
      <c r="L108" s="8">
        <f>IF(K108="","",VLOOKUP(K108,'PLAN SUPORTE'!$H$2:$I$4,2,0))</f>
        <v>15</v>
      </c>
      <c r="M108" s="10">
        <v>45071</v>
      </c>
      <c r="N108" s="10">
        <v>45079</v>
      </c>
      <c r="O108" s="9" t="str">
        <f t="shared" si="6"/>
        <v>Dentro do Prazo</v>
      </c>
      <c r="P108" s="10">
        <f t="shared" si="7"/>
        <v>45071</v>
      </c>
      <c r="Q108" s="6" t="str">
        <f t="shared" ca="1" si="8"/>
        <v>Prazo Vencido</v>
      </c>
      <c r="R108" s="8">
        <f t="shared" si="3"/>
        <v>15</v>
      </c>
    </row>
    <row r="109" spans="1:18" ht="13">
      <c r="A109" s="8">
        <v>5195</v>
      </c>
      <c r="B109" s="10">
        <v>45103</v>
      </c>
      <c r="C109" s="10">
        <v>45103</v>
      </c>
      <c r="D109" s="8" t="s">
        <v>768</v>
      </c>
      <c r="E109" s="8" t="s">
        <v>769</v>
      </c>
      <c r="F109" s="8" t="s">
        <v>770</v>
      </c>
      <c r="G109" s="6" t="e">
        <f>IF(F109="","",VLOOKUP(F109,'PLAN SUPORTE'!A:B,2,0))</f>
        <v>#N/A</v>
      </c>
      <c r="H109" s="7"/>
      <c r="I109" s="8" t="s">
        <v>682</v>
      </c>
      <c r="J109" s="8" t="s">
        <v>24</v>
      </c>
      <c r="K109" s="8" t="s">
        <v>25</v>
      </c>
      <c r="L109" s="8">
        <f>IF(K109="","",VLOOKUP(K109,'PLAN SUPORTE'!$H$2:$I$4,2,0))</f>
        <v>15</v>
      </c>
      <c r="M109" s="10">
        <v>45161</v>
      </c>
      <c r="N109" s="10">
        <v>45163</v>
      </c>
      <c r="O109" s="9" t="str">
        <f t="shared" si="6"/>
        <v>Fora do Prazo</v>
      </c>
      <c r="P109" s="10">
        <f t="shared" si="7"/>
        <v>45118</v>
      </c>
      <c r="Q109" s="6" t="str">
        <f t="shared" ca="1" si="8"/>
        <v>Prazo Vencido</v>
      </c>
      <c r="R109" s="8">
        <f t="shared" si="3"/>
        <v>58</v>
      </c>
    </row>
    <row r="110" spans="1:18" ht="13">
      <c r="A110" s="8">
        <v>5196</v>
      </c>
      <c r="B110" s="10">
        <v>45103</v>
      </c>
      <c r="C110" s="10">
        <v>45103</v>
      </c>
      <c r="D110" s="8" t="s">
        <v>768</v>
      </c>
      <c r="E110" s="8" t="s">
        <v>769</v>
      </c>
      <c r="F110" s="8" t="s">
        <v>770</v>
      </c>
      <c r="G110" s="6" t="e">
        <f>IF(F110="","",VLOOKUP(F110,'PLAN SUPORTE'!A:B,2,0))</f>
        <v>#N/A</v>
      </c>
      <c r="H110" s="7"/>
      <c r="I110" s="8" t="s">
        <v>682</v>
      </c>
      <c r="J110" s="8" t="s">
        <v>24</v>
      </c>
      <c r="K110" s="8" t="s">
        <v>25</v>
      </c>
      <c r="L110" s="8">
        <f>IF(K110="","",VLOOKUP(K110,'PLAN SUPORTE'!$H$2:$I$4,2,0))</f>
        <v>15</v>
      </c>
      <c r="M110" s="10">
        <v>45161</v>
      </c>
      <c r="N110" s="10">
        <v>45163</v>
      </c>
      <c r="O110" s="9" t="str">
        <f t="shared" si="6"/>
        <v>Fora do Prazo</v>
      </c>
      <c r="P110" s="10">
        <f t="shared" si="7"/>
        <v>45118</v>
      </c>
      <c r="Q110" s="6" t="str">
        <f t="shared" ca="1" si="8"/>
        <v>Prazo Vencido</v>
      </c>
      <c r="R110" s="8">
        <f t="shared" si="3"/>
        <v>58</v>
      </c>
    </row>
    <row r="111" spans="1:18" ht="13" hidden="1">
      <c r="A111" s="8">
        <v>5197</v>
      </c>
      <c r="B111" s="10">
        <v>45103</v>
      </c>
      <c r="C111" s="10">
        <v>45103</v>
      </c>
      <c r="D111" s="8" t="s">
        <v>780</v>
      </c>
      <c r="E111" s="8" t="s">
        <v>781</v>
      </c>
      <c r="F111" s="8" t="s">
        <v>681</v>
      </c>
      <c r="G111" s="6" t="e">
        <f>IF(F111="","",VLOOKUP(F111,'PLAN SUPORTE'!A:B,2,0))</f>
        <v>#N/A</v>
      </c>
      <c r="H111" s="7"/>
      <c r="I111" s="8" t="s">
        <v>687</v>
      </c>
      <c r="J111" s="8" t="s">
        <v>296</v>
      </c>
      <c r="K111" s="8" t="s">
        <v>691</v>
      </c>
      <c r="L111" s="8" t="e">
        <f>IF(K111="","",VLOOKUP(K111,'PLAN SUPORTE'!$H$2:$I$4,2,0))</f>
        <v>#N/A</v>
      </c>
      <c r="M111" s="10"/>
      <c r="N111" s="10"/>
      <c r="O111" s="9" t="str">
        <f t="shared" si="6"/>
        <v>Em Andamento</v>
      </c>
      <c r="P111" s="10" t="e">
        <f t="shared" si="7"/>
        <v>#N/A</v>
      </c>
      <c r="Q111" s="6" t="e">
        <f t="shared" ca="1" si="8"/>
        <v>#N/A</v>
      </c>
      <c r="R111" s="8" t="str">
        <f t="shared" si="3"/>
        <v/>
      </c>
    </row>
    <row r="112" spans="1:18" ht="13" hidden="1">
      <c r="A112" s="8">
        <v>5198</v>
      </c>
      <c r="B112" s="10">
        <v>45103</v>
      </c>
      <c r="C112" s="10">
        <v>45103</v>
      </c>
      <c r="D112" s="8" t="s">
        <v>768</v>
      </c>
      <c r="E112" s="8" t="s">
        <v>782</v>
      </c>
      <c r="F112" s="8" t="s">
        <v>770</v>
      </c>
      <c r="G112" s="6" t="e">
        <f>IF(F112="","",VLOOKUP(F112,'PLAN SUPORTE'!A:B,2,0))</f>
        <v>#N/A</v>
      </c>
      <c r="H112" s="7"/>
      <c r="I112" s="8" t="s">
        <v>682</v>
      </c>
      <c r="J112" s="8" t="s">
        <v>296</v>
      </c>
      <c r="K112" s="8" t="s">
        <v>25</v>
      </c>
      <c r="L112" s="8">
        <f>IF(K112="","",VLOOKUP(K112,'PLAN SUPORTE'!$H$2:$I$4,2,0))</f>
        <v>15</v>
      </c>
      <c r="M112" s="10"/>
      <c r="N112" s="10"/>
      <c r="O112" s="9" t="str">
        <f t="shared" si="6"/>
        <v>Em Andamento</v>
      </c>
      <c r="P112" s="10">
        <f t="shared" si="7"/>
        <v>45118</v>
      </c>
      <c r="Q112" s="6" t="str">
        <f t="shared" ca="1" si="8"/>
        <v>Prazo Vencido</v>
      </c>
      <c r="R112" s="8" t="str">
        <f t="shared" si="3"/>
        <v/>
      </c>
    </row>
    <row r="113" spans="1:18" ht="13" hidden="1">
      <c r="A113" s="8">
        <v>5199</v>
      </c>
      <c r="B113" s="10">
        <v>45103</v>
      </c>
      <c r="C113" s="10">
        <v>45103</v>
      </c>
      <c r="D113" s="8" t="s">
        <v>783</v>
      </c>
      <c r="E113" s="8" t="s">
        <v>784</v>
      </c>
      <c r="F113" s="8" t="s">
        <v>770</v>
      </c>
      <c r="G113" s="6" t="e">
        <f>IF(F113="","",VLOOKUP(F113,'PLAN SUPORTE'!A:B,2,0))</f>
        <v>#N/A</v>
      </c>
      <c r="H113" s="7"/>
      <c r="I113" s="8" t="s">
        <v>687</v>
      </c>
      <c r="J113" s="8" t="s">
        <v>265</v>
      </c>
      <c r="K113" s="8" t="s">
        <v>167</v>
      </c>
      <c r="L113" s="8">
        <f>IF(K113="","",VLOOKUP(K113,'PLAN SUPORTE'!$H$2:$I$4,2,0))</f>
        <v>30</v>
      </c>
      <c r="M113" s="10"/>
      <c r="N113" s="10"/>
      <c r="O113" s="44" t="s">
        <v>785</v>
      </c>
      <c r="P113" s="10">
        <f t="shared" si="7"/>
        <v>45133</v>
      </c>
      <c r="Q113" s="6" t="str">
        <f t="shared" ca="1" si="8"/>
        <v>Prazo Vencido</v>
      </c>
      <c r="R113" s="8" t="str">
        <f t="shared" si="3"/>
        <v/>
      </c>
    </row>
    <row r="114" spans="1:18" ht="13">
      <c r="A114" s="8">
        <v>5200</v>
      </c>
      <c r="B114" s="10">
        <v>45103</v>
      </c>
      <c r="C114" s="10">
        <v>45103</v>
      </c>
      <c r="D114" s="8" t="s">
        <v>768</v>
      </c>
      <c r="E114" s="8" t="s">
        <v>739</v>
      </c>
      <c r="F114" s="8" t="s">
        <v>759</v>
      </c>
      <c r="G114" s="6" t="e">
        <f>IF(F114="","",VLOOKUP(F114,'PLAN SUPORTE'!A:B,2,0))</f>
        <v>#N/A</v>
      </c>
      <c r="H114" s="7"/>
      <c r="I114" s="8" t="s">
        <v>692</v>
      </c>
      <c r="J114" s="8" t="s">
        <v>24</v>
      </c>
      <c r="K114" s="8" t="s">
        <v>25</v>
      </c>
      <c r="L114" s="8">
        <f>IF(K114="","",VLOOKUP(K114,'PLAN SUPORTE'!$H$2:$I$4,2,0))</f>
        <v>15</v>
      </c>
      <c r="M114" s="10">
        <v>45124</v>
      </c>
      <c r="N114" s="10">
        <v>45128</v>
      </c>
      <c r="O114" s="9" t="str">
        <f t="shared" ref="O114:O128" si="9">IF(AND(C114="",K114=""),"",IF(R114="","Em Andamento",IF(M114&lt;=P114,"Dentro do Prazo","Fora do Prazo")))</f>
        <v>Fora do Prazo</v>
      </c>
      <c r="P114" s="10">
        <f t="shared" si="7"/>
        <v>45118</v>
      </c>
      <c r="Q114" s="6" t="str">
        <f t="shared" ca="1" si="8"/>
        <v>Prazo Vencido</v>
      </c>
      <c r="R114" s="8">
        <f t="shared" si="3"/>
        <v>21</v>
      </c>
    </row>
    <row r="115" spans="1:18" ht="13" hidden="1">
      <c r="A115" s="8">
        <v>5202</v>
      </c>
      <c r="B115" s="10">
        <v>45103</v>
      </c>
      <c r="C115" s="10">
        <v>45103</v>
      </c>
      <c r="D115" s="8" t="s">
        <v>786</v>
      </c>
      <c r="E115" s="8" t="s">
        <v>769</v>
      </c>
      <c r="F115" s="8" t="s">
        <v>770</v>
      </c>
      <c r="G115" s="6" t="e">
        <f>IF(F115="","",VLOOKUP(F115,'PLAN SUPORTE'!A:B,2,0))</f>
        <v>#N/A</v>
      </c>
      <c r="H115" s="7"/>
      <c r="I115" s="8" t="s">
        <v>682</v>
      </c>
      <c r="J115" s="8" t="s">
        <v>265</v>
      </c>
      <c r="K115" s="8" t="s">
        <v>25</v>
      </c>
      <c r="L115" s="8">
        <f>IF(K115="","",VLOOKUP(K115,'PLAN SUPORTE'!$H$2:$I$4,2,0))</f>
        <v>15</v>
      </c>
      <c r="M115" s="10"/>
      <c r="N115" s="10"/>
      <c r="O115" s="9" t="str">
        <f t="shared" si="9"/>
        <v>Em Andamento</v>
      </c>
      <c r="P115" s="10">
        <f t="shared" si="7"/>
        <v>45118</v>
      </c>
      <c r="Q115" s="6" t="str">
        <f t="shared" ca="1" si="8"/>
        <v>Prazo Vencido</v>
      </c>
      <c r="R115" s="8" t="str">
        <f t="shared" si="3"/>
        <v/>
      </c>
    </row>
    <row r="116" spans="1:18" ht="13" hidden="1">
      <c r="A116" s="8">
        <v>5203</v>
      </c>
      <c r="B116" s="10">
        <v>45103</v>
      </c>
      <c r="C116" s="10">
        <v>45103</v>
      </c>
      <c r="D116" s="8" t="s">
        <v>787</v>
      </c>
      <c r="E116" s="8" t="s">
        <v>788</v>
      </c>
      <c r="F116" s="8" t="s">
        <v>770</v>
      </c>
      <c r="G116" s="6" t="e">
        <f>IF(F116="","",VLOOKUP(F116,'PLAN SUPORTE'!A:B,2,0))</f>
        <v>#N/A</v>
      </c>
      <c r="H116" s="7"/>
      <c r="I116" s="8" t="s">
        <v>682</v>
      </c>
      <c r="J116" s="8" t="s">
        <v>265</v>
      </c>
      <c r="K116" s="8" t="s">
        <v>25</v>
      </c>
      <c r="L116" s="8">
        <f>IF(K116="","",VLOOKUP(K116,'PLAN SUPORTE'!$H$2:$I$4,2,0))</f>
        <v>15</v>
      </c>
      <c r="M116" s="10"/>
      <c r="N116" s="10"/>
      <c r="O116" s="9" t="str">
        <f t="shared" si="9"/>
        <v>Em Andamento</v>
      </c>
      <c r="P116" s="10">
        <f t="shared" si="7"/>
        <v>45118</v>
      </c>
      <c r="Q116" s="6" t="str">
        <f t="shared" ca="1" si="8"/>
        <v>Prazo Vencido</v>
      </c>
      <c r="R116" s="8" t="str">
        <f t="shared" si="3"/>
        <v/>
      </c>
    </row>
    <row r="117" spans="1:18" ht="13">
      <c r="A117" s="8">
        <v>5214</v>
      </c>
      <c r="B117" s="10">
        <v>45061</v>
      </c>
      <c r="C117" s="10">
        <v>45061</v>
      </c>
      <c r="D117" s="8" t="s">
        <v>789</v>
      </c>
      <c r="E117" s="8" t="s">
        <v>709</v>
      </c>
      <c r="F117" s="8" t="s">
        <v>704</v>
      </c>
      <c r="G117" s="6" t="e">
        <f>IF(F117="","",VLOOKUP(F117,'PLAN SUPORTE'!A:B,2,0))</f>
        <v>#N/A</v>
      </c>
      <c r="H117" s="7" t="s">
        <v>686</v>
      </c>
      <c r="I117" s="8" t="s">
        <v>687</v>
      </c>
      <c r="J117" s="8" t="s">
        <v>24</v>
      </c>
      <c r="K117" s="8" t="s">
        <v>167</v>
      </c>
      <c r="L117" s="8">
        <f>IF(K117="","",VLOOKUP(K117,'PLAN SUPORTE'!$H$2:$I$4,2,0))</f>
        <v>30</v>
      </c>
      <c r="M117" s="10">
        <v>45089</v>
      </c>
      <c r="N117" s="10">
        <v>45101</v>
      </c>
      <c r="O117" s="9" t="str">
        <f t="shared" si="9"/>
        <v>Fora do Prazo</v>
      </c>
      <c r="P117" s="10"/>
      <c r="Q117" s="6" t="str">
        <f t="shared" ca="1" si="8"/>
        <v/>
      </c>
      <c r="R117" s="8">
        <f t="shared" si="3"/>
        <v>28</v>
      </c>
    </row>
    <row r="118" spans="1:18" ht="13">
      <c r="A118" s="8">
        <v>5217</v>
      </c>
      <c r="B118" s="10">
        <v>45035</v>
      </c>
      <c r="C118" s="10">
        <v>45035</v>
      </c>
      <c r="D118" s="8" t="s">
        <v>790</v>
      </c>
      <c r="E118" s="8" t="s">
        <v>745</v>
      </c>
      <c r="F118" s="8" t="s">
        <v>704</v>
      </c>
      <c r="G118" s="6" t="e">
        <f>IF(F118="","",VLOOKUP(F118,'PLAN SUPORTE'!A:B,2,0))</f>
        <v>#N/A</v>
      </c>
      <c r="H118" s="7" t="s">
        <v>686</v>
      </c>
      <c r="I118" s="8" t="s">
        <v>692</v>
      </c>
      <c r="J118" s="8" t="s">
        <v>24</v>
      </c>
      <c r="K118" s="8" t="s">
        <v>691</v>
      </c>
      <c r="L118" s="8" t="e">
        <f>IF(K118="","",VLOOKUP(K118,'PLAN SUPORTE'!$H$2:$I$4,2,0))</f>
        <v>#N/A</v>
      </c>
      <c r="M118" s="10">
        <v>45142</v>
      </c>
      <c r="N118" s="10">
        <v>45149</v>
      </c>
      <c r="O118" s="9" t="e">
        <f t="shared" si="9"/>
        <v>#N/A</v>
      </c>
      <c r="P118" s="10" t="e">
        <f t="shared" ref="P118:P128" si="10">IF(OR(C118="",L118=""),"",C118+L118)</f>
        <v>#N/A</v>
      </c>
      <c r="Q118" s="6" t="e">
        <f t="shared" ca="1" si="8"/>
        <v>#N/A</v>
      </c>
      <c r="R118" s="8">
        <f t="shared" si="3"/>
        <v>107</v>
      </c>
    </row>
    <row r="119" spans="1:18" ht="13" hidden="1">
      <c r="A119" s="8">
        <v>5222</v>
      </c>
      <c r="B119" s="10">
        <v>45070</v>
      </c>
      <c r="C119" s="10">
        <v>45070</v>
      </c>
      <c r="D119" s="8" t="s">
        <v>791</v>
      </c>
      <c r="E119" s="8" t="s">
        <v>792</v>
      </c>
      <c r="F119" s="8" t="s">
        <v>752</v>
      </c>
      <c r="G119" s="6" t="e">
        <f>IF(F119="","",VLOOKUP(F119,'PLAN SUPORTE'!A:B,2,0))</f>
        <v>#N/A</v>
      </c>
      <c r="H119" s="7" t="s">
        <v>793</v>
      </c>
      <c r="I119" s="8" t="s">
        <v>754</v>
      </c>
      <c r="J119" s="8" t="s">
        <v>296</v>
      </c>
      <c r="K119" s="8" t="s">
        <v>25</v>
      </c>
      <c r="L119" s="8">
        <f>IF(K119="","",VLOOKUP(K119,'PLAN SUPORTE'!$H$2:$I$4,2,0))</f>
        <v>15</v>
      </c>
      <c r="M119" s="10">
        <v>45138</v>
      </c>
      <c r="N119" s="10">
        <v>45142</v>
      </c>
      <c r="O119" s="9" t="str">
        <f t="shared" si="9"/>
        <v>Fora do Prazo</v>
      </c>
      <c r="P119" s="10">
        <f t="shared" si="10"/>
        <v>45085</v>
      </c>
      <c r="Q119" s="6" t="str">
        <f t="shared" ca="1" si="8"/>
        <v>Prazo Vencido</v>
      </c>
      <c r="R119" s="8">
        <f t="shared" si="3"/>
        <v>68</v>
      </c>
    </row>
    <row r="120" spans="1:18" ht="13">
      <c r="A120" s="8">
        <v>5223</v>
      </c>
      <c r="B120" s="10">
        <v>45070</v>
      </c>
      <c r="C120" s="10">
        <v>45070</v>
      </c>
      <c r="D120" s="8" t="s">
        <v>794</v>
      </c>
      <c r="E120" s="8" t="s">
        <v>709</v>
      </c>
      <c r="F120" s="8" t="s">
        <v>704</v>
      </c>
      <c r="G120" s="6" t="e">
        <f>IF(F120="","",VLOOKUP(F120,'PLAN SUPORTE'!A:B,2,0))</f>
        <v>#N/A</v>
      </c>
      <c r="H120" s="7" t="s">
        <v>686</v>
      </c>
      <c r="I120" s="8" t="s">
        <v>687</v>
      </c>
      <c r="J120" s="8" t="s">
        <v>24</v>
      </c>
      <c r="K120" s="8" t="s">
        <v>167</v>
      </c>
      <c r="L120" s="8">
        <f>IF(K120="","",VLOOKUP(K120,'PLAN SUPORTE'!$H$2:$I$4,2,0))</f>
        <v>30</v>
      </c>
      <c r="M120" s="10">
        <v>45096</v>
      </c>
      <c r="N120" s="10">
        <v>45100</v>
      </c>
      <c r="O120" s="9" t="str">
        <f t="shared" si="9"/>
        <v>Dentro do Prazo</v>
      </c>
      <c r="P120" s="10">
        <f t="shared" si="10"/>
        <v>45100</v>
      </c>
      <c r="Q120" s="6" t="str">
        <f t="shared" ca="1" si="8"/>
        <v>Prazo Vencido</v>
      </c>
      <c r="R120" s="8">
        <f t="shared" si="3"/>
        <v>26</v>
      </c>
    </row>
    <row r="121" spans="1:18" ht="13" hidden="1">
      <c r="A121" s="8">
        <v>5224</v>
      </c>
      <c r="B121" s="10">
        <v>45070</v>
      </c>
      <c r="C121" s="10">
        <v>45070</v>
      </c>
      <c r="D121" s="8" t="s">
        <v>795</v>
      </c>
      <c r="E121" s="8" t="s">
        <v>796</v>
      </c>
      <c r="F121" s="8" t="s">
        <v>770</v>
      </c>
      <c r="G121" s="6" t="e">
        <f>IF(F121="","",VLOOKUP(F121,'PLAN SUPORTE'!A:B,2,0))</f>
        <v>#N/A</v>
      </c>
      <c r="H121" s="7"/>
      <c r="I121" s="8" t="s">
        <v>682</v>
      </c>
      <c r="J121" s="8" t="s">
        <v>296</v>
      </c>
      <c r="K121" s="8" t="s">
        <v>25</v>
      </c>
      <c r="L121" s="8">
        <f>IF(K121="","",VLOOKUP(K121,'PLAN SUPORTE'!$H$2:$I$4,2,0))</f>
        <v>15</v>
      </c>
      <c r="M121" s="10"/>
      <c r="N121" s="10"/>
      <c r="O121" s="9" t="str">
        <f t="shared" si="9"/>
        <v>Em Andamento</v>
      </c>
      <c r="P121" s="10">
        <f t="shared" si="10"/>
        <v>45085</v>
      </c>
      <c r="Q121" s="6" t="str">
        <f t="shared" ca="1" si="8"/>
        <v>Prazo Vencido</v>
      </c>
      <c r="R121" s="8" t="str">
        <f t="shared" si="3"/>
        <v/>
      </c>
    </row>
    <row r="122" spans="1:18" ht="13" hidden="1">
      <c r="A122" s="8">
        <v>5225</v>
      </c>
      <c r="B122" s="10">
        <v>45071</v>
      </c>
      <c r="C122" s="10">
        <v>45071</v>
      </c>
      <c r="D122" s="8" t="s">
        <v>797</v>
      </c>
      <c r="E122" s="8" t="s">
        <v>798</v>
      </c>
      <c r="F122" s="8" t="s">
        <v>799</v>
      </c>
      <c r="G122" s="6" t="e">
        <f>IF(F122="","",VLOOKUP(F122,'PLAN SUPORTE'!A:B,2,0))</f>
        <v>#N/A</v>
      </c>
      <c r="H122" s="7" t="s">
        <v>776</v>
      </c>
      <c r="I122" s="8" t="s">
        <v>754</v>
      </c>
      <c r="J122" s="8" t="s">
        <v>296</v>
      </c>
      <c r="K122" s="8" t="s">
        <v>25</v>
      </c>
      <c r="L122" s="8">
        <f>IF(K122="","",VLOOKUP(K122,'PLAN SUPORTE'!$H$2:$I$4,2,0))</f>
        <v>15</v>
      </c>
      <c r="M122" s="10"/>
      <c r="N122" s="10"/>
      <c r="O122" s="9" t="str">
        <f t="shared" si="9"/>
        <v>Em Andamento</v>
      </c>
      <c r="P122" s="10">
        <f t="shared" si="10"/>
        <v>45086</v>
      </c>
      <c r="Q122" s="6" t="str">
        <f t="shared" ca="1" si="8"/>
        <v>Prazo Vencido</v>
      </c>
      <c r="R122" s="8" t="str">
        <f t="shared" si="3"/>
        <v/>
      </c>
    </row>
    <row r="123" spans="1:18" ht="13">
      <c r="A123" s="8">
        <v>5232</v>
      </c>
      <c r="B123" s="10">
        <v>45072</v>
      </c>
      <c r="C123" s="10">
        <v>45072</v>
      </c>
      <c r="D123" s="8" t="s">
        <v>800</v>
      </c>
      <c r="E123" s="8" t="s">
        <v>745</v>
      </c>
      <c r="F123" s="8" t="s">
        <v>704</v>
      </c>
      <c r="G123" s="6" t="e">
        <f>IF(F123="","",VLOOKUP(F123,'PLAN SUPORTE'!A:B,2,0))</f>
        <v>#N/A</v>
      </c>
      <c r="H123" s="7" t="s">
        <v>686</v>
      </c>
      <c r="I123" s="8" t="s">
        <v>692</v>
      </c>
      <c r="J123" s="8" t="s">
        <v>24</v>
      </c>
      <c r="K123" s="8" t="s">
        <v>691</v>
      </c>
      <c r="L123" s="8" t="e">
        <f>IF(K123="","",VLOOKUP(K123,'PLAN SUPORTE'!$H$2:$I$4,2,0))</f>
        <v>#N/A</v>
      </c>
      <c r="M123" s="10">
        <v>45117</v>
      </c>
      <c r="N123" s="10">
        <v>45121</v>
      </c>
      <c r="O123" s="9" t="e">
        <f t="shared" si="9"/>
        <v>#N/A</v>
      </c>
      <c r="P123" s="10" t="e">
        <f t="shared" si="10"/>
        <v>#N/A</v>
      </c>
      <c r="Q123" s="6"/>
      <c r="R123" s="8">
        <f t="shared" si="3"/>
        <v>45</v>
      </c>
    </row>
    <row r="124" spans="1:18" ht="13" hidden="1">
      <c r="A124" s="8">
        <v>5243</v>
      </c>
      <c r="B124" s="10">
        <v>45075</v>
      </c>
      <c r="C124" s="10">
        <v>45075</v>
      </c>
      <c r="D124" s="8" t="s">
        <v>801</v>
      </c>
      <c r="E124" s="8" t="s">
        <v>802</v>
      </c>
      <c r="F124" s="8" t="s">
        <v>803</v>
      </c>
      <c r="G124" s="6" t="e">
        <f>IF(F124="","",VLOOKUP(F124,'PLAN SUPORTE'!A:B,2,0))</f>
        <v>#N/A</v>
      </c>
      <c r="H124" s="7"/>
      <c r="I124" s="8" t="s">
        <v>682</v>
      </c>
      <c r="J124" s="8" t="s">
        <v>296</v>
      </c>
      <c r="K124" s="8" t="s">
        <v>25</v>
      </c>
      <c r="L124" s="8">
        <f>IF(K124="","",VLOOKUP(K124,'PLAN SUPORTE'!$H$2:$I$4,2,0))</f>
        <v>15</v>
      </c>
      <c r="M124" s="10"/>
      <c r="N124" s="10"/>
      <c r="O124" s="9" t="str">
        <f t="shared" si="9"/>
        <v>Em Andamento</v>
      </c>
      <c r="P124" s="10">
        <f t="shared" si="10"/>
        <v>45090</v>
      </c>
      <c r="Q124" s="6" t="str">
        <f t="shared" ref="Q124:Q128" ca="1" si="11">IF(P124="","",IF(P124-TODAY()=0,"Vence Hoje!",IF(P124-TODAY()&gt;=0,P124-TODAY()&amp;" Dia(s) para vencer","Prazo Vencido")))</f>
        <v>Prazo Vencido</v>
      </c>
      <c r="R124" s="8" t="str">
        <f t="shared" si="3"/>
        <v/>
      </c>
    </row>
    <row r="125" spans="1:18" ht="13" hidden="1">
      <c r="A125" s="8">
        <v>5259</v>
      </c>
      <c r="B125" s="10">
        <v>45076</v>
      </c>
      <c r="C125" s="10">
        <v>45076</v>
      </c>
      <c r="D125" s="8" t="s">
        <v>804</v>
      </c>
      <c r="E125" s="8" t="s">
        <v>805</v>
      </c>
      <c r="F125" s="8" t="s">
        <v>681</v>
      </c>
      <c r="G125" s="6" t="e">
        <f>IF(F125="","",VLOOKUP(F125,'PLAN SUPORTE'!A:B,2,0))</f>
        <v>#N/A</v>
      </c>
      <c r="H125" s="7"/>
      <c r="I125" s="8" t="s">
        <v>682</v>
      </c>
      <c r="J125" s="8" t="s">
        <v>296</v>
      </c>
      <c r="K125" s="8" t="s">
        <v>25</v>
      </c>
      <c r="L125" s="8">
        <f>IF(K125="","",VLOOKUP(K125,'PLAN SUPORTE'!$H$2:$I$4,2,0))</f>
        <v>15</v>
      </c>
      <c r="M125" s="10"/>
      <c r="N125" s="10"/>
      <c r="O125" s="9" t="str">
        <f t="shared" si="9"/>
        <v>Em Andamento</v>
      </c>
      <c r="P125" s="10">
        <f t="shared" si="10"/>
        <v>45091</v>
      </c>
      <c r="Q125" s="6" t="str">
        <f t="shared" ca="1" si="11"/>
        <v>Prazo Vencido</v>
      </c>
      <c r="R125" s="8" t="str">
        <f t="shared" si="3"/>
        <v/>
      </c>
    </row>
    <row r="126" spans="1:18" ht="13" hidden="1">
      <c r="A126" s="8">
        <v>5260</v>
      </c>
      <c r="B126" s="10">
        <v>45103</v>
      </c>
      <c r="C126" s="10">
        <v>45103</v>
      </c>
      <c r="D126" s="8" t="s">
        <v>806</v>
      </c>
      <c r="E126" s="8" t="s">
        <v>807</v>
      </c>
      <c r="F126" s="8" t="s">
        <v>699</v>
      </c>
      <c r="G126" s="6" t="e">
        <f>IF(F126="","",VLOOKUP(F126,'PLAN SUPORTE'!A:B,2,0))</f>
        <v>#N/A</v>
      </c>
      <c r="H126" s="7"/>
      <c r="I126" s="8" t="s">
        <v>682</v>
      </c>
      <c r="J126" s="8" t="s">
        <v>296</v>
      </c>
      <c r="K126" s="8" t="s">
        <v>25</v>
      </c>
      <c r="L126" s="8">
        <f>IF(K126="","",VLOOKUP(K126,'PLAN SUPORTE'!$H$2:$I$4,2,0))</f>
        <v>15</v>
      </c>
      <c r="M126" s="10"/>
      <c r="N126" s="10"/>
      <c r="O126" s="9" t="str">
        <f t="shared" si="9"/>
        <v>Em Andamento</v>
      </c>
      <c r="P126" s="10">
        <f t="shared" si="10"/>
        <v>45118</v>
      </c>
      <c r="Q126" s="6" t="str">
        <f t="shared" ca="1" si="11"/>
        <v>Prazo Vencido</v>
      </c>
      <c r="R126" s="8" t="str">
        <f t="shared" si="3"/>
        <v/>
      </c>
    </row>
    <row r="127" spans="1:18" ht="13" hidden="1">
      <c r="A127" s="8">
        <v>5267</v>
      </c>
      <c r="B127" s="10">
        <v>45076</v>
      </c>
      <c r="C127" s="10">
        <v>45076</v>
      </c>
      <c r="D127" s="8" t="s">
        <v>808</v>
      </c>
      <c r="E127" s="8" t="s">
        <v>809</v>
      </c>
      <c r="F127" s="8" t="s">
        <v>752</v>
      </c>
      <c r="G127" s="6" t="e">
        <f>IF(F127="","",VLOOKUP(F127,'PLAN SUPORTE'!A:B,2,0))</f>
        <v>#N/A</v>
      </c>
      <c r="H127" s="7" t="s">
        <v>793</v>
      </c>
      <c r="I127" s="8" t="s">
        <v>754</v>
      </c>
      <c r="J127" s="8" t="s">
        <v>296</v>
      </c>
      <c r="K127" s="8" t="s">
        <v>25</v>
      </c>
      <c r="L127" s="8">
        <f>IF(K127="","",VLOOKUP(K127,'PLAN SUPORTE'!$H$2:$I$4,2,0))</f>
        <v>15</v>
      </c>
      <c r="M127" s="10">
        <v>45138</v>
      </c>
      <c r="N127" s="10">
        <v>45142</v>
      </c>
      <c r="O127" s="9" t="str">
        <f t="shared" si="9"/>
        <v>Fora do Prazo</v>
      </c>
      <c r="P127" s="10">
        <f t="shared" si="10"/>
        <v>45091</v>
      </c>
      <c r="Q127" s="6" t="str">
        <f t="shared" ca="1" si="11"/>
        <v>Prazo Vencido</v>
      </c>
      <c r="R127" s="8">
        <f t="shared" si="3"/>
        <v>62</v>
      </c>
    </row>
    <row r="128" spans="1:18" ht="13">
      <c r="A128" s="8">
        <v>5268</v>
      </c>
      <c r="B128" s="10">
        <v>45076</v>
      </c>
      <c r="C128" s="10">
        <v>45076</v>
      </c>
      <c r="D128" s="8" t="s">
        <v>787</v>
      </c>
      <c r="E128" s="8" t="s">
        <v>767</v>
      </c>
      <c r="F128" s="8" t="s">
        <v>681</v>
      </c>
      <c r="G128" s="6" t="e">
        <f>IF(F128="","",VLOOKUP(F128,'PLAN SUPORTE'!A:B,2,0))</f>
        <v>#N/A</v>
      </c>
      <c r="H128" s="7"/>
      <c r="I128" s="8" t="s">
        <v>682</v>
      </c>
      <c r="J128" s="8" t="s">
        <v>24</v>
      </c>
      <c r="K128" s="8" t="s">
        <v>25</v>
      </c>
      <c r="L128" s="8">
        <f>IF(K128="","",VLOOKUP(K128,'PLAN SUPORTE'!$H$2:$I$4,2,0))</f>
        <v>15</v>
      </c>
      <c r="M128" s="10">
        <v>45080</v>
      </c>
      <c r="N128" s="10">
        <v>45086</v>
      </c>
      <c r="O128" s="9" t="str">
        <f t="shared" si="9"/>
        <v>Dentro do Prazo</v>
      </c>
      <c r="P128" s="10">
        <f t="shared" si="10"/>
        <v>45091</v>
      </c>
      <c r="Q128" s="6" t="str">
        <f t="shared" ca="1" si="11"/>
        <v>Prazo Vencido</v>
      </c>
      <c r="R128" s="8">
        <f t="shared" si="3"/>
        <v>4</v>
      </c>
    </row>
    <row r="129" spans="1:18" ht="26">
      <c r="A129" s="45">
        <v>5271</v>
      </c>
      <c r="B129" s="46">
        <v>45159</v>
      </c>
      <c r="C129" s="46">
        <v>45159</v>
      </c>
      <c r="D129" s="45" t="s">
        <v>810</v>
      </c>
      <c r="E129" s="45" t="s">
        <v>811</v>
      </c>
      <c r="F129" s="45" t="s">
        <v>812</v>
      </c>
      <c r="G129" s="47" t="s">
        <v>813</v>
      </c>
      <c r="H129" s="48"/>
      <c r="I129" s="45" t="s">
        <v>687</v>
      </c>
      <c r="J129" s="45" t="s">
        <v>24</v>
      </c>
      <c r="K129" s="45" t="s">
        <v>167</v>
      </c>
      <c r="L129" s="45">
        <f>IF(K129="","",VLOOKUP(K129,'PLAN SUPORTE'!$H$2:$I$4,2,0))</f>
        <v>30</v>
      </c>
      <c r="M129" s="10">
        <v>45162</v>
      </c>
      <c r="N129" s="46"/>
      <c r="O129" s="49" t="s">
        <v>814</v>
      </c>
      <c r="P129" s="10"/>
      <c r="Q129" s="6" t="s">
        <v>815</v>
      </c>
      <c r="R129" s="8">
        <f t="shared" si="3"/>
        <v>3</v>
      </c>
    </row>
    <row r="130" spans="1:18" ht="13">
      <c r="A130" s="8">
        <v>5277</v>
      </c>
      <c r="B130" s="10">
        <v>45078</v>
      </c>
      <c r="C130" s="10">
        <v>45078</v>
      </c>
      <c r="D130" s="8" t="s">
        <v>816</v>
      </c>
      <c r="E130" s="8" t="s">
        <v>811</v>
      </c>
      <c r="F130" s="8" t="s">
        <v>704</v>
      </c>
      <c r="G130" s="6" t="e">
        <f>IF(F130="","",VLOOKUP(F130,'PLAN SUPORTE'!A:B,2,0))</f>
        <v>#N/A</v>
      </c>
      <c r="H130" s="7"/>
      <c r="I130" s="8" t="s">
        <v>692</v>
      </c>
      <c r="J130" s="8" t="s">
        <v>24</v>
      </c>
      <c r="K130" s="8" t="s">
        <v>691</v>
      </c>
      <c r="L130" s="8" t="e">
        <f>IF(K130="","",VLOOKUP(K130,'PLAN SUPORTE'!$H$2:$I$4,2,0))</f>
        <v>#N/A</v>
      </c>
      <c r="M130" s="10">
        <v>45117</v>
      </c>
      <c r="N130" s="10">
        <v>45121</v>
      </c>
      <c r="O130" s="9" t="str">
        <f t="shared" ref="O130:O164" si="12">IF(AND(C130="",K130=""),"",IF(R130="","Em Andamento",IF(M130&lt;=P130,"Dentro do Prazo","Fora do Prazo")))</f>
        <v>Fora do Prazo</v>
      </c>
      <c r="P130" s="10"/>
      <c r="Q130" s="6"/>
      <c r="R130" s="8">
        <f t="shared" si="3"/>
        <v>39</v>
      </c>
    </row>
    <row r="131" spans="1:18" ht="13">
      <c r="A131" s="8">
        <v>5280</v>
      </c>
      <c r="B131" s="10">
        <v>45083</v>
      </c>
      <c r="C131" s="10">
        <v>45083</v>
      </c>
      <c r="D131" s="8" t="s">
        <v>817</v>
      </c>
      <c r="E131" s="8" t="s">
        <v>818</v>
      </c>
      <c r="F131" s="8" t="s">
        <v>704</v>
      </c>
      <c r="G131" s="6" t="e">
        <f>IF(F131="","",VLOOKUP(F131,'PLAN SUPORTE'!A:B,2,0))</f>
        <v>#N/A</v>
      </c>
      <c r="H131" s="7"/>
      <c r="I131" s="8" t="s">
        <v>682</v>
      </c>
      <c r="J131" s="8" t="s">
        <v>24</v>
      </c>
      <c r="K131" s="8" t="s">
        <v>691</v>
      </c>
      <c r="L131" s="8" t="e">
        <f>IF(K131="","",VLOOKUP(K131,'PLAN SUPORTE'!$H$2:$I$4,2,0))</f>
        <v>#N/A</v>
      </c>
      <c r="M131" s="10">
        <v>45084</v>
      </c>
      <c r="N131" s="10">
        <v>45086</v>
      </c>
      <c r="O131" s="9" t="str">
        <f t="shared" si="12"/>
        <v>Fora do Prazo</v>
      </c>
      <c r="P131" s="10"/>
      <c r="Q131" s="6" t="str">
        <f t="shared" ref="Q131:Q164" ca="1" si="13">IF(P131="","",IF(P131-TODAY()=0,"Vence Hoje!",IF(P131-TODAY()&gt;=0,P131-TODAY()&amp;" Dia(s) para vencer","Prazo Vencido")))</f>
        <v/>
      </c>
      <c r="R131" s="8">
        <f t="shared" si="3"/>
        <v>1</v>
      </c>
    </row>
    <row r="132" spans="1:18" ht="13">
      <c r="A132" s="8">
        <v>5285</v>
      </c>
      <c r="B132" s="10">
        <v>45103</v>
      </c>
      <c r="C132" s="10">
        <v>45103</v>
      </c>
      <c r="D132" s="8" t="s">
        <v>768</v>
      </c>
      <c r="E132" s="8" t="s">
        <v>747</v>
      </c>
      <c r="F132" s="8" t="s">
        <v>748</v>
      </c>
      <c r="G132" s="6" t="e">
        <f>IF(F132="","",VLOOKUP(F132,'PLAN SUPORTE'!A:B,2,0))</f>
        <v>#N/A</v>
      </c>
      <c r="H132" s="7"/>
      <c r="I132" s="8" t="s">
        <v>692</v>
      </c>
      <c r="J132" s="8" t="s">
        <v>24</v>
      </c>
      <c r="K132" s="8" t="s">
        <v>25</v>
      </c>
      <c r="L132" s="8">
        <f>IF(K132="","",VLOOKUP(K132,'PLAN SUPORTE'!$H$2:$I$4,2,0))</f>
        <v>15</v>
      </c>
      <c r="M132" s="10">
        <v>45118</v>
      </c>
      <c r="N132" s="10">
        <v>45128</v>
      </c>
      <c r="O132" s="9" t="str">
        <f t="shared" si="12"/>
        <v>Dentro do Prazo</v>
      </c>
      <c r="P132" s="10">
        <f t="shared" ref="P132:P160" si="14">IF(OR(C132="",L132=""),"",C132+L132)</f>
        <v>45118</v>
      </c>
      <c r="Q132" s="6" t="str">
        <f t="shared" ca="1" si="13"/>
        <v>Prazo Vencido</v>
      </c>
      <c r="R132" s="8">
        <f t="shared" si="3"/>
        <v>15</v>
      </c>
    </row>
    <row r="133" spans="1:18" ht="13">
      <c r="A133" s="8">
        <v>5288</v>
      </c>
      <c r="B133" s="10">
        <v>45085</v>
      </c>
      <c r="C133" s="10">
        <v>45085</v>
      </c>
      <c r="D133" s="8" t="s">
        <v>819</v>
      </c>
      <c r="E133" s="8" t="s">
        <v>820</v>
      </c>
      <c r="F133" s="8" t="s">
        <v>770</v>
      </c>
      <c r="G133" s="6" t="e">
        <f>IF(F133="","",VLOOKUP(F133,'PLAN SUPORTE'!A:B,2,0))</f>
        <v>#N/A</v>
      </c>
      <c r="H133" s="7"/>
      <c r="I133" s="8" t="s">
        <v>682</v>
      </c>
      <c r="J133" s="8" t="s">
        <v>24</v>
      </c>
      <c r="K133" s="8" t="s">
        <v>25</v>
      </c>
      <c r="L133" s="8">
        <f>IF(K133="","",VLOOKUP(K133,'PLAN SUPORTE'!$H$2:$I$4,2,0))</f>
        <v>15</v>
      </c>
      <c r="M133" s="10">
        <v>45090</v>
      </c>
      <c r="N133" s="10">
        <v>45098</v>
      </c>
      <c r="O133" s="9" t="str">
        <f t="shared" si="12"/>
        <v>Dentro do Prazo</v>
      </c>
      <c r="P133" s="10">
        <f t="shared" si="14"/>
        <v>45100</v>
      </c>
      <c r="Q133" s="6" t="str">
        <f t="shared" ca="1" si="13"/>
        <v>Prazo Vencido</v>
      </c>
      <c r="R133" s="8">
        <f t="shared" si="3"/>
        <v>5</v>
      </c>
    </row>
    <row r="134" spans="1:18" ht="13">
      <c r="A134" s="8">
        <v>5289</v>
      </c>
      <c r="B134" s="10">
        <v>45085</v>
      </c>
      <c r="C134" s="10">
        <v>45085</v>
      </c>
      <c r="D134" s="8" t="s">
        <v>821</v>
      </c>
      <c r="E134" s="8" t="s">
        <v>769</v>
      </c>
      <c r="F134" s="8" t="s">
        <v>770</v>
      </c>
      <c r="G134" s="6" t="e">
        <f>IF(F134="","",VLOOKUP(F134,'PLAN SUPORTE'!A:B,2,0))</f>
        <v>#N/A</v>
      </c>
      <c r="H134" s="7"/>
      <c r="I134" s="8" t="s">
        <v>682</v>
      </c>
      <c r="J134" s="8" t="s">
        <v>24</v>
      </c>
      <c r="K134" s="8" t="s">
        <v>25</v>
      </c>
      <c r="L134" s="8">
        <f>IF(K134="","",VLOOKUP(K134,'PLAN SUPORTE'!$H$2:$I$4,2,0))</f>
        <v>15</v>
      </c>
      <c r="M134" s="10">
        <v>45090</v>
      </c>
      <c r="N134" s="10">
        <v>45098</v>
      </c>
      <c r="O134" s="9" t="str">
        <f t="shared" si="12"/>
        <v>Dentro do Prazo</v>
      </c>
      <c r="P134" s="10">
        <f t="shared" si="14"/>
        <v>45100</v>
      </c>
      <c r="Q134" s="6" t="str">
        <f t="shared" ca="1" si="13"/>
        <v>Prazo Vencido</v>
      </c>
      <c r="R134" s="8">
        <f t="shared" si="3"/>
        <v>5</v>
      </c>
    </row>
    <row r="135" spans="1:18" ht="13">
      <c r="A135" s="8">
        <v>5290</v>
      </c>
      <c r="B135" s="10">
        <v>45085</v>
      </c>
      <c r="C135" s="10">
        <v>45085</v>
      </c>
      <c r="D135" s="8" t="s">
        <v>821</v>
      </c>
      <c r="E135" s="8" t="s">
        <v>769</v>
      </c>
      <c r="F135" s="8" t="s">
        <v>770</v>
      </c>
      <c r="G135" s="6" t="e">
        <f>IF(F135="","",VLOOKUP(F135,'PLAN SUPORTE'!A:B,2,0))</f>
        <v>#N/A</v>
      </c>
      <c r="H135" s="7"/>
      <c r="I135" s="8" t="s">
        <v>682</v>
      </c>
      <c r="J135" s="8" t="s">
        <v>24</v>
      </c>
      <c r="K135" s="8" t="s">
        <v>25</v>
      </c>
      <c r="L135" s="8">
        <f>IF(K135="","",VLOOKUP(K135,'PLAN SUPORTE'!$H$2:$I$4,2,0))</f>
        <v>15</v>
      </c>
      <c r="M135" s="10">
        <v>45097</v>
      </c>
      <c r="N135" s="10">
        <v>45103</v>
      </c>
      <c r="O135" s="9" t="str">
        <f t="shared" si="12"/>
        <v>Dentro do Prazo</v>
      </c>
      <c r="P135" s="10">
        <f t="shared" si="14"/>
        <v>45100</v>
      </c>
      <c r="Q135" s="6" t="str">
        <f t="shared" ca="1" si="13"/>
        <v>Prazo Vencido</v>
      </c>
      <c r="R135" s="8">
        <f t="shared" si="3"/>
        <v>12</v>
      </c>
    </row>
    <row r="136" spans="1:18" ht="13">
      <c r="A136" s="8">
        <v>5292</v>
      </c>
      <c r="B136" s="10">
        <v>45085</v>
      </c>
      <c r="C136" s="10">
        <v>45085</v>
      </c>
      <c r="D136" s="8" t="s">
        <v>821</v>
      </c>
      <c r="E136" s="8" t="s">
        <v>737</v>
      </c>
      <c r="F136" s="8" t="s">
        <v>761</v>
      </c>
      <c r="G136" s="6" t="e">
        <f>IF(F136="","",VLOOKUP(F136,'PLAN SUPORTE'!A:B,2,0))</f>
        <v>#N/A</v>
      </c>
      <c r="H136" s="7"/>
      <c r="I136" s="8" t="s">
        <v>692</v>
      </c>
      <c r="J136" s="8" t="s">
        <v>24</v>
      </c>
      <c r="K136" s="8" t="s">
        <v>25</v>
      </c>
      <c r="L136" s="8">
        <f>IF(K136="","",VLOOKUP(K136,'PLAN SUPORTE'!$H$2:$I$4,2,0))</f>
        <v>15</v>
      </c>
      <c r="M136" s="10">
        <v>45100</v>
      </c>
      <c r="N136" s="10">
        <v>45103</v>
      </c>
      <c r="O136" s="9" t="str">
        <f t="shared" si="12"/>
        <v>Dentro do Prazo</v>
      </c>
      <c r="P136" s="10">
        <f t="shared" si="14"/>
        <v>45100</v>
      </c>
      <c r="Q136" s="6" t="str">
        <f t="shared" ca="1" si="13"/>
        <v>Prazo Vencido</v>
      </c>
      <c r="R136" s="8">
        <f t="shared" si="3"/>
        <v>15</v>
      </c>
    </row>
    <row r="137" spans="1:18" ht="13">
      <c r="A137" s="8">
        <v>5293</v>
      </c>
      <c r="B137" s="10">
        <v>45085</v>
      </c>
      <c r="C137" s="10">
        <v>45085</v>
      </c>
      <c r="D137" s="8" t="s">
        <v>821</v>
      </c>
      <c r="E137" s="8" t="s">
        <v>737</v>
      </c>
      <c r="F137" s="8" t="s">
        <v>761</v>
      </c>
      <c r="G137" s="6" t="e">
        <f>IF(F137="","",VLOOKUP(F137,'PLAN SUPORTE'!A:B,2,0))</f>
        <v>#N/A</v>
      </c>
      <c r="H137" s="7"/>
      <c r="I137" s="8" t="s">
        <v>692</v>
      </c>
      <c r="J137" s="8" t="s">
        <v>24</v>
      </c>
      <c r="K137" s="8" t="s">
        <v>25</v>
      </c>
      <c r="L137" s="8">
        <f>IF(K137="","",VLOOKUP(K137,'PLAN SUPORTE'!$H$2:$I$4,2,0))</f>
        <v>15</v>
      </c>
      <c r="M137" s="10">
        <v>45100</v>
      </c>
      <c r="N137" s="10">
        <v>45103</v>
      </c>
      <c r="O137" s="9" t="str">
        <f t="shared" si="12"/>
        <v>Dentro do Prazo</v>
      </c>
      <c r="P137" s="10">
        <f t="shared" si="14"/>
        <v>45100</v>
      </c>
      <c r="Q137" s="6" t="str">
        <f t="shared" ca="1" si="13"/>
        <v>Prazo Vencido</v>
      </c>
      <c r="R137" s="8">
        <f t="shared" si="3"/>
        <v>15</v>
      </c>
    </row>
    <row r="138" spans="1:18" ht="13">
      <c r="A138" s="8">
        <v>5294</v>
      </c>
      <c r="B138" s="10">
        <v>45085</v>
      </c>
      <c r="C138" s="10">
        <v>45085</v>
      </c>
      <c r="D138" s="8" t="s">
        <v>819</v>
      </c>
      <c r="E138" s="8" t="s">
        <v>822</v>
      </c>
      <c r="F138" s="8" t="s">
        <v>748</v>
      </c>
      <c r="G138" s="6" t="e">
        <f>IF(F138="","",VLOOKUP(F138,'PLAN SUPORTE'!A:B,2,0))</f>
        <v>#N/A</v>
      </c>
      <c r="H138" s="7"/>
      <c r="I138" s="8" t="s">
        <v>692</v>
      </c>
      <c r="J138" s="8" t="s">
        <v>24</v>
      </c>
      <c r="K138" s="8" t="s">
        <v>25</v>
      </c>
      <c r="L138" s="8">
        <f>IF(K138="","",VLOOKUP(K138,'PLAN SUPORTE'!$H$2:$I$4,2,0))</f>
        <v>15</v>
      </c>
      <c r="M138" s="10">
        <v>45139</v>
      </c>
      <c r="N138" s="10">
        <v>45142</v>
      </c>
      <c r="O138" s="9" t="str">
        <f t="shared" si="12"/>
        <v>Fora do Prazo</v>
      </c>
      <c r="P138" s="10">
        <f t="shared" si="14"/>
        <v>45100</v>
      </c>
      <c r="Q138" s="6" t="str">
        <f t="shared" ca="1" si="13"/>
        <v>Prazo Vencido</v>
      </c>
      <c r="R138" s="8">
        <f t="shared" si="3"/>
        <v>54</v>
      </c>
    </row>
    <row r="139" spans="1:18" ht="13">
      <c r="A139" s="8">
        <v>5295</v>
      </c>
      <c r="B139" s="10">
        <v>45103</v>
      </c>
      <c r="C139" s="10">
        <v>45103</v>
      </c>
      <c r="D139" s="8" t="s">
        <v>819</v>
      </c>
      <c r="E139" s="8" t="s">
        <v>781</v>
      </c>
      <c r="F139" s="8" t="s">
        <v>681</v>
      </c>
      <c r="G139" s="6" t="e">
        <f>IF(F139="","",VLOOKUP(F139,'PLAN SUPORTE'!A:B,2,0))</f>
        <v>#N/A</v>
      </c>
      <c r="H139" s="7"/>
      <c r="I139" s="8" t="s">
        <v>682</v>
      </c>
      <c r="J139" s="8" t="s">
        <v>24</v>
      </c>
      <c r="K139" s="8" t="s">
        <v>25</v>
      </c>
      <c r="L139" s="8">
        <f>IF(K139="","",VLOOKUP(K139,'PLAN SUPORTE'!$H$2:$I$4,2,0))</f>
        <v>15</v>
      </c>
      <c r="M139" s="10"/>
      <c r="N139" s="10"/>
      <c r="O139" s="9" t="str">
        <f t="shared" si="12"/>
        <v>Em Andamento</v>
      </c>
      <c r="P139" s="10">
        <f t="shared" si="14"/>
        <v>45118</v>
      </c>
      <c r="Q139" s="6" t="str">
        <f t="shared" ca="1" si="13"/>
        <v>Prazo Vencido</v>
      </c>
      <c r="R139" s="8" t="str">
        <f t="shared" si="3"/>
        <v/>
      </c>
    </row>
    <row r="140" spans="1:18" ht="13">
      <c r="A140" s="8">
        <v>5296</v>
      </c>
      <c r="B140" s="10">
        <v>45085</v>
      </c>
      <c r="C140" s="10">
        <v>45085</v>
      </c>
      <c r="D140" s="8" t="s">
        <v>819</v>
      </c>
      <c r="E140" s="8" t="s">
        <v>823</v>
      </c>
      <c r="F140" s="8" t="s">
        <v>759</v>
      </c>
      <c r="G140" s="6" t="e">
        <f>IF(F140="","",VLOOKUP(F140,'PLAN SUPORTE'!A:B,2,0))</f>
        <v>#N/A</v>
      </c>
      <c r="H140" s="7"/>
      <c r="I140" s="8" t="s">
        <v>692</v>
      </c>
      <c r="J140" s="8" t="s">
        <v>24</v>
      </c>
      <c r="K140" s="8" t="s">
        <v>25</v>
      </c>
      <c r="L140" s="8">
        <f>IF(K140="","",VLOOKUP(K140,'PLAN SUPORTE'!$H$2:$I$4,2,0))</f>
        <v>15</v>
      </c>
      <c r="M140" s="10">
        <v>45100</v>
      </c>
      <c r="N140" s="10">
        <v>45103</v>
      </c>
      <c r="O140" s="9" t="str">
        <f t="shared" si="12"/>
        <v>Dentro do Prazo</v>
      </c>
      <c r="P140" s="10">
        <f t="shared" si="14"/>
        <v>45100</v>
      </c>
      <c r="Q140" s="6" t="str">
        <f t="shared" ca="1" si="13"/>
        <v>Prazo Vencido</v>
      </c>
      <c r="R140" s="8">
        <f t="shared" si="3"/>
        <v>15</v>
      </c>
    </row>
    <row r="141" spans="1:18" ht="13">
      <c r="A141" s="8">
        <v>5297</v>
      </c>
      <c r="B141" s="10">
        <v>45085</v>
      </c>
      <c r="C141" s="10">
        <v>45085</v>
      </c>
      <c r="D141" s="8" t="s">
        <v>819</v>
      </c>
      <c r="E141" s="8" t="s">
        <v>823</v>
      </c>
      <c r="F141" s="8" t="s">
        <v>759</v>
      </c>
      <c r="G141" s="6" t="e">
        <f>IF(F141="","",VLOOKUP(F141,'PLAN SUPORTE'!A:B,2,0))</f>
        <v>#N/A</v>
      </c>
      <c r="H141" s="7"/>
      <c r="I141" s="8" t="s">
        <v>692</v>
      </c>
      <c r="J141" s="8" t="s">
        <v>24</v>
      </c>
      <c r="K141" s="8" t="s">
        <v>25</v>
      </c>
      <c r="L141" s="8">
        <f>IF(K141="","",VLOOKUP(K141,'PLAN SUPORTE'!$H$2:$I$4,2,0))</f>
        <v>15</v>
      </c>
      <c r="M141" s="10">
        <v>45100</v>
      </c>
      <c r="N141" s="10">
        <v>45103</v>
      </c>
      <c r="O141" s="9" t="str">
        <f t="shared" si="12"/>
        <v>Dentro do Prazo</v>
      </c>
      <c r="P141" s="10">
        <f t="shared" si="14"/>
        <v>45100</v>
      </c>
      <c r="Q141" s="6" t="str">
        <f t="shared" ca="1" si="13"/>
        <v>Prazo Vencido</v>
      </c>
      <c r="R141" s="8">
        <f t="shared" si="3"/>
        <v>15</v>
      </c>
    </row>
    <row r="142" spans="1:18" ht="13">
      <c r="A142" s="8">
        <v>5298</v>
      </c>
      <c r="B142" s="10">
        <v>45103</v>
      </c>
      <c r="C142" s="10">
        <v>45103</v>
      </c>
      <c r="D142" s="8" t="s">
        <v>819</v>
      </c>
      <c r="E142" s="8" t="s">
        <v>824</v>
      </c>
      <c r="F142" s="8" t="s">
        <v>825</v>
      </c>
      <c r="G142" s="6" t="e">
        <f>IF(F142="","",VLOOKUP(F142,'PLAN SUPORTE'!A:B,2,0))</f>
        <v>#N/A</v>
      </c>
      <c r="H142" s="7"/>
      <c r="I142" s="8" t="s">
        <v>692</v>
      </c>
      <c r="J142" s="8" t="s">
        <v>24</v>
      </c>
      <c r="K142" s="8" t="s">
        <v>25</v>
      </c>
      <c r="L142" s="8">
        <f>IF(K142="","",VLOOKUP(K142,'PLAN SUPORTE'!$H$2:$I$4,2,0))</f>
        <v>15</v>
      </c>
      <c r="M142" s="10">
        <v>45139</v>
      </c>
      <c r="N142" s="10">
        <v>45142</v>
      </c>
      <c r="O142" s="9" t="str">
        <f t="shared" si="12"/>
        <v>Fora do Prazo</v>
      </c>
      <c r="P142" s="10">
        <f t="shared" si="14"/>
        <v>45118</v>
      </c>
      <c r="Q142" s="6" t="str">
        <f t="shared" ca="1" si="13"/>
        <v>Prazo Vencido</v>
      </c>
      <c r="R142" s="8">
        <f t="shared" si="3"/>
        <v>36</v>
      </c>
    </row>
    <row r="143" spans="1:18" ht="13">
      <c r="A143" s="8">
        <v>5299</v>
      </c>
      <c r="B143" s="10">
        <v>45085</v>
      </c>
      <c r="C143" s="10">
        <v>45085</v>
      </c>
      <c r="D143" s="8" t="s">
        <v>821</v>
      </c>
      <c r="E143" s="8" t="s">
        <v>738</v>
      </c>
      <c r="F143" s="8" t="s">
        <v>825</v>
      </c>
      <c r="G143" s="6" t="e">
        <f>IF(F143="","",VLOOKUP(F143,'PLAN SUPORTE'!A:B,2,0))</f>
        <v>#N/A</v>
      </c>
      <c r="H143" s="7"/>
      <c r="I143" s="8" t="s">
        <v>692</v>
      </c>
      <c r="J143" s="8" t="s">
        <v>24</v>
      </c>
      <c r="K143" s="8" t="s">
        <v>25</v>
      </c>
      <c r="L143" s="8">
        <f>IF(K143="","",VLOOKUP(K143,'PLAN SUPORTE'!$H$2:$I$4,2,0))</f>
        <v>15</v>
      </c>
      <c r="M143" s="10">
        <v>45100</v>
      </c>
      <c r="N143" s="10">
        <v>45103</v>
      </c>
      <c r="O143" s="9" t="str">
        <f t="shared" si="12"/>
        <v>Dentro do Prazo</v>
      </c>
      <c r="P143" s="10">
        <f t="shared" si="14"/>
        <v>45100</v>
      </c>
      <c r="Q143" s="6" t="str">
        <f t="shared" ca="1" si="13"/>
        <v>Prazo Vencido</v>
      </c>
      <c r="R143" s="8">
        <f t="shared" si="3"/>
        <v>15</v>
      </c>
    </row>
    <row r="144" spans="1:18" ht="13">
      <c r="A144" s="8">
        <v>5300</v>
      </c>
      <c r="B144" s="10">
        <v>45085</v>
      </c>
      <c r="C144" s="10">
        <v>45085</v>
      </c>
      <c r="D144" s="8" t="s">
        <v>821</v>
      </c>
      <c r="E144" s="8" t="s">
        <v>736</v>
      </c>
      <c r="F144" s="8" t="s">
        <v>705</v>
      </c>
      <c r="G144" s="6" t="e">
        <f>IF(F144="","",VLOOKUP(F144,'PLAN SUPORTE'!A:B,2,0))</f>
        <v>#N/A</v>
      </c>
      <c r="H144" s="7"/>
      <c r="I144" s="8" t="s">
        <v>692</v>
      </c>
      <c r="J144" s="8" t="s">
        <v>24</v>
      </c>
      <c r="K144" s="8" t="s">
        <v>25</v>
      </c>
      <c r="L144" s="8">
        <f>IF(K144="","",VLOOKUP(K144,'PLAN SUPORTE'!$H$2:$I$4,2,0))</f>
        <v>15</v>
      </c>
      <c r="M144" s="10">
        <v>45100</v>
      </c>
      <c r="N144" s="10">
        <v>45103</v>
      </c>
      <c r="O144" s="9" t="str">
        <f t="shared" si="12"/>
        <v>Dentro do Prazo</v>
      </c>
      <c r="P144" s="10">
        <f t="shared" si="14"/>
        <v>45100</v>
      </c>
      <c r="Q144" s="6" t="str">
        <f t="shared" ca="1" si="13"/>
        <v>Prazo Vencido</v>
      </c>
      <c r="R144" s="8">
        <f t="shared" si="3"/>
        <v>15</v>
      </c>
    </row>
    <row r="145" spans="1:18" ht="13">
      <c r="A145" s="8">
        <v>5301</v>
      </c>
      <c r="B145" s="10">
        <v>45085</v>
      </c>
      <c r="C145" s="10">
        <v>45085</v>
      </c>
      <c r="D145" s="8" t="s">
        <v>821</v>
      </c>
      <c r="E145" s="8" t="s">
        <v>736</v>
      </c>
      <c r="F145" s="8" t="s">
        <v>705</v>
      </c>
      <c r="G145" s="6" t="e">
        <f>IF(F145="","",VLOOKUP(F145,'PLAN SUPORTE'!A:B,2,0))</f>
        <v>#N/A</v>
      </c>
      <c r="H145" s="7"/>
      <c r="I145" s="8" t="s">
        <v>692</v>
      </c>
      <c r="J145" s="8" t="s">
        <v>24</v>
      </c>
      <c r="K145" s="8" t="s">
        <v>25</v>
      </c>
      <c r="L145" s="8">
        <f>IF(K145="","",VLOOKUP(K145,'PLAN SUPORTE'!$H$2:$I$4,2,0))</f>
        <v>15</v>
      </c>
      <c r="M145" s="10">
        <v>45100</v>
      </c>
      <c r="N145" s="10">
        <v>45103</v>
      </c>
      <c r="O145" s="9" t="str">
        <f t="shared" si="12"/>
        <v>Dentro do Prazo</v>
      </c>
      <c r="P145" s="10">
        <f t="shared" si="14"/>
        <v>45100</v>
      </c>
      <c r="Q145" s="6" t="str">
        <f t="shared" ca="1" si="13"/>
        <v>Prazo Vencido</v>
      </c>
      <c r="R145" s="8">
        <f t="shared" si="3"/>
        <v>15</v>
      </c>
    </row>
    <row r="146" spans="1:18" ht="13">
      <c r="A146" s="8">
        <v>5302</v>
      </c>
      <c r="B146" s="10">
        <v>45103</v>
      </c>
      <c r="C146" s="10">
        <v>45103</v>
      </c>
      <c r="D146" s="8" t="s">
        <v>826</v>
      </c>
      <c r="E146" s="8" t="s">
        <v>827</v>
      </c>
      <c r="F146" s="8" t="s">
        <v>690</v>
      </c>
      <c r="G146" s="6" t="e">
        <f>IF(F146="","",VLOOKUP(F146,'PLAN SUPORTE'!A:B,2,0))</f>
        <v>#N/A</v>
      </c>
      <c r="H146" s="7"/>
      <c r="I146" s="8" t="s">
        <v>682</v>
      </c>
      <c r="J146" s="8" t="s">
        <v>24</v>
      </c>
      <c r="K146" s="8" t="s">
        <v>25</v>
      </c>
      <c r="L146" s="8">
        <f>IF(K146="","",VLOOKUP(K146,'PLAN SUPORTE'!$H$2:$I$4,2,0))</f>
        <v>15</v>
      </c>
      <c r="M146" s="10">
        <v>45114</v>
      </c>
      <c r="N146" s="10">
        <v>45121</v>
      </c>
      <c r="O146" s="9" t="str">
        <f t="shared" si="12"/>
        <v>Dentro do Prazo</v>
      </c>
      <c r="P146" s="10">
        <f t="shared" si="14"/>
        <v>45118</v>
      </c>
      <c r="Q146" s="6" t="str">
        <f t="shared" ca="1" si="13"/>
        <v>Prazo Vencido</v>
      </c>
      <c r="R146" s="8">
        <f t="shared" si="3"/>
        <v>11</v>
      </c>
    </row>
    <row r="147" spans="1:18" ht="13">
      <c r="A147" s="8">
        <v>5308</v>
      </c>
      <c r="B147" s="10">
        <v>45103</v>
      </c>
      <c r="C147" s="10">
        <v>45103</v>
      </c>
      <c r="D147" s="8" t="s">
        <v>766</v>
      </c>
      <c r="E147" s="8" t="s">
        <v>828</v>
      </c>
      <c r="F147" s="8" t="s">
        <v>701</v>
      </c>
      <c r="G147" s="6" t="e">
        <f>IF(F147="","",VLOOKUP(F147,'PLAN SUPORTE'!A:B,2,0))</f>
        <v>#N/A</v>
      </c>
      <c r="H147" s="7"/>
      <c r="I147" s="8" t="s">
        <v>682</v>
      </c>
      <c r="J147" s="8" t="s">
        <v>24</v>
      </c>
      <c r="K147" s="8" t="s">
        <v>25</v>
      </c>
      <c r="L147" s="8">
        <f>IF(K147="","",VLOOKUP(K147,'PLAN SUPORTE'!$H$2:$I$4,2,0))</f>
        <v>15</v>
      </c>
      <c r="M147" s="10">
        <v>45139</v>
      </c>
      <c r="N147" s="10">
        <v>45142</v>
      </c>
      <c r="O147" s="9" t="str">
        <f t="shared" si="12"/>
        <v>Fora do Prazo</v>
      </c>
      <c r="P147" s="10">
        <f t="shared" si="14"/>
        <v>45118</v>
      </c>
      <c r="Q147" s="6" t="str">
        <f t="shared" ca="1" si="13"/>
        <v>Prazo Vencido</v>
      </c>
      <c r="R147" s="8">
        <f t="shared" si="3"/>
        <v>36</v>
      </c>
    </row>
    <row r="148" spans="1:18" ht="13">
      <c r="A148" s="8">
        <v>5312</v>
      </c>
      <c r="B148" s="10">
        <v>45103</v>
      </c>
      <c r="C148" s="10">
        <v>45103</v>
      </c>
      <c r="D148" s="8" t="s">
        <v>766</v>
      </c>
      <c r="E148" s="8" t="s">
        <v>772</v>
      </c>
      <c r="F148" s="8" t="s">
        <v>748</v>
      </c>
      <c r="G148" s="6" t="e">
        <f>IF(F148="","",VLOOKUP(F148,'PLAN SUPORTE'!A:B,2,0))</f>
        <v>#N/A</v>
      </c>
      <c r="H148" s="7"/>
      <c r="I148" s="8" t="s">
        <v>692</v>
      </c>
      <c r="J148" s="8" t="s">
        <v>24</v>
      </c>
      <c r="K148" s="8" t="s">
        <v>25</v>
      </c>
      <c r="L148" s="8">
        <f>IF(K148="","",VLOOKUP(K148,'PLAN SUPORTE'!$H$2:$I$4,2,0))</f>
        <v>15</v>
      </c>
      <c r="M148" s="10">
        <v>45117</v>
      </c>
      <c r="N148" s="10">
        <v>45210</v>
      </c>
      <c r="O148" s="9" t="str">
        <f t="shared" si="12"/>
        <v>Dentro do Prazo</v>
      </c>
      <c r="P148" s="10">
        <f t="shared" si="14"/>
        <v>45118</v>
      </c>
      <c r="Q148" s="6" t="str">
        <f t="shared" ca="1" si="13"/>
        <v>Prazo Vencido</v>
      </c>
      <c r="R148" s="8">
        <f t="shared" si="3"/>
        <v>14</v>
      </c>
    </row>
    <row r="149" spans="1:18" ht="13">
      <c r="A149" s="8">
        <v>5314</v>
      </c>
      <c r="B149" s="10">
        <v>45085</v>
      </c>
      <c r="C149" s="10">
        <v>45085</v>
      </c>
      <c r="D149" s="8" t="s">
        <v>829</v>
      </c>
      <c r="E149" s="8" t="s">
        <v>830</v>
      </c>
      <c r="F149" s="8" t="s">
        <v>752</v>
      </c>
      <c r="G149" s="6" t="e">
        <f>IF(F149="","",VLOOKUP(F149,'PLAN SUPORTE'!A:B,2,0))</f>
        <v>#N/A</v>
      </c>
      <c r="H149" s="7" t="s">
        <v>793</v>
      </c>
      <c r="I149" s="8" t="s">
        <v>754</v>
      </c>
      <c r="J149" s="8" t="s">
        <v>24</v>
      </c>
      <c r="K149" s="8" t="s">
        <v>25</v>
      </c>
      <c r="L149" s="8">
        <f>IF(K149="","",VLOOKUP(K149,'PLAN SUPORTE'!$H$2:$I$4,2,0))</f>
        <v>15</v>
      </c>
      <c r="M149" s="10">
        <v>45103</v>
      </c>
      <c r="N149" s="10">
        <v>45110</v>
      </c>
      <c r="O149" s="9" t="str">
        <f t="shared" si="12"/>
        <v>Fora do Prazo</v>
      </c>
      <c r="P149" s="10">
        <f t="shared" si="14"/>
        <v>45100</v>
      </c>
      <c r="Q149" s="6" t="str">
        <f t="shared" ca="1" si="13"/>
        <v>Prazo Vencido</v>
      </c>
      <c r="R149" s="8">
        <f t="shared" si="3"/>
        <v>18</v>
      </c>
    </row>
    <row r="150" spans="1:18" ht="13">
      <c r="A150" s="8">
        <v>5315</v>
      </c>
      <c r="B150" s="10">
        <v>45103</v>
      </c>
      <c r="C150" s="10">
        <v>45103</v>
      </c>
      <c r="D150" s="8" t="s">
        <v>766</v>
      </c>
      <c r="E150" s="8" t="s">
        <v>788</v>
      </c>
      <c r="F150" s="8" t="s">
        <v>770</v>
      </c>
      <c r="G150" s="6" t="e">
        <f>IF(F150="","",VLOOKUP(F150,'PLAN SUPORTE'!A:B,2,0))</f>
        <v>#N/A</v>
      </c>
      <c r="H150" s="7"/>
      <c r="I150" s="8" t="s">
        <v>682</v>
      </c>
      <c r="J150" s="8" t="s">
        <v>24</v>
      </c>
      <c r="K150" s="8" t="s">
        <v>25</v>
      </c>
      <c r="L150" s="8">
        <f>IF(K150="","",VLOOKUP(K150,'PLAN SUPORTE'!$H$2:$I$4,2,0))</f>
        <v>15</v>
      </c>
      <c r="M150" s="10">
        <v>45112</v>
      </c>
      <c r="N150" s="10">
        <v>45121</v>
      </c>
      <c r="O150" s="9" t="str">
        <f t="shared" si="12"/>
        <v>Dentro do Prazo</v>
      </c>
      <c r="P150" s="10">
        <f t="shared" si="14"/>
        <v>45118</v>
      </c>
      <c r="Q150" s="6" t="str">
        <f t="shared" ca="1" si="13"/>
        <v>Prazo Vencido</v>
      </c>
      <c r="R150" s="8">
        <f t="shared" si="3"/>
        <v>9</v>
      </c>
    </row>
    <row r="151" spans="1:18" ht="13">
      <c r="A151" s="8">
        <v>5316</v>
      </c>
      <c r="B151" s="10">
        <v>45103</v>
      </c>
      <c r="C151" s="10">
        <v>45103</v>
      </c>
      <c r="D151" s="8" t="s">
        <v>766</v>
      </c>
      <c r="E151" s="8" t="s">
        <v>788</v>
      </c>
      <c r="F151" s="8" t="s">
        <v>770</v>
      </c>
      <c r="G151" s="6" t="e">
        <f>IF(F151="","",VLOOKUP(F151,'PLAN SUPORTE'!A:B,2,0))</f>
        <v>#N/A</v>
      </c>
      <c r="H151" s="7"/>
      <c r="I151" s="8" t="s">
        <v>682</v>
      </c>
      <c r="J151" s="8" t="s">
        <v>24</v>
      </c>
      <c r="K151" s="8" t="s">
        <v>25</v>
      </c>
      <c r="L151" s="8">
        <f>IF(K151="","",VLOOKUP(K151,'PLAN SUPORTE'!$H$2:$I$4,2,0))</f>
        <v>15</v>
      </c>
      <c r="M151" s="10">
        <v>45112</v>
      </c>
      <c r="N151" s="10">
        <v>45118</v>
      </c>
      <c r="O151" s="9" t="str">
        <f t="shared" si="12"/>
        <v>Dentro do Prazo</v>
      </c>
      <c r="P151" s="10">
        <f t="shared" si="14"/>
        <v>45118</v>
      </c>
      <c r="Q151" s="6" t="str">
        <f t="shared" ca="1" si="13"/>
        <v>Prazo Vencido</v>
      </c>
      <c r="R151" s="8">
        <f t="shared" si="3"/>
        <v>9</v>
      </c>
    </row>
    <row r="152" spans="1:18" ht="13">
      <c r="A152" s="8">
        <v>5317</v>
      </c>
      <c r="B152" s="10">
        <v>45103</v>
      </c>
      <c r="C152" s="10">
        <v>45103</v>
      </c>
      <c r="D152" s="8" t="s">
        <v>831</v>
      </c>
      <c r="E152" s="8" t="s">
        <v>832</v>
      </c>
      <c r="F152" s="8" t="s">
        <v>770</v>
      </c>
      <c r="G152" s="6" t="e">
        <f>IF(F152="","",VLOOKUP(F152,'PLAN SUPORTE'!A:B,2,0))</f>
        <v>#N/A</v>
      </c>
      <c r="H152" s="7"/>
      <c r="I152" s="8" t="s">
        <v>682</v>
      </c>
      <c r="J152" s="8" t="s">
        <v>24</v>
      </c>
      <c r="K152" s="8" t="s">
        <v>25</v>
      </c>
      <c r="L152" s="8">
        <f>IF(K152="","",VLOOKUP(K152,'PLAN SUPORTE'!$H$2:$I$4,2,0))</f>
        <v>15</v>
      </c>
      <c r="M152" s="8" t="s">
        <v>833</v>
      </c>
      <c r="N152" s="10"/>
      <c r="O152" s="9" t="e">
        <f t="shared" si="12"/>
        <v>#VALUE!</v>
      </c>
      <c r="P152" s="10">
        <f t="shared" si="14"/>
        <v>45118</v>
      </c>
      <c r="Q152" s="6" t="str">
        <f t="shared" ca="1" si="13"/>
        <v>Prazo Vencido</v>
      </c>
      <c r="R152" s="10" t="e">
        <f t="shared" si="3"/>
        <v>#VALUE!</v>
      </c>
    </row>
    <row r="153" spans="1:18" ht="13" hidden="1">
      <c r="A153" s="8">
        <v>5322</v>
      </c>
      <c r="B153" s="10">
        <v>45103</v>
      </c>
      <c r="C153" s="10">
        <v>45103</v>
      </c>
      <c r="D153" s="8" t="s">
        <v>766</v>
      </c>
      <c r="E153" s="8" t="s">
        <v>834</v>
      </c>
      <c r="F153" s="8" t="s">
        <v>835</v>
      </c>
      <c r="G153" s="6" t="e">
        <f>IF(F153="","",VLOOKUP(F153,'PLAN SUPORTE'!A:B,2,0))</f>
        <v>#N/A</v>
      </c>
      <c r="H153" s="7"/>
      <c r="I153" s="8" t="s">
        <v>682</v>
      </c>
      <c r="J153" s="8" t="s">
        <v>296</v>
      </c>
      <c r="K153" s="8" t="s">
        <v>25</v>
      </c>
      <c r="L153" s="8">
        <f>IF(K153="","",VLOOKUP(K153,'PLAN SUPORTE'!$H$2:$I$4,2,0))</f>
        <v>15</v>
      </c>
      <c r="M153" s="10"/>
      <c r="N153" s="10"/>
      <c r="O153" s="9" t="str">
        <f t="shared" si="12"/>
        <v>Em Andamento</v>
      </c>
      <c r="P153" s="10">
        <f t="shared" si="14"/>
        <v>45118</v>
      </c>
      <c r="Q153" s="6" t="str">
        <f t="shared" ca="1" si="13"/>
        <v>Prazo Vencido</v>
      </c>
      <c r="R153" s="8" t="str">
        <f t="shared" si="3"/>
        <v/>
      </c>
    </row>
    <row r="154" spans="1:18" ht="13" hidden="1">
      <c r="A154" s="50">
        <v>5323</v>
      </c>
      <c r="B154" s="10">
        <v>45086</v>
      </c>
      <c r="C154" s="10">
        <v>45086</v>
      </c>
      <c r="D154" s="8" t="s">
        <v>787</v>
      </c>
      <c r="E154" s="8" t="s">
        <v>836</v>
      </c>
      <c r="F154" s="8" t="s">
        <v>748</v>
      </c>
      <c r="G154" s="6" t="e">
        <f>IF(F154="","",VLOOKUP(F154,'PLAN SUPORTE'!A:B,2,0))</f>
        <v>#N/A</v>
      </c>
      <c r="H154" s="7"/>
      <c r="I154" s="8" t="s">
        <v>692</v>
      </c>
      <c r="J154" s="8" t="s">
        <v>296</v>
      </c>
      <c r="K154" s="8" t="s">
        <v>25</v>
      </c>
      <c r="L154" s="8">
        <f>IF(K154="","",VLOOKUP(K154,'PLAN SUPORTE'!$H$2:$I$4,2,0))</f>
        <v>15</v>
      </c>
      <c r="M154" s="10"/>
      <c r="N154" s="10"/>
      <c r="O154" s="9" t="str">
        <f t="shared" si="12"/>
        <v>Em Andamento</v>
      </c>
      <c r="P154" s="10">
        <f t="shared" si="14"/>
        <v>45101</v>
      </c>
      <c r="Q154" s="6" t="str">
        <f t="shared" ca="1" si="13"/>
        <v>Prazo Vencido</v>
      </c>
      <c r="R154" s="8" t="str">
        <f t="shared" si="3"/>
        <v/>
      </c>
    </row>
    <row r="155" spans="1:18" ht="13">
      <c r="A155" s="8">
        <v>5324</v>
      </c>
      <c r="B155" s="10">
        <v>45103</v>
      </c>
      <c r="C155" s="10">
        <v>45103</v>
      </c>
      <c r="D155" s="8" t="s">
        <v>768</v>
      </c>
      <c r="E155" s="8" t="s">
        <v>837</v>
      </c>
      <c r="F155" s="8" t="s">
        <v>748</v>
      </c>
      <c r="G155" s="6" t="e">
        <f>IF(F155="","",VLOOKUP(F155,'PLAN SUPORTE'!A:B,2,0))</f>
        <v>#N/A</v>
      </c>
      <c r="H155" s="7"/>
      <c r="I155" s="8" t="s">
        <v>692</v>
      </c>
      <c r="J155" s="8" t="s">
        <v>24</v>
      </c>
      <c r="K155" s="8" t="s">
        <v>25</v>
      </c>
      <c r="L155" s="8">
        <f>IF(K155="","",VLOOKUP(K155,'PLAN SUPORTE'!$H$2:$I$4,2,0))</f>
        <v>15</v>
      </c>
      <c r="M155" s="10">
        <v>45118</v>
      </c>
      <c r="N155" s="10">
        <v>45128</v>
      </c>
      <c r="O155" s="9" t="str">
        <f t="shared" si="12"/>
        <v>Dentro do Prazo</v>
      </c>
      <c r="P155" s="10">
        <f t="shared" si="14"/>
        <v>45118</v>
      </c>
      <c r="Q155" s="6" t="str">
        <f t="shared" ca="1" si="13"/>
        <v>Prazo Vencido</v>
      </c>
      <c r="R155" s="8">
        <f t="shared" si="3"/>
        <v>15</v>
      </c>
    </row>
    <row r="156" spans="1:18" ht="13">
      <c r="A156" s="8">
        <v>5325</v>
      </c>
      <c r="B156" s="10">
        <v>45103</v>
      </c>
      <c r="C156" s="10">
        <v>45103</v>
      </c>
      <c r="D156" s="8" t="s">
        <v>766</v>
      </c>
      <c r="E156" s="8" t="s">
        <v>772</v>
      </c>
      <c r="F156" s="8" t="s">
        <v>748</v>
      </c>
      <c r="G156" s="6" t="e">
        <f>IF(F156="","",VLOOKUP(F156,'PLAN SUPORTE'!A:B,2,0))</f>
        <v>#N/A</v>
      </c>
      <c r="H156" s="7"/>
      <c r="I156" s="8" t="s">
        <v>692</v>
      </c>
      <c r="J156" s="8" t="s">
        <v>24</v>
      </c>
      <c r="K156" s="8" t="s">
        <v>25</v>
      </c>
      <c r="L156" s="8">
        <f>IF(K156="","",VLOOKUP(K156,'PLAN SUPORTE'!$H$2:$I$4,2,0))</f>
        <v>15</v>
      </c>
      <c r="M156" s="10">
        <v>45117</v>
      </c>
      <c r="N156" s="10">
        <v>45118</v>
      </c>
      <c r="O156" s="9" t="str">
        <f t="shared" si="12"/>
        <v>Dentro do Prazo</v>
      </c>
      <c r="P156" s="10">
        <f t="shared" si="14"/>
        <v>45118</v>
      </c>
      <c r="Q156" s="6" t="str">
        <f t="shared" ca="1" si="13"/>
        <v>Prazo Vencido</v>
      </c>
      <c r="R156" s="8">
        <f t="shared" si="3"/>
        <v>14</v>
      </c>
    </row>
    <row r="157" spans="1:18" ht="13">
      <c r="A157" s="8">
        <v>5326</v>
      </c>
      <c r="B157" s="10">
        <v>45103</v>
      </c>
      <c r="C157" s="10">
        <v>45103</v>
      </c>
      <c r="D157" s="8" t="s">
        <v>766</v>
      </c>
      <c r="E157" s="8" t="s">
        <v>838</v>
      </c>
      <c r="F157" s="8" t="s">
        <v>699</v>
      </c>
      <c r="G157" s="6" t="e">
        <f>IF(F157="","",VLOOKUP(F157,'PLAN SUPORTE'!A:B,2,0))</f>
        <v>#N/A</v>
      </c>
      <c r="H157" s="7"/>
      <c r="I157" s="8" t="s">
        <v>682</v>
      </c>
      <c r="J157" s="8" t="s">
        <v>24</v>
      </c>
      <c r="K157" s="8" t="s">
        <v>25</v>
      </c>
      <c r="L157" s="8">
        <f>IF(K157="","",VLOOKUP(K157,'PLAN SUPORTE'!$H$2:$I$4,2,0))</f>
        <v>15</v>
      </c>
      <c r="M157" s="10">
        <v>45112</v>
      </c>
      <c r="N157" s="10">
        <v>45118</v>
      </c>
      <c r="O157" s="9" t="str">
        <f t="shared" si="12"/>
        <v>Dentro do Prazo</v>
      </c>
      <c r="P157" s="10">
        <f t="shared" si="14"/>
        <v>45118</v>
      </c>
      <c r="Q157" s="6" t="str">
        <f t="shared" ca="1" si="13"/>
        <v>Prazo Vencido</v>
      </c>
      <c r="R157" s="8">
        <f t="shared" si="3"/>
        <v>9</v>
      </c>
    </row>
    <row r="158" spans="1:18" ht="13">
      <c r="A158" s="8">
        <v>5327</v>
      </c>
      <c r="B158" s="10">
        <v>45103</v>
      </c>
      <c r="C158" s="10">
        <v>45103</v>
      </c>
      <c r="D158" s="8" t="s">
        <v>766</v>
      </c>
      <c r="E158" s="8" t="s">
        <v>838</v>
      </c>
      <c r="F158" s="8" t="s">
        <v>699</v>
      </c>
      <c r="G158" s="6" t="e">
        <f>IF(F158="","",VLOOKUP(F158,'PLAN SUPORTE'!A:B,2,0))</f>
        <v>#N/A</v>
      </c>
      <c r="H158" s="7"/>
      <c r="I158" s="8" t="s">
        <v>682</v>
      </c>
      <c r="J158" s="8" t="s">
        <v>24</v>
      </c>
      <c r="K158" s="8" t="s">
        <v>25</v>
      </c>
      <c r="L158" s="8">
        <f>IF(K158="","",VLOOKUP(K158,'PLAN SUPORTE'!$H$2:$I$4,2,0))</f>
        <v>15</v>
      </c>
      <c r="M158" s="10">
        <v>45114</v>
      </c>
      <c r="N158" s="10">
        <v>45118</v>
      </c>
      <c r="O158" s="9" t="str">
        <f t="shared" si="12"/>
        <v>Dentro do Prazo</v>
      </c>
      <c r="P158" s="10">
        <f t="shared" si="14"/>
        <v>45118</v>
      </c>
      <c r="Q158" s="6" t="str">
        <f t="shared" ca="1" si="13"/>
        <v>Prazo Vencido</v>
      </c>
      <c r="R158" s="8">
        <f t="shared" si="3"/>
        <v>11</v>
      </c>
    </row>
    <row r="159" spans="1:18" ht="13">
      <c r="A159" s="8">
        <v>5328</v>
      </c>
      <c r="B159" s="10">
        <v>45103</v>
      </c>
      <c r="C159" s="10">
        <v>45103</v>
      </c>
      <c r="D159" s="8" t="s">
        <v>831</v>
      </c>
      <c r="E159" s="8" t="s">
        <v>680</v>
      </c>
      <c r="F159" s="8" t="s">
        <v>681</v>
      </c>
      <c r="G159" s="6" t="e">
        <f>IF(F159="","",VLOOKUP(F159,'PLAN SUPORTE'!A:B,2,0))</f>
        <v>#N/A</v>
      </c>
      <c r="H159" s="7"/>
      <c r="I159" s="8" t="s">
        <v>682</v>
      </c>
      <c r="J159" s="8" t="s">
        <v>24</v>
      </c>
      <c r="K159" s="8" t="s">
        <v>25</v>
      </c>
      <c r="L159" s="8">
        <f>IF(K159="","",VLOOKUP(K159,'PLAN SUPORTE'!$H$2:$I$4,2,0))</f>
        <v>15</v>
      </c>
      <c r="M159" s="10"/>
      <c r="N159" s="10"/>
      <c r="O159" s="9" t="str">
        <f t="shared" si="12"/>
        <v>Em Andamento</v>
      </c>
      <c r="P159" s="10">
        <f t="shared" si="14"/>
        <v>45118</v>
      </c>
      <c r="Q159" s="6" t="str">
        <f t="shared" ca="1" si="13"/>
        <v>Prazo Vencido</v>
      </c>
      <c r="R159" s="8" t="str">
        <f t="shared" si="3"/>
        <v/>
      </c>
    </row>
    <row r="160" spans="1:18" ht="13">
      <c r="A160" s="8">
        <v>5329</v>
      </c>
      <c r="B160" s="10">
        <v>45086</v>
      </c>
      <c r="C160" s="10">
        <v>45086</v>
      </c>
      <c r="D160" s="8" t="s">
        <v>839</v>
      </c>
      <c r="E160" s="8" t="s">
        <v>840</v>
      </c>
      <c r="F160" s="8" t="s">
        <v>775</v>
      </c>
      <c r="G160" s="6" t="e">
        <f>IF(F160="","",VLOOKUP(F160,'PLAN SUPORTE'!A:B,2,0))</f>
        <v>#N/A</v>
      </c>
      <c r="H160" s="7" t="s">
        <v>841</v>
      </c>
      <c r="I160" s="8" t="s">
        <v>754</v>
      </c>
      <c r="J160" s="8" t="s">
        <v>24</v>
      </c>
      <c r="K160" s="8" t="s">
        <v>25</v>
      </c>
      <c r="L160" s="8">
        <f>IF(K160="","",VLOOKUP(K160,'PLAN SUPORTE'!$H$2:$I$4,2,0))</f>
        <v>15</v>
      </c>
      <c r="M160" s="10">
        <v>45119</v>
      </c>
      <c r="N160" s="10">
        <v>45128</v>
      </c>
      <c r="O160" s="9" t="str">
        <f t="shared" si="12"/>
        <v>Fora do Prazo</v>
      </c>
      <c r="P160" s="10">
        <f t="shared" si="14"/>
        <v>45101</v>
      </c>
      <c r="Q160" s="6" t="str">
        <f t="shared" ca="1" si="13"/>
        <v>Prazo Vencido</v>
      </c>
      <c r="R160" s="8">
        <f t="shared" si="3"/>
        <v>33</v>
      </c>
    </row>
    <row r="161" spans="1:18" ht="13">
      <c r="A161" s="8">
        <v>5330</v>
      </c>
      <c r="B161" s="10">
        <v>45086</v>
      </c>
      <c r="C161" s="10">
        <v>45086</v>
      </c>
      <c r="D161" s="8" t="s">
        <v>842</v>
      </c>
      <c r="E161" s="8" t="s">
        <v>843</v>
      </c>
      <c r="F161" s="8" t="s">
        <v>775</v>
      </c>
      <c r="G161" s="6" t="e">
        <f>IF(F161="","",VLOOKUP(F161,'PLAN SUPORTE'!A:B,2,0))</f>
        <v>#N/A</v>
      </c>
      <c r="H161" s="7" t="s">
        <v>841</v>
      </c>
      <c r="I161" s="8" t="s">
        <v>754</v>
      </c>
      <c r="J161" s="8" t="s">
        <v>24</v>
      </c>
      <c r="K161" s="8" t="s">
        <v>25</v>
      </c>
      <c r="L161" s="8">
        <f>IF(K161="","",VLOOKUP(K161,'PLAN SUPORTE'!$H$2:$I$4,2,0))</f>
        <v>15</v>
      </c>
      <c r="M161" s="10">
        <v>45103</v>
      </c>
      <c r="N161" s="10">
        <v>45114</v>
      </c>
      <c r="O161" s="9" t="str">
        <f t="shared" si="12"/>
        <v>Dentro do Prazo</v>
      </c>
      <c r="P161" s="10">
        <v>45114</v>
      </c>
      <c r="Q161" s="6" t="str">
        <f t="shared" ca="1" si="13"/>
        <v>Prazo Vencido</v>
      </c>
      <c r="R161" s="8">
        <f t="shared" si="3"/>
        <v>17</v>
      </c>
    </row>
    <row r="162" spans="1:18" ht="13" hidden="1">
      <c r="A162" s="8">
        <v>5331</v>
      </c>
      <c r="B162" s="10">
        <v>45086</v>
      </c>
      <c r="C162" s="10">
        <v>45086</v>
      </c>
      <c r="D162" s="8" t="s">
        <v>844</v>
      </c>
      <c r="E162" s="8" t="s">
        <v>840</v>
      </c>
      <c r="F162" s="8" t="s">
        <v>775</v>
      </c>
      <c r="G162" s="6" t="e">
        <f>IF(F162="","",VLOOKUP(F162,'PLAN SUPORTE'!A:B,2,0))</f>
        <v>#N/A</v>
      </c>
      <c r="H162" s="7" t="s">
        <v>776</v>
      </c>
      <c r="I162" s="8" t="s">
        <v>754</v>
      </c>
      <c r="J162" s="8" t="s">
        <v>296</v>
      </c>
      <c r="K162" s="8" t="s">
        <v>25</v>
      </c>
      <c r="L162" s="8">
        <f>IF(K162="","",VLOOKUP(K162,'PLAN SUPORTE'!$H$2:$I$4,2,0))</f>
        <v>15</v>
      </c>
      <c r="M162" s="10"/>
      <c r="N162" s="10"/>
      <c r="O162" s="9" t="str">
        <f t="shared" si="12"/>
        <v>Em Andamento</v>
      </c>
      <c r="P162" s="10">
        <f t="shared" ref="P162:P164" si="15">IF(OR(C162="",L162=""),"",C162+L162)</f>
        <v>45101</v>
      </c>
      <c r="Q162" s="6" t="str">
        <f t="shared" ca="1" si="13"/>
        <v>Prazo Vencido</v>
      </c>
      <c r="R162" s="8" t="str">
        <f t="shared" si="3"/>
        <v/>
      </c>
    </row>
    <row r="163" spans="1:18" ht="13" hidden="1">
      <c r="A163" s="8">
        <v>5332</v>
      </c>
      <c r="B163" s="10">
        <v>45086</v>
      </c>
      <c r="C163" s="10">
        <v>45086</v>
      </c>
      <c r="D163" s="8" t="s">
        <v>797</v>
      </c>
      <c r="E163" s="8" t="s">
        <v>798</v>
      </c>
      <c r="F163" s="8" t="s">
        <v>799</v>
      </c>
      <c r="G163" s="6" t="e">
        <f>IF(F163="","",VLOOKUP(F163,'PLAN SUPORTE'!A:B,2,0))</f>
        <v>#N/A</v>
      </c>
      <c r="H163" s="7" t="s">
        <v>845</v>
      </c>
      <c r="I163" s="8" t="s">
        <v>754</v>
      </c>
      <c r="J163" s="8" t="s">
        <v>296</v>
      </c>
      <c r="K163" s="8" t="s">
        <v>25</v>
      </c>
      <c r="L163" s="8">
        <f>IF(K163="","",VLOOKUP(K163,'PLAN SUPORTE'!$H$2:$I$4,2,0))</f>
        <v>15</v>
      </c>
      <c r="M163" s="10"/>
      <c r="N163" s="10"/>
      <c r="O163" s="9" t="str">
        <f t="shared" si="12"/>
        <v>Em Andamento</v>
      </c>
      <c r="P163" s="10">
        <f t="shared" si="15"/>
        <v>45101</v>
      </c>
      <c r="Q163" s="6" t="str">
        <f t="shared" ca="1" si="13"/>
        <v>Prazo Vencido</v>
      </c>
      <c r="R163" s="8" t="str">
        <f t="shared" si="3"/>
        <v/>
      </c>
    </row>
    <row r="164" spans="1:18" ht="13" hidden="1">
      <c r="A164" s="8">
        <v>5335</v>
      </c>
      <c r="B164" s="10">
        <v>45086</v>
      </c>
      <c r="C164" s="10">
        <v>45086</v>
      </c>
      <c r="D164" s="8" t="s">
        <v>846</v>
      </c>
      <c r="E164" s="8" t="s">
        <v>751</v>
      </c>
      <c r="F164" s="8" t="s">
        <v>752</v>
      </c>
      <c r="G164" s="6" t="e">
        <f>IF(F164="","",VLOOKUP(F164,'PLAN SUPORTE'!A:B,2,0))</f>
        <v>#N/A</v>
      </c>
      <c r="H164" s="7" t="s">
        <v>793</v>
      </c>
      <c r="I164" s="8" t="s">
        <v>754</v>
      </c>
      <c r="J164" s="8" t="s">
        <v>296</v>
      </c>
      <c r="K164" s="8" t="s">
        <v>25</v>
      </c>
      <c r="L164" s="8">
        <f>IF(K164="","",VLOOKUP(K164,'PLAN SUPORTE'!$H$2:$I$4,2,0))</f>
        <v>15</v>
      </c>
      <c r="M164" s="10">
        <v>45138</v>
      </c>
      <c r="N164" s="10">
        <v>45142</v>
      </c>
      <c r="O164" s="9" t="str">
        <f t="shared" si="12"/>
        <v>Fora do Prazo</v>
      </c>
      <c r="P164" s="10">
        <f t="shared" si="15"/>
        <v>45101</v>
      </c>
      <c r="Q164" s="6" t="str">
        <f t="shared" ca="1" si="13"/>
        <v>Prazo Vencido</v>
      </c>
      <c r="R164" s="8">
        <f t="shared" si="3"/>
        <v>52</v>
      </c>
    </row>
    <row r="165" spans="1:18" ht="13">
      <c r="A165" s="8">
        <v>5338</v>
      </c>
      <c r="B165" s="10">
        <v>45103</v>
      </c>
      <c r="C165" s="10">
        <v>45103</v>
      </c>
      <c r="D165" s="8" t="s">
        <v>817</v>
      </c>
      <c r="E165" s="8" t="s">
        <v>818</v>
      </c>
      <c r="F165" s="8" t="s">
        <v>704</v>
      </c>
      <c r="G165" s="6" t="e">
        <f>IF(F165="","",VLOOKUP(F165,'PLAN SUPORTE'!A:B,2,0))</f>
        <v>#N/A</v>
      </c>
      <c r="H165" s="7"/>
      <c r="I165" s="8" t="s">
        <v>682</v>
      </c>
      <c r="J165" s="8" t="s">
        <v>24</v>
      </c>
      <c r="K165" s="8" t="s">
        <v>691</v>
      </c>
      <c r="L165" s="8" t="e">
        <f>IF(K165="","",VLOOKUP(K165,'PLAN SUPORTE'!$H$2:$I$4,2,0))</f>
        <v>#N/A</v>
      </c>
      <c r="M165" s="10"/>
      <c r="N165" s="10"/>
      <c r="O165" s="9"/>
      <c r="P165" s="10"/>
      <c r="Q165" s="6"/>
      <c r="R165" s="8" t="str">
        <f t="shared" si="3"/>
        <v/>
      </c>
    </row>
    <row r="166" spans="1:18" ht="13" hidden="1">
      <c r="A166" s="8">
        <v>5339</v>
      </c>
      <c r="B166" s="10">
        <v>45103</v>
      </c>
      <c r="C166" s="10">
        <v>45103</v>
      </c>
      <c r="D166" s="8" t="s">
        <v>842</v>
      </c>
      <c r="E166" s="8" t="s">
        <v>847</v>
      </c>
      <c r="F166" s="8" t="s">
        <v>690</v>
      </c>
      <c r="G166" s="6" t="e">
        <f>IF(F166="","",VLOOKUP(F166,'PLAN SUPORTE'!A:B,2,0))</f>
        <v>#N/A</v>
      </c>
      <c r="H166" s="7"/>
      <c r="I166" s="8" t="s">
        <v>682</v>
      </c>
      <c r="J166" s="8" t="s">
        <v>296</v>
      </c>
      <c r="K166" s="8" t="s">
        <v>25</v>
      </c>
      <c r="L166" s="8">
        <f>IF(K166="","",VLOOKUP(K166,'PLAN SUPORTE'!$H$2:$I$4,2,0))</f>
        <v>15</v>
      </c>
      <c r="M166" s="10"/>
      <c r="N166" s="10"/>
      <c r="O166" s="9" t="str">
        <f t="shared" ref="O166:O176" si="16">IF(AND(C166="",K166=""),"",IF(R166="","Em Andamento",IF(M166&lt;=P166,"Dentro do Prazo","Fora do Prazo")))</f>
        <v>Em Andamento</v>
      </c>
      <c r="P166" s="10">
        <f t="shared" ref="P166:P175" si="17">IF(OR(C166="",L166=""),"",C166+L166)</f>
        <v>45118</v>
      </c>
      <c r="Q166" s="6" t="str">
        <f t="shared" ref="Q166:Q176" ca="1" si="18">IF(P166="","",IF(P166-TODAY()=0,"Vence Hoje!",IF(P166-TODAY()&gt;=0,P166-TODAY()&amp;" Dia(s) para vencer","Prazo Vencido")))</f>
        <v>Prazo Vencido</v>
      </c>
      <c r="R166" s="8" t="str">
        <f t="shared" si="3"/>
        <v/>
      </c>
    </row>
    <row r="167" spans="1:18" ht="13">
      <c r="A167" s="8">
        <v>5340</v>
      </c>
      <c r="B167" s="10">
        <v>45103</v>
      </c>
      <c r="C167" s="10">
        <v>45103</v>
      </c>
      <c r="D167" s="8" t="s">
        <v>848</v>
      </c>
      <c r="E167" s="8" t="s">
        <v>849</v>
      </c>
      <c r="F167" s="8" t="s">
        <v>701</v>
      </c>
      <c r="G167" s="6" t="e">
        <f>IF(F167="","",VLOOKUP(F167,'PLAN SUPORTE'!A:B,2,0))</f>
        <v>#N/A</v>
      </c>
      <c r="H167" s="7"/>
      <c r="I167" s="8" t="s">
        <v>682</v>
      </c>
      <c r="J167" s="8" t="s">
        <v>24</v>
      </c>
      <c r="K167" s="8" t="s">
        <v>25</v>
      </c>
      <c r="L167" s="8">
        <f>IF(K167="","",VLOOKUP(K167,'PLAN SUPORTE'!$H$2:$I$4,2,0))</f>
        <v>15</v>
      </c>
      <c r="M167" s="10">
        <v>45113</v>
      </c>
      <c r="N167" s="10">
        <v>45121</v>
      </c>
      <c r="O167" s="9" t="str">
        <f t="shared" si="16"/>
        <v>Dentro do Prazo</v>
      </c>
      <c r="P167" s="10">
        <f t="shared" si="17"/>
        <v>45118</v>
      </c>
      <c r="Q167" s="6" t="str">
        <f t="shared" ca="1" si="18"/>
        <v>Prazo Vencido</v>
      </c>
      <c r="R167" s="8">
        <f t="shared" si="3"/>
        <v>10</v>
      </c>
    </row>
    <row r="168" spans="1:18" ht="13">
      <c r="A168" s="8">
        <v>5341</v>
      </c>
      <c r="B168" s="10">
        <v>45103</v>
      </c>
      <c r="C168" s="10">
        <v>45103</v>
      </c>
      <c r="D168" s="8" t="s">
        <v>768</v>
      </c>
      <c r="E168" s="8" t="s">
        <v>700</v>
      </c>
      <c r="F168" s="8" t="s">
        <v>701</v>
      </c>
      <c r="G168" s="6" t="e">
        <f>IF(F168="","",VLOOKUP(F168,'PLAN SUPORTE'!A:B,2,0))</f>
        <v>#N/A</v>
      </c>
      <c r="H168" s="7"/>
      <c r="I168" s="8" t="s">
        <v>682</v>
      </c>
      <c r="J168" s="8" t="s">
        <v>24</v>
      </c>
      <c r="K168" s="8" t="s">
        <v>25</v>
      </c>
      <c r="L168" s="8">
        <f>IF(K168="","",VLOOKUP(K168,'PLAN SUPORTE'!$H$2:$I$4,2,0))</f>
        <v>15</v>
      </c>
      <c r="M168" s="10"/>
      <c r="N168" s="10"/>
      <c r="O168" s="9" t="str">
        <f t="shared" si="16"/>
        <v>Em Andamento</v>
      </c>
      <c r="P168" s="10">
        <f t="shared" si="17"/>
        <v>45118</v>
      </c>
      <c r="Q168" s="6" t="str">
        <f t="shared" ca="1" si="18"/>
        <v>Prazo Vencido</v>
      </c>
      <c r="R168" s="8" t="str">
        <f t="shared" si="3"/>
        <v/>
      </c>
    </row>
    <row r="169" spans="1:18" ht="13">
      <c r="A169" s="8">
        <v>5342</v>
      </c>
      <c r="B169" s="10">
        <v>45103</v>
      </c>
      <c r="C169" s="10">
        <v>45103</v>
      </c>
      <c r="D169" s="8" t="s">
        <v>766</v>
      </c>
      <c r="E169" s="8" t="s">
        <v>777</v>
      </c>
      <c r="F169" s="8" t="s">
        <v>705</v>
      </c>
      <c r="G169" s="6" t="e">
        <f>IF(F169="","",VLOOKUP(F169,'PLAN SUPORTE'!A:B,2,0))</f>
        <v>#N/A</v>
      </c>
      <c r="H169" s="7"/>
      <c r="I169" s="8" t="s">
        <v>692</v>
      </c>
      <c r="J169" s="8" t="s">
        <v>24</v>
      </c>
      <c r="K169" s="8" t="s">
        <v>25</v>
      </c>
      <c r="L169" s="8">
        <f>IF(K169="","",VLOOKUP(K169,'PLAN SUPORTE'!$H$2:$I$4,2,0))</f>
        <v>15</v>
      </c>
      <c r="M169" s="10">
        <v>45117</v>
      </c>
      <c r="N169" s="10">
        <v>45118</v>
      </c>
      <c r="O169" s="9" t="str">
        <f t="shared" si="16"/>
        <v>Dentro do Prazo</v>
      </c>
      <c r="P169" s="10">
        <f t="shared" si="17"/>
        <v>45118</v>
      </c>
      <c r="Q169" s="6" t="str">
        <f t="shared" ca="1" si="18"/>
        <v>Prazo Vencido</v>
      </c>
      <c r="R169" s="8">
        <f t="shared" si="3"/>
        <v>14</v>
      </c>
    </row>
    <row r="170" spans="1:18" ht="13">
      <c r="A170" s="8">
        <v>5343</v>
      </c>
      <c r="B170" s="10">
        <v>45103</v>
      </c>
      <c r="C170" s="10">
        <v>45103</v>
      </c>
      <c r="D170" s="8" t="s">
        <v>766</v>
      </c>
      <c r="E170" s="8" t="s">
        <v>777</v>
      </c>
      <c r="F170" s="8" t="s">
        <v>705</v>
      </c>
      <c r="G170" s="6" t="e">
        <f>IF(F170="","",VLOOKUP(F170,'PLAN SUPORTE'!A:B,2,0))</f>
        <v>#N/A</v>
      </c>
      <c r="H170" s="7"/>
      <c r="I170" s="8" t="s">
        <v>692</v>
      </c>
      <c r="J170" s="8" t="s">
        <v>24</v>
      </c>
      <c r="K170" s="8" t="s">
        <v>25</v>
      </c>
      <c r="L170" s="8">
        <f>IF(K170="","",VLOOKUP(K170,'PLAN SUPORTE'!$H$2:$I$4,2,0))</f>
        <v>15</v>
      </c>
      <c r="M170" s="10">
        <v>45118</v>
      </c>
      <c r="N170" s="8" t="s">
        <v>850</v>
      </c>
      <c r="O170" s="9" t="str">
        <f t="shared" si="16"/>
        <v>Dentro do Prazo</v>
      </c>
      <c r="P170" s="10">
        <f t="shared" si="17"/>
        <v>45118</v>
      </c>
      <c r="Q170" s="6" t="str">
        <f t="shared" ca="1" si="18"/>
        <v>Prazo Vencido</v>
      </c>
      <c r="R170" s="8">
        <f t="shared" si="3"/>
        <v>15</v>
      </c>
    </row>
    <row r="171" spans="1:18" ht="13">
      <c r="A171" s="8">
        <v>5344</v>
      </c>
      <c r="B171" s="10">
        <v>45103</v>
      </c>
      <c r="C171" s="10">
        <v>45103</v>
      </c>
      <c r="D171" s="8" t="s">
        <v>842</v>
      </c>
      <c r="E171" s="8" t="s">
        <v>851</v>
      </c>
      <c r="F171" s="8" t="s">
        <v>705</v>
      </c>
      <c r="G171" s="6" t="e">
        <f>IF(F171="","",VLOOKUP(F171,'PLAN SUPORTE'!A:B,2,0))</f>
        <v>#N/A</v>
      </c>
      <c r="H171" s="7"/>
      <c r="I171" s="8" t="s">
        <v>692</v>
      </c>
      <c r="J171" s="8" t="s">
        <v>24</v>
      </c>
      <c r="K171" s="8" t="s">
        <v>25</v>
      </c>
      <c r="L171" s="8">
        <f>IF(K171="","",VLOOKUP(K171,'PLAN SUPORTE'!$H$2:$I$4,2,0))</f>
        <v>15</v>
      </c>
      <c r="M171" s="10">
        <v>45117</v>
      </c>
      <c r="N171" s="10">
        <v>45121</v>
      </c>
      <c r="O171" s="9" t="str">
        <f t="shared" si="16"/>
        <v>Dentro do Prazo</v>
      </c>
      <c r="P171" s="10">
        <f t="shared" si="17"/>
        <v>45118</v>
      </c>
      <c r="Q171" s="6" t="str">
        <f t="shared" ca="1" si="18"/>
        <v>Prazo Vencido</v>
      </c>
      <c r="R171" s="8">
        <f t="shared" si="3"/>
        <v>14</v>
      </c>
    </row>
    <row r="172" spans="1:18" ht="13" hidden="1">
      <c r="A172" s="8">
        <v>5345</v>
      </c>
      <c r="B172" s="10">
        <v>45103</v>
      </c>
      <c r="C172" s="10">
        <v>45103</v>
      </c>
      <c r="D172" s="8" t="s">
        <v>766</v>
      </c>
      <c r="E172" s="8" t="s">
        <v>852</v>
      </c>
      <c r="F172" s="8" t="s">
        <v>825</v>
      </c>
      <c r="G172" s="6" t="e">
        <f>IF(F172="","",VLOOKUP(F172,'PLAN SUPORTE'!A:B,2,0))</f>
        <v>#N/A</v>
      </c>
      <c r="H172" s="7"/>
      <c r="I172" s="8" t="s">
        <v>692</v>
      </c>
      <c r="J172" s="8" t="s">
        <v>296</v>
      </c>
      <c r="K172" s="8" t="s">
        <v>25</v>
      </c>
      <c r="L172" s="8">
        <f>IF(K172="","",VLOOKUP(K172,'PLAN SUPORTE'!$H$2:$I$4,2,0))</f>
        <v>15</v>
      </c>
      <c r="M172" s="10"/>
      <c r="N172" s="10"/>
      <c r="O172" s="9" t="str">
        <f t="shared" si="16"/>
        <v>Em Andamento</v>
      </c>
      <c r="P172" s="10">
        <f t="shared" si="17"/>
        <v>45118</v>
      </c>
      <c r="Q172" s="6" t="str">
        <f t="shared" ca="1" si="18"/>
        <v>Prazo Vencido</v>
      </c>
      <c r="R172" s="8" t="str">
        <f t="shared" si="3"/>
        <v/>
      </c>
    </row>
    <row r="173" spans="1:18" ht="13">
      <c r="A173" s="8">
        <v>5347</v>
      </c>
      <c r="B173" s="10">
        <v>45103</v>
      </c>
      <c r="C173" s="10">
        <v>45103</v>
      </c>
      <c r="D173" s="8" t="s">
        <v>768</v>
      </c>
      <c r="E173" s="8" t="s">
        <v>739</v>
      </c>
      <c r="F173" s="8" t="s">
        <v>759</v>
      </c>
      <c r="G173" s="6" t="e">
        <f>IF(F173="","",VLOOKUP(F173,'PLAN SUPORTE'!A:B,2,0))</f>
        <v>#N/A</v>
      </c>
      <c r="H173" s="7"/>
      <c r="I173" s="8" t="s">
        <v>692</v>
      </c>
      <c r="J173" s="8" t="s">
        <v>24</v>
      </c>
      <c r="K173" s="8" t="s">
        <v>25</v>
      </c>
      <c r="L173" s="8">
        <f>IF(K173="","",VLOOKUP(K173,'PLAN SUPORTE'!$H$2:$I$4,2,0))</f>
        <v>15</v>
      </c>
      <c r="M173" s="10">
        <v>45118</v>
      </c>
      <c r="N173" s="10">
        <v>45128</v>
      </c>
      <c r="O173" s="9" t="str">
        <f t="shared" si="16"/>
        <v>Dentro do Prazo</v>
      </c>
      <c r="P173" s="10">
        <f t="shared" si="17"/>
        <v>45118</v>
      </c>
      <c r="Q173" s="6" t="str">
        <f t="shared" ca="1" si="18"/>
        <v>Prazo Vencido</v>
      </c>
      <c r="R173" s="8">
        <f t="shared" si="3"/>
        <v>15</v>
      </c>
    </row>
    <row r="174" spans="1:18" ht="13">
      <c r="A174" s="8">
        <v>5348</v>
      </c>
      <c r="B174" s="10">
        <v>45103</v>
      </c>
      <c r="C174" s="10">
        <v>45103</v>
      </c>
      <c r="D174" s="8" t="s">
        <v>768</v>
      </c>
      <c r="E174" s="8" t="s">
        <v>739</v>
      </c>
      <c r="F174" s="8" t="s">
        <v>759</v>
      </c>
      <c r="G174" s="6" t="e">
        <f>IF(F174="","",VLOOKUP(F174,'PLAN SUPORTE'!A:B,2,0))</f>
        <v>#N/A</v>
      </c>
      <c r="H174" s="7"/>
      <c r="I174" s="8" t="s">
        <v>692</v>
      </c>
      <c r="J174" s="8" t="s">
        <v>24</v>
      </c>
      <c r="K174" s="8" t="s">
        <v>25</v>
      </c>
      <c r="L174" s="8">
        <f>IF(K174="","",VLOOKUP(K174,'PLAN SUPORTE'!$H$2:$I$4,2,0))</f>
        <v>15</v>
      </c>
      <c r="M174" s="10">
        <v>45125</v>
      </c>
      <c r="N174" s="10">
        <v>45135</v>
      </c>
      <c r="O174" s="9" t="str">
        <f t="shared" si="16"/>
        <v>Fora do Prazo</v>
      </c>
      <c r="P174" s="10">
        <f t="shared" si="17"/>
        <v>45118</v>
      </c>
      <c r="Q174" s="6" t="str">
        <f t="shared" ca="1" si="18"/>
        <v>Prazo Vencido</v>
      </c>
      <c r="R174" s="8">
        <f t="shared" si="3"/>
        <v>22</v>
      </c>
    </row>
    <row r="175" spans="1:18" ht="13" hidden="1">
      <c r="A175" s="8">
        <v>5357</v>
      </c>
      <c r="B175" s="10">
        <v>45103</v>
      </c>
      <c r="C175" s="10">
        <v>45103</v>
      </c>
      <c r="D175" s="8" t="s">
        <v>853</v>
      </c>
      <c r="E175" s="8" t="s">
        <v>854</v>
      </c>
      <c r="F175" s="8" t="s">
        <v>855</v>
      </c>
      <c r="G175" s="6" t="s">
        <v>856</v>
      </c>
      <c r="H175" s="7"/>
      <c r="I175" s="8" t="s">
        <v>692</v>
      </c>
      <c r="J175" s="8" t="s">
        <v>296</v>
      </c>
      <c r="K175" s="8" t="s">
        <v>25</v>
      </c>
      <c r="L175" s="8">
        <f>IF(K175="","",VLOOKUP(K175,'PLAN SUPORTE'!$H$2:$I$4,2,0))</f>
        <v>15</v>
      </c>
      <c r="M175" s="10"/>
      <c r="N175" s="10"/>
      <c r="O175" s="9" t="str">
        <f t="shared" si="16"/>
        <v>Em Andamento</v>
      </c>
      <c r="P175" s="10">
        <f t="shared" si="17"/>
        <v>45118</v>
      </c>
      <c r="Q175" s="6" t="str">
        <f t="shared" ca="1" si="18"/>
        <v>Prazo Vencido</v>
      </c>
      <c r="R175" s="8" t="str">
        <f t="shared" si="3"/>
        <v/>
      </c>
    </row>
    <row r="176" spans="1:18" ht="13">
      <c r="A176" s="8">
        <v>5358</v>
      </c>
      <c r="B176" s="10">
        <v>45103</v>
      </c>
      <c r="C176" s="10">
        <v>45103</v>
      </c>
      <c r="D176" s="8" t="s">
        <v>857</v>
      </c>
      <c r="E176" s="8" t="s">
        <v>818</v>
      </c>
      <c r="F176" s="8" t="s">
        <v>704</v>
      </c>
      <c r="G176" s="6" t="e">
        <f>IF(F176="","",VLOOKUP(F176,'PLAN SUPORTE'!A:B,2,0))</f>
        <v>#N/A</v>
      </c>
      <c r="H176" s="7"/>
      <c r="I176" s="8" t="s">
        <v>682</v>
      </c>
      <c r="J176" s="8" t="s">
        <v>24</v>
      </c>
      <c r="K176" s="8" t="s">
        <v>691</v>
      </c>
      <c r="L176" s="8" t="e">
        <f>IF(K176="","",VLOOKUP(K176,'PLAN SUPORTE'!$H$2:$I$4,2,0))</f>
        <v>#N/A</v>
      </c>
      <c r="M176" s="10">
        <v>45108</v>
      </c>
      <c r="N176" s="10">
        <v>45114</v>
      </c>
      <c r="O176" s="9" t="str">
        <f t="shared" si="16"/>
        <v>Fora do Prazo</v>
      </c>
      <c r="P176" s="10"/>
      <c r="Q176" s="6" t="str">
        <f t="shared" ca="1" si="18"/>
        <v/>
      </c>
      <c r="R176" s="8">
        <f t="shared" si="3"/>
        <v>5</v>
      </c>
    </row>
    <row r="177" spans="1:18" ht="13" hidden="1">
      <c r="A177" s="8">
        <v>5359</v>
      </c>
      <c r="B177" s="10">
        <v>45103</v>
      </c>
      <c r="C177" s="10">
        <v>45103</v>
      </c>
      <c r="D177" s="8" t="s">
        <v>714</v>
      </c>
      <c r="E177" s="8" t="s">
        <v>745</v>
      </c>
      <c r="F177" s="8" t="s">
        <v>704</v>
      </c>
      <c r="G177" s="6" t="e">
        <f>IF(F177="","",VLOOKUP(F177,'PLAN SUPORTE'!A:B,2,0))</f>
        <v>#N/A</v>
      </c>
      <c r="H177" s="7"/>
      <c r="I177" s="8" t="s">
        <v>682</v>
      </c>
      <c r="J177" s="8" t="s">
        <v>265</v>
      </c>
      <c r="K177" s="8" t="s">
        <v>691</v>
      </c>
      <c r="L177" s="8" t="e">
        <f>IF(K177="","",VLOOKUP(K177,'PLAN SUPORTE'!$H$2:$I$4,2,0))</f>
        <v>#N/A</v>
      </c>
      <c r="M177" s="10"/>
      <c r="N177" s="10"/>
      <c r="O177" s="9"/>
      <c r="P177" s="10"/>
      <c r="Q177" s="6"/>
      <c r="R177" s="8" t="str">
        <f t="shared" si="3"/>
        <v/>
      </c>
    </row>
    <row r="178" spans="1:18" ht="13" hidden="1">
      <c r="A178" s="8">
        <v>5360</v>
      </c>
      <c r="B178" s="10">
        <v>45093</v>
      </c>
      <c r="C178" s="10">
        <v>45093</v>
      </c>
      <c r="D178" s="8" t="s">
        <v>768</v>
      </c>
      <c r="E178" s="8" t="s">
        <v>737</v>
      </c>
      <c r="F178" s="8" t="s">
        <v>761</v>
      </c>
      <c r="G178" s="6" t="e">
        <f>IF(F178="","",VLOOKUP(F178,'PLAN SUPORTE'!A:B,2,0))</f>
        <v>#N/A</v>
      </c>
      <c r="H178" s="7"/>
      <c r="I178" s="8" t="s">
        <v>692</v>
      </c>
      <c r="J178" s="8" t="s">
        <v>160</v>
      </c>
      <c r="K178" s="8" t="s">
        <v>25</v>
      </c>
      <c r="L178" s="8">
        <f>IF(K178="","",VLOOKUP(K178,'PLAN SUPORTE'!$H$2:$I$4,2,0))</f>
        <v>15</v>
      </c>
      <c r="M178" s="10"/>
      <c r="N178" s="10"/>
      <c r="O178" s="9" t="str">
        <f t="shared" ref="O178:O202" si="19">IF(AND(C178="",K178=""),"",IF(R178="","Em Andamento",IF(M178&lt;=P178,"Dentro do Prazo","Fora do Prazo")))</f>
        <v>Em Andamento</v>
      </c>
      <c r="P178" s="10">
        <f t="shared" ref="P178:P186" si="20">IF(OR(C178="",L178=""),"",C178+L178)</f>
        <v>45108</v>
      </c>
      <c r="Q178" s="6" t="str">
        <f t="shared" ref="Q178:Q197" ca="1" si="21">IF(P178="","",IF(P178-TODAY()=0,"Vence Hoje!",IF(P178-TODAY()&gt;=0,P178-TODAY()&amp;" Dia(s) para vencer","Prazo Vencido")))</f>
        <v>Prazo Vencido</v>
      </c>
      <c r="R178" s="8" t="str">
        <f t="shared" si="3"/>
        <v/>
      </c>
    </row>
    <row r="179" spans="1:18" ht="13">
      <c r="A179" s="8">
        <v>5361</v>
      </c>
      <c r="B179" s="10">
        <v>45103</v>
      </c>
      <c r="C179" s="10">
        <v>45103</v>
      </c>
      <c r="D179" s="8" t="s">
        <v>766</v>
      </c>
      <c r="E179" s="8" t="s">
        <v>767</v>
      </c>
      <c r="F179" s="8" t="s">
        <v>681</v>
      </c>
      <c r="G179" s="6" t="e">
        <f>IF(F179="","",VLOOKUP(F179,'PLAN SUPORTE'!A:B,2,0))</f>
        <v>#N/A</v>
      </c>
      <c r="H179" s="7"/>
      <c r="I179" s="8" t="s">
        <v>682</v>
      </c>
      <c r="J179" s="8" t="s">
        <v>24</v>
      </c>
      <c r="K179" s="8" t="s">
        <v>25</v>
      </c>
      <c r="L179" s="8">
        <f>IF(K179="","",VLOOKUP(K179,'PLAN SUPORTE'!$H$2:$I$4,2,0))</f>
        <v>15</v>
      </c>
      <c r="M179" s="10">
        <v>45114</v>
      </c>
      <c r="N179" s="10">
        <v>45118</v>
      </c>
      <c r="O179" s="9" t="str">
        <f t="shared" si="19"/>
        <v>Dentro do Prazo</v>
      </c>
      <c r="P179" s="10">
        <f t="shared" si="20"/>
        <v>45118</v>
      </c>
      <c r="Q179" s="6" t="str">
        <f t="shared" ca="1" si="21"/>
        <v>Prazo Vencido</v>
      </c>
      <c r="R179" s="8">
        <f t="shared" si="3"/>
        <v>11</v>
      </c>
    </row>
    <row r="180" spans="1:18" ht="13">
      <c r="A180" s="8">
        <v>5362</v>
      </c>
      <c r="B180" s="10">
        <v>45103</v>
      </c>
      <c r="C180" s="10">
        <v>45103</v>
      </c>
      <c r="D180" s="8" t="s">
        <v>768</v>
      </c>
      <c r="E180" s="8" t="s">
        <v>739</v>
      </c>
      <c r="F180" s="8" t="s">
        <v>759</v>
      </c>
      <c r="G180" s="6" t="e">
        <f>IF(F180="","",VLOOKUP(F180,'PLAN SUPORTE'!A:B,2,0))</f>
        <v>#N/A</v>
      </c>
      <c r="H180" s="7"/>
      <c r="I180" s="8" t="s">
        <v>692</v>
      </c>
      <c r="J180" s="8" t="s">
        <v>24</v>
      </c>
      <c r="K180" s="8" t="s">
        <v>25</v>
      </c>
      <c r="L180" s="8">
        <f>IF(K180="","",VLOOKUP(K180,'PLAN SUPORTE'!$H$2:$I$4,2,0))</f>
        <v>15</v>
      </c>
      <c r="M180" s="10">
        <v>45125</v>
      </c>
      <c r="N180" s="10">
        <v>45135</v>
      </c>
      <c r="O180" s="9" t="str">
        <f t="shared" si="19"/>
        <v>Fora do Prazo</v>
      </c>
      <c r="P180" s="10">
        <f t="shared" si="20"/>
        <v>45118</v>
      </c>
      <c r="Q180" s="6" t="str">
        <f t="shared" ca="1" si="21"/>
        <v>Prazo Vencido</v>
      </c>
      <c r="R180" s="8">
        <f t="shared" si="3"/>
        <v>22</v>
      </c>
    </row>
    <row r="181" spans="1:18" ht="13">
      <c r="A181" s="8">
        <v>5363</v>
      </c>
      <c r="B181" s="10">
        <v>45094</v>
      </c>
      <c r="C181" s="10">
        <v>45094</v>
      </c>
      <c r="D181" s="8" t="s">
        <v>858</v>
      </c>
      <c r="E181" s="8" t="s">
        <v>859</v>
      </c>
      <c r="F181" s="8" t="s">
        <v>799</v>
      </c>
      <c r="G181" s="6" t="e">
        <f>IF(F181="","",VLOOKUP(F181,'PLAN SUPORTE'!A:B,2,0))</f>
        <v>#N/A</v>
      </c>
      <c r="H181" s="7" t="s">
        <v>860</v>
      </c>
      <c r="I181" s="8" t="s">
        <v>754</v>
      </c>
      <c r="J181" s="8" t="s">
        <v>24</v>
      </c>
      <c r="K181" s="8" t="s">
        <v>25</v>
      </c>
      <c r="L181" s="8">
        <f>IF(K181="","",VLOOKUP(K181,'PLAN SUPORTE'!$H$2:$I$4,2,0))</f>
        <v>15</v>
      </c>
      <c r="M181" s="10"/>
      <c r="N181" s="10"/>
      <c r="O181" s="9" t="str">
        <f t="shared" si="19"/>
        <v>Em Andamento</v>
      </c>
      <c r="P181" s="10">
        <f t="shared" si="20"/>
        <v>45109</v>
      </c>
      <c r="Q181" s="6" t="str">
        <f t="shared" ca="1" si="21"/>
        <v>Prazo Vencido</v>
      </c>
      <c r="R181" s="8" t="str">
        <f t="shared" si="3"/>
        <v/>
      </c>
    </row>
    <row r="182" spans="1:18" ht="13">
      <c r="A182" s="8">
        <v>5364</v>
      </c>
      <c r="B182" s="10">
        <v>45103</v>
      </c>
      <c r="C182" s="10">
        <v>45103</v>
      </c>
      <c r="D182" s="8" t="s">
        <v>766</v>
      </c>
      <c r="E182" s="8" t="s">
        <v>828</v>
      </c>
      <c r="F182" s="8" t="s">
        <v>701</v>
      </c>
      <c r="G182" s="6" t="e">
        <f>IF(F182="","",VLOOKUP(F182,'PLAN SUPORTE'!A:B,2,0))</f>
        <v>#N/A</v>
      </c>
      <c r="H182" s="7"/>
      <c r="I182" s="8" t="s">
        <v>682</v>
      </c>
      <c r="J182" s="8" t="s">
        <v>24</v>
      </c>
      <c r="K182" s="8" t="s">
        <v>25</v>
      </c>
      <c r="L182" s="8">
        <f>IF(K182="","",VLOOKUP(K182,'PLAN SUPORTE'!$H$2:$I$4,2,0))</f>
        <v>15</v>
      </c>
      <c r="M182" s="10">
        <v>45114</v>
      </c>
      <c r="N182" s="10">
        <v>45118</v>
      </c>
      <c r="O182" s="9" t="str">
        <f t="shared" si="19"/>
        <v>Dentro do Prazo</v>
      </c>
      <c r="P182" s="10">
        <f t="shared" si="20"/>
        <v>45118</v>
      </c>
      <c r="Q182" s="6" t="str">
        <f t="shared" ca="1" si="21"/>
        <v>Prazo Vencido</v>
      </c>
      <c r="R182" s="8">
        <f t="shared" si="3"/>
        <v>11</v>
      </c>
    </row>
    <row r="183" spans="1:18" ht="13">
      <c r="A183" s="8">
        <v>5371</v>
      </c>
      <c r="B183" s="10">
        <v>45096</v>
      </c>
      <c r="C183" s="10">
        <v>45096</v>
      </c>
      <c r="D183" s="8" t="s">
        <v>768</v>
      </c>
      <c r="E183" s="8" t="s">
        <v>861</v>
      </c>
      <c r="F183" s="8" t="s">
        <v>705</v>
      </c>
      <c r="G183" s="6" t="e">
        <f>IF(F183="","",VLOOKUP(F183,'PLAN SUPORTE'!A:B,2,0))</f>
        <v>#N/A</v>
      </c>
      <c r="H183" s="7"/>
      <c r="I183" s="8" t="s">
        <v>692</v>
      </c>
      <c r="J183" s="8" t="s">
        <v>24</v>
      </c>
      <c r="K183" s="8" t="s">
        <v>25</v>
      </c>
      <c r="L183" s="8">
        <f>IF(K183="","",VLOOKUP(K183,'PLAN SUPORTE'!$H$2:$I$4,2,0))</f>
        <v>15</v>
      </c>
      <c r="M183" s="10">
        <v>45089</v>
      </c>
      <c r="N183" s="10">
        <v>45093</v>
      </c>
      <c r="O183" s="9" t="str">
        <f t="shared" si="19"/>
        <v>Dentro do Prazo</v>
      </c>
      <c r="P183" s="10">
        <f t="shared" si="20"/>
        <v>45111</v>
      </c>
      <c r="Q183" s="6" t="str">
        <f t="shared" ca="1" si="21"/>
        <v>Prazo Vencido</v>
      </c>
      <c r="R183" s="8">
        <f t="shared" si="3"/>
        <v>-7</v>
      </c>
    </row>
    <row r="184" spans="1:18" ht="13" hidden="1">
      <c r="A184" s="8">
        <v>5372</v>
      </c>
      <c r="B184" s="10">
        <v>45103</v>
      </c>
      <c r="C184" s="10">
        <v>45103</v>
      </c>
      <c r="D184" s="8" t="s">
        <v>768</v>
      </c>
      <c r="E184" s="8" t="s">
        <v>747</v>
      </c>
      <c r="F184" s="8" t="s">
        <v>748</v>
      </c>
      <c r="G184" s="6" t="e">
        <f>IF(F184="","",VLOOKUP(F184,'PLAN SUPORTE'!A:B,2,0))</f>
        <v>#N/A</v>
      </c>
      <c r="H184" s="7"/>
      <c r="I184" s="8" t="s">
        <v>692</v>
      </c>
      <c r="J184" s="8" t="s">
        <v>296</v>
      </c>
      <c r="K184" s="8" t="s">
        <v>25</v>
      </c>
      <c r="L184" s="8">
        <f>IF(K184="","",VLOOKUP(K184,'PLAN SUPORTE'!$H$2:$I$4,2,0))</f>
        <v>15</v>
      </c>
      <c r="M184" s="10"/>
      <c r="N184" s="10"/>
      <c r="O184" s="9" t="str">
        <f t="shared" si="19"/>
        <v>Em Andamento</v>
      </c>
      <c r="P184" s="10">
        <f t="shared" si="20"/>
        <v>45118</v>
      </c>
      <c r="Q184" s="6" t="str">
        <f t="shared" ca="1" si="21"/>
        <v>Prazo Vencido</v>
      </c>
      <c r="R184" s="8" t="str">
        <f t="shared" si="3"/>
        <v/>
      </c>
    </row>
    <row r="185" spans="1:18" ht="13">
      <c r="A185" s="8">
        <v>5374</v>
      </c>
      <c r="B185" s="10">
        <v>45096</v>
      </c>
      <c r="C185" s="10">
        <v>45096</v>
      </c>
      <c r="D185" s="8" t="s">
        <v>862</v>
      </c>
      <c r="E185" s="8" t="s">
        <v>863</v>
      </c>
      <c r="F185" s="8" t="s">
        <v>752</v>
      </c>
      <c r="G185" s="6" t="e">
        <f>IF(F185="","",VLOOKUP(F185,'PLAN SUPORTE'!A:B,2,0))</f>
        <v>#N/A</v>
      </c>
      <c r="H185" s="7" t="s">
        <v>793</v>
      </c>
      <c r="I185" s="8" t="s">
        <v>754</v>
      </c>
      <c r="J185" s="8" t="s">
        <v>24</v>
      </c>
      <c r="K185" s="8" t="s">
        <v>25</v>
      </c>
      <c r="L185" s="8">
        <f>IF(K185="","",VLOOKUP(K185,'PLAN SUPORTE'!$H$2:$I$4,2,0))</f>
        <v>15</v>
      </c>
      <c r="M185" s="10">
        <v>45106</v>
      </c>
      <c r="N185" s="10">
        <v>45114</v>
      </c>
      <c r="O185" s="9" t="str">
        <f t="shared" si="19"/>
        <v>Dentro do Prazo</v>
      </c>
      <c r="P185" s="10">
        <f t="shared" si="20"/>
        <v>45111</v>
      </c>
      <c r="Q185" s="6" t="str">
        <f t="shared" ca="1" si="21"/>
        <v>Prazo Vencido</v>
      </c>
      <c r="R185" s="8">
        <f t="shared" si="3"/>
        <v>10</v>
      </c>
    </row>
    <row r="186" spans="1:18" ht="13">
      <c r="A186" s="8">
        <v>5375</v>
      </c>
      <c r="B186" s="10">
        <v>45096</v>
      </c>
      <c r="C186" s="10">
        <v>45096</v>
      </c>
      <c r="D186" s="8" t="s">
        <v>862</v>
      </c>
      <c r="E186" s="8" t="s">
        <v>863</v>
      </c>
      <c r="F186" s="8" t="s">
        <v>752</v>
      </c>
      <c r="G186" s="6" t="e">
        <f>IF(F186="","",VLOOKUP(F186,'PLAN SUPORTE'!A:B,2,0))</f>
        <v>#N/A</v>
      </c>
      <c r="H186" s="7" t="s">
        <v>793</v>
      </c>
      <c r="I186" s="8" t="s">
        <v>754</v>
      </c>
      <c r="J186" s="8" t="s">
        <v>24</v>
      </c>
      <c r="K186" s="8" t="s">
        <v>25</v>
      </c>
      <c r="L186" s="8">
        <f>IF(K186="","",VLOOKUP(K186,'PLAN SUPORTE'!$H$2:$I$4,2,0))</f>
        <v>15</v>
      </c>
      <c r="M186" s="10">
        <v>45076</v>
      </c>
      <c r="N186" s="10">
        <v>45086</v>
      </c>
      <c r="O186" s="9" t="str">
        <f t="shared" si="19"/>
        <v>Dentro do Prazo</v>
      </c>
      <c r="P186" s="10">
        <f t="shared" si="20"/>
        <v>45111</v>
      </c>
      <c r="Q186" s="6" t="str">
        <f t="shared" ca="1" si="21"/>
        <v>Prazo Vencido</v>
      </c>
      <c r="R186" s="8">
        <f t="shared" si="3"/>
        <v>-20</v>
      </c>
    </row>
    <row r="187" spans="1:18" ht="13">
      <c r="A187" s="8">
        <v>5376</v>
      </c>
      <c r="B187" s="10">
        <v>45096</v>
      </c>
      <c r="C187" s="10">
        <v>45096</v>
      </c>
      <c r="D187" s="8" t="s">
        <v>864</v>
      </c>
      <c r="E187" s="8" t="s">
        <v>865</v>
      </c>
      <c r="F187" s="8" t="s">
        <v>752</v>
      </c>
      <c r="G187" s="6" t="e">
        <f>IF(F187="","",VLOOKUP(F187,'PLAN SUPORTE'!A:B,2,0))</f>
        <v>#N/A</v>
      </c>
      <c r="H187" s="7" t="s">
        <v>793</v>
      </c>
      <c r="I187" s="8" t="s">
        <v>754</v>
      </c>
      <c r="J187" s="8" t="s">
        <v>24</v>
      </c>
      <c r="K187" s="8" t="s">
        <v>25</v>
      </c>
      <c r="L187" s="8">
        <f>IF(K187="","",VLOOKUP(K187,'PLAN SUPORTE'!$H$2:$I$4,2,0))</f>
        <v>15</v>
      </c>
      <c r="M187" s="10">
        <v>45105</v>
      </c>
      <c r="N187" s="10">
        <v>45114</v>
      </c>
      <c r="O187" s="9" t="str">
        <f t="shared" si="19"/>
        <v>Dentro do Prazo</v>
      </c>
      <c r="P187" s="10">
        <v>45114</v>
      </c>
      <c r="Q187" s="6" t="str">
        <f t="shared" ca="1" si="21"/>
        <v>Prazo Vencido</v>
      </c>
      <c r="R187" s="8">
        <f t="shared" si="3"/>
        <v>9</v>
      </c>
    </row>
    <row r="188" spans="1:18" ht="13">
      <c r="A188" s="8">
        <v>5379</v>
      </c>
      <c r="B188" s="10">
        <v>45103</v>
      </c>
      <c r="C188" s="10">
        <v>45103</v>
      </c>
      <c r="D188" s="8" t="s">
        <v>766</v>
      </c>
      <c r="E188" s="8" t="s">
        <v>767</v>
      </c>
      <c r="F188" s="8" t="s">
        <v>681</v>
      </c>
      <c r="G188" s="6" t="e">
        <f>IF(F188="","",VLOOKUP(F188,'PLAN SUPORTE'!A:B,2,0))</f>
        <v>#N/A</v>
      </c>
      <c r="H188" s="7"/>
      <c r="I188" s="8" t="s">
        <v>682</v>
      </c>
      <c r="J188" s="8" t="s">
        <v>24</v>
      </c>
      <c r="K188" s="8" t="s">
        <v>25</v>
      </c>
      <c r="L188" s="8">
        <f>IF(K188="","",VLOOKUP(K188,'PLAN SUPORTE'!$H$2:$I$4,2,0))</f>
        <v>15</v>
      </c>
      <c r="M188" s="10">
        <v>45114</v>
      </c>
      <c r="N188" s="10">
        <v>45118</v>
      </c>
      <c r="O188" s="9" t="str">
        <f t="shared" si="19"/>
        <v>Dentro do Prazo</v>
      </c>
      <c r="P188" s="10">
        <f t="shared" ref="P188:P197" si="22">IF(OR(C188="",L188=""),"",C188+L188)</f>
        <v>45118</v>
      </c>
      <c r="Q188" s="6" t="str">
        <f t="shared" ca="1" si="21"/>
        <v>Prazo Vencido</v>
      </c>
      <c r="R188" s="8">
        <f t="shared" si="3"/>
        <v>11</v>
      </c>
    </row>
    <row r="189" spans="1:18" ht="13">
      <c r="A189" s="8">
        <v>5380</v>
      </c>
      <c r="B189" s="10">
        <v>45103</v>
      </c>
      <c r="C189" s="10">
        <v>45103</v>
      </c>
      <c r="D189" s="8" t="s">
        <v>846</v>
      </c>
      <c r="E189" s="8" t="s">
        <v>866</v>
      </c>
      <c r="F189" s="8" t="s">
        <v>759</v>
      </c>
      <c r="G189" s="6" t="e">
        <f>IF(F189="","",VLOOKUP(F189,'PLAN SUPORTE'!A:B,2,0))</f>
        <v>#N/A</v>
      </c>
      <c r="H189" s="7"/>
      <c r="I189" s="8" t="s">
        <v>692</v>
      </c>
      <c r="J189" s="8" t="s">
        <v>24</v>
      </c>
      <c r="K189" s="8" t="s">
        <v>25</v>
      </c>
      <c r="L189" s="8">
        <f>IF(K189="","",VLOOKUP(K189,'PLAN SUPORTE'!$H$2:$I$4,2,0))</f>
        <v>15</v>
      </c>
      <c r="M189" s="10">
        <v>45125</v>
      </c>
      <c r="N189" s="10">
        <v>45135</v>
      </c>
      <c r="O189" s="9" t="str">
        <f t="shared" si="19"/>
        <v>Fora do Prazo</v>
      </c>
      <c r="P189" s="10">
        <f t="shared" si="22"/>
        <v>45118</v>
      </c>
      <c r="Q189" s="6" t="str">
        <f t="shared" ca="1" si="21"/>
        <v>Prazo Vencido</v>
      </c>
      <c r="R189" s="8">
        <f t="shared" si="3"/>
        <v>22</v>
      </c>
    </row>
    <row r="190" spans="1:18" ht="13">
      <c r="A190" s="8">
        <v>5383</v>
      </c>
      <c r="B190" s="10">
        <v>45103</v>
      </c>
      <c r="C190" s="10">
        <v>45103</v>
      </c>
      <c r="D190" s="8" t="s">
        <v>808</v>
      </c>
      <c r="E190" s="8" t="s">
        <v>867</v>
      </c>
      <c r="F190" s="8" t="s">
        <v>699</v>
      </c>
      <c r="G190" s="6" t="e">
        <f>IF(F190="","",VLOOKUP(F190,'PLAN SUPORTE'!A:B,2,0))</f>
        <v>#N/A</v>
      </c>
      <c r="H190" s="7"/>
      <c r="I190" s="8" t="s">
        <v>682</v>
      </c>
      <c r="J190" s="8" t="s">
        <v>24</v>
      </c>
      <c r="K190" s="8" t="s">
        <v>25</v>
      </c>
      <c r="L190" s="8">
        <f>IF(K190="","",VLOOKUP(K190,'PLAN SUPORTE'!$H$2:$I$4,2,0))</f>
        <v>15</v>
      </c>
      <c r="M190" s="10"/>
      <c r="N190" s="10"/>
      <c r="O190" s="9" t="str">
        <f t="shared" si="19"/>
        <v>Em Andamento</v>
      </c>
      <c r="P190" s="10">
        <f t="shared" si="22"/>
        <v>45118</v>
      </c>
      <c r="Q190" s="6" t="str">
        <f t="shared" ca="1" si="21"/>
        <v>Prazo Vencido</v>
      </c>
      <c r="R190" s="8" t="str">
        <f t="shared" si="3"/>
        <v/>
      </c>
    </row>
    <row r="191" spans="1:18" ht="13">
      <c r="A191" s="8">
        <v>5386</v>
      </c>
      <c r="B191" s="10">
        <v>45103</v>
      </c>
      <c r="C191" s="10">
        <v>45103</v>
      </c>
      <c r="D191" s="8" t="s">
        <v>768</v>
      </c>
      <c r="E191" s="8" t="s">
        <v>747</v>
      </c>
      <c r="F191" s="8" t="s">
        <v>748</v>
      </c>
      <c r="G191" s="6" t="e">
        <f>IF(F191="","",VLOOKUP(F191,'PLAN SUPORTE'!A:B,2,0))</f>
        <v>#N/A</v>
      </c>
      <c r="H191" s="7"/>
      <c r="I191" s="8" t="s">
        <v>692</v>
      </c>
      <c r="J191" s="8" t="s">
        <v>24</v>
      </c>
      <c r="K191" s="8" t="s">
        <v>25</v>
      </c>
      <c r="L191" s="8">
        <f>IF(K191="","",VLOOKUP(K191,'PLAN SUPORTE'!$H$2:$I$4,2,0))</f>
        <v>15</v>
      </c>
      <c r="M191" s="10">
        <v>45107</v>
      </c>
      <c r="N191" s="10">
        <v>45121</v>
      </c>
      <c r="O191" s="9" t="str">
        <f t="shared" si="19"/>
        <v>Dentro do Prazo</v>
      </c>
      <c r="P191" s="10">
        <f t="shared" si="22"/>
        <v>45118</v>
      </c>
      <c r="Q191" s="6" t="str">
        <f t="shared" ca="1" si="21"/>
        <v>Prazo Vencido</v>
      </c>
      <c r="R191" s="8">
        <f t="shared" si="3"/>
        <v>4</v>
      </c>
    </row>
    <row r="192" spans="1:18" ht="13">
      <c r="A192" s="8">
        <v>5396</v>
      </c>
      <c r="B192" s="10">
        <v>45103</v>
      </c>
      <c r="C192" s="10">
        <v>45103</v>
      </c>
      <c r="D192" s="8" t="s">
        <v>868</v>
      </c>
      <c r="E192" s="8" t="s">
        <v>869</v>
      </c>
      <c r="F192" s="8" t="s">
        <v>690</v>
      </c>
      <c r="G192" s="6" t="e">
        <f>IF(F192="","",VLOOKUP(F192,'PLAN SUPORTE'!A:B,2,0))</f>
        <v>#N/A</v>
      </c>
      <c r="H192" s="7"/>
      <c r="I192" s="8" t="s">
        <v>682</v>
      </c>
      <c r="J192" s="8" t="s">
        <v>24</v>
      </c>
      <c r="K192" s="8" t="s">
        <v>25</v>
      </c>
      <c r="L192" s="8">
        <f>IF(K192="","",VLOOKUP(K192,'PLAN SUPORTE'!$H$2:$I$4,2,0))</f>
        <v>15</v>
      </c>
      <c r="M192" s="10"/>
      <c r="N192" s="10"/>
      <c r="O192" s="9" t="str">
        <f t="shared" si="19"/>
        <v>Em Andamento</v>
      </c>
      <c r="P192" s="10">
        <f t="shared" si="22"/>
        <v>45118</v>
      </c>
      <c r="Q192" s="6" t="str">
        <f t="shared" ca="1" si="21"/>
        <v>Prazo Vencido</v>
      </c>
      <c r="R192" s="8" t="str">
        <f t="shared" si="3"/>
        <v/>
      </c>
    </row>
    <row r="193" spans="1:18" ht="13">
      <c r="A193" s="8">
        <v>5397</v>
      </c>
      <c r="B193" s="10">
        <v>45103</v>
      </c>
      <c r="C193" s="10">
        <v>45103</v>
      </c>
      <c r="D193" s="8" t="s">
        <v>868</v>
      </c>
      <c r="E193" s="8" t="s">
        <v>869</v>
      </c>
      <c r="F193" s="8" t="s">
        <v>690</v>
      </c>
      <c r="G193" s="6" t="e">
        <f>IF(F193="","",VLOOKUP(F193,'PLAN SUPORTE'!A:B,2,0))</f>
        <v>#N/A</v>
      </c>
      <c r="H193" s="7"/>
      <c r="I193" s="8" t="s">
        <v>682</v>
      </c>
      <c r="J193" s="8" t="s">
        <v>24</v>
      </c>
      <c r="K193" s="8" t="s">
        <v>25</v>
      </c>
      <c r="L193" s="8">
        <f>IF(K193="","",VLOOKUP(K193,'PLAN SUPORTE'!$H$2:$I$4,2,0))</f>
        <v>15</v>
      </c>
      <c r="M193" s="10"/>
      <c r="N193" s="10"/>
      <c r="O193" s="9" t="str">
        <f t="shared" si="19"/>
        <v>Em Andamento</v>
      </c>
      <c r="P193" s="10">
        <f t="shared" si="22"/>
        <v>45118</v>
      </c>
      <c r="Q193" s="6" t="str">
        <f t="shared" ca="1" si="21"/>
        <v>Prazo Vencido</v>
      </c>
      <c r="R193" s="8" t="str">
        <f t="shared" si="3"/>
        <v/>
      </c>
    </row>
    <row r="194" spans="1:18" ht="13" hidden="1">
      <c r="A194" s="8">
        <v>5398</v>
      </c>
      <c r="B194" s="10">
        <v>45103</v>
      </c>
      <c r="C194" s="10">
        <v>45103</v>
      </c>
      <c r="D194" s="8" t="s">
        <v>870</v>
      </c>
      <c r="E194" s="8" t="s">
        <v>871</v>
      </c>
      <c r="F194" s="8" t="s">
        <v>701</v>
      </c>
      <c r="G194" s="6" t="e">
        <f>IF(F194="","",VLOOKUP(F194,'PLAN SUPORTE'!A:B,2,0))</f>
        <v>#N/A</v>
      </c>
      <c r="H194" s="7"/>
      <c r="I194" s="8" t="s">
        <v>682</v>
      </c>
      <c r="J194" s="8" t="s">
        <v>265</v>
      </c>
      <c r="K194" s="8" t="s">
        <v>25</v>
      </c>
      <c r="L194" s="8">
        <f>IF(K194="","",VLOOKUP(K194,'PLAN SUPORTE'!$H$2:$I$4,2,0))</f>
        <v>15</v>
      </c>
      <c r="M194" s="10"/>
      <c r="N194" s="10"/>
      <c r="O194" s="9" t="str">
        <f t="shared" si="19"/>
        <v>Em Andamento</v>
      </c>
      <c r="P194" s="10">
        <f t="shared" si="22"/>
        <v>45118</v>
      </c>
      <c r="Q194" s="6" t="str">
        <f t="shared" ca="1" si="21"/>
        <v>Prazo Vencido</v>
      </c>
      <c r="R194" s="8" t="str">
        <f t="shared" si="3"/>
        <v/>
      </c>
    </row>
    <row r="195" spans="1:18" ht="13">
      <c r="A195" s="8">
        <v>5402</v>
      </c>
      <c r="B195" s="10">
        <v>45100</v>
      </c>
      <c r="C195" s="10">
        <v>45100</v>
      </c>
      <c r="D195" s="8" t="s">
        <v>868</v>
      </c>
      <c r="E195" s="8" t="s">
        <v>872</v>
      </c>
      <c r="F195" s="8" t="s">
        <v>775</v>
      </c>
      <c r="G195" s="6" t="e">
        <f>IF(F195="","",VLOOKUP(F195,'PLAN SUPORTE'!A:B,2,0))</f>
        <v>#N/A</v>
      </c>
      <c r="H195" s="7" t="s">
        <v>793</v>
      </c>
      <c r="I195" s="8" t="s">
        <v>754</v>
      </c>
      <c r="J195" s="8" t="s">
        <v>24</v>
      </c>
      <c r="K195" s="8" t="s">
        <v>25</v>
      </c>
      <c r="L195" s="8">
        <f>IF(K195="","",VLOOKUP(K195,'PLAN SUPORTE'!$H$2:$I$4,2,0))</f>
        <v>15</v>
      </c>
      <c r="M195" s="10">
        <v>45138</v>
      </c>
      <c r="N195" s="10">
        <v>45142</v>
      </c>
      <c r="O195" s="9" t="str">
        <f t="shared" si="19"/>
        <v>Fora do Prazo</v>
      </c>
      <c r="P195" s="10">
        <f t="shared" si="22"/>
        <v>45115</v>
      </c>
      <c r="Q195" s="6" t="str">
        <f t="shared" ca="1" si="21"/>
        <v>Prazo Vencido</v>
      </c>
      <c r="R195" s="8">
        <f t="shared" si="3"/>
        <v>38</v>
      </c>
    </row>
    <row r="196" spans="1:18" ht="13">
      <c r="A196" s="8">
        <v>5403</v>
      </c>
      <c r="B196" s="10">
        <v>45100</v>
      </c>
      <c r="C196" s="10">
        <v>45100</v>
      </c>
      <c r="D196" s="8" t="s">
        <v>868</v>
      </c>
      <c r="E196" s="8" t="s">
        <v>872</v>
      </c>
      <c r="F196" s="8" t="s">
        <v>775</v>
      </c>
      <c r="G196" s="6" t="e">
        <f>IF(F196="","",VLOOKUP(F196,'PLAN SUPORTE'!A:B,2,0))</f>
        <v>#N/A</v>
      </c>
      <c r="H196" s="7" t="s">
        <v>793</v>
      </c>
      <c r="I196" s="8" t="s">
        <v>754</v>
      </c>
      <c r="J196" s="8" t="s">
        <v>24</v>
      </c>
      <c r="K196" s="8" t="s">
        <v>25</v>
      </c>
      <c r="L196" s="8">
        <f>IF(K196="","",VLOOKUP(K196,'PLAN SUPORTE'!$H$2:$I$4,2,0))</f>
        <v>15</v>
      </c>
      <c r="M196" s="10">
        <v>45138</v>
      </c>
      <c r="N196" s="10">
        <v>45142</v>
      </c>
      <c r="O196" s="9" t="str">
        <f t="shared" si="19"/>
        <v>Fora do Prazo</v>
      </c>
      <c r="P196" s="10">
        <f t="shared" si="22"/>
        <v>45115</v>
      </c>
      <c r="Q196" s="6" t="str">
        <f t="shared" ca="1" si="21"/>
        <v>Prazo Vencido</v>
      </c>
      <c r="R196" s="8">
        <f t="shared" si="3"/>
        <v>38</v>
      </c>
    </row>
    <row r="197" spans="1:18" ht="13" hidden="1">
      <c r="A197" s="8">
        <v>5404</v>
      </c>
      <c r="B197" s="10">
        <v>45100</v>
      </c>
      <c r="C197" s="10">
        <v>45100</v>
      </c>
      <c r="D197" s="8" t="s">
        <v>873</v>
      </c>
      <c r="E197" s="8" t="s">
        <v>874</v>
      </c>
      <c r="F197" s="8" t="s">
        <v>799</v>
      </c>
      <c r="G197" s="6" t="e">
        <f>IF(F197="","",VLOOKUP(F197,'PLAN SUPORTE'!A:B,2,0))</f>
        <v>#N/A</v>
      </c>
      <c r="H197" s="7" t="s">
        <v>793</v>
      </c>
      <c r="I197" s="8" t="s">
        <v>754</v>
      </c>
      <c r="J197" s="8" t="s">
        <v>296</v>
      </c>
      <c r="K197" s="8" t="s">
        <v>25</v>
      </c>
      <c r="L197" s="8">
        <f>IF(K197="","",VLOOKUP(K197,'PLAN SUPORTE'!$H$2:$I$4,2,0))</f>
        <v>15</v>
      </c>
      <c r="M197" s="10"/>
      <c r="N197" s="10"/>
      <c r="O197" s="9" t="str">
        <f t="shared" si="19"/>
        <v>Em Andamento</v>
      </c>
      <c r="P197" s="10">
        <f t="shared" si="22"/>
        <v>45115</v>
      </c>
      <c r="Q197" s="6" t="str">
        <f t="shared" ca="1" si="21"/>
        <v>Prazo Vencido</v>
      </c>
      <c r="R197" s="8" t="str">
        <f t="shared" si="3"/>
        <v/>
      </c>
    </row>
    <row r="198" spans="1:18" ht="13" hidden="1">
      <c r="A198" s="8">
        <v>5405</v>
      </c>
      <c r="B198" s="10">
        <v>45100</v>
      </c>
      <c r="C198" s="10">
        <v>45100</v>
      </c>
      <c r="D198" s="8" t="s">
        <v>875</v>
      </c>
      <c r="E198" s="8" t="s">
        <v>876</v>
      </c>
      <c r="F198" s="8" t="s">
        <v>752</v>
      </c>
      <c r="G198" s="6" t="s">
        <v>877</v>
      </c>
      <c r="H198" s="7" t="s">
        <v>793</v>
      </c>
      <c r="I198" s="8" t="s">
        <v>754</v>
      </c>
      <c r="J198" s="8" t="s">
        <v>296</v>
      </c>
      <c r="K198" s="8" t="s">
        <v>25</v>
      </c>
      <c r="L198" s="8">
        <v>15</v>
      </c>
      <c r="M198" s="10">
        <v>45138</v>
      </c>
      <c r="N198" s="10">
        <v>45142</v>
      </c>
      <c r="O198" s="9" t="str">
        <f t="shared" si="19"/>
        <v>Fora do Prazo</v>
      </c>
      <c r="P198" s="10"/>
      <c r="Q198" s="6"/>
      <c r="R198" s="8">
        <f t="shared" si="3"/>
        <v>38</v>
      </c>
    </row>
    <row r="199" spans="1:18" ht="13">
      <c r="A199" s="8">
        <v>5407</v>
      </c>
      <c r="B199" s="10">
        <v>45103</v>
      </c>
      <c r="C199" s="10">
        <v>45103</v>
      </c>
      <c r="D199" s="8" t="s">
        <v>768</v>
      </c>
      <c r="E199" s="8" t="s">
        <v>747</v>
      </c>
      <c r="F199" s="8" t="s">
        <v>748</v>
      </c>
      <c r="G199" s="6" t="e">
        <f>IF(F199="","",VLOOKUP(F199,'PLAN SUPORTE'!A:B,2,0))</f>
        <v>#N/A</v>
      </c>
      <c r="H199" s="7"/>
      <c r="I199" s="8" t="s">
        <v>692</v>
      </c>
      <c r="J199" s="8" t="s">
        <v>24</v>
      </c>
      <c r="K199" s="8" t="s">
        <v>25</v>
      </c>
      <c r="L199" s="8">
        <f>IF(K199="","",VLOOKUP(K199,'PLAN SUPORTE'!$H$2:$I$4,2,0))</f>
        <v>15</v>
      </c>
      <c r="M199" s="10">
        <v>45136</v>
      </c>
      <c r="N199" s="10">
        <v>45135</v>
      </c>
      <c r="O199" s="9" t="str">
        <f t="shared" si="19"/>
        <v>Fora do Prazo</v>
      </c>
      <c r="P199" s="10">
        <f t="shared" ref="P199:P202" si="23">IF(OR(C199="",L199=""),"",C199+L199)</f>
        <v>45118</v>
      </c>
      <c r="Q199" s="6" t="str">
        <f t="shared" ref="Q199:Q202" ca="1" si="24">IF(P199="","",IF(P199-TODAY()=0,"Vence Hoje!",IF(P199-TODAY()&gt;=0,P199-TODAY()&amp;" Dia(s) para vencer","Prazo Vencido")))</f>
        <v>Prazo Vencido</v>
      </c>
      <c r="R199" s="8">
        <f t="shared" si="3"/>
        <v>33</v>
      </c>
    </row>
    <row r="200" spans="1:18" ht="13" hidden="1">
      <c r="A200" s="8">
        <v>5408</v>
      </c>
      <c r="B200" s="10">
        <v>45103</v>
      </c>
      <c r="C200" s="10">
        <v>45103</v>
      </c>
      <c r="D200" s="8" t="s">
        <v>768</v>
      </c>
      <c r="E200" s="8" t="s">
        <v>747</v>
      </c>
      <c r="F200" s="8" t="s">
        <v>748</v>
      </c>
      <c r="G200" s="6" t="e">
        <f>IF(F200="","",VLOOKUP(F200,'PLAN SUPORTE'!A:B,2,0))</f>
        <v>#N/A</v>
      </c>
      <c r="H200" s="7"/>
      <c r="I200" s="8" t="s">
        <v>692</v>
      </c>
      <c r="J200" s="8" t="s">
        <v>296</v>
      </c>
      <c r="K200" s="8" t="s">
        <v>25</v>
      </c>
      <c r="L200" s="8">
        <f>IF(K200="","",VLOOKUP(K200,'PLAN SUPORTE'!$H$2:$I$4,2,0))</f>
        <v>15</v>
      </c>
      <c r="M200" s="10"/>
      <c r="N200" s="10"/>
      <c r="O200" s="9" t="str">
        <f t="shared" si="19"/>
        <v>Em Andamento</v>
      </c>
      <c r="P200" s="10">
        <f t="shared" si="23"/>
        <v>45118</v>
      </c>
      <c r="Q200" s="6" t="str">
        <f t="shared" ca="1" si="24"/>
        <v>Prazo Vencido</v>
      </c>
      <c r="R200" s="8" t="str">
        <f t="shared" si="3"/>
        <v/>
      </c>
    </row>
    <row r="201" spans="1:18" ht="13">
      <c r="A201" s="8">
        <v>5409</v>
      </c>
      <c r="B201" s="10">
        <v>45103</v>
      </c>
      <c r="C201" s="10">
        <v>45103</v>
      </c>
      <c r="D201" s="8" t="s">
        <v>768</v>
      </c>
      <c r="E201" s="8" t="s">
        <v>747</v>
      </c>
      <c r="F201" s="8" t="s">
        <v>748</v>
      </c>
      <c r="G201" s="6" t="e">
        <f>IF(F201="","",VLOOKUP(F201,'PLAN SUPORTE'!A:B,2,0))</f>
        <v>#N/A</v>
      </c>
      <c r="H201" s="7"/>
      <c r="I201" s="8" t="s">
        <v>692</v>
      </c>
      <c r="J201" s="8" t="s">
        <v>24</v>
      </c>
      <c r="K201" s="8" t="s">
        <v>25</v>
      </c>
      <c r="L201" s="8">
        <f>IF(K201="","",VLOOKUP(K201,'PLAN SUPORTE'!$H$2:$I$4,2,0))</f>
        <v>15</v>
      </c>
      <c r="M201" s="10">
        <v>45136</v>
      </c>
      <c r="N201" s="10">
        <v>45111</v>
      </c>
      <c r="O201" s="9" t="str">
        <f t="shared" si="19"/>
        <v>Fora do Prazo</v>
      </c>
      <c r="P201" s="10">
        <f t="shared" si="23"/>
        <v>45118</v>
      </c>
      <c r="Q201" s="6" t="str">
        <f t="shared" ca="1" si="24"/>
        <v>Prazo Vencido</v>
      </c>
      <c r="R201" s="8">
        <f t="shared" si="3"/>
        <v>33</v>
      </c>
    </row>
    <row r="202" spans="1:18" ht="13">
      <c r="A202" s="8">
        <v>5410</v>
      </c>
      <c r="B202" s="10">
        <v>45103</v>
      </c>
      <c r="C202" s="10">
        <v>45103</v>
      </c>
      <c r="D202" s="8" t="s">
        <v>766</v>
      </c>
      <c r="E202" s="8" t="s">
        <v>778</v>
      </c>
      <c r="F202" s="8" t="s">
        <v>759</v>
      </c>
      <c r="G202" s="6" t="e">
        <f>IF(F202="","",VLOOKUP(F202,'PLAN SUPORTE'!A:B,2,0))</f>
        <v>#N/A</v>
      </c>
      <c r="H202" s="7"/>
      <c r="I202" s="8" t="s">
        <v>692</v>
      </c>
      <c r="J202" s="8" t="s">
        <v>24</v>
      </c>
      <c r="K202" s="8" t="s">
        <v>25</v>
      </c>
      <c r="L202" s="8">
        <f>IF(K202="","",VLOOKUP(K202,'PLAN SUPORTE'!$H$2:$I$4,2,0))</f>
        <v>15</v>
      </c>
      <c r="M202" s="10">
        <v>45126</v>
      </c>
      <c r="N202" s="10">
        <v>45135</v>
      </c>
      <c r="O202" s="9" t="str">
        <f t="shared" si="19"/>
        <v>Fora do Prazo</v>
      </c>
      <c r="P202" s="10">
        <f t="shared" si="23"/>
        <v>45118</v>
      </c>
      <c r="Q202" s="6" t="str">
        <f t="shared" ca="1" si="24"/>
        <v>Prazo Vencido</v>
      </c>
      <c r="R202" s="8">
        <f t="shared" si="3"/>
        <v>23</v>
      </c>
    </row>
    <row r="203" spans="1:18" ht="13">
      <c r="A203" s="8">
        <v>5412</v>
      </c>
      <c r="B203" s="10">
        <v>45103</v>
      </c>
      <c r="C203" s="10">
        <v>45103</v>
      </c>
      <c r="D203" s="8" t="s">
        <v>878</v>
      </c>
      <c r="E203" s="8" t="s">
        <v>879</v>
      </c>
      <c r="F203" s="8" t="s">
        <v>704</v>
      </c>
      <c r="G203" s="6" t="e">
        <f>IF(F203="","",VLOOKUP(F203,'PLAN SUPORTE'!A:B,2,0))</f>
        <v>#N/A</v>
      </c>
      <c r="H203" s="7" t="s">
        <v>880</v>
      </c>
      <c r="I203" s="8" t="s">
        <v>692</v>
      </c>
      <c r="J203" s="8" t="s">
        <v>24</v>
      </c>
      <c r="K203" s="8" t="s">
        <v>691</v>
      </c>
      <c r="L203" s="8" t="e">
        <f>IF(K203="","",VLOOKUP(K203,'PLAN SUPORTE'!$H$2:$I$4,2,0))</f>
        <v>#N/A</v>
      </c>
      <c r="M203" s="10"/>
      <c r="N203" s="10"/>
      <c r="O203" s="9"/>
      <c r="P203" s="10"/>
      <c r="Q203" s="6"/>
      <c r="R203" s="8" t="str">
        <f t="shared" si="3"/>
        <v/>
      </c>
    </row>
    <row r="204" spans="1:18" ht="13">
      <c r="A204" s="8">
        <v>5413</v>
      </c>
      <c r="B204" s="10">
        <v>45100</v>
      </c>
      <c r="C204" s="10">
        <v>45100</v>
      </c>
      <c r="D204" s="8" t="s">
        <v>881</v>
      </c>
      <c r="E204" s="8" t="s">
        <v>882</v>
      </c>
      <c r="F204" s="8" t="s">
        <v>704</v>
      </c>
      <c r="G204" s="6" t="e">
        <f>IF(F204="","",VLOOKUP(F204,'PLAN SUPORTE'!A:B,2,0))</f>
        <v>#N/A</v>
      </c>
      <c r="H204" s="7"/>
      <c r="I204" s="8" t="s">
        <v>687</v>
      </c>
      <c r="J204" s="8" t="s">
        <v>24</v>
      </c>
      <c r="K204" s="8" t="s">
        <v>167</v>
      </c>
      <c r="L204" s="8">
        <f>IF(K204="","",VLOOKUP(K204,'PLAN SUPORTE'!$H$2:$I$4,2,0))</f>
        <v>30</v>
      </c>
      <c r="M204" s="10">
        <v>45112</v>
      </c>
      <c r="N204" s="10">
        <v>45121</v>
      </c>
      <c r="O204" s="9" t="str">
        <f t="shared" ref="O204:O208" si="25">IF(AND(C204="",K204=""),"",IF(R204="","Em Andamento",IF(M204&lt;=P204,"Dentro do Prazo","Fora do Prazo")))</f>
        <v>Fora do Prazo</v>
      </c>
      <c r="P204" s="10"/>
      <c r="Q204" s="6" t="str">
        <f t="shared" ref="Q204:Q231" ca="1" si="26">IF(P204="","",IF(P204-TODAY()=0,"Vence Hoje!",IF(P204-TODAY()&gt;=0,P204-TODAY()&amp;" Dia(s) para vencer","Prazo Vencido")))</f>
        <v/>
      </c>
      <c r="R204" s="8">
        <f t="shared" si="3"/>
        <v>12</v>
      </c>
    </row>
    <row r="205" spans="1:18" ht="13">
      <c r="A205" s="8">
        <v>5414</v>
      </c>
      <c r="B205" s="10">
        <v>45100</v>
      </c>
      <c r="C205" s="10">
        <v>45100</v>
      </c>
      <c r="D205" s="8" t="s">
        <v>883</v>
      </c>
      <c r="E205" s="8" t="s">
        <v>884</v>
      </c>
      <c r="F205" s="8" t="s">
        <v>690</v>
      </c>
      <c r="G205" s="6" t="e">
        <f>IF(F205="","",VLOOKUP(F205,'PLAN SUPORTE'!A:B,2,0))</f>
        <v>#N/A</v>
      </c>
      <c r="H205" s="7"/>
      <c r="I205" s="8" t="s">
        <v>687</v>
      </c>
      <c r="J205" s="8" t="s">
        <v>24</v>
      </c>
      <c r="K205" s="8" t="s">
        <v>691</v>
      </c>
      <c r="L205" s="8" t="e">
        <f>IF(K205="","",VLOOKUP(K205,'PLAN SUPORTE'!$H$2:$I$4,2,0))</f>
        <v>#N/A</v>
      </c>
      <c r="M205" s="10">
        <v>45112</v>
      </c>
      <c r="N205" s="10">
        <v>45121</v>
      </c>
      <c r="O205" s="9" t="e">
        <f t="shared" si="25"/>
        <v>#N/A</v>
      </c>
      <c r="P205" s="10" t="e">
        <f t="shared" ref="P205:P209" si="27">IF(OR(C205="",L205=""),"",C205+L205)</f>
        <v>#N/A</v>
      </c>
      <c r="Q205" s="6" t="e">
        <f t="shared" ca="1" si="26"/>
        <v>#N/A</v>
      </c>
      <c r="R205" s="8">
        <f t="shared" si="3"/>
        <v>12</v>
      </c>
    </row>
    <row r="206" spans="1:18" ht="13">
      <c r="A206" s="8">
        <v>5414</v>
      </c>
      <c r="B206" s="10">
        <v>45100</v>
      </c>
      <c r="C206" s="10">
        <v>45100</v>
      </c>
      <c r="D206" s="8" t="s">
        <v>883</v>
      </c>
      <c r="E206" s="8" t="s">
        <v>884</v>
      </c>
      <c r="F206" s="8" t="s">
        <v>690</v>
      </c>
      <c r="G206" s="6" t="e">
        <f>IF(F206="","",VLOOKUP(F206,'PLAN SUPORTE'!A:B,2,0))</f>
        <v>#N/A</v>
      </c>
      <c r="H206" s="7"/>
      <c r="I206" s="8" t="s">
        <v>687</v>
      </c>
      <c r="J206" s="8" t="s">
        <v>24</v>
      </c>
      <c r="K206" s="8" t="s">
        <v>691</v>
      </c>
      <c r="L206" s="8" t="e">
        <f>IF(K206="","",VLOOKUP(K206,'PLAN SUPORTE'!$H$2:$I$4,2,0))</f>
        <v>#N/A</v>
      </c>
      <c r="M206" s="10">
        <v>45112</v>
      </c>
      <c r="N206" s="10">
        <v>45121</v>
      </c>
      <c r="O206" s="9" t="e">
        <f t="shared" si="25"/>
        <v>#N/A</v>
      </c>
      <c r="P206" s="10" t="e">
        <f t="shared" si="27"/>
        <v>#N/A</v>
      </c>
      <c r="Q206" s="6" t="e">
        <f t="shared" ca="1" si="26"/>
        <v>#N/A</v>
      </c>
      <c r="R206" s="8">
        <f t="shared" si="3"/>
        <v>12</v>
      </c>
    </row>
    <row r="207" spans="1:18" ht="13">
      <c r="A207" s="8">
        <v>5415</v>
      </c>
      <c r="B207" s="10">
        <v>45103</v>
      </c>
      <c r="C207" s="10">
        <v>45103</v>
      </c>
      <c r="D207" s="8" t="s">
        <v>831</v>
      </c>
      <c r="E207" s="8" t="s">
        <v>832</v>
      </c>
      <c r="F207" s="8" t="s">
        <v>770</v>
      </c>
      <c r="G207" s="6" t="e">
        <f>IF(F207="","",VLOOKUP(F207,'PLAN SUPORTE'!A:B,2,0))</f>
        <v>#N/A</v>
      </c>
      <c r="H207" s="7"/>
      <c r="I207" s="8" t="s">
        <v>682</v>
      </c>
      <c r="J207" s="8" t="s">
        <v>24</v>
      </c>
      <c r="K207" s="8" t="s">
        <v>25</v>
      </c>
      <c r="L207" s="8">
        <f>IF(K207="","",VLOOKUP(K207,'PLAN SUPORTE'!$H$2:$I$4,2,0))</f>
        <v>15</v>
      </c>
      <c r="M207" s="8" t="s">
        <v>885</v>
      </c>
      <c r="N207" s="10"/>
      <c r="O207" s="9" t="e">
        <f t="shared" si="25"/>
        <v>#VALUE!</v>
      </c>
      <c r="P207" s="10">
        <f t="shared" si="27"/>
        <v>45118</v>
      </c>
      <c r="Q207" s="6" t="str">
        <f t="shared" ca="1" si="26"/>
        <v>Prazo Vencido</v>
      </c>
      <c r="R207" s="10" t="e">
        <f t="shared" si="3"/>
        <v>#VALUE!</v>
      </c>
    </row>
    <row r="208" spans="1:18" ht="13">
      <c r="A208" s="8">
        <v>5417</v>
      </c>
      <c r="B208" s="10">
        <v>45100</v>
      </c>
      <c r="C208" s="10">
        <v>45100</v>
      </c>
      <c r="D208" s="8" t="s">
        <v>886</v>
      </c>
      <c r="E208" s="8" t="s">
        <v>887</v>
      </c>
      <c r="F208" s="8" t="s">
        <v>799</v>
      </c>
      <c r="G208" s="6" t="e">
        <f>IF(F208="","",VLOOKUP(F208,'PLAN SUPORTE'!A:B,2,0))</f>
        <v>#N/A</v>
      </c>
      <c r="H208" s="7"/>
      <c r="I208" s="8" t="s">
        <v>687</v>
      </c>
      <c r="J208" s="8" t="s">
        <v>24</v>
      </c>
      <c r="K208" s="8" t="s">
        <v>691</v>
      </c>
      <c r="L208" s="8" t="e">
        <f>IF(K208="","",VLOOKUP(K208,'PLAN SUPORTE'!$H$2:$I$4,2,0))</f>
        <v>#N/A</v>
      </c>
      <c r="M208" s="10">
        <v>45105</v>
      </c>
      <c r="N208" s="10">
        <v>45114</v>
      </c>
      <c r="O208" s="9" t="e">
        <f t="shared" si="25"/>
        <v>#N/A</v>
      </c>
      <c r="P208" s="10" t="e">
        <f t="shared" si="27"/>
        <v>#N/A</v>
      </c>
      <c r="Q208" s="6" t="e">
        <f t="shared" ca="1" si="26"/>
        <v>#N/A</v>
      </c>
      <c r="R208" s="8">
        <f t="shared" si="3"/>
        <v>5</v>
      </c>
    </row>
    <row r="209" spans="1:18" ht="13" hidden="1">
      <c r="A209" s="8">
        <v>5418</v>
      </c>
      <c r="B209" s="10">
        <v>45103</v>
      </c>
      <c r="C209" s="10">
        <v>45103</v>
      </c>
      <c r="D209" s="8" t="s">
        <v>888</v>
      </c>
      <c r="E209" s="8" t="s">
        <v>889</v>
      </c>
      <c r="F209" s="8" t="s">
        <v>695</v>
      </c>
      <c r="G209" s="6" t="e">
        <f>IF(F209="","",VLOOKUP(F209,'PLAN SUPORTE'!A:B,2,0))</f>
        <v>#N/A</v>
      </c>
      <c r="H209" s="7"/>
      <c r="I209" s="8" t="s">
        <v>682</v>
      </c>
      <c r="J209" s="8" t="s">
        <v>265</v>
      </c>
      <c r="K209" s="8" t="s">
        <v>691</v>
      </c>
      <c r="L209" s="8" t="e">
        <f>IF(K209="","",VLOOKUP(K209,'PLAN SUPORTE'!$H$2:$I$4,2,0))</f>
        <v>#N/A</v>
      </c>
      <c r="M209" s="10"/>
      <c r="N209" s="10"/>
      <c r="O209" s="51" t="s">
        <v>890</v>
      </c>
      <c r="P209" s="10" t="e">
        <f t="shared" si="27"/>
        <v>#N/A</v>
      </c>
      <c r="Q209" s="6" t="e">
        <f t="shared" ca="1" si="26"/>
        <v>#N/A</v>
      </c>
      <c r="R209" s="8" t="str">
        <f t="shared" si="3"/>
        <v/>
      </c>
    </row>
    <row r="210" spans="1:18" ht="13">
      <c r="A210" s="8">
        <v>5421</v>
      </c>
      <c r="B210" s="10">
        <v>45103</v>
      </c>
      <c r="C210" s="10">
        <v>45103</v>
      </c>
      <c r="D210" s="8" t="s">
        <v>891</v>
      </c>
      <c r="E210" s="8" t="s">
        <v>892</v>
      </c>
      <c r="F210" s="8" t="s">
        <v>799</v>
      </c>
      <c r="G210" s="6" t="e">
        <f>IF(F210="","",VLOOKUP(F210,'PLAN SUPORTE'!A:B,2,0))</f>
        <v>#N/A</v>
      </c>
      <c r="H210" s="7" t="s">
        <v>793</v>
      </c>
      <c r="I210" s="8" t="s">
        <v>754</v>
      </c>
      <c r="J210" s="8" t="s">
        <v>24</v>
      </c>
      <c r="K210" s="8" t="s">
        <v>25</v>
      </c>
      <c r="L210" s="8">
        <f>IF(K210="","",VLOOKUP(K210,'PLAN SUPORTE'!$H$2:$I$4,2,0))</f>
        <v>15</v>
      </c>
      <c r="M210" s="10">
        <v>45093</v>
      </c>
      <c r="N210" s="10">
        <v>45106</v>
      </c>
      <c r="O210" s="9" t="str">
        <f t="shared" ref="O210:O231" si="28">IF(AND(C210="",K210=""),"",IF(R210="","Em Andamento",IF(M210&lt;=P210,"Dentro do Prazo","Fora do Prazo")))</f>
        <v>Dentro do Prazo</v>
      </c>
      <c r="P210" s="10">
        <v>45106</v>
      </c>
      <c r="Q210" s="6" t="str">
        <f t="shared" ca="1" si="26"/>
        <v>Prazo Vencido</v>
      </c>
      <c r="R210" s="8">
        <f t="shared" si="3"/>
        <v>-10</v>
      </c>
    </row>
    <row r="211" spans="1:18" ht="13">
      <c r="A211" s="8">
        <v>5422</v>
      </c>
      <c r="B211" s="10">
        <v>45103</v>
      </c>
      <c r="C211" s="10">
        <v>45103</v>
      </c>
      <c r="D211" s="8" t="s">
        <v>893</v>
      </c>
      <c r="E211" s="8" t="s">
        <v>894</v>
      </c>
      <c r="F211" s="8" t="s">
        <v>752</v>
      </c>
      <c r="G211" s="6" t="e">
        <f>IF(F211="","",VLOOKUP(F211,'PLAN SUPORTE'!A:B,2,0))</f>
        <v>#N/A</v>
      </c>
      <c r="H211" s="7" t="s">
        <v>793</v>
      </c>
      <c r="I211" s="8" t="s">
        <v>754</v>
      </c>
      <c r="J211" s="8" t="s">
        <v>24</v>
      </c>
      <c r="K211" s="8" t="s">
        <v>25</v>
      </c>
      <c r="L211" s="8">
        <f>IF(K211="","",VLOOKUP(K211,'PLAN SUPORTE'!$H$2:$I$4,2,0))</f>
        <v>15</v>
      </c>
      <c r="M211" s="10">
        <v>45125</v>
      </c>
      <c r="N211" s="10">
        <v>45135</v>
      </c>
      <c r="O211" s="9" t="str">
        <f t="shared" si="28"/>
        <v>Fora do Prazo</v>
      </c>
      <c r="P211" s="10">
        <f t="shared" ref="P211:P231" si="29">IF(OR(C211="",L211=""),"",C211+L211)</f>
        <v>45118</v>
      </c>
      <c r="Q211" s="6" t="str">
        <f t="shared" ca="1" si="26"/>
        <v>Prazo Vencido</v>
      </c>
      <c r="R211" s="8">
        <f t="shared" si="3"/>
        <v>22</v>
      </c>
    </row>
    <row r="212" spans="1:18" ht="15" hidden="1" customHeight="1">
      <c r="A212" s="8">
        <v>5423</v>
      </c>
      <c r="B212" s="10">
        <v>45103</v>
      </c>
      <c r="C212" s="10">
        <v>45103</v>
      </c>
      <c r="D212" s="8" t="s">
        <v>895</v>
      </c>
      <c r="E212" s="8" t="s">
        <v>828</v>
      </c>
      <c r="F212" s="8" t="s">
        <v>701</v>
      </c>
      <c r="G212" s="6" t="e">
        <f>IF(F212="","",VLOOKUP(F212,'PLAN SUPORTE'!A:B,2,0))</f>
        <v>#N/A</v>
      </c>
      <c r="H212" s="7"/>
      <c r="I212" s="8" t="s">
        <v>682</v>
      </c>
      <c r="J212" s="8" t="s">
        <v>296</v>
      </c>
      <c r="K212" s="8" t="s">
        <v>25</v>
      </c>
      <c r="L212" s="8">
        <f>IF(K212="","",VLOOKUP(K212,'PLAN SUPORTE'!$H$2:$I$4,2,0))</f>
        <v>15</v>
      </c>
      <c r="M212" s="10"/>
      <c r="N212" s="10"/>
      <c r="O212" s="9" t="str">
        <f t="shared" si="28"/>
        <v>Em Andamento</v>
      </c>
      <c r="P212" s="10">
        <f t="shared" si="29"/>
        <v>45118</v>
      </c>
      <c r="Q212" s="6" t="str">
        <f t="shared" ca="1" si="26"/>
        <v>Prazo Vencido</v>
      </c>
      <c r="R212" s="8" t="str">
        <f t="shared" si="3"/>
        <v/>
      </c>
    </row>
    <row r="213" spans="1:18" ht="13" hidden="1">
      <c r="A213" s="8">
        <v>5424</v>
      </c>
      <c r="B213" s="10">
        <v>45103</v>
      </c>
      <c r="C213" s="10">
        <v>45103</v>
      </c>
      <c r="D213" s="8" t="s">
        <v>896</v>
      </c>
      <c r="E213" s="8" t="s">
        <v>828</v>
      </c>
      <c r="F213" s="8" t="s">
        <v>701</v>
      </c>
      <c r="G213" s="6" t="e">
        <f>IF(F213="","",VLOOKUP(F213,'PLAN SUPORTE'!A:B,2,0))</f>
        <v>#N/A</v>
      </c>
      <c r="H213" s="7"/>
      <c r="I213" s="8" t="s">
        <v>682</v>
      </c>
      <c r="J213" s="8" t="s">
        <v>265</v>
      </c>
      <c r="K213" s="8" t="s">
        <v>25</v>
      </c>
      <c r="L213" s="8">
        <f>IF(K213="","",VLOOKUP(K213,'PLAN SUPORTE'!$H$2:$I$4,2,0))</f>
        <v>15</v>
      </c>
      <c r="M213" s="10"/>
      <c r="N213" s="10"/>
      <c r="O213" s="38" t="str">
        <f t="shared" si="28"/>
        <v>Em Andamento</v>
      </c>
      <c r="P213" s="10">
        <f t="shared" si="29"/>
        <v>45118</v>
      </c>
      <c r="Q213" s="6" t="str">
        <f t="shared" ca="1" si="26"/>
        <v>Prazo Vencido</v>
      </c>
      <c r="R213" s="8" t="str">
        <f t="shared" si="3"/>
        <v/>
      </c>
    </row>
    <row r="214" spans="1:18" ht="13">
      <c r="A214" s="8">
        <v>5425</v>
      </c>
      <c r="B214" s="10">
        <v>45103</v>
      </c>
      <c r="C214" s="10">
        <v>45103</v>
      </c>
      <c r="D214" s="8" t="s">
        <v>897</v>
      </c>
      <c r="E214" s="8" t="s">
        <v>898</v>
      </c>
      <c r="F214" s="8" t="s">
        <v>701</v>
      </c>
      <c r="G214" s="6" t="e">
        <f>IF(F214="","",VLOOKUP(F214,'PLAN SUPORTE'!A:B,2,0))</f>
        <v>#N/A</v>
      </c>
      <c r="H214" s="7"/>
      <c r="I214" s="8" t="s">
        <v>682</v>
      </c>
      <c r="J214" s="8" t="s">
        <v>24</v>
      </c>
      <c r="K214" s="8" t="s">
        <v>25</v>
      </c>
      <c r="L214" s="8">
        <f>IF(K214="","",VLOOKUP(K214,'PLAN SUPORTE'!$H$2:$I$4,2,0))</f>
        <v>15</v>
      </c>
      <c r="M214" s="10"/>
      <c r="N214" s="10"/>
      <c r="O214" s="9" t="str">
        <f t="shared" si="28"/>
        <v>Em Andamento</v>
      </c>
      <c r="P214" s="10">
        <f t="shared" si="29"/>
        <v>45118</v>
      </c>
      <c r="Q214" s="6" t="str">
        <f t="shared" ca="1" si="26"/>
        <v>Prazo Vencido</v>
      </c>
      <c r="R214" s="8" t="str">
        <f t="shared" si="3"/>
        <v/>
      </c>
    </row>
    <row r="215" spans="1:18" ht="13">
      <c r="A215" s="8">
        <v>5426</v>
      </c>
      <c r="B215" s="10">
        <v>45103</v>
      </c>
      <c r="C215" s="10">
        <v>45103</v>
      </c>
      <c r="D215" s="8" t="s">
        <v>899</v>
      </c>
      <c r="E215" s="8" t="s">
        <v>849</v>
      </c>
      <c r="F215" s="8" t="s">
        <v>701</v>
      </c>
      <c r="G215" s="6" t="e">
        <f>IF(F215="","",VLOOKUP(F215,'PLAN SUPORTE'!A:B,2,0))</f>
        <v>#N/A</v>
      </c>
      <c r="H215" s="7"/>
      <c r="I215" s="8" t="s">
        <v>682</v>
      </c>
      <c r="J215" s="8" t="s">
        <v>24</v>
      </c>
      <c r="K215" s="8" t="s">
        <v>25</v>
      </c>
      <c r="L215" s="8">
        <f>IF(K215="","",VLOOKUP(K215,'PLAN SUPORTE'!$H$2:$I$4,2,0))</f>
        <v>15</v>
      </c>
      <c r="M215" s="10"/>
      <c r="N215" s="10"/>
      <c r="O215" s="9" t="str">
        <f t="shared" si="28"/>
        <v>Em Andamento</v>
      </c>
      <c r="P215" s="10">
        <f t="shared" si="29"/>
        <v>45118</v>
      </c>
      <c r="Q215" s="6" t="str">
        <f t="shared" ca="1" si="26"/>
        <v>Prazo Vencido</v>
      </c>
      <c r="R215" s="8" t="str">
        <f t="shared" si="3"/>
        <v/>
      </c>
    </row>
    <row r="216" spans="1:18" ht="13" hidden="1">
      <c r="A216" s="8">
        <v>5427</v>
      </c>
      <c r="B216" s="10">
        <v>45103</v>
      </c>
      <c r="C216" s="10">
        <v>45103</v>
      </c>
      <c r="D216" s="8" t="s">
        <v>900</v>
      </c>
      <c r="E216" s="8" t="s">
        <v>901</v>
      </c>
      <c r="F216" s="8" t="s">
        <v>803</v>
      </c>
      <c r="G216" s="6" t="e">
        <f>IF(F216="","",VLOOKUP(F216,'PLAN SUPORTE'!A:B,2,0))</f>
        <v>#N/A</v>
      </c>
      <c r="H216" s="7"/>
      <c r="I216" s="8" t="s">
        <v>682</v>
      </c>
      <c r="J216" s="8" t="s">
        <v>296</v>
      </c>
      <c r="K216" s="8" t="s">
        <v>25</v>
      </c>
      <c r="L216" s="8">
        <f>IF(K216="","",VLOOKUP(K216,'PLAN SUPORTE'!$H$2:$I$4,2,0))</f>
        <v>15</v>
      </c>
      <c r="M216" s="10"/>
      <c r="N216" s="10"/>
      <c r="O216" s="9" t="str">
        <f t="shared" si="28"/>
        <v>Em Andamento</v>
      </c>
      <c r="P216" s="10">
        <f t="shared" si="29"/>
        <v>45118</v>
      </c>
      <c r="Q216" s="6" t="str">
        <f t="shared" ca="1" si="26"/>
        <v>Prazo Vencido</v>
      </c>
      <c r="R216" s="8" t="str">
        <f t="shared" si="3"/>
        <v/>
      </c>
    </row>
    <row r="217" spans="1:18" ht="13">
      <c r="A217" s="8">
        <v>5430</v>
      </c>
      <c r="B217" s="10">
        <v>45103</v>
      </c>
      <c r="C217" s="10">
        <v>45103</v>
      </c>
      <c r="D217" s="8" t="s">
        <v>902</v>
      </c>
      <c r="E217" s="8" t="s">
        <v>851</v>
      </c>
      <c r="F217" s="8" t="s">
        <v>705</v>
      </c>
      <c r="G217" s="6" t="e">
        <f>IF(F217="","",VLOOKUP(F217,'PLAN SUPORTE'!A:B,2,0))</f>
        <v>#N/A</v>
      </c>
      <c r="H217" s="7"/>
      <c r="I217" s="8" t="s">
        <v>692</v>
      </c>
      <c r="J217" s="8" t="s">
        <v>24</v>
      </c>
      <c r="K217" s="8" t="s">
        <v>25</v>
      </c>
      <c r="L217" s="8">
        <f>IF(K217="","",VLOOKUP(K217,'PLAN SUPORTE'!$H$2:$I$4,2,0))</f>
        <v>15</v>
      </c>
      <c r="M217" s="10">
        <v>45111</v>
      </c>
      <c r="N217" s="10">
        <v>45121</v>
      </c>
      <c r="O217" s="9" t="str">
        <f t="shared" si="28"/>
        <v>Dentro do Prazo</v>
      </c>
      <c r="P217" s="10">
        <f t="shared" si="29"/>
        <v>45118</v>
      </c>
      <c r="Q217" s="6" t="str">
        <f t="shared" ca="1" si="26"/>
        <v>Prazo Vencido</v>
      </c>
      <c r="R217" s="8">
        <f t="shared" si="3"/>
        <v>8</v>
      </c>
    </row>
    <row r="218" spans="1:18" ht="13">
      <c r="A218" s="8">
        <v>5431</v>
      </c>
      <c r="B218" s="10">
        <v>45103</v>
      </c>
      <c r="C218" s="10">
        <v>45103</v>
      </c>
      <c r="D218" s="8" t="s">
        <v>900</v>
      </c>
      <c r="E218" s="8" t="s">
        <v>903</v>
      </c>
      <c r="F218" s="8" t="s">
        <v>761</v>
      </c>
      <c r="G218" s="6" t="e">
        <f>IF(F218="","",VLOOKUP(F218,'PLAN SUPORTE'!A:B,2,0))</f>
        <v>#N/A</v>
      </c>
      <c r="H218" s="7"/>
      <c r="I218" s="8" t="s">
        <v>692</v>
      </c>
      <c r="J218" s="8" t="s">
        <v>24</v>
      </c>
      <c r="K218" s="8" t="s">
        <v>25</v>
      </c>
      <c r="L218" s="8">
        <f>IF(K218="","",VLOOKUP(K218,'PLAN SUPORTE'!$H$2:$I$4,2,0))</f>
        <v>15</v>
      </c>
      <c r="M218" s="10">
        <v>45110</v>
      </c>
      <c r="N218" s="10">
        <v>45121</v>
      </c>
      <c r="O218" s="43" t="str">
        <f t="shared" si="28"/>
        <v>Dentro do Prazo</v>
      </c>
      <c r="P218" s="10">
        <f t="shared" si="29"/>
        <v>45118</v>
      </c>
      <c r="Q218" s="6" t="str">
        <f t="shared" ca="1" si="26"/>
        <v>Prazo Vencido</v>
      </c>
      <c r="R218" s="8">
        <f t="shared" si="3"/>
        <v>7</v>
      </c>
    </row>
    <row r="219" spans="1:18" ht="13">
      <c r="A219" s="8">
        <v>5432</v>
      </c>
      <c r="B219" s="10">
        <v>45103</v>
      </c>
      <c r="C219" s="10">
        <v>45103</v>
      </c>
      <c r="D219" s="8" t="s">
        <v>904</v>
      </c>
      <c r="E219" s="8" t="s">
        <v>788</v>
      </c>
      <c r="F219" s="8" t="s">
        <v>770</v>
      </c>
      <c r="G219" s="6" t="e">
        <f>IF(F219="","",VLOOKUP(F219,'PLAN SUPORTE'!A:B,2,0))</f>
        <v>#N/A</v>
      </c>
      <c r="H219" s="7"/>
      <c r="I219" s="8" t="s">
        <v>682</v>
      </c>
      <c r="J219" s="8" t="s">
        <v>24</v>
      </c>
      <c r="K219" s="8" t="s">
        <v>25</v>
      </c>
      <c r="L219" s="8">
        <f>IF(K219="","",VLOOKUP(K219,'PLAN SUPORTE'!$H$2:$I$4,2,0))</f>
        <v>15</v>
      </c>
      <c r="M219" s="10">
        <v>45114</v>
      </c>
      <c r="N219" s="10">
        <v>45118</v>
      </c>
      <c r="O219" s="9" t="str">
        <f t="shared" si="28"/>
        <v>Dentro do Prazo</v>
      </c>
      <c r="P219" s="10">
        <f t="shared" si="29"/>
        <v>45118</v>
      </c>
      <c r="Q219" s="6" t="str">
        <f t="shared" ca="1" si="26"/>
        <v>Prazo Vencido</v>
      </c>
      <c r="R219" s="8">
        <f t="shared" si="3"/>
        <v>11</v>
      </c>
    </row>
    <row r="220" spans="1:18" ht="13">
      <c r="A220" s="8">
        <v>5432</v>
      </c>
      <c r="B220" s="10">
        <v>45103</v>
      </c>
      <c r="C220" s="10">
        <v>45103</v>
      </c>
      <c r="D220" s="8" t="s">
        <v>904</v>
      </c>
      <c r="E220" s="8" t="s">
        <v>788</v>
      </c>
      <c r="F220" s="8" t="s">
        <v>770</v>
      </c>
      <c r="G220" s="6" t="e">
        <f>IF(F220="","",VLOOKUP(F220,'PLAN SUPORTE'!A:B,2,0))</f>
        <v>#N/A</v>
      </c>
      <c r="H220" s="7"/>
      <c r="I220" s="8" t="s">
        <v>682</v>
      </c>
      <c r="J220" s="8" t="s">
        <v>24</v>
      </c>
      <c r="K220" s="8" t="s">
        <v>25</v>
      </c>
      <c r="L220" s="8">
        <f>IF(K220="","",VLOOKUP(K220,'PLAN SUPORTE'!$H$2:$I$4,2,0))</f>
        <v>15</v>
      </c>
      <c r="M220" s="10">
        <v>45119</v>
      </c>
      <c r="N220" s="10">
        <v>45135</v>
      </c>
      <c r="O220" s="9" t="str">
        <f t="shared" si="28"/>
        <v>Fora do Prazo</v>
      </c>
      <c r="P220" s="10">
        <f t="shared" si="29"/>
        <v>45118</v>
      </c>
      <c r="Q220" s="6" t="str">
        <f t="shared" ca="1" si="26"/>
        <v>Prazo Vencido</v>
      </c>
      <c r="R220" s="8">
        <f t="shared" si="3"/>
        <v>16</v>
      </c>
    </row>
    <row r="221" spans="1:18" ht="13">
      <c r="A221" s="8">
        <v>5432</v>
      </c>
      <c r="B221" s="10">
        <v>45103</v>
      </c>
      <c r="C221" s="10">
        <v>45103</v>
      </c>
      <c r="D221" s="8" t="s">
        <v>904</v>
      </c>
      <c r="E221" s="8" t="s">
        <v>788</v>
      </c>
      <c r="F221" s="8" t="s">
        <v>770</v>
      </c>
      <c r="G221" s="6" t="e">
        <f>IF(F221="","",VLOOKUP(F221,'PLAN SUPORTE'!A:B,2,0))</f>
        <v>#N/A</v>
      </c>
      <c r="H221" s="7"/>
      <c r="I221" s="8" t="s">
        <v>682</v>
      </c>
      <c r="J221" s="8" t="s">
        <v>24</v>
      </c>
      <c r="K221" s="8" t="s">
        <v>25</v>
      </c>
      <c r="L221" s="8">
        <f>IF(K221="","",VLOOKUP(K221,'PLAN SUPORTE'!$H$2:$I$4,2,0))</f>
        <v>15</v>
      </c>
      <c r="M221" s="10">
        <v>45120</v>
      </c>
      <c r="N221" s="10">
        <v>45124</v>
      </c>
      <c r="O221" s="9" t="str">
        <f t="shared" si="28"/>
        <v>Fora do Prazo</v>
      </c>
      <c r="P221" s="10">
        <f t="shared" si="29"/>
        <v>45118</v>
      </c>
      <c r="Q221" s="6" t="str">
        <f t="shared" ca="1" si="26"/>
        <v>Prazo Vencido</v>
      </c>
      <c r="R221" s="8">
        <f t="shared" si="3"/>
        <v>17</v>
      </c>
    </row>
    <row r="222" spans="1:18" ht="13">
      <c r="A222" s="8">
        <v>5432</v>
      </c>
      <c r="B222" s="10">
        <v>45103</v>
      </c>
      <c r="C222" s="10">
        <v>45103</v>
      </c>
      <c r="D222" s="8" t="s">
        <v>904</v>
      </c>
      <c r="E222" s="8" t="s">
        <v>788</v>
      </c>
      <c r="F222" s="8" t="s">
        <v>770</v>
      </c>
      <c r="G222" s="6" t="e">
        <f>IF(F222="","",VLOOKUP(F222,'PLAN SUPORTE'!A:B,2,0))</f>
        <v>#N/A</v>
      </c>
      <c r="H222" s="7"/>
      <c r="I222" s="8" t="s">
        <v>682</v>
      </c>
      <c r="J222" s="8" t="s">
        <v>24</v>
      </c>
      <c r="K222" s="8" t="s">
        <v>25</v>
      </c>
      <c r="L222" s="8">
        <f>IF(K222="","",VLOOKUP(K222,'PLAN SUPORTE'!$H$2:$I$4,2,0))</f>
        <v>15</v>
      </c>
      <c r="M222" s="10">
        <v>45120</v>
      </c>
      <c r="N222" s="10">
        <v>45135</v>
      </c>
      <c r="O222" s="9" t="str">
        <f t="shared" si="28"/>
        <v>Fora do Prazo</v>
      </c>
      <c r="P222" s="10">
        <f t="shared" si="29"/>
        <v>45118</v>
      </c>
      <c r="Q222" s="6" t="str">
        <f t="shared" ca="1" si="26"/>
        <v>Prazo Vencido</v>
      </c>
      <c r="R222" s="8">
        <f t="shared" si="3"/>
        <v>17</v>
      </c>
    </row>
    <row r="223" spans="1:18" ht="13">
      <c r="A223" s="8">
        <v>5432</v>
      </c>
      <c r="B223" s="10">
        <v>45103</v>
      </c>
      <c r="C223" s="10">
        <v>45103</v>
      </c>
      <c r="D223" s="8" t="s">
        <v>904</v>
      </c>
      <c r="E223" s="8" t="s">
        <v>788</v>
      </c>
      <c r="F223" s="8" t="s">
        <v>770</v>
      </c>
      <c r="G223" s="6" t="e">
        <f>IF(F223="","",VLOOKUP(F223,'PLAN SUPORTE'!A:B,2,0))</f>
        <v>#N/A</v>
      </c>
      <c r="H223" s="7"/>
      <c r="I223" s="8" t="s">
        <v>682</v>
      </c>
      <c r="J223" s="8" t="s">
        <v>24</v>
      </c>
      <c r="K223" s="8" t="s">
        <v>25</v>
      </c>
      <c r="L223" s="8">
        <f>IF(K223="","",VLOOKUP(K223,'PLAN SUPORTE'!$H$2:$I$4,2,0))</f>
        <v>15</v>
      </c>
      <c r="M223" s="10">
        <v>45128</v>
      </c>
      <c r="N223" s="10">
        <v>45142</v>
      </c>
      <c r="O223" s="9" t="str">
        <f t="shared" si="28"/>
        <v>Fora do Prazo</v>
      </c>
      <c r="P223" s="10">
        <f t="shared" si="29"/>
        <v>45118</v>
      </c>
      <c r="Q223" s="6" t="str">
        <f t="shared" ca="1" si="26"/>
        <v>Prazo Vencido</v>
      </c>
      <c r="R223" s="8">
        <f t="shared" si="3"/>
        <v>25</v>
      </c>
    </row>
    <row r="224" spans="1:18" ht="13" hidden="1">
      <c r="A224" s="8">
        <v>5433</v>
      </c>
      <c r="B224" s="10">
        <v>45103</v>
      </c>
      <c r="C224" s="10">
        <v>45103</v>
      </c>
      <c r="D224" s="8" t="s">
        <v>896</v>
      </c>
      <c r="E224" s="8" t="s">
        <v>788</v>
      </c>
      <c r="F224" s="8" t="s">
        <v>770</v>
      </c>
      <c r="G224" s="6" t="e">
        <f>IF(F224="","",VLOOKUP(F224,'PLAN SUPORTE'!A:B,2,0))</f>
        <v>#N/A</v>
      </c>
      <c r="H224" s="7"/>
      <c r="I224" s="8" t="s">
        <v>682</v>
      </c>
      <c r="J224" s="8" t="s">
        <v>265</v>
      </c>
      <c r="K224" s="8" t="s">
        <v>25</v>
      </c>
      <c r="L224" s="8">
        <f>IF(K224="","",VLOOKUP(K224,'PLAN SUPORTE'!$H$2:$I$4,2,0))</f>
        <v>15</v>
      </c>
      <c r="M224" s="10"/>
      <c r="N224" s="10"/>
      <c r="O224" s="9" t="str">
        <f t="shared" si="28"/>
        <v>Em Andamento</v>
      </c>
      <c r="P224" s="10">
        <f t="shared" si="29"/>
        <v>45118</v>
      </c>
      <c r="Q224" s="6" t="str">
        <f t="shared" ca="1" si="26"/>
        <v>Prazo Vencido</v>
      </c>
      <c r="R224" s="8" t="str">
        <f t="shared" si="3"/>
        <v/>
      </c>
    </row>
    <row r="225" spans="1:18" ht="13">
      <c r="A225" s="8">
        <v>5434</v>
      </c>
      <c r="B225" s="10">
        <v>45103</v>
      </c>
      <c r="C225" s="10">
        <v>45103</v>
      </c>
      <c r="D225" s="8" t="s">
        <v>900</v>
      </c>
      <c r="E225" s="8" t="s">
        <v>905</v>
      </c>
      <c r="F225" s="8" t="s">
        <v>835</v>
      </c>
      <c r="G225" s="6" t="e">
        <f>IF(F225="","",VLOOKUP(F225,'PLAN SUPORTE'!A:B,2,0))</f>
        <v>#N/A</v>
      </c>
      <c r="H225" s="7"/>
      <c r="I225" s="8" t="s">
        <v>682</v>
      </c>
      <c r="J225" s="8" t="s">
        <v>24</v>
      </c>
      <c r="K225" s="8" t="s">
        <v>25</v>
      </c>
      <c r="L225" s="8">
        <f>IF(K225="","",VLOOKUP(K225,'PLAN SUPORTE'!$H$2:$I$4,2,0))</f>
        <v>15</v>
      </c>
      <c r="M225" s="10">
        <v>45119</v>
      </c>
      <c r="N225" s="10">
        <v>45142</v>
      </c>
      <c r="O225" s="9" t="str">
        <f t="shared" si="28"/>
        <v>Fora do Prazo</v>
      </c>
      <c r="P225" s="10">
        <f t="shared" si="29"/>
        <v>45118</v>
      </c>
      <c r="Q225" s="6" t="str">
        <f t="shared" ca="1" si="26"/>
        <v>Prazo Vencido</v>
      </c>
      <c r="R225" s="8">
        <v>9</v>
      </c>
    </row>
    <row r="226" spans="1:18" ht="13" hidden="1">
      <c r="A226" s="8">
        <v>5435</v>
      </c>
      <c r="B226" s="10">
        <v>45103</v>
      </c>
      <c r="C226" s="10">
        <v>45103</v>
      </c>
      <c r="D226" s="8" t="s">
        <v>831</v>
      </c>
      <c r="E226" s="8" t="s">
        <v>887</v>
      </c>
      <c r="F226" s="8" t="s">
        <v>799</v>
      </c>
      <c r="G226" s="6" t="e">
        <f>IF(F226="","",VLOOKUP(F226,'PLAN SUPORTE'!A:B,2,0))</f>
        <v>#N/A</v>
      </c>
      <c r="H226" s="7" t="s">
        <v>793</v>
      </c>
      <c r="I226" s="8" t="s">
        <v>754</v>
      </c>
      <c r="J226" s="8" t="s">
        <v>296</v>
      </c>
      <c r="K226" s="8" t="s">
        <v>25</v>
      </c>
      <c r="L226" s="8">
        <f>IF(K226="","",VLOOKUP(K226,'PLAN SUPORTE'!$H$2:$I$4,2,0))</f>
        <v>15</v>
      </c>
      <c r="M226" s="10">
        <v>45128</v>
      </c>
      <c r="N226" s="10">
        <v>45135</v>
      </c>
      <c r="O226" s="9" t="str">
        <f t="shared" si="28"/>
        <v>Fora do Prazo</v>
      </c>
      <c r="P226" s="10">
        <f t="shared" si="29"/>
        <v>45118</v>
      </c>
      <c r="Q226" s="6" t="str">
        <f t="shared" ca="1" si="26"/>
        <v>Prazo Vencido</v>
      </c>
      <c r="R226" s="8">
        <f>IF(OR(C226="",M226=""),"",M226-C226)</f>
        <v>25</v>
      </c>
    </row>
    <row r="227" spans="1:18" ht="13">
      <c r="A227" s="8">
        <v>5436</v>
      </c>
      <c r="B227" s="10">
        <v>45103</v>
      </c>
      <c r="C227" s="10">
        <v>45103</v>
      </c>
      <c r="D227" s="8" t="s">
        <v>904</v>
      </c>
      <c r="E227" s="8" t="s">
        <v>838</v>
      </c>
      <c r="F227" s="8" t="s">
        <v>699</v>
      </c>
      <c r="G227" s="6" t="e">
        <f>IF(F227="","",VLOOKUP(F227,'PLAN SUPORTE'!A:B,2,0))</f>
        <v>#N/A</v>
      </c>
      <c r="H227" s="7"/>
      <c r="I227" s="8" t="s">
        <v>682</v>
      </c>
      <c r="J227" s="8" t="s">
        <v>24</v>
      </c>
      <c r="K227" s="8" t="s">
        <v>25</v>
      </c>
      <c r="L227" s="8">
        <f>IF(K227="","",VLOOKUP(K227,'PLAN SUPORTE'!$H$2:$I$4,2,0))</f>
        <v>15</v>
      </c>
      <c r="M227" s="10">
        <v>45118</v>
      </c>
      <c r="N227" s="10">
        <v>45135</v>
      </c>
      <c r="O227" s="9" t="str">
        <f t="shared" si="28"/>
        <v>Dentro do Prazo</v>
      </c>
      <c r="P227" s="10">
        <f t="shared" si="29"/>
        <v>45118</v>
      </c>
      <c r="Q227" s="6" t="str">
        <f t="shared" ca="1" si="26"/>
        <v>Prazo Vencido</v>
      </c>
      <c r="R227" s="8">
        <v>9</v>
      </c>
    </row>
    <row r="228" spans="1:18" ht="13">
      <c r="A228" s="8">
        <v>5436</v>
      </c>
      <c r="B228" s="10">
        <v>45103</v>
      </c>
      <c r="C228" s="10">
        <v>45103</v>
      </c>
      <c r="D228" s="8" t="s">
        <v>904</v>
      </c>
      <c r="E228" s="8" t="s">
        <v>838</v>
      </c>
      <c r="F228" s="8" t="s">
        <v>699</v>
      </c>
      <c r="G228" s="6" t="e">
        <f>IF(F228="","",VLOOKUP(F228,'PLAN SUPORTE'!A:B,2,0))</f>
        <v>#N/A</v>
      </c>
      <c r="H228" s="7"/>
      <c r="I228" s="8" t="s">
        <v>682</v>
      </c>
      <c r="J228" s="8" t="s">
        <v>24</v>
      </c>
      <c r="K228" s="8" t="s">
        <v>25</v>
      </c>
      <c r="L228" s="8">
        <f>IF(K228="","",VLOOKUP(K228,'PLAN SUPORTE'!$H$2:$I$4,2,0))</f>
        <v>15</v>
      </c>
      <c r="M228" s="10">
        <v>45118</v>
      </c>
      <c r="N228" s="10">
        <v>45135</v>
      </c>
      <c r="O228" s="9" t="str">
        <f t="shared" si="28"/>
        <v>Dentro do Prazo</v>
      </c>
      <c r="P228" s="10">
        <f t="shared" si="29"/>
        <v>45118</v>
      </c>
      <c r="Q228" s="6" t="str">
        <f t="shared" ca="1" si="26"/>
        <v>Prazo Vencido</v>
      </c>
      <c r="R228" s="8">
        <v>9</v>
      </c>
    </row>
    <row r="229" spans="1:18" ht="13">
      <c r="A229" s="8">
        <v>5436</v>
      </c>
      <c r="B229" s="10">
        <v>45103</v>
      </c>
      <c r="C229" s="10">
        <v>45103</v>
      </c>
      <c r="D229" s="8" t="s">
        <v>904</v>
      </c>
      <c r="E229" s="8" t="s">
        <v>838</v>
      </c>
      <c r="F229" s="8" t="s">
        <v>699</v>
      </c>
      <c r="G229" s="6" t="e">
        <f>IF(F229="","",VLOOKUP(F229,'PLAN SUPORTE'!A:B,2,0))</f>
        <v>#N/A</v>
      </c>
      <c r="H229" s="7"/>
      <c r="I229" s="8" t="s">
        <v>682</v>
      </c>
      <c r="J229" s="8" t="s">
        <v>24</v>
      </c>
      <c r="K229" s="8" t="s">
        <v>25</v>
      </c>
      <c r="L229" s="8">
        <f>IF(K229="","",VLOOKUP(K229,'PLAN SUPORTE'!$H$2:$I$4,2,0))</f>
        <v>15</v>
      </c>
      <c r="M229" s="10">
        <v>45118</v>
      </c>
      <c r="N229" s="10">
        <v>45135</v>
      </c>
      <c r="O229" s="9" t="str">
        <f t="shared" si="28"/>
        <v>Dentro do Prazo</v>
      </c>
      <c r="P229" s="10">
        <f t="shared" si="29"/>
        <v>45118</v>
      </c>
      <c r="Q229" s="6" t="str">
        <f t="shared" ca="1" si="26"/>
        <v>Prazo Vencido</v>
      </c>
      <c r="R229" s="8">
        <f>IF(OR(C229="",M229=""),"",M229-C229)</f>
        <v>15</v>
      </c>
    </row>
    <row r="230" spans="1:18" ht="13">
      <c r="A230" s="8">
        <v>5436</v>
      </c>
      <c r="B230" s="10">
        <v>45103</v>
      </c>
      <c r="C230" s="10">
        <v>45103</v>
      </c>
      <c r="D230" s="8" t="s">
        <v>904</v>
      </c>
      <c r="E230" s="8" t="s">
        <v>838</v>
      </c>
      <c r="F230" s="8" t="s">
        <v>699</v>
      </c>
      <c r="G230" s="6" t="e">
        <f>IF(F230="","",VLOOKUP(F230,'PLAN SUPORTE'!A:B,2,0))</f>
        <v>#N/A</v>
      </c>
      <c r="H230" s="7"/>
      <c r="I230" s="8" t="s">
        <v>682</v>
      </c>
      <c r="J230" s="8" t="s">
        <v>24</v>
      </c>
      <c r="K230" s="8" t="s">
        <v>25</v>
      </c>
      <c r="L230" s="8">
        <v>15</v>
      </c>
      <c r="M230" s="10">
        <v>45120</v>
      </c>
      <c r="N230" s="10">
        <v>45124</v>
      </c>
      <c r="O230" s="9" t="str">
        <f t="shared" si="28"/>
        <v>Fora do Prazo</v>
      </c>
      <c r="P230" s="10">
        <f t="shared" si="29"/>
        <v>45118</v>
      </c>
      <c r="Q230" s="6" t="str">
        <f t="shared" ca="1" si="26"/>
        <v>Prazo Vencido</v>
      </c>
      <c r="R230" s="8">
        <v>9</v>
      </c>
    </row>
    <row r="231" spans="1:18" ht="13">
      <c r="A231" s="8">
        <v>5437</v>
      </c>
      <c r="B231" s="10">
        <v>45103</v>
      </c>
      <c r="C231" s="10">
        <v>45103</v>
      </c>
      <c r="D231" s="8" t="s">
        <v>895</v>
      </c>
      <c r="E231" s="8" t="s">
        <v>767</v>
      </c>
      <c r="F231" s="8" t="s">
        <v>681</v>
      </c>
      <c r="G231" s="6" t="e">
        <f>IF(F231="","",VLOOKUP(F231,'PLAN SUPORTE'!A:B,2,0))</f>
        <v>#N/A</v>
      </c>
      <c r="H231" s="7"/>
      <c r="I231" s="8" t="s">
        <v>682</v>
      </c>
      <c r="J231" s="8" t="s">
        <v>24</v>
      </c>
      <c r="K231" s="8" t="s">
        <v>25</v>
      </c>
      <c r="L231" s="8">
        <f>IF(K231="","",VLOOKUP(K231,'PLAN SUPORTE'!$H$2:$I$4,2,0))</f>
        <v>15</v>
      </c>
      <c r="M231" s="10">
        <v>45112</v>
      </c>
      <c r="N231" s="10">
        <v>45135</v>
      </c>
      <c r="O231" s="9" t="str">
        <f t="shared" si="28"/>
        <v>Dentro do Prazo</v>
      </c>
      <c r="P231" s="10">
        <f t="shared" si="29"/>
        <v>45118</v>
      </c>
      <c r="Q231" s="6" t="str">
        <f t="shared" ca="1" si="26"/>
        <v>Prazo Vencido</v>
      </c>
      <c r="R231" s="8">
        <f t="shared" ref="R231:R236" si="30">IF(OR(C231="",M231=""),"",M231-C231)</f>
        <v>9</v>
      </c>
    </row>
    <row r="232" spans="1:18" ht="13">
      <c r="A232" s="8">
        <v>5438</v>
      </c>
      <c r="B232" s="10">
        <v>45103</v>
      </c>
      <c r="C232" s="10">
        <v>45103</v>
      </c>
      <c r="D232" s="8" t="s">
        <v>878</v>
      </c>
      <c r="E232" s="8" t="s">
        <v>818</v>
      </c>
      <c r="F232" s="8" t="s">
        <v>704</v>
      </c>
      <c r="G232" s="6" t="e">
        <f>IF(F232="","",VLOOKUP(F232,'PLAN SUPORTE'!A:B,2,0))</f>
        <v>#N/A</v>
      </c>
      <c r="H232" s="7"/>
      <c r="I232" s="8" t="s">
        <v>682</v>
      </c>
      <c r="J232" s="8" t="s">
        <v>24</v>
      </c>
      <c r="K232" s="8" t="s">
        <v>691</v>
      </c>
      <c r="L232" s="8" t="e">
        <f>IF(K232="","",VLOOKUP(K232,'PLAN SUPORTE'!$H$2:$I$4,2,0))</f>
        <v>#N/A</v>
      </c>
      <c r="M232" s="10"/>
      <c r="N232" s="10"/>
      <c r="O232" s="9"/>
      <c r="P232" s="10"/>
      <c r="Q232" s="6"/>
      <c r="R232" s="8" t="str">
        <f t="shared" si="30"/>
        <v/>
      </c>
    </row>
    <row r="233" spans="1:18" ht="13" hidden="1">
      <c r="A233" s="8">
        <v>5439</v>
      </c>
      <c r="B233" s="10">
        <v>45103</v>
      </c>
      <c r="C233" s="10">
        <v>45103</v>
      </c>
      <c r="D233" s="8" t="s">
        <v>842</v>
      </c>
      <c r="E233" s="8" t="s">
        <v>843</v>
      </c>
      <c r="F233" s="8" t="s">
        <v>775</v>
      </c>
      <c r="G233" s="6" t="e">
        <f>IF(F233="","",VLOOKUP(F233,'PLAN SUPORTE'!A:B,2,0))</f>
        <v>#N/A</v>
      </c>
      <c r="H233" s="7" t="s">
        <v>845</v>
      </c>
      <c r="I233" s="8" t="s">
        <v>754</v>
      </c>
      <c r="J233" s="8" t="s">
        <v>296</v>
      </c>
      <c r="K233" s="8" t="s">
        <v>25</v>
      </c>
      <c r="L233" s="8">
        <f>IF(K233="","",VLOOKUP(K233,'PLAN SUPORTE'!$H$2:$I$4,2,0))</f>
        <v>15</v>
      </c>
      <c r="M233" s="10"/>
      <c r="N233" s="10"/>
      <c r="O233" s="9" t="str">
        <f t="shared" ref="O233:O235" si="31">IF(AND(C233="",K233=""),"",IF(R233="","Em Andamento",IF(M233&lt;=P233,"Dentro do Prazo","Fora do Prazo")))</f>
        <v>Em Andamento</v>
      </c>
      <c r="P233" s="10">
        <f t="shared" ref="P233:P235" si="32">IF(OR(C233="",L233=""),"",C233+L233)</f>
        <v>45118</v>
      </c>
      <c r="Q233" s="6" t="str">
        <f t="shared" ref="Q233:Q235" ca="1" si="33">IF(P233="","",IF(P233-TODAY()=0,"Vence Hoje!",IF(P233-TODAY()&gt;=0,P233-TODAY()&amp;" Dia(s) para vencer","Prazo Vencido")))</f>
        <v>Prazo Vencido</v>
      </c>
      <c r="R233" s="8" t="str">
        <f t="shared" si="30"/>
        <v/>
      </c>
    </row>
    <row r="234" spans="1:18" ht="13" hidden="1">
      <c r="A234" s="8">
        <v>5444</v>
      </c>
      <c r="B234" s="10">
        <v>45103</v>
      </c>
      <c r="C234" s="10">
        <v>45103</v>
      </c>
      <c r="D234" s="8" t="s">
        <v>864</v>
      </c>
      <c r="E234" s="8" t="s">
        <v>906</v>
      </c>
      <c r="F234" s="8" t="s">
        <v>759</v>
      </c>
      <c r="G234" s="6" t="e">
        <f>IF(F234="","",VLOOKUP(F234,'PLAN SUPORTE'!A:B,2,0))</f>
        <v>#N/A</v>
      </c>
      <c r="H234" s="7"/>
      <c r="I234" s="8" t="s">
        <v>692</v>
      </c>
      <c r="J234" s="8" t="s">
        <v>265</v>
      </c>
      <c r="K234" s="8" t="s">
        <v>25</v>
      </c>
      <c r="L234" s="8">
        <f>IF(K234="","",VLOOKUP(K234,'PLAN SUPORTE'!$H$2:$I$4,2,0))</f>
        <v>15</v>
      </c>
      <c r="M234" s="10"/>
      <c r="N234" s="10"/>
      <c r="O234" s="9" t="str">
        <f t="shared" si="31"/>
        <v>Em Andamento</v>
      </c>
      <c r="P234" s="10">
        <f t="shared" si="32"/>
        <v>45118</v>
      </c>
      <c r="Q234" s="6" t="str">
        <f t="shared" ca="1" si="33"/>
        <v>Prazo Vencido</v>
      </c>
      <c r="R234" s="8" t="str">
        <f t="shared" si="30"/>
        <v/>
      </c>
    </row>
    <row r="235" spans="1:18" ht="13">
      <c r="A235" s="8">
        <v>5445</v>
      </c>
      <c r="B235" s="10">
        <v>45103</v>
      </c>
      <c r="C235" s="10">
        <v>45103</v>
      </c>
      <c r="D235" s="8" t="s">
        <v>768</v>
      </c>
      <c r="E235" s="8" t="s">
        <v>739</v>
      </c>
      <c r="F235" s="8" t="s">
        <v>759</v>
      </c>
      <c r="G235" s="6" t="e">
        <f>IF(F235="","",VLOOKUP(F235,'PLAN SUPORTE'!A:B,2,0))</f>
        <v>#N/A</v>
      </c>
      <c r="H235" s="7"/>
      <c r="I235" s="8" t="s">
        <v>692</v>
      </c>
      <c r="J235" s="8" t="s">
        <v>24</v>
      </c>
      <c r="K235" s="8" t="s">
        <v>25</v>
      </c>
      <c r="L235" s="8">
        <f>IF(K235="","",VLOOKUP(K235,'PLAN SUPORTE'!$H$2:$I$4,2,0))</f>
        <v>15</v>
      </c>
      <c r="M235" s="10">
        <v>45126</v>
      </c>
      <c r="N235" s="10">
        <v>45135</v>
      </c>
      <c r="O235" s="9" t="str">
        <f t="shared" si="31"/>
        <v>Fora do Prazo</v>
      </c>
      <c r="P235" s="10">
        <f t="shared" si="32"/>
        <v>45118</v>
      </c>
      <c r="Q235" s="6" t="str">
        <f t="shared" ca="1" si="33"/>
        <v>Prazo Vencido</v>
      </c>
      <c r="R235" s="8">
        <f t="shared" si="30"/>
        <v>23</v>
      </c>
    </row>
    <row r="236" spans="1:18" ht="13" hidden="1">
      <c r="A236" s="8">
        <v>5448</v>
      </c>
      <c r="B236" s="10">
        <v>45105</v>
      </c>
      <c r="C236" s="10">
        <v>45105</v>
      </c>
      <c r="D236" s="8" t="s">
        <v>907</v>
      </c>
      <c r="E236" s="8" t="s">
        <v>908</v>
      </c>
      <c r="F236" s="40" t="s">
        <v>704</v>
      </c>
      <c r="G236" s="6" t="s">
        <v>705</v>
      </c>
      <c r="H236" s="7"/>
      <c r="I236" s="8" t="s">
        <v>687</v>
      </c>
      <c r="J236" s="8" t="s">
        <v>160</v>
      </c>
      <c r="K236" s="8" t="s">
        <v>691</v>
      </c>
      <c r="L236" s="8" t="e">
        <f>IF(K236="","",VLOOKUP(K236,'PLAN SUPORTE'!$H$2:$I$4,2,0))</f>
        <v>#N/A</v>
      </c>
      <c r="M236" s="10"/>
      <c r="N236" s="10"/>
      <c r="O236" s="44" t="s">
        <v>909</v>
      </c>
      <c r="P236" s="10"/>
      <c r="Q236" s="52" t="s">
        <v>909</v>
      </c>
      <c r="R236" s="8" t="str">
        <f t="shared" si="30"/>
        <v/>
      </c>
    </row>
    <row r="237" spans="1:18" ht="13" hidden="1">
      <c r="A237" s="8">
        <v>5451</v>
      </c>
      <c r="B237" s="10">
        <v>45105</v>
      </c>
      <c r="C237" s="10">
        <v>45105</v>
      </c>
      <c r="D237" s="6" t="s">
        <v>771</v>
      </c>
      <c r="E237" s="8"/>
      <c r="F237" s="8" t="s">
        <v>910</v>
      </c>
      <c r="G237" s="6"/>
      <c r="H237" s="7"/>
      <c r="I237" s="8" t="s">
        <v>754</v>
      </c>
      <c r="J237" s="8" t="s">
        <v>265</v>
      </c>
      <c r="K237" s="8" t="s">
        <v>25</v>
      </c>
      <c r="L237" s="8">
        <f>IF(K237="","",VLOOKUP(K237,'PLAN SUPORTE'!$H$2:$I$4,2,0))</f>
        <v>15</v>
      </c>
      <c r="M237" s="10"/>
      <c r="N237" s="10"/>
      <c r="O237" s="9"/>
      <c r="P237" s="10"/>
      <c r="Q237" s="6"/>
      <c r="R237" s="8"/>
    </row>
    <row r="238" spans="1:18" ht="13">
      <c r="A238" s="8">
        <v>5453</v>
      </c>
      <c r="B238" s="10">
        <v>45106</v>
      </c>
      <c r="C238" s="10">
        <v>45106</v>
      </c>
      <c r="D238" s="8" t="s">
        <v>819</v>
      </c>
      <c r="E238" s="8" t="s">
        <v>822</v>
      </c>
      <c r="F238" s="8" t="s">
        <v>748</v>
      </c>
      <c r="G238" s="6" t="e">
        <f>IF(F238="","",VLOOKUP(F238,'PLAN SUPORTE'!A:B,2,0))</f>
        <v>#N/A</v>
      </c>
      <c r="H238" s="7"/>
      <c r="I238" s="8" t="s">
        <v>692</v>
      </c>
      <c r="J238" s="8" t="s">
        <v>24</v>
      </c>
      <c r="K238" s="8" t="s">
        <v>25</v>
      </c>
      <c r="L238" s="8">
        <v>15</v>
      </c>
      <c r="M238" s="10">
        <v>45139</v>
      </c>
      <c r="N238" s="10">
        <v>45142</v>
      </c>
      <c r="O238" s="9" t="str">
        <f t="shared" ref="O238:O240" si="34">IF(AND(C238="",K238=""),"",IF(R238="","Em Andamento",IF(M238&lt;=P238,"Dentro do Prazo","Fora do Prazo")))</f>
        <v>Fora do Prazo</v>
      </c>
      <c r="P238" s="10"/>
      <c r="Q238" s="6"/>
      <c r="R238" s="8">
        <f t="shared" ref="R238:R248" si="35">IF(OR(C238="",M238=""),"",M238-C238)</f>
        <v>33</v>
      </c>
    </row>
    <row r="239" spans="1:18" ht="13">
      <c r="A239" s="8">
        <v>5457</v>
      </c>
      <c r="B239" s="10">
        <v>45106</v>
      </c>
      <c r="C239" s="10">
        <v>45106</v>
      </c>
      <c r="D239" s="8" t="s">
        <v>911</v>
      </c>
      <c r="E239" s="8" t="s">
        <v>840</v>
      </c>
      <c r="F239" s="8" t="s">
        <v>775</v>
      </c>
      <c r="G239" s="6" t="e">
        <f>IF(F239="","",VLOOKUP(F239,'PLAN SUPORTE'!A:B,2,0))</f>
        <v>#N/A</v>
      </c>
      <c r="H239" s="7" t="s">
        <v>793</v>
      </c>
      <c r="I239" s="8" t="s">
        <v>754</v>
      </c>
      <c r="J239" s="8" t="s">
        <v>24</v>
      </c>
      <c r="K239" s="8" t="s">
        <v>25</v>
      </c>
      <c r="L239" s="8">
        <v>15</v>
      </c>
      <c r="M239" s="10">
        <v>45138</v>
      </c>
      <c r="N239" s="10">
        <v>45184</v>
      </c>
      <c r="O239" s="9" t="str">
        <f t="shared" si="34"/>
        <v>Fora do Prazo</v>
      </c>
      <c r="P239" s="10"/>
      <c r="Q239" s="6"/>
      <c r="R239" s="8">
        <f t="shared" si="35"/>
        <v>32</v>
      </c>
    </row>
    <row r="240" spans="1:18" ht="26" hidden="1">
      <c r="A240" s="8">
        <v>5467</v>
      </c>
      <c r="B240" s="10">
        <v>45107</v>
      </c>
      <c r="C240" s="10">
        <v>45107</v>
      </c>
      <c r="D240" s="8" t="s">
        <v>912</v>
      </c>
      <c r="E240" s="8" t="s">
        <v>908</v>
      </c>
      <c r="F240" s="40" t="s">
        <v>704</v>
      </c>
      <c r="G240" s="6" t="s">
        <v>705</v>
      </c>
      <c r="H240" s="7"/>
      <c r="I240" s="8" t="s">
        <v>687</v>
      </c>
      <c r="J240" s="8" t="s">
        <v>265</v>
      </c>
      <c r="K240" s="8" t="s">
        <v>167</v>
      </c>
      <c r="L240" s="8">
        <f>IF(K240="","",VLOOKUP(K240,'PLAN SUPORTE'!$H$2:$I$4,2,0))</f>
        <v>30</v>
      </c>
      <c r="M240" s="10"/>
      <c r="N240" s="10"/>
      <c r="O240" s="53" t="str">
        <f t="shared" si="34"/>
        <v>Em Andamento</v>
      </c>
      <c r="P240" s="10"/>
      <c r="Q240" s="54" t="s">
        <v>913</v>
      </c>
      <c r="R240" s="8" t="str">
        <f t="shared" si="35"/>
        <v/>
      </c>
    </row>
    <row r="241" spans="1:18" ht="13">
      <c r="A241" s="8">
        <v>5470</v>
      </c>
      <c r="B241" s="10">
        <v>45107</v>
      </c>
      <c r="C241" s="10">
        <v>45107</v>
      </c>
      <c r="D241" s="8" t="s">
        <v>914</v>
      </c>
      <c r="E241" s="8" t="s">
        <v>915</v>
      </c>
      <c r="F241" s="8" t="s">
        <v>825</v>
      </c>
      <c r="G241" s="6" t="e">
        <f>IF(F241="","",VLOOKUP(F241,'PLAN SUPORTE'!A:B,2,0))</f>
        <v>#N/A</v>
      </c>
      <c r="H241" s="7"/>
      <c r="I241" s="8" t="s">
        <v>692</v>
      </c>
      <c r="J241" s="8" t="s">
        <v>24</v>
      </c>
      <c r="K241" s="8" t="s">
        <v>691</v>
      </c>
      <c r="L241" s="8" t="e">
        <f>IF(K241="","",VLOOKUP(K241,'PLAN SUPORTE'!$H$2:$I$4,2,0))</f>
        <v>#N/A</v>
      </c>
      <c r="M241" s="10">
        <v>45139</v>
      </c>
      <c r="N241" s="10">
        <v>45142</v>
      </c>
      <c r="O241" s="9"/>
      <c r="P241" s="10"/>
      <c r="Q241" s="6"/>
      <c r="R241" s="8">
        <f t="shared" si="35"/>
        <v>32</v>
      </c>
    </row>
    <row r="242" spans="1:18" ht="13">
      <c r="A242" s="8">
        <v>5471</v>
      </c>
      <c r="B242" s="10">
        <v>45100</v>
      </c>
      <c r="C242" s="10">
        <v>45100</v>
      </c>
      <c r="D242" s="8" t="s">
        <v>831</v>
      </c>
      <c r="E242" s="8" t="s">
        <v>832</v>
      </c>
      <c r="F242" s="8" t="s">
        <v>770</v>
      </c>
      <c r="G242" s="6" t="e">
        <f>IF(F242="","",VLOOKUP(F242,'PLAN SUPORTE'!A:B,2,0))</f>
        <v>#N/A</v>
      </c>
      <c r="H242" s="7"/>
      <c r="I242" s="8" t="s">
        <v>682</v>
      </c>
      <c r="J242" s="8" t="s">
        <v>24</v>
      </c>
      <c r="K242" s="8" t="s">
        <v>25</v>
      </c>
      <c r="L242" s="8">
        <f>IF(K242="","",VLOOKUP(K242,'PLAN SUPORTE'!$H$2:$I$4,2,0))</f>
        <v>15</v>
      </c>
      <c r="M242" s="10">
        <v>45138</v>
      </c>
      <c r="N242" s="10">
        <v>45142</v>
      </c>
      <c r="O242" s="9" t="str">
        <f t="shared" ref="O242:O282" si="36">IF(AND(C242="",K242=""),"",IF(R242="","Em Andamento",IF(M242&lt;=P242,"Dentro do Prazo","Fora do Prazo")))</f>
        <v>Fora do Prazo</v>
      </c>
      <c r="P242" s="10">
        <f t="shared" ref="P242:P245" si="37">IF(OR(C242="",L242=""),"",C242+L242)</f>
        <v>45115</v>
      </c>
      <c r="Q242" s="6" t="str">
        <f t="shared" ref="Q242:Q245" ca="1" si="38">IF(P242="","",IF(P242-TODAY()=0,"Vence Hoje!",IF(P242-TODAY()&gt;=0,P242-TODAY()&amp;" Dia(s) para vencer","Prazo Vencido")))</f>
        <v>Prazo Vencido</v>
      </c>
      <c r="R242" s="8">
        <f t="shared" si="35"/>
        <v>38</v>
      </c>
    </row>
    <row r="243" spans="1:18" ht="13">
      <c r="A243" s="8">
        <v>5472</v>
      </c>
      <c r="B243" s="10">
        <v>45100</v>
      </c>
      <c r="C243" s="10">
        <v>45100</v>
      </c>
      <c r="D243" s="8" t="s">
        <v>831</v>
      </c>
      <c r="E243" s="8" t="s">
        <v>832</v>
      </c>
      <c r="F243" s="8" t="s">
        <v>770</v>
      </c>
      <c r="G243" s="6" t="e">
        <f>IF(F243="","",VLOOKUP(F243,'PLAN SUPORTE'!A:B,2,0))</f>
        <v>#N/A</v>
      </c>
      <c r="H243" s="7"/>
      <c r="I243" s="8" t="s">
        <v>682</v>
      </c>
      <c r="J243" s="8" t="s">
        <v>24</v>
      </c>
      <c r="K243" s="8" t="s">
        <v>25</v>
      </c>
      <c r="L243" s="8">
        <f>IF(K243="","",VLOOKUP(K243,'PLAN SUPORTE'!$H$2:$I$4,2,0))</f>
        <v>15</v>
      </c>
      <c r="M243" s="10">
        <v>45161</v>
      </c>
      <c r="N243" s="10">
        <v>45173</v>
      </c>
      <c r="O243" s="9" t="str">
        <f t="shared" si="36"/>
        <v>Fora do Prazo</v>
      </c>
      <c r="P243" s="10">
        <f t="shared" si="37"/>
        <v>45115</v>
      </c>
      <c r="Q243" s="6" t="str">
        <f t="shared" ca="1" si="38"/>
        <v>Prazo Vencido</v>
      </c>
      <c r="R243" s="8">
        <f t="shared" si="35"/>
        <v>61</v>
      </c>
    </row>
    <row r="244" spans="1:18" ht="13">
      <c r="A244" s="8">
        <v>5473</v>
      </c>
      <c r="B244" s="10">
        <v>45100</v>
      </c>
      <c r="C244" s="10">
        <v>45100</v>
      </c>
      <c r="D244" s="8" t="s">
        <v>831</v>
      </c>
      <c r="E244" s="8" t="s">
        <v>832</v>
      </c>
      <c r="F244" s="8" t="s">
        <v>770</v>
      </c>
      <c r="G244" s="6" t="e">
        <f>IF(F244="","",VLOOKUP(F244,'PLAN SUPORTE'!A:B,2,0))</f>
        <v>#N/A</v>
      </c>
      <c r="H244" s="7"/>
      <c r="I244" s="8" t="s">
        <v>682</v>
      </c>
      <c r="J244" s="8" t="s">
        <v>24</v>
      </c>
      <c r="K244" s="8" t="s">
        <v>25</v>
      </c>
      <c r="L244" s="8">
        <f>IF(K244="","",VLOOKUP(K244,'PLAN SUPORTE'!$H$2:$I$4,2,0))</f>
        <v>15</v>
      </c>
      <c r="M244" s="10">
        <v>45164</v>
      </c>
      <c r="N244" s="10">
        <v>45166</v>
      </c>
      <c r="O244" s="9" t="str">
        <f t="shared" si="36"/>
        <v>Fora do Prazo</v>
      </c>
      <c r="P244" s="10">
        <f t="shared" si="37"/>
        <v>45115</v>
      </c>
      <c r="Q244" s="6" t="str">
        <f t="shared" ca="1" si="38"/>
        <v>Prazo Vencido</v>
      </c>
      <c r="R244" s="8">
        <f t="shared" si="35"/>
        <v>64</v>
      </c>
    </row>
    <row r="245" spans="1:18" ht="13" hidden="1">
      <c r="A245" s="8">
        <v>5474</v>
      </c>
      <c r="B245" s="10">
        <v>45109</v>
      </c>
      <c r="C245" s="10">
        <v>45109</v>
      </c>
      <c r="D245" s="8" t="s">
        <v>916</v>
      </c>
      <c r="E245" s="8" t="s">
        <v>917</v>
      </c>
      <c r="F245" s="8" t="s">
        <v>705</v>
      </c>
      <c r="G245" s="6" t="e">
        <f>IF(F245="","",VLOOKUP(F245,'PLAN SUPORTE'!A:B,2,0))</f>
        <v>#N/A</v>
      </c>
      <c r="H245" s="7"/>
      <c r="I245" s="8" t="s">
        <v>692</v>
      </c>
      <c r="J245" s="8" t="s">
        <v>296</v>
      </c>
      <c r="K245" s="8" t="s">
        <v>25</v>
      </c>
      <c r="L245" s="8">
        <f>IF(K245="","",VLOOKUP(K245,'PLAN SUPORTE'!$H$2:$I$4,2,0))</f>
        <v>15</v>
      </c>
      <c r="M245" s="10"/>
      <c r="N245" s="10"/>
      <c r="O245" s="9" t="str">
        <f t="shared" si="36"/>
        <v>Em Andamento</v>
      </c>
      <c r="P245" s="10">
        <f t="shared" si="37"/>
        <v>45124</v>
      </c>
      <c r="Q245" s="6" t="str">
        <f t="shared" ca="1" si="38"/>
        <v>Prazo Vencido</v>
      </c>
      <c r="R245" s="8" t="str">
        <f t="shared" si="35"/>
        <v/>
      </c>
    </row>
    <row r="246" spans="1:18" ht="13" hidden="1">
      <c r="A246" s="8">
        <v>5482</v>
      </c>
      <c r="B246" s="10">
        <v>45111</v>
      </c>
      <c r="C246" s="10">
        <v>45111</v>
      </c>
      <c r="D246" s="8" t="s">
        <v>918</v>
      </c>
      <c r="E246" s="8" t="s">
        <v>876</v>
      </c>
      <c r="F246" s="8" t="s">
        <v>752</v>
      </c>
      <c r="G246" s="6" t="e">
        <f>IF(F246="","",VLOOKUP(F246,'PLAN SUPORTE'!A:B,2,0))</f>
        <v>#N/A</v>
      </c>
      <c r="H246" s="7" t="s">
        <v>919</v>
      </c>
      <c r="I246" s="8" t="s">
        <v>754</v>
      </c>
      <c r="J246" s="8" t="s">
        <v>265</v>
      </c>
      <c r="K246" s="8" t="s">
        <v>25</v>
      </c>
      <c r="L246" s="8">
        <v>15</v>
      </c>
      <c r="M246" s="10">
        <v>45138</v>
      </c>
      <c r="N246" s="10">
        <v>45142</v>
      </c>
      <c r="O246" s="9" t="str">
        <f t="shared" si="36"/>
        <v>Fora do Prazo</v>
      </c>
      <c r="P246" s="10"/>
      <c r="Q246" s="6"/>
      <c r="R246" s="8">
        <f t="shared" si="35"/>
        <v>27</v>
      </c>
    </row>
    <row r="247" spans="1:18" ht="13">
      <c r="A247" s="8">
        <v>5486</v>
      </c>
      <c r="B247" s="10">
        <v>45113</v>
      </c>
      <c r="C247" s="10">
        <v>45113</v>
      </c>
      <c r="D247" s="8" t="s">
        <v>920</v>
      </c>
      <c r="E247" s="8" t="s">
        <v>838</v>
      </c>
      <c r="F247" s="8" t="s">
        <v>699</v>
      </c>
      <c r="G247" s="6" t="e">
        <f>IF(F247="","",VLOOKUP(F247,'PLAN SUPORTE'!A:B,2,0))</f>
        <v>#N/A</v>
      </c>
      <c r="H247" s="7"/>
      <c r="I247" s="8" t="s">
        <v>682</v>
      </c>
      <c r="J247" s="8" t="s">
        <v>24</v>
      </c>
      <c r="K247" s="8" t="s">
        <v>25</v>
      </c>
      <c r="L247" s="8">
        <f>IF(K247="","",VLOOKUP(K247,'PLAN SUPORTE'!$H$2:$I$4,2,0))</f>
        <v>15</v>
      </c>
      <c r="M247" s="10">
        <v>45114</v>
      </c>
      <c r="N247" s="10">
        <v>45118</v>
      </c>
      <c r="O247" s="9" t="str">
        <f t="shared" si="36"/>
        <v>Dentro do Prazo</v>
      </c>
      <c r="P247" s="10">
        <f t="shared" ref="P247:P257" si="39">IF(OR(C247="",L247=""),"",C247+L247)</f>
        <v>45128</v>
      </c>
      <c r="Q247" s="6" t="str">
        <f t="shared" ref="Q247:Q257" ca="1" si="40">IF(P247="","",IF(P247-TODAY()=0,"Vence Hoje!",IF(P247-TODAY()&gt;=0,P247-TODAY()&amp;" Dia(s) para vencer","Prazo Vencido")))</f>
        <v>Prazo Vencido</v>
      </c>
      <c r="R247" s="8">
        <f t="shared" si="35"/>
        <v>1</v>
      </c>
    </row>
    <row r="248" spans="1:18" ht="13">
      <c r="A248" s="8">
        <v>5489</v>
      </c>
      <c r="B248" s="10">
        <v>45114</v>
      </c>
      <c r="C248" s="10">
        <v>45114</v>
      </c>
      <c r="D248" s="8" t="s">
        <v>771</v>
      </c>
      <c r="E248" s="8" t="s">
        <v>767</v>
      </c>
      <c r="F248" s="8" t="s">
        <v>681</v>
      </c>
      <c r="G248" s="6" t="e">
        <f>IF(F248="","",VLOOKUP(F248,'PLAN SUPORTE'!A:B,2,0))</f>
        <v>#N/A</v>
      </c>
      <c r="H248" s="7"/>
      <c r="I248" s="8" t="s">
        <v>682</v>
      </c>
      <c r="J248" s="8" t="s">
        <v>24</v>
      </c>
      <c r="K248" s="8" t="s">
        <v>25</v>
      </c>
      <c r="L248" s="8">
        <f>IF(K248="","",VLOOKUP(K248,'PLAN SUPORTE'!$H$2:$I$4,2,0))</f>
        <v>15</v>
      </c>
      <c r="M248" s="10">
        <v>45120</v>
      </c>
      <c r="N248" s="10">
        <v>45124</v>
      </c>
      <c r="O248" s="9" t="str">
        <f t="shared" si="36"/>
        <v>Dentro do Prazo</v>
      </c>
      <c r="P248" s="10">
        <f t="shared" si="39"/>
        <v>45129</v>
      </c>
      <c r="Q248" s="6" t="str">
        <f t="shared" ca="1" si="40"/>
        <v>Prazo Vencido</v>
      </c>
      <c r="R248" s="8">
        <f t="shared" si="35"/>
        <v>6</v>
      </c>
    </row>
    <row r="249" spans="1:18" ht="13">
      <c r="A249" s="8">
        <v>5490</v>
      </c>
      <c r="B249" s="10">
        <v>45114</v>
      </c>
      <c r="C249" s="10">
        <v>45114</v>
      </c>
      <c r="D249" s="8" t="s">
        <v>771</v>
      </c>
      <c r="E249" s="8" t="s">
        <v>767</v>
      </c>
      <c r="F249" s="8" t="s">
        <v>681</v>
      </c>
      <c r="G249" s="6" t="e">
        <f>IF(F249="","",VLOOKUP(F249,'PLAN SUPORTE'!A:B,2,0))</f>
        <v>#N/A</v>
      </c>
      <c r="H249" s="7"/>
      <c r="I249" s="8" t="s">
        <v>682</v>
      </c>
      <c r="J249" s="8" t="s">
        <v>24</v>
      </c>
      <c r="K249" s="8" t="s">
        <v>25</v>
      </c>
      <c r="L249" s="8">
        <f>IF(K249="","",VLOOKUP(K249,'PLAN SUPORTE'!$H$2:$I$4,2,0))</f>
        <v>15</v>
      </c>
      <c r="M249" s="10">
        <v>45120</v>
      </c>
      <c r="N249" s="10">
        <v>45124</v>
      </c>
      <c r="O249" s="9" t="str">
        <f t="shared" si="36"/>
        <v>Dentro do Prazo</v>
      </c>
      <c r="P249" s="10">
        <f t="shared" si="39"/>
        <v>45129</v>
      </c>
      <c r="Q249" s="6" t="str">
        <f t="shared" ca="1" si="40"/>
        <v>Prazo Vencido</v>
      </c>
      <c r="R249" s="8">
        <v>9</v>
      </c>
    </row>
    <row r="250" spans="1:18" ht="13">
      <c r="A250" s="8">
        <v>5491</v>
      </c>
      <c r="B250" s="10">
        <v>45114</v>
      </c>
      <c r="C250" s="10">
        <v>45114</v>
      </c>
      <c r="D250" s="8" t="s">
        <v>771</v>
      </c>
      <c r="E250" s="8" t="s">
        <v>767</v>
      </c>
      <c r="F250" s="8" t="s">
        <v>681</v>
      </c>
      <c r="G250" s="6" t="e">
        <f>IF(F250="","",VLOOKUP(F250,'PLAN SUPORTE'!A:B,2,0))</f>
        <v>#N/A</v>
      </c>
      <c r="H250" s="7"/>
      <c r="I250" s="8" t="s">
        <v>682</v>
      </c>
      <c r="J250" s="8" t="s">
        <v>24</v>
      </c>
      <c r="K250" s="8" t="s">
        <v>25</v>
      </c>
      <c r="L250" s="8">
        <f>IF(K250="","",VLOOKUP(K250,'PLAN SUPORTE'!$H$2:$I$4,2,0))</f>
        <v>15</v>
      </c>
      <c r="M250" s="10">
        <v>45120</v>
      </c>
      <c r="N250" s="10">
        <v>45124</v>
      </c>
      <c r="O250" s="9" t="str">
        <f t="shared" si="36"/>
        <v>Dentro do Prazo</v>
      </c>
      <c r="P250" s="10">
        <f t="shared" si="39"/>
        <v>45129</v>
      </c>
      <c r="Q250" s="6" t="str">
        <f t="shared" ca="1" si="40"/>
        <v>Prazo Vencido</v>
      </c>
      <c r="R250" s="8">
        <v>9</v>
      </c>
    </row>
    <row r="251" spans="1:18" ht="13">
      <c r="A251" s="8">
        <v>5496</v>
      </c>
      <c r="B251" s="10">
        <v>45115</v>
      </c>
      <c r="C251" s="10">
        <v>45115</v>
      </c>
      <c r="D251" s="8" t="s">
        <v>746</v>
      </c>
      <c r="E251" s="8" t="s">
        <v>861</v>
      </c>
      <c r="F251" s="8" t="s">
        <v>705</v>
      </c>
      <c r="G251" s="6" t="e">
        <f>IF(F251="","",VLOOKUP(F251,'PLAN SUPORTE'!A:B,2,0))</f>
        <v>#N/A</v>
      </c>
      <c r="H251" s="7"/>
      <c r="I251" s="8" t="s">
        <v>692</v>
      </c>
      <c r="J251" s="8" t="s">
        <v>24</v>
      </c>
      <c r="K251" s="8" t="s">
        <v>25</v>
      </c>
      <c r="L251" s="8">
        <f>IF(K251="","",VLOOKUP(K251,'PLAN SUPORTE'!$H$2:$I$4,2,0))</f>
        <v>15</v>
      </c>
      <c r="M251" s="10">
        <v>45136</v>
      </c>
      <c r="N251" s="10">
        <v>45111</v>
      </c>
      <c r="O251" s="9" t="str">
        <f t="shared" si="36"/>
        <v>Fora do Prazo</v>
      </c>
      <c r="P251" s="10">
        <f t="shared" si="39"/>
        <v>45130</v>
      </c>
      <c r="Q251" s="6" t="str">
        <f t="shared" ca="1" si="40"/>
        <v>Prazo Vencido</v>
      </c>
      <c r="R251" s="8">
        <f t="shared" ref="R251:R269" si="41">IF(OR(C251="",M251=""),"",M251-C251)</f>
        <v>21</v>
      </c>
    </row>
    <row r="252" spans="1:18" ht="13">
      <c r="A252" s="8">
        <v>5501</v>
      </c>
      <c r="B252" s="10">
        <v>45115</v>
      </c>
      <c r="C252" s="10">
        <v>45115</v>
      </c>
      <c r="D252" s="8" t="s">
        <v>771</v>
      </c>
      <c r="E252" s="8" t="s">
        <v>778</v>
      </c>
      <c r="F252" s="8" t="s">
        <v>759</v>
      </c>
      <c r="G252" s="6" t="e">
        <f>IF(F252="","",VLOOKUP(F252,'PLAN SUPORTE'!A:B,2,0))</f>
        <v>#N/A</v>
      </c>
      <c r="H252" s="7"/>
      <c r="I252" s="8" t="s">
        <v>692</v>
      </c>
      <c r="J252" s="8" t="s">
        <v>24</v>
      </c>
      <c r="K252" s="8" t="s">
        <v>25</v>
      </c>
      <c r="L252" s="8">
        <f>IF(K252="","",VLOOKUP(K252,'PLAN SUPORTE'!$H$2:$I$4,2,0))</f>
        <v>15</v>
      </c>
      <c r="M252" s="10">
        <v>45147</v>
      </c>
      <c r="N252" s="10">
        <v>45156</v>
      </c>
      <c r="O252" s="9" t="str">
        <f t="shared" si="36"/>
        <v>Fora do Prazo</v>
      </c>
      <c r="P252" s="10">
        <f t="shared" si="39"/>
        <v>45130</v>
      </c>
      <c r="Q252" s="6" t="str">
        <f t="shared" ca="1" si="40"/>
        <v>Prazo Vencido</v>
      </c>
      <c r="R252" s="8">
        <f t="shared" si="41"/>
        <v>32</v>
      </c>
    </row>
    <row r="253" spans="1:18" ht="13">
      <c r="A253" s="8">
        <v>5502</v>
      </c>
      <c r="B253" s="10">
        <v>45115</v>
      </c>
      <c r="C253" s="10">
        <v>45115</v>
      </c>
      <c r="D253" s="8" t="s">
        <v>771</v>
      </c>
      <c r="E253" s="8" t="s">
        <v>778</v>
      </c>
      <c r="F253" s="8" t="s">
        <v>759</v>
      </c>
      <c r="G253" s="6" t="e">
        <f>IF(F253="","",VLOOKUP(F253,'PLAN SUPORTE'!A:B,2,0))</f>
        <v>#N/A</v>
      </c>
      <c r="H253" s="7"/>
      <c r="I253" s="8" t="s">
        <v>692</v>
      </c>
      <c r="J253" s="8" t="s">
        <v>24</v>
      </c>
      <c r="K253" s="8" t="s">
        <v>25</v>
      </c>
      <c r="L253" s="8">
        <f>IF(K253="","",VLOOKUP(K253,'PLAN SUPORTE'!$H$2:$I$4,2,0))</f>
        <v>15</v>
      </c>
      <c r="M253" s="10">
        <v>45147</v>
      </c>
      <c r="N253" s="10">
        <v>45156</v>
      </c>
      <c r="O253" s="9" t="str">
        <f t="shared" si="36"/>
        <v>Fora do Prazo</v>
      </c>
      <c r="P253" s="10">
        <f t="shared" si="39"/>
        <v>45130</v>
      </c>
      <c r="Q253" s="6" t="str">
        <f t="shared" ca="1" si="40"/>
        <v>Prazo Vencido</v>
      </c>
      <c r="R253" s="8">
        <f t="shared" si="41"/>
        <v>32</v>
      </c>
    </row>
    <row r="254" spans="1:18" ht="13">
      <c r="A254" s="8">
        <v>5503</v>
      </c>
      <c r="B254" s="10">
        <v>45115</v>
      </c>
      <c r="C254" s="10">
        <v>45115</v>
      </c>
      <c r="D254" s="8" t="s">
        <v>771</v>
      </c>
      <c r="E254" s="8" t="s">
        <v>838</v>
      </c>
      <c r="F254" s="8" t="s">
        <v>699</v>
      </c>
      <c r="G254" s="6" t="e">
        <f>IF(F254="","",VLOOKUP(F254,'PLAN SUPORTE'!A:B,2,0))</f>
        <v>#N/A</v>
      </c>
      <c r="H254" s="7"/>
      <c r="I254" s="8" t="s">
        <v>682</v>
      </c>
      <c r="J254" s="8" t="s">
        <v>24</v>
      </c>
      <c r="K254" s="8" t="s">
        <v>25</v>
      </c>
      <c r="L254" s="8">
        <f>IF(K254="","",VLOOKUP(K254,'PLAN SUPORTE'!$H$2:$I$4,2,0))</f>
        <v>15</v>
      </c>
      <c r="M254" s="10">
        <v>45119</v>
      </c>
      <c r="N254" s="10">
        <v>45124</v>
      </c>
      <c r="O254" s="9" t="str">
        <f t="shared" si="36"/>
        <v>Dentro do Prazo</v>
      </c>
      <c r="P254" s="10">
        <f t="shared" si="39"/>
        <v>45130</v>
      </c>
      <c r="Q254" s="6" t="str">
        <f t="shared" ca="1" si="40"/>
        <v>Prazo Vencido</v>
      </c>
      <c r="R254" s="8">
        <f t="shared" si="41"/>
        <v>4</v>
      </c>
    </row>
    <row r="255" spans="1:18" ht="13">
      <c r="A255" s="8">
        <v>5504</v>
      </c>
      <c r="B255" s="10">
        <v>45115</v>
      </c>
      <c r="C255" s="10">
        <v>45115</v>
      </c>
      <c r="D255" s="8" t="s">
        <v>771</v>
      </c>
      <c r="E255" s="8" t="s">
        <v>838</v>
      </c>
      <c r="F255" s="8" t="s">
        <v>699</v>
      </c>
      <c r="G255" s="6" t="e">
        <f>IF(F255="","",VLOOKUP(F255,'PLAN SUPORTE'!A:B,2,0))</f>
        <v>#N/A</v>
      </c>
      <c r="H255" s="7"/>
      <c r="I255" s="8" t="s">
        <v>682</v>
      </c>
      <c r="J255" s="8" t="s">
        <v>24</v>
      </c>
      <c r="K255" s="8" t="s">
        <v>25</v>
      </c>
      <c r="L255" s="8">
        <f>IF(K255="","",VLOOKUP(K255,'PLAN SUPORTE'!$H$2:$I$4,2,0))</f>
        <v>15</v>
      </c>
      <c r="M255" s="10">
        <v>45120</v>
      </c>
      <c r="N255" s="10">
        <v>45124</v>
      </c>
      <c r="O255" s="9" t="str">
        <f t="shared" si="36"/>
        <v>Dentro do Prazo</v>
      </c>
      <c r="P255" s="10">
        <f t="shared" si="39"/>
        <v>45130</v>
      </c>
      <c r="Q255" s="6" t="str">
        <f t="shared" ca="1" si="40"/>
        <v>Prazo Vencido</v>
      </c>
      <c r="R255" s="8">
        <f t="shared" si="41"/>
        <v>5</v>
      </c>
    </row>
    <row r="256" spans="1:18" ht="13">
      <c r="A256" s="8">
        <v>5505</v>
      </c>
      <c r="B256" s="10">
        <v>45115</v>
      </c>
      <c r="C256" s="10">
        <v>45115</v>
      </c>
      <c r="D256" s="8" t="s">
        <v>771</v>
      </c>
      <c r="E256" s="8" t="s">
        <v>838</v>
      </c>
      <c r="F256" s="8" t="s">
        <v>699</v>
      </c>
      <c r="G256" s="6" t="e">
        <f>IF(F256="","",VLOOKUP(F256,'PLAN SUPORTE'!A:B,2,0))</f>
        <v>#N/A</v>
      </c>
      <c r="H256" s="7"/>
      <c r="I256" s="8" t="s">
        <v>682</v>
      </c>
      <c r="J256" s="8" t="s">
        <v>24</v>
      </c>
      <c r="K256" s="8" t="s">
        <v>25</v>
      </c>
      <c r="L256" s="8">
        <f>IF(K256="","",VLOOKUP(K256,'PLAN SUPORTE'!$H$2:$I$4,2,0))</f>
        <v>15</v>
      </c>
      <c r="M256" s="10">
        <v>45120</v>
      </c>
      <c r="N256" s="10">
        <v>45135</v>
      </c>
      <c r="O256" s="9" t="str">
        <f t="shared" si="36"/>
        <v>Dentro do Prazo</v>
      </c>
      <c r="P256" s="10">
        <f t="shared" si="39"/>
        <v>45130</v>
      </c>
      <c r="Q256" s="6" t="str">
        <f t="shared" ca="1" si="40"/>
        <v>Prazo Vencido</v>
      </c>
      <c r="R256" s="8">
        <f t="shared" si="41"/>
        <v>5</v>
      </c>
    </row>
    <row r="257" spans="1:18" ht="13">
      <c r="A257" s="8">
        <v>5506</v>
      </c>
      <c r="B257" s="10">
        <v>45115</v>
      </c>
      <c r="C257" s="10">
        <v>45115</v>
      </c>
      <c r="D257" s="8" t="s">
        <v>771</v>
      </c>
      <c r="E257" s="8" t="s">
        <v>838</v>
      </c>
      <c r="F257" s="8" t="s">
        <v>699</v>
      </c>
      <c r="G257" s="6" t="e">
        <f>IF(F257="","",VLOOKUP(F257,'PLAN SUPORTE'!A:B,2,0))</f>
        <v>#N/A</v>
      </c>
      <c r="H257" s="7"/>
      <c r="I257" s="8" t="s">
        <v>682</v>
      </c>
      <c r="J257" s="8" t="s">
        <v>24</v>
      </c>
      <c r="K257" s="8" t="s">
        <v>25</v>
      </c>
      <c r="L257" s="8">
        <f>IF(K257="","",VLOOKUP(K257,'PLAN SUPORTE'!$H$2:$I$4,2,0))</f>
        <v>15</v>
      </c>
      <c r="M257" s="10">
        <v>45128</v>
      </c>
      <c r="N257" s="10">
        <v>45135</v>
      </c>
      <c r="O257" s="9" t="str">
        <f t="shared" si="36"/>
        <v>Dentro do Prazo</v>
      </c>
      <c r="P257" s="10">
        <f t="shared" si="39"/>
        <v>45130</v>
      </c>
      <c r="Q257" s="6" t="str">
        <f t="shared" ca="1" si="40"/>
        <v>Prazo Vencido</v>
      </c>
      <c r="R257" s="8">
        <f t="shared" si="41"/>
        <v>13</v>
      </c>
    </row>
    <row r="258" spans="1:18" ht="13" hidden="1">
      <c r="A258" s="8">
        <v>5512</v>
      </c>
      <c r="B258" s="10">
        <v>45117</v>
      </c>
      <c r="C258" s="10">
        <v>45117</v>
      </c>
      <c r="D258" s="8" t="s">
        <v>921</v>
      </c>
      <c r="E258" s="8" t="s">
        <v>742</v>
      </c>
      <c r="F258" s="8" t="s">
        <v>704</v>
      </c>
      <c r="G258" s="6" t="s">
        <v>705</v>
      </c>
      <c r="H258" s="7"/>
      <c r="I258" s="8" t="s">
        <v>687</v>
      </c>
      <c r="J258" s="8" t="s">
        <v>265</v>
      </c>
      <c r="K258" s="8" t="s">
        <v>691</v>
      </c>
      <c r="L258" s="8" t="e">
        <f>IF(K258="","",VLOOKUP(K258,'PLAN SUPORTE'!$H$2:$I$4,2,0))</f>
        <v>#N/A</v>
      </c>
      <c r="M258" s="10"/>
      <c r="N258" s="55"/>
      <c r="O258" s="9" t="str">
        <f t="shared" si="36"/>
        <v>Em Andamento</v>
      </c>
      <c r="P258" s="10"/>
      <c r="Q258" s="6"/>
      <c r="R258" s="8" t="str">
        <f t="shared" si="41"/>
        <v/>
      </c>
    </row>
    <row r="259" spans="1:18" ht="13" hidden="1">
      <c r="A259" s="8">
        <v>5514</v>
      </c>
      <c r="B259" s="10">
        <v>45117</v>
      </c>
      <c r="C259" s="10">
        <v>45117</v>
      </c>
      <c r="D259" s="8" t="s">
        <v>922</v>
      </c>
      <c r="E259" s="8" t="s">
        <v>742</v>
      </c>
      <c r="F259" s="8" t="s">
        <v>704</v>
      </c>
      <c r="G259" s="6" t="s">
        <v>705</v>
      </c>
      <c r="H259" s="8"/>
      <c r="I259" s="8" t="s">
        <v>687</v>
      </c>
      <c r="J259" s="8" t="s">
        <v>265</v>
      </c>
      <c r="K259" s="8" t="s">
        <v>691</v>
      </c>
      <c r="L259" s="8" t="e">
        <f>IF(K259="","",VLOOKUP(K259,'PLAN SUPORTE'!$H$2:$I$4,2,0))</f>
        <v>#N/A</v>
      </c>
      <c r="M259" s="10"/>
      <c r="N259" s="55"/>
      <c r="O259" s="9" t="str">
        <f t="shared" si="36"/>
        <v>Em Andamento</v>
      </c>
      <c r="P259" s="8"/>
      <c r="R259" s="8" t="str">
        <f t="shared" si="41"/>
        <v/>
      </c>
    </row>
    <row r="260" spans="1:18" ht="13">
      <c r="A260" s="8">
        <v>5523</v>
      </c>
      <c r="B260" s="10">
        <v>45119</v>
      </c>
      <c r="C260" s="10">
        <v>45119</v>
      </c>
      <c r="D260" s="8" t="s">
        <v>582</v>
      </c>
      <c r="E260" s="8" t="s">
        <v>923</v>
      </c>
      <c r="F260" s="8" t="s">
        <v>690</v>
      </c>
      <c r="G260" s="6" t="s">
        <v>690</v>
      </c>
      <c r="H260" s="7"/>
      <c r="I260" s="8" t="s">
        <v>687</v>
      </c>
      <c r="J260" s="8" t="s">
        <v>24</v>
      </c>
      <c r="K260" s="8" t="s">
        <v>691</v>
      </c>
      <c r="L260" s="8" t="e">
        <f>IF(K260="","",VLOOKUP(K260,'PLAN SUPORTE'!$H$2:$I$4,2,0))</f>
        <v>#N/A</v>
      </c>
      <c r="M260" s="10">
        <v>45135</v>
      </c>
      <c r="N260" s="55"/>
      <c r="O260" s="9" t="str">
        <f t="shared" si="36"/>
        <v>Fora do Prazo</v>
      </c>
      <c r="P260" s="10"/>
      <c r="Q260" s="6"/>
      <c r="R260" s="8">
        <f t="shared" si="41"/>
        <v>16</v>
      </c>
    </row>
    <row r="261" spans="1:18" ht="13">
      <c r="A261" s="8">
        <v>5533</v>
      </c>
      <c r="B261" s="10">
        <v>45121</v>
      </c>
      <c r="C261" s="10">
        <v>45121</v>
      </c>
      <c r="D261" s="8" t="s">
        <v>746</v>
      </c>
      <c r="E261" s="8" t="s">
        <v>747</v>
      </c>
      <c r="F261" s="8" t="s">
        <v>748</v>
      </c>
      <c r="G261" s="6" t="e">
        <f>IF(F261="","",VLOOKUP(F261,'PLAN SUPORTE'!A:B,2,0))</f>
        <v>#N/A</v>
      </c>
      <c r="H261" s="7"/>
      <c r="I261" s="8" t="s">
        <v>692</v>
      </c>
      <c r="J261" s="8" t="s">
        <v>24</v>
      </c>
      <c r="K261" s="8" t="s">
        <v>25</v>
      </c>
      <c r="L261" s="8">
        <f>IF(K261="","",VLOOKUP(K261,'PLAN SUPORTE'!$H$2:$I$4,2,0))</f>
        <v>15</v>
      </c>
      <c r="M261" s="10">
        <v>45160</v>
      </c>
      <c r="N261" s="10">
        <v>45166</v>
      </c>
      <c r="O261" s="9" t="str">
        <f t="shared" si="36"/>
        <v>Fora do Prazo</v>
      </c>
      <c r="P261" s="10">
        <f>IF(OR(C261="",L261=""),"",C261+L261)</f>
        <v>45136</v>
      </c>
      <c r="Q261" s="6" t="str">
        <f ca="1">IF(P261="","",IF(P261-TODAY()=0,"Vence Hoje!",IF(P261-TODAY()&gt;=0,P261-TODAY()&amp;" Dia(s) para vencer","Prazo Vencido")))</f>
        <v>Prazo Vencido</v>
      </c>
      <c r="R261" s="8">
        <f t="shared" si="41"/>
        <v>39</v>
      </c>
    </row>
    <row r="262" spans="1:18" ht="13" hidden="1">
      <c r="A262" s="8">
        <v>5540</v>
      </c>
      <c r="B262" s="56">
        <v>45124</v>
      </c>
      <c r="C262" s="10">
        <v>45124</v>
      </c>
      <c r="D262" s="8" t="s">
        <v>922</v>
      </c>
      <c r="E262" s="8" t="s">
        <v>742</v>
      </c>
      <c r="F262" s="8" t="s">
        <v>704</v>
      </c>
      <c r="G262" s="8" t="s">
        <v>705</v>
      </c>
      <c r="H262" s="7"/>
      <c r="I262" s="8" t="s">
        <v>687</v>
      </c>
      <c r="J262" s="8" t="s">
        <v>265</v>
      </c>
      <c r="K262" s="8" t="s">
        <v>691</v>
      </c>
      <c r="L262" s="8">
        <v>25</v>
      </c>
      <c r="M262" s="10"/>
      <c r="N262" s="55"/>
      <c r="O262" s="9" t="str">
        <f t="shared" si="36"/>
        <v>Em Andamento</v>
      </c>
      <c r="P262" s="10"/>
      <c r="Q262" s="6"/>
      <c r="R262" s="8" t="str">
        <f t="shared" si="41"/>
        <v/>
      </c>
    </row>
    <row r="263" spans="1:18" ht="13">
      <c r="A263" s="8">
        <v>5549</v>
      </c>
      <c r="B263" s="10">
        <v>45124</v>
      </c>
      <c r="C263" s="10">
        <v>45124</v>
      </c>
      <c r="D263" s="8" t="s">
        <v>746</v>
      </c>
      <c r="E263" s="8" t="s">
        <v>861</v>
      </c>
      <c r="F263" s="8" t="s">
        <v>705</v>
      </c>
      <c r="G263" s="6" t="e">
        <f>IF(F263="","",VLOOKUP(F263,'PLAN SUPORTE'!A:B,2,0))</f>
        <v>#N/A</v>
      </c>
      <c r="H263" s="7"/>
      <c r="I263" s="8" t="s">
        <v>692</v>
      </c>
      <c r="J263" s="8" t="s">
        <v>24</v>
      </c>
      <c r="K263" s="8" t="s">
        <v>25</v>
      </c>
      <c r="L263" s="8">
        <f>IF(K263="","",VLOOKUP(K263,'PLAN SUPORTE'!$H$2:$I$4,2,0))</f>
        <v>15</v>
      </c>
      <c r="M263" s="10">
        <v>45136</v>
      </c>
      <c r="N263" s="10">
        <v>45111</v>
      </c>
      <c r="O263" s="9" t="str">
        <f t="shared" si="36"/>
        <v>Dentro do Prazo</v>
      </c>
      <c r="P263" s="10">
        <f t="shared" ref="P263:P266" si="42">IF(OR(C263="",L263=""),"",C263+L263)</f>
        <v>45139</v>
      </c>
      <c r="Q263" s="6" t="str">
        <f t="shared" ref="Q263:Q266" ca="1" si="43">IF(P263="","",IF(P263-TODAY()=0,"Vence Hoje!",IF(P263-TODAY()&gt;=0,P263-TODAY()&amp;" Dia(s) para vencer","Prazo Vencido")))</f>
        <v>Prazo Vencido</v>
      </c>
      <c r="R263" s="8">
        <f t="shared" si="41"/>
        <v>12</v>
      </c>
    </row>
    <row r="264" spans="1:18" ht="13">
      <c r="A264" s="8">
        <v>5550</v>
      </c>
      <c r="B264" s="10">
        <v>45124</v>
      </c>
      <c r="C264" s="10">
        <v>45124</v>
      </c>
      <c r="D264" s="8" t="s">
        <v>771</v>
      </c>
      <c r="E264" s="8" t="s">
        <v>778</v>
      </c>
      <c r="F264" s="8" t="s">
        <v>759</v>
      </c>
      <c r="G264" s="6" t="e">
        <f>IF(F264="","",VLOOKUP(F264,'PLAN SUPORTE'!A:B,2,0))</f>
        <v>#N/A</v>
      </c>
      <c r="H264" s="7"/>
      <c r="I264" s="8" t="s">
        <v>692</v>
      </c>
      <c r="J264" s="8" t="s">
        <v>24</v>
      </c>
      <c r="K264" s="8" t="s">
        <v>25</v>
      </c>
      <c r="L264" s="8">
        <f>IF(K264="","",VLOOKUP(K264,'PLAN SUPORTE'!$H$2:$I$4,2,0))</f>
        <v>15</v>
      </c>
      <c r="M264" s="10">
        <v>45147</v>
      </c>
      <c r="N264" s="10">
        <v>45156</v>
      </c>
      <c r="O264" s="9" t="str">
        <f t="shared" si="36"/>
        <v>Fora do Prazo</v>
      </c>
      <c r="P264" s="10">
        <f t="shared" si="42"/>
        <v>45139</v>
      </c>
      <c r="Q264" s="6" t="str">
        <f t="shared" ca="1" si="43"/>
        <v>Prazo Vencido</v>
      </c>
      <c r="R264" s="8">
        <f t="shared" si="41"/>
        <v>23</v>
      </c>
    </row>
    <row r="265" spans="1:18" ht="13">
      <c r="A265" s="8">
        <v>5551</v>
      </c>
      <c r="B265" s="10">
        <v>45124</v>
      </c>
      <c r="C265" s="10">
        <v>45124</v>
      </c>
      <c r="D265" s="8" t="s">
        <v>746</v>
      </c>
      <c r="E265" s="8" t="s">
        <v>747</v>
      </c>
      <c r="F265" s="8" t="s">
        <v>748</v>
      </c>
      <c r="G265" s="6" t="e">
        <f>IF(F265="","",VLOOKUP(F265,'PLAN SUPORTE'!A:B,2,0))</f>
        <v>#N/A</v>
      </c>
      <c r="H265" s="7"/>
      <c r="I265" s="8" t="s">
        <v>692</v>
      </c>
      <c r="J265" s="8" t="s">
        <v>24</v>
      </c>
      <c r="K265" s="8" t="s">
        <v>25</v>
      </c>
      <c r="L265" s="8">
        <f>IF(K265="","",VLOOKUP(K265,'PLAN SUPORTE'!$H$2:$I$4,2,0))</f>
        <v>15</v>
      </c>
      <c r="M265" s="10">
        <v>45160</v>
      </c>
      <c r="N265" s="10">
        <v>45166</v>
      </c>
      <c r="O265" s="9" t="str">
        <f t="shared" si="36"/>
        <v>Fora do Prazo</v>
      </c>
      <c r="P265" s="10">
        <f t="shared" si="42"/>
        <v>45139</v>
      </c>
      <c r="Q265" s="6" t="str">
        <f t="shared" ca="1" si="43"/>
        <v>Prazo Vencido</v>
      </c>
      <c r="R265" s="8">
        <f t="shared" si="41"/>
        <v>36</v>
      </c>
    </row>
    <row r="266" spans="1:18" ht="13">
      <c r="A266" s="8">
        <v>5553</v>
      </c>
      <c r="B266" s="10">
        <v>45124</v>
      </c>
      <c r="C266" s="10">
        <v>45124</v>
      </c>
      <c r="D266" s="8" t="s">
        <v>924</v>
      </c>
      <c r="E266" s="8" t="s">
        <v>925</v>
      </c>
      <c r="F266" s="8" t="s">
        <v>748</v>
      </c>
      <c r="G266" s="6" t="e">
        <f>IF(F266="","",VLOOKUP(F266,'PLAN SUPORTE'!A:B,2,0))</f>
        <v>#N/A</v>
      </c>
      <c r="H266" s="7"/>
      <c r="I266" s="8" t="s">
        <v>692</v>
      </c>
      <c r="J266" s="8" t="s">
        <v>24</v>
      </c>
      <c r="K266" s="8" t="s">
        <v>25</v>
      </c>
      <c r="L266" s="8">
        <f>IF(K266="","",VLOOKUP(K266,'PLAN SUPORTE'!$H$2:$I$4,2,0))</f>
        <v>15</v>
      </c>
      <c r="M266" s="10">
        <v>45162</v>
      </c>
      <c r="N266" s="10">
        <v>45166</v>
      </c>
      <c r="O266" s="9" t="str">
        <f t="shared" si="36"/>
        <v>Fora do Prazo</v>
      </c>
      <c r="P266" s="10">
        <f t="shared" si="42"/>
        <v>45139</v>
      </c>
      <c r="Q266" s="6" t="str">
        <f t="shared" ca="1" si="43"/>
        <v>Prazo Vencido</v>
      </c>
      <c r="R266" s="8">
        <f t="shared" si="41"/>
        <v>38</v>
      </c>
    </row>
    <row r="267" spans="1:18" ht="13">
      <c r="A267" s="8">
        <v>5572</v>
      </c>
      <c r="B267" s="10">
        <v>45127</v>
      </c>
      <c r="C267" s="10">
        <v>45127</v>
      </c>
      <c r="D267" s="8" t="s">
        <v>757</v>
      </c>
      <c r="E267" s="8" t="s">
        <v>926</v>
      </c>
      <c r="F267" s="8" t="s">
        <v>748</v>
      </c>
      <c r="G267" s="6" t="e">
        <f>IF(F267="","",VLOOKUP(F267,'PLAN SUPORTE'!A:B,2,0))</f>
        <v>#N/A</v>
      </c>
      <c r="H267" s="7"/>
      <c r="I267" s="8" t="s">
        <v>692</v>
      </c>
      <c r="J267" s="8" t="s">
        <v>24</v>
      </c>
      <c r="K267" s="8" t="s">
        <v>25</v>
      </c>
      <c r="L267" s="8">
        <v>15</v>
      </c>
      <c r="M267" s="10">
        <v>45162</v>
      </c>
      <c r="N267" s="10">
        <v>45166</v>
      </c>
      <c r="O267" s="9" t="str">
        <f t="shared" si="36"/>
        <v>Fora do Prazo</v>
      </c>
      <c r="P267" s="10"/>
      <c r="Q267" s="6"/>
      <c r="R267" s="8">
        <f t="shared" si="41"/>
        <v>35</v>
      </c>
    </row>
    <row r="268" spans="1:18" ht="13">
      <c r="A268" s="8">
        <v>5574</v>
      </c>
      <c r="B268" s="10">
        <v>45127</v>
      </c>
      <c r="C268" s="10">
        <v>45127</v>
      </c>
      <c r="D268" s="8" t="s">
        <v>771</v>
      </c>
      <c r="E268" s="8" t="s">
        <v>927</v>
      </c>
      <c r="F268" s="8" t="s">
        <v>803</v>
      </c>
      <c r="G268" s="6" t="e">
        <f>IF(F268="","",VLOOKUP(F268,'PLAN SUPORTE'!A:B,2,0))</f>
        <v>#N/A</v>
      </c>
      <c r="H268" s="7"/>
      <c r="I268" s="8" t="s">
        <v>682</v>
      </c>
      <c r="J268" s="8" t="s">
        <v>24</v>
      </c>
      <c r="K268" s="8" t="s">
        <v>25</v>
      </c>
      <c r="L268" s="8">
        <f>IF(K268="","",VLOOKUP(K268,'PLAN SUPORTE'!$H$2:$I$4,2,0))</f>
        <v>15</v>
      </c>
      <c r="M268" s="10">
        <v>45128</v>
      </c>
      <c r="N268" s="10">
        <v>45135</v>
      </c>
      <c r="O268" s="9" t="str">
        <f t="shared" si="36"/>
        <v>Dentro do Prazo</v>
      </c>
      <c r="P268" s="10">
        <f>IF(OR(C268="",L268=""),"",C268+L268)</f>
        <v>45142</v>
      </c>
      <c r="Q268" s="6" t="str">
        <f ca="1">IF(P268="","",IF(P268-TODAY()=0,"Vence Hoje!",IF(P268-TODAY()&gt;=0,P268-TODAY()&amp;" Dia(s) para vencer","Prazo Vencido")))</f>
        <v>Prazo Vencido</v>
      </c>
      <c r="R268" s="8">
        <f t="shared" si="41"/>
        <v>1</v>
      </c>
    </row>
    <row r="269" spans="1:18" ht="13">
      <c r="A269" s="8">
        <v>5580</v>
      </c>
      <c r="B269" s="10">
        <v>45127</v>
      </c>
      <c r="C269" s="10">
        <v>45127</v>
      </c>
      <c r="D269" s="8" t="s">
        <v>746</v>
      </c>
      <c r="E269" s="8" t="s">
        <v>928</v>
      </c>
      <c r="F269" s="8" t="s">
        <v>825</v>
      </c>
      <c r="G269" s="6" t="e">
        <f>IF(F269="","",VLOOKUP(F269,'PLAN SUPORTE'!A:B,2,0))</f>
        <v>#N/A</v>
      </c>
      <c r="H269" s="7"/>
      <c r="I269" s="8" t="s">
        <v>692</v>
      </c>
      <c r="J269" s="8" t="s">
        <v>24</v>
      </c>
      <c r="K269" s="8" t="s">
        <v>25</v>
      </c>
      <c r="L269" s="8">
        <f>IF(K269="","",VLOOKUP(K269,'PLAN SUPORTE'!$H$2:$I$4,2,0))</f>
        <v>15</v>
      </c>
      <c r="M269" s="10">
        <v>45162</v>
      </c>
      <c r="N269" s="10">
        <v>45166</v>
      </c>
      <c r="O269" s="9" t="str">
        <f t="shared" si="36"/>
        <v>Fora do Prazo</v>
      </c>
      <c r="P269" s="10"/>
      <c r="Q269" s="6"/>
      <c r="R269" s="8">
        <f t="shared" si="41"/>
        <v>35</v>
      </c>
    </row>
    <row r="270" spans="1:18" ht="13">
      <c r="A270" s="8">
        <v>5588</v>
      </c>
      <c r="B270" s="10">
        <v>45114</v>
      </c>
      <c r="C270" s="10">
        <v>45114</v>
      </c>
      <c r="D270" s="8" t="s">
        <v>771</v>
      </c>
      <c r="E270" s="8" t="s">
        <v>767</v>
      </c>
      <c r="F270" s="8" t="s">
        <v>681</v>
      </c>
      <c r="G270" s="6" t="e">
        <f>IF(F270="","",VLOOKUP(F270,'PLAN SUPORTE'!A:B,2,0))</f>
        <v>#N/A</v>
      </c>
      <c r="H270" s="7"/>
      <c r="I270" s="8" t="s">
        <v>682</v>
      </c>
      <c r="J270" s="8" t="s">
        <v>24</v>
      </c>
      <c r="K270" s="8" t="s">
        <v>25</v>
      </c>
      <c r="L270" s="8">
        <f>IF(K270="","",VLOOKUP(K270,'PLAN SUPORTE'!$H$2:$I$4,2,0))</f>
        <v>15</v>
      </c>
      <c r="M270" s="10">
        <v>45118</v>
      </c>
      <c r="N270" s="10">
        <v>45124</v>
      </c>
      <c r="O270" s="9" t="str">
        <f t="shared" si="36"/>
        <v>Dentro do Prazo</v>
      </c>
      <c r="P270" s="10">
        <f t="shared" ref="P270:P271" si="44">IF(OR(C270="",L270=""),"",C270+L270)</f>
        <v>45129</v>
      </c>
      <c r="Q270" s="6" t="str">
        <f t="shared" ref="Q270:Q271" ca="1" si="45">IF(P270="","",IF(P270-TODAY()=0,"Vence Hoje!",IF(P270-TODAY()&gt;=0,P270-TODAY()&amp;" Dia(s) para vencer","Prazo Vencido")))</f>
        <v>Prazo Vencido</v>
      </c>
      <c r="R270" s="8">
        <v>9</v>
      </c>
    </row>
    <row r="271" spans="1:18" ht="13">
      <c r="A271" s="8">
        <v>5605</v>
      </c>
      <c r="B271" s="10">
        <v>45133</v>
      </c>
      <c r="C271" s="10">
        <v>45133</v>
      </c>
      <c r="D271" s="8" t="s">
        <v>771</v>
      </c>
      <c r="E271" s="8" t="s">
        <v>779</v>
      </c>
      <c r="F271" s="8" t="s">
        <v>761</v>
      </c>
      <c r="G271" s="6" t="e">
        <f>IF(F271="","",VLOOKUP(F271,'PLAN SUPORTE'!A:B,2,0))</f>
        <v>#N/A</v>
      </c>
      <c r="H271" s="7"/>
      <c r="I271" s="8" t="s">
        <v>692</v>
      </c>
      <c r="J271" s="8" t="s">
        <v>24</v>
      </c>
      <c r="K271" s="8" t="s">
        <v>25</v>
      </c>
      <c r="L271" s="8">
        <f>IF(K271="","",VLOOKUP(K271,'PLAN SUPORTE'!$H$2:$I$4,2,0))</f>
        <v>15</v>
      </c>
      <c r="M271" s="10">
        <v>45162</v>
      </c>
      <c r="N271" s="10">
        <v>45166</v>
      </c>
      <c r="O271" s="9" t="str">
        <f t="shared" si="36"/>
        <v>Fora do Prazo</v>
      </c>
      <c r="P271" s="10">
        <f t="shared" si="44"/>
        <v>45148</v>
      </c>
      <c r="Q271" s="6" t="str">
        <f t="shared" ca="1" si="45"/>
        <v>Prazo Vencido</v>
      </c>
      <c r="R271" s="8">
        <f t="shared" ref="R271:R282" si="46">IF(OR(C271="",M271=""),"",M271-C271)</f>
        <v>29</v>
      </c>
    </row>
    <row r="272" spans="1:18" ht="13" hidden="1">
      <c r="A272" s="8">
        <v>5607</v>
      </c>
      <c r="B272" s="46">
        <v>45133</v>
      </c>
      <c r="C272" s="46">
        <v>45133</v>
      </c>
      <c r="D272" s="8" t="s">
        <v>757</v>
      </c>
      <c r="E272" s="8" t="s">
        <v>929</v>
      </c>
      <c r="F272" s="8" t="s">
        <v>825</v>
      </c>
      <c r="G272" s="6" t="e">
        <f>IF(F272="","",VLOOKUP(F272,'PLAN SUPORTE'!A:B,2,0))</f>
        <v>#N/A</v>
      </c>
      <c r="H272" s="7"/>
      <c r="I272" s="8" t="s">
        <v>692</v>
      </c>
      <c r="J272" s="8" t="s">
        <v>296</v>
      </c>
      <c r="K272" s="8" t="s">
        <v>25</v>
      </c>
      <c r="L272" s="8">
        <f>IF(K272="","",VLOOKUP(K272,'PLAN SUPORTE'!$H$2:$I$4,2,0))</f>
        <v>15</v>
      </c>
      <c r="M272" s="10"/>
      <c r="N272" s="10"/>
      <c r="O272" s="9" t="str">
        <f t="shared" si="36"/>
        <v>Em Andamento</v>
      </c>
      <c r="P272" s="10"/>
      <c r="Q272" s="6"/>
      <c r="R272" s="8" t="str">
        <f t="shared" si="46"/>
        <v/>
      </c>
    </row>
    <row r="273" spans="1:18" ht="13" hidden="1">
      <c r="A273" s="8">
        <v>5608</v>
      </c>
      <c r="B273" s="10">
        <v>45133</v>
      </c>
      <c r="C273" s="10">
        <v>45133</v>
      </c>
      <c r="D273" s="8" t="s">
        <v>930</v>
      </c>
      <c r="E273" s="8" t="s">
        <v>760</v>
      </c>
      <c r="F273" s="8" t="s">
        <v>761</v>
      </c>
      <c r="G273" s="6" t="e">
        <f>IF(F273="","",VLOOKUP(F273,'PLAN SUPORTE'!A:B,2,0))</f>
        <v>#N/A</v>
      </c>
      <c r="H273" s="7"/>
      <c r="I273" s="8" t="s">
        <v>692</v>
      </c>
      <c r="J273" s="8" t="s">
        <v>296</v>
      </c>
      <c r="K273" s="8" t="s">
        <v>25</v>
      </c>
      <c r="L273" s="8">
        <f>IF(K273="","",VLOOKUP(K273,'PLAN SUPORTE'!$H$2:$I$4,2,0))</f>
        <v>15</v>
      </c>
      <c r="M273" s="10"/>
      <c r="N273" s="10"/>
      <c r="O273" s="9" t="str">
        <f t="shared" si="36"/>
        <v>Em Andamento</v>
      </c>
      <c r="P273" s="10">
        <f>IF(OR(C273="",L273=""),"",C273+L273)</f>
        <v>45148</v>
      </c>
      <c r="Q273" s="6" t="str">
        <f ca="1">IF(P273="","",IF(P273-TODAY()=0,"Vence Hoje!",IF(P273-TODAY()&gt;=0,P273-TODAY()&amp;" Dia(s) para vencer","Prazo Vencido")))</f>
        <v>Prazo Vencido</v>
      </c>
      <c r="R273" s="8" t="str">
        <f t="shared" si="46"/>
        <v/>
      </c>
    </row>
    <row r="274" spans="1:18" ht="13" hidden="1">
      <c r="A274" s="8">
        <v>5610</v>
      </c>
      <c r="B274" s="46">
        <v>45133</v>
      </c>
      <c r="C274" s="46">
        <v>45133</v>
      </c>
      <c r="D274" s="8" t="s">
        <v>757</v>
      </c>
      <c r="E274" s="8" t="s">
        <v>929</v>
      </c>
      <c r="F274" s="8" t="s">
        <v>825</v>
      </c>
      <c r="G274" s="6" t="e">
        <f>IF(F274="","",VLOOKUP(F274,'PLAN SUPORTE'!A:B,2,0))</f>
        <v>#N/A</v>
      </c>
      <c r="H274" s="7"/>
      <c r="I274" s="8" t="s">
        <v>692</v>
      </c>
      <c r="J274" s="8" t="s">
        <v>265</v>
      </c>
      <c r="K274" s="8" t="s">
        <v>25</v>
      </c>
      <c r="L274" s="8">
        <f>IF(K274="","",VLOOKUP(K274,'PLAN SUPORTE'!$H$2:$I$4,2,0))</f>
        <v>15</v>
      </c>
      <c r="M274" s="10"/>
      <c r="N274" s="10"/>
      <c r="O274" s="9" t="str">
        <f t="shared" si="36"/>
        <v>Em Andamento</v>
      </c>
      <c r="P274" s="10"/>
      <c r="Q274" s="6"/>
      <c r="R274" s="8" t="str">
        <f t="shared" si="46"/>
        <v/>
      </c>
    </row>
    <row r="275" spans="1:18" ht="13" hidden="1">
      <c r="A275" s="8">
        <v>5624</v>
      </c>
      <c r="B275" s="10">
        <v>45135</v>
      </c>
      <c r="C275" s="10">
        <v>45135</v>
      </c>
      <c r="D275" s="8" t="s">
        <v>931</v>
      </c>
      <c r="E275" s="8" t="s">
        <v>823</v>
      </c>
      <c r="F275" s="8" t="s">
        <v>759</v>
      </c>
      <c r="G275" s="6" t="e">
        <f>IF(F275="","",VLOOKUP(F275,'PLAN SUPORTE'!A:B,2,0))</f>
        <v>#N/A</v>
      </c>
      <c r="H275" s="7"/>
      <c r="I275" s="8" t="s">
        <v>692</v>
      </c>
      <c r="J275" s="8" t="s">
        <v>265</v>
      </c>
      <c r="K275" s="8" t="s">
        <v>25</v>
      </c>
      <c r="L275" s="8">
        <f>IF(K275="","",VLOOKUP(K275,'PLAN SUPORTE'!$H$2:$I$4,2,0))</f>
        <v>15</v>
      </c>
      <c r="M275" s="10"/>
      <c r="N275" s="10"/>
      <c r="O275" s="9" t="str">
        <f t="shared" si="36"/>
        <v>Em Andamento</v>
      </c>
      <c r="P275" s="10">
        <f t="shared" ref="P275:P282" si="47">IF(OR(C275="",L275=""),"",C275+L275)</f>
        <v>45150</v>
      </c>
      <c r="Q275" s="6" t="str">
        <f t="shared" ref="Q275:Q282" ca="1" si="48">IF(P275="","",IF(P275-TODAY()=0,"Vence Hoje!",IF(P275-TODAY()&gt;=0,P275-TODAY()&amp;" Dia(s) para vencer","Prazo Vencido")))</f>
        <v>Prazo Vencido</v>
      </c>
      <c r="R275" s="8" t="str">
        <f t="shared" si="46"/>
        <v/>
      </c>
    </row>
    <row r="276" spans="1:18" ht="13" hidden="1">
      <c r="A276" s="6">
        <v>5634</v>
      </c>
      <c r="B276" s="57">
        <v>45138</v>
      </c>
      <c r="C276" s="57">
        <v>45138</v>
      </c>
      <c r="D276" s="6" t="s">
        <v>932</v>
      </c>
      <c r="E276" s="6" t="s">
        <v>933</v>
      </c>
      <c r="F276" s="6" t="s">
        <v>748</v>
      </c>
      <c r="G276" s="6" t="e">
        <f>IF(F276="","",VLOOKUP(F276,'PLAN SUPORTE'!A:B,2,0))</f>
        <v>#N/A</v>
      </c>
      <c r="H276" s="7"/>
      <c r="I276" s="8" t="s">
        <v>692</v>
      </c>
      <c r="J276" s="8" t="s">
        <v>296</v>
      </c>
      <c r="K276" s="8" t="s">
        <v>25</v>
      </c>
      <c r="L276" s="8">
        <f>IF(K276="","",VLOOKUP(K276,'PLAN SUPORTE'!$H$2:$I$4,2,0))</f>
        <v>15</v>
      </c>
      <c r="M276" s="10"/>
      <c r="N276" s="10"/>
      <c r="O276" s="9" t="str">
        <f t="shared" si="36"/>
        <v>Em Andamento</v>
      </c>
      <c r="P276" s="10">
        <f t="shared" si="47"/>
        <v>45153</v>
      </c>
      <c r="Q276" s="6" t="str">
        <f t="shared" ca="1" si="48"/>
        <v>Prazo Vencido</v>
      </c>
      <c r="R276" s="8" t="str">
        <f t="shared" si="46"/>
        <v/>
      </c>
    </row>
    <row r="277" spans="1:18" ht="13" hidden="1">
      <c r="A277" s="8">
        <v>5642</v>
      </c>
      <c r="B277" s="10">
        <v>45138</v>
      </c>
      <c r="C277" s="10">
        <v>45149</v>
      </c>
      <c r="D277" s="8" t="s">
        <v>934</v>
      </c>
      <c r="E277" s="8"/>
      <c r="F277" s="8" t="s">
        <v>775</v>
      </c>
      <c r="G277" s="6" t="e">
        <f>IF(F277="","",VLOOKUP(F277,'PLAN SUPORTE'!A:B,2,0))</f>
        <v>#N/A</v>
      </c>
      <c r="H277" s="7"/>
      <c r="I277" s="8" t="s">
        <v>754</v>
      </c>
      <c r="J277" s="8" t="s">
        <v>265</v>
      </c>
      <c r="K277" s="8" t="s">
        <v>25</v>
      </c>
      <c r="L277" s="8">
        <f>IF(K277="","",VLOOKUP(K277,'PLAN SUPORTE'!$H$2:$I$4,2,0))</f>
        <v>15</v>
      </c>
      <c r="M277" s="10">
        <v>45175</v>
      </c>
      <c r="N277" s="10">
        <v>45180</v>
      </c>
      <c r="O277" s="9" t="str">
        <f t="shared" si="36"/>
        <v>Fora do Prazo</v>
      </c>
      <c r="P277" s="10">
        <f t="shared" si="47"/>
        <v>45164</v>
      </c>
      <c r="Q277" s="6" t="str">
        <f t="shared" ca="1" si="48"/>
        <v>Prazo Vencido</v>
      </c>
      <c r="R277" s="8">
        <f t="shared" si="46"/>
        <v>26</v>
      </c>
    </row>
    <row r="278" spans="1:18" ht="13" hidden="1">
      <c r="A278" s="8">
        <v>5643</v>
      </c>
      <c r="B278" s="10">
        <v>45138</v>
      </c>
      <c r="C278" s="10">
        <v>45138</v>
      </c>
      <c r="D278" s="8" t="s">
        <v>935</v>
      </c>
      <c r="E278" s="8"/>
      <c r="F278" s="8" t="s">
        <v>775</v>
      </c>
      <c r="G278" s="6" t="e">
        <f>IF(F278="","",VLOOKUP(F278,'PLAN SUPORTE'!A:B,2,0))</f>
        <v>#N/A</v>
      </c>
      <c r="H278" s="7"/>
      <c r="I278" s="8" t="s">
        <v>754</v>
      </c>
      <c r="J278" s="8" t="s">
        <v>265</v>
      </c>
      <c r="K278" s="8" t="s">
        <v>25</v>
      </c>
      <c r="L278" s="8">
        <f>IF(K278="","",VLOOKUP(K278,'PLAN SUPORTE'!$H$2:$I$4,2,0))</f>
        <v>15</v>
      </c>
      <c r="M278" s="10">
        <v>45175</v>
      </c>
      <c r="N278" s="10">
        <v>45180</v>
      </c>
      <c r="O278" s="9" t="str">
        <f t="shared" si="36"/>
        <v>Fora do Prazo</v>
      </c>
      <c r="P278" s="10">
        <f t="shared" si="47"/>
        <v>45153</v>
      </c>
      <c r="Q278" s="6" t="str">
        <f t="shared" ca="1" si="48"/>
        <v>Prazo Vencido</v>
      </c>
      <c r="R278" s="8">
        <f t="shared" si="46"/>
        <v>37</v>
      </c>
    </row>
    <row r="279" spans="1:18" ht="13">
      <c r="A279" s="8">
        <v>5644</v>
      </c>
      <c r="B279" s="10">
        <v>45106</v>
      </c>
      <c r="C279" s="10">
        <v>45106</v>
      </c>
      <c r="D279" s="8" t="s">
        <v>936</v>
      </c>
      <c r="E279" s="8"/>
      <c r="F279" s="8" t="s">
        <v>775</v>
      </c>
      <c r="G279" s="6" t="e">
        <f>IF(F279="","",VLOOKUP(F279,'PLAN SUPORTE'!A:B,2,0))</f>
        <v>#N/A</v>
      </c>
      <c r="H279" s="7"/>
      <c r="I279" s="8" t="s">
        <v>754</v>
      </c>
      <c r="J279" s="8" t="s">
        <v>24</v>
      </c>
      <c r="K279" s="8" t="s">
        <v>25</v>
      </c>
      <c r="L279" s="8">
        <f>IF(K279="","",VLOOKUP(K279,'PLAN SUPORTE'!$H$2:$I$4,2,0))</f>
        <v>15</v>
      </c>
      <c r="M279" s="10">
        <v>45175</v>
      </c>
      <c r="N279" s="10">
        <v>45184</v>
      </c>
      <c r="O279" s="9" t="str">
        <f t="shared" si="36"/>
        <v>Fora do Prazo</v>
      </c>
      <c r="P279" s="10">
        <f t="shared" si="47"/>
        <v>45121</v>
      </c>
      <c r="Q279" s="6" t="str">
        <f t="shared" ca="1" si="48"/>
        <v>Prazo Vencido</v>
      </c>
      <c r="R279" s="8">
        <f t="shared" si="46"/>
        <v>69</v>
      </c>
    </row>
    <row r="280" spans="1:18" ht="13">
      <c r="A280" s="8">
        <v>5646</v>
      </c>
      <c r="B280" s="10">
        <v>45138</v>
      </c>
      <c r="C280" s="10">
        <v>45138</v>
      </c>
      <c r="D280" s="8" t="s">
        <v>937</v>
      </c>
      <c r="E280" s="8"/>
      <c r="F280" s="8" t="s">
        <v>752</v>
      </c>
      <c r="G280" s="6" t="e">
        <f>IF(F280="","",VLOOKUP(F280,'PLAN SUPORTE'!A:B,2,0))</f>
        <v>#N/A</v>
      </c>
      <c r="H280" s="7"/>
      <c r="I280" s="8" t="s">
        <v>754</v>
      </c>
      <c r="J280" s="8" t="s">
        <v>24</v>
      </c>
      <c r="K280" s="8" t="s">
        <v>25</v>
      </c>
      <c r="L280" s="8">
        <f>IF(K280="","",VLOOKUP(K280,'PLAN SUPORTE'!$H$2:$I$4,2,0))</f>
        <v>15</v>
      </c>
      <c r="M280" s="10">
        <v>45177</v>
      </c>
      <c r="N280" s="10">
        <v>45181</v>
      </c>
      <c r="O280" s="9" t="str">
        <f t="shared" si="36"/>
        <v>Fora do Prazo</v>
      </c>
      <c r="P280" s="10">
        <f t="shared" si="47"/>
        <v>45153</v>
      </c>
      <c r="Q280" s="6" t="str">
        <f t="shared" ca="1" si="48"/>
        <v>Prazo Vencido</v>
      </c>
      <c r="R280" s="8">
        <f t="shared" si="46"/>
        <v>39</v>
      </c>
    </row>
    <row r="281" spans="1:18" ht="13">
      <c r="A281" s="8">
        <v>5647</v>
      </c>
      <c r="B281" s="10">
        <v>45138</v>
      </c>
      <c r="C281" s="10">
        <v>45138</v>
      </c>
      <c r="D281" s="8" t="s">
        <v>937</v>
      </c>
      <c r="E281" s="8"/>
      <c r="F281" s="8" t="s">
        <v>752</v>
      </c>
      <c r="G281" s="6" t="e">
        <f>IF(F281="","",VLOOKUP(F281,'PLAN SUPORTE'!A:B,2,0))</f>
        <v>#N/A</v>
      </c>
      <c r="H281" s="7"/>
      <c r="I281" s="8" t="s">
        <v>754</v>
      </c>
      <c r="J281" s="8" t="s">
        <v>24</v>
      </c>
      <c r="K281" s="8" t="s">
        <v>25</v>
      </c>
      <c r="L281" s="8">
        <f>IF(K281="","",VLOOKUP(K281,'PLAN SUPORTE'!$H$2:$I$4,2,0))</f>
        <v>15</v>
      </c>
      <c r="M281" s="10">
        <v>45175</v>
      </c>
      <c r="N281" s="10">
        <v>45181</v>
      </c>
      <c r="O281" s="9" t="str">
        <f t="shared" si="36"/>
        <v>Fora do Prazo</v>
      </c>
      <c r="P281" s="10">
        <f t="shared" si="47"/>
        <v>45153</v>
      </c>
      <c r="Q281" s="6" t="str">
        <f t="shared" ca="1" si="48"/>
        <v>Prazo Vencido</v>
      </c>
      <c r="R281" s="8">
        <f t="shared" si="46"/>
        <v>37</v>
      </c>
    </row>
    <row r="282" spans="1:18" ht="13" hidden="1">
      <c r="A282" s="8">
        <v>5648</v>
      </c>
      <c r="B282" s="10">
        <v>45138</v>
      </c>
      <c r="C282" s="10">
        <v>45138</v>
      </c>
      <c r="D282" s="8" t="s">
        <v>875</v>
      </c>
      <c r="E282" s="8"/>
      <c r="F282" s="8" t="s">
        <v>775</v>
      </c>
      <c r="G282" s="6" t="e">
        <f>IF(F282="","",VLOOKUP(F282,'PLAN SUPORTE'!A:B,2,0))</f>
        <v>#N/A</v>
      </c>
      <c r="H282" s="7"/>
      <c r="I282" s="8" t="s">
        <v>754</v>
      </c>
      <c r="J282" s="8" t="s">
        <v>265</v>
      </c>
      <c r="K282" s="8" t="s">
        <v>25</v>
      </c>
      <c r="L282" s="8">
        <f>IF(K282="","",VLOOKUP(K282,'PLAN SUPORTE'!$H$2:$I$4,2,0))</f>
        <v>15</v>
      </c>
      <c r="M282" s="10">
        <v>45175</v>
      </c>
      <c r="N282" s="10">
        <v>45180</v>
      </c>
      <c r="O282" s="9" t="str">
        <f t="shared" si="36"/>
        <v>Fora do Prazo</v>
      </c>
      <c r="P282" s="10">
        <f t="shared" si="47"/>
        <v>45153</v>
      </c>
      <c r="Q282" s="6" t="str">
        <f t="shared" ca="1" si="48"/>
        <v>Prazo Vencido</v>
      </c>
      <c r="R282" s="8">
        <f t="shared" si="46"/>
        <v>37</v>
      </c>
    </row>
    <row r="283" spans="1:18" ht="13" hidden="1">
      <c r="A283" s="8">
        <v>5657</v>
      </c>
      <c r="B283" s="10">
        <v>45139</v>
      </c>
      <c r="C283" s="10">
        <v>45139</v>
      </c>
      <c r="D283" s="58" t="s">
        <v>938</v>
      </c>
      <c r="E283" s="8"/>
      <c r="F283" s="8" t="s">
        <v>799</v>
      </c>
      <c r="G283" s="6"/>
      <c r="H283" s="7"/>
      <c r="I283" s="8" t="s">
        <v>754</v>
      </c>
      <c r="J283" s="58" t="s">
        <v>265</v>
      </c>
      <c r="K283" s="8" t="s">
        <v>25</v>
      </c>
      <c r="L283" s="8">
        <f>IF(K283="","",VLOOKUP(K283,'PLAN SUPORTE'!$H$2:$I$4,2,0))</f>
        <v>15</v>
      </c>
      <c r="M283" s="10"/>
      <c r="N283" s="10"/>
      <c r="O283" s="9"/>
      <c r="P283" s="10"/>
      <c r="Q283" s="6"/>
      <c r="R283" s="8"/>
    </row>
    <row r="284" spans="1:18" ht="13" hidden="1">
      <c r="A284" s="8">
        <v>6067</v>
      </c>
      <c r="B284" s="10">
        <v>45187</v>
      </c>
      <c r="C284" s="10">
        <v>45187</v>
      </c>
      <c r="D284" s="58" t="s">
        <v>935</v>
      </c>
      <c r="E284" s="8"/>
      <c r="F284" s="8" t="s">
        <v>799</v>
      </c>
      <c r="G284" s="6"/>
      <c r="H284" s="7"/>
      <c r="I284" s="8" t="s">
        <v>754</v>
      </c>
      <c r="J284" s="8" t="s">
        <v>265</v>
      </c>
      <c r="K284" s="8" t="s">
        <v>25</v>
      </c>
      <c r="L284" s="8"/>
      <c r="M284" s="10"/>
      <c r="N284" s="10"/>
      <c r="O284" s="9"/>
      <c r="P284" s="10"/>
      <c r="Q284" s="6"/>
      <c r="R284" s="8"/>
    </row>
    <row r="285" spans="1:18" ht="13" hidden="1">
      <c r="A285" s="8">
        <v>5667</v>
      </c>
      <c r="B285" s="10">
        <v>45140</v>
      </c>
      <c r="C285" s="10">
        <v>45140</v>
      </c>
      <c r="D285" s="8" t="s">
        <v>939</v>
      </c>
      <c r="E285" s="8"/>
      <c r="F285" s="8" t="s">
        <v>775</v>
      </c>
      <c r="G285" s="6" t="e">
        <f>IF(F285="","",VLOOKUP(F285,'PLAN SUPORTE'!A:B,2,0))</f>
        <v>#N/A</v>
      </c>
      <c r="H285" s="7"/>
      <c r="I285" s="8" t="s">
        <v>754</v>
      </c>
      <c r="J285" s="8" t="s">
        <v>265</v>
      </c>
      <c r="K285" s="8" t="s">
        <v>25</v>
      </c>
      <c r="L285" s="8">
        <f>IF(K285="","",VLOOKUP(K285,'PLAN SUPORTE'!$H$2:$I$4,2,0))</f>
        <v>15</v>
      </c>
      <c r="M285" s="10">
        <v>45175</v>
      </c>
      <c r="N285" s="10">
        <v>45180</v>
      </c>
      <c r="O285" s="9" t="str">
        <f t="shared" ref="O285:O315" si="49">IF(AND(C285="",K285=""),"",IF(R285="","Em Andamento",IF(M285&lt;=P285,"Dentro do Prazo","Fora do Prazo")))</f>
        <v>Fora do Prazo</v>
      </c>
      <c r="P285" s="10">
        <f t="shared" ref="P285:P302" si="50">IF(OR(C285="",L285=""),"",C285+L285)</f>
        <v>45155</v>
      </c>
      <c r="Q285" s="6" t="str">
        <f t="shared" ref="Q285:Q312" ca="1" si="51">IF(P285="","",IF(P285-TODAY()=0,"Vence Hoje!",IF(P285-TODAY()&gt;=0,P285-TODAY()&amp;" Dia(s) para vencer","Prazo Vencido")))</f>
        <v>Prazo Vencido</v>
      </c>
      <c r="R285" s="8">
        <f t="shared" ref="R285:R312" si="52">IF(OR(C285="",M285=""),"",M285-C285)</f>
        <v>35</v>
      </c>
    </row>
    <row r="286" spans="1:18" ht="13">
      <c r="A286" s="8">
        <v>5697</v>
      </c>
      <c r="B286" s="10">
        <v>45141</v>
      </c>
      <c r="C286" s="10">
        <v>45141</v>
      </c>
      <c r="D286" s="8" t="s">
        <v>746</v>
      </c>
      <c r="E286" s="8"/>
      <c r="F286" s="8" t="s">
        <v>759</v>
      </c>
      <c r="G286" s="6" t="e">
        <f>IF(F286="","",VLOOKUP(F286,'PLAN SUPORTE'!A:B,2,0))</f>
        <v>#N/A</v>
      </c>
      <c r="H286" s="7"/>
      <c r="I286" s="8" t="s">
        <v>692</v>
      </c>
      <c r="J286" s="8" t="s">
        <v>24</v>
      </c>
      <c r="K286" s="8" t="s">
        <v>25</v>
      </c>
      <c r="L286" s="8">
        <f>IF(K286="","",VLOOKUP(K286,'PLAN SUPORTE'!$H$2:$I$4,2,0))</f>
        <v>15</v>
      </c>
      <c r="M286" s="10">
        <v>45162</v>
      </c>
      <c r="N286" s="10">
        <v>45166</v>
      </c>
      <c r="O286" s="9" t="str">
        <f t="shared" si="49"/>
        <v>Fora do Prazo</v>
      </c>
      <c r="P286" s="10">
        <f t="shared" si="50"/>
        <v>45156</v>
      </c>
      <c r="Q286" s="6" t="str">
        <f t="shared" ca="1" si="51"/>
        <v>Prazo Vencido</v>
      </c>
      <c r="R286" s="8">
        <f t="shared" si="52"/>
        <v>21</v>
      </c>
    </row>
    <row r="287" spans="1:18" ht="13" hidden="1">
      <c r="A287" s="6">
        <v>5718</v>
      </c>
      <c r="B287" s="57">
        <v>45142</v>
      </c>
      <c r="C287" s="57">
        <v>45142</v>
      </c>
      <c r="D287" s="6" t="s">
        <v>940</v>
      </c>
      <c r="E287" s="6" t="s">
        <v>941</v>
      </c>
      <c r="F287" s="6" t="s">
        <v>705</v>
      </c>
      <c r="G287" s="6" t="e">
        <f>IF(F287="","",VLOOKUP(F287,'PLAN SUPORTE'!A:B,2,0))</f>
        <v>#N/A</v>
      </c>
      <c r="H287" s="7"/>
      <c r="I287" s="8" t="s">
        <v>692</v>
      </c>
      <c r="J287" s="8"/>
      <c r="K287" s="8" t="s">
        <v>25</v>
      </c>
      <c r="L287" s="8">
        <f>IF(K287="","",VLOOKUP(K287,'PLAN SUPORTE'!$H$2:$I$4,2,0))</f>
        <v>15</v>
      </c>
      <c r="M287" s="10"/>
      <c r="N287" s="10"/>
      <c r="O287" s="9" t="str">
        <f t="shared" si="49"/>
        <v>Em Andamento</v>
      </c>
      <c r="P287" s="10">
        <f t="shared" si="50"/>
        <v>45157</v>
      </c>
      <c r="Q287" s="6" t="str">
        <f t="shared" ca="1" si="51"/>
        <v>Prazo Vencido</v>
      </c>
      <c r="R287" s="8" t="str">
        <f t="shared" si="52"/>
        <v/>
      </c>
    </row>
    <row r="288" spans="1:18" ht="13">
      <c r="A288" s="8">
        <v>5736</v>
      </c>
      <c r="B288" s="10">
        <v>45149</v>
      </c>
      <c r="C288" s="10">
        <v>45149</v>
      </c>
      <c r="D288" s="8" t="s">
        <v>934</v>
      </c>
      <c r="E288" s="8"/>
      <c r="F288" s="8" t="s">
        <v>799</v>
      </c>
      <c r="G288" s="6" t="e">
        <f>IF(F288="","",VLOOKUP(F288,'PLAN SUPORTE'!A:B,2,0))</f>
        <v>#N/A</v>
      </c>
      <c r="H288" s="7"/>
      <c r="I288" s="8" t="s">
        <v>754</v>
      </c>
      <c r="J288" s="8" t="s">
        <v>24</v>
      </c>
      <c r="K288" s="8" t="s">
        <v>25</v>
      </c>
      <c r="L288" s="8">
        <f>IF(K288="","",VLOOKUP(K288,'PLAN SUPORTE'!$H$2:$I$4,2,0))</f>
        <v>15</v>
      </c>
      <c r="M288" s="10">
        <v>45175</v>
      </c>
      <c r="N288" s="10">
        <v>45180</v>
      </c>
      <c r="O288" s="9" t="str">
        <f t="shared" si="49"/>
        <v>Fora do Prazo</v>
      </c>
      <c r="P288" s="10">
        <f t="shared" si="50"/>
        <v>45164</v>
      </c>
      <c r="Q288" s="6" t="str">
        <f t="shared" ca="1" si="51"/>
        <v>Prazo Vencido</v>
      </c>
      <c r="R288" s="8">
        <f t="shared" si="52"/>
        <v>26</v>
      </c>
    </row>
    <row r="289" spans="1:18" ht="13">
      <c r="A289" s="8">
        <v>5738</v>
      </c>
      <c r="B289" s="10">
        <v>45149</v>
      </c>
      <c r="C289" s="10">
        <v>45149</v>
      </c>
      <c r="D289" s="8" t="s">
        <v>935</v>
      </c>
      <c r="E289" s="8"/>
      <c r="F289" s="8" t="s">
        <v>752</v>
      </c>
      <c r="G289" s="6" t="e">
        <f>IF(F289="","",VLOOKUP(F289,'PLAN SUPORTE'!A:B,2,0))</f>
        <v>#N/A</v>
      </c>
      <c r="H289" s="7"/>
      <c r="I289" s="8" t="s">
        <v>754</v>
      </c>
      <c r="J289" s="8" t="s">
        <v>24</v>
      </c>
      <c r="K289" s="8" t="s">
        <v>25</v>
      </c>
      <c r="L289" s="8">
        <f>IF(K289="","",VLOOKUP(K289,'PLAN SUPORTE'!$H$2:$I$4,2,0))</f>
        <v>15</v>
      </c>
      <c r="M289" s="10">
        <v>45175</v>
      </c>
      <c r="N289" s="10">
        <v>45191</v>
      </c>
      <c r="O289" s="9" t="str">
        <f t="shared" si="49"/>
        <v>Fora do Prazo</v>
      </c>
      <c r="P289" s="10">
        <f t="shared" si="50"/>
        <v>45164</v>
      </c>
      <c r="Q289" s="6" t="str">
        <f t="shared" ca="1" si="51"/>
        <v>Prazo Vencido</v>
      </c>
      <c r="R289" s="8">
        <f t="shared" si="52"/>
        <v>26</v>
      </c>
    </row>
    <row r="290" spans="1:18" ht="13" hidden="1">
      <c r="A290" s="8">
        <v>5740</v>
      </c>
      <c r="B290" s="10">
        <v>45149</v>
      </c>
      <c r="C290" s="10">
        <v>45149</v>
      </c>
      <c r="D290" s="8" t="s">
        <v>935</v>
      </c>
      <c r="E290" s="8"/>
      <c r="F290" s="8" t="s">
        <v>775</v>
      </c>
      <c r="G290" s="6" t="e">
        <f>IF(F290="","",VLOOKUP(F290,'PLAN SUPORTE'!A:B,2,0))</f>
        <v>#N/A</v>
      </c>
      <c r="H290" s="7"/>
      <c r="I290" s="8" t="s">
        <v>754</v>
      </c>
      <c r="J290" s="8" t="s">
        <v>265</v>
      </c>
      <c r="K290" s="8" t="s">
        <v>25</v>
      </c>
      <c r="L290" s="8">
        <f>IF(K290="","",VLOOKUP(K290,'PLAN SUPORTE'!$H$2:$I$4,2,0))</f>
        <v>15</v>
      </c>
      <c r="M290" s="10">
        <v>45175</v>
      </c>
      <c r="N290" s="10">
        <v>45180</v>
      </c>
      <c r="O290" s="9" t="str">
        <f t="shared" si="49"/>
        <v>Fora do Prazo</v>
      </c>
      <c r="P290" s="10">
        <f t="shared" si="50"/>
        <v>45164</v>
      </c>
      <c r="Q290" s="6" t="str">
        <f t="shared" ca="1" si="51"/>
        <v>Prazo Vencido</v>
      </c>
      <c r="R290" s="8">
        <f t="shared" si="52"/>
        <v>26</v>
      </c>
    </row>
    <row r="291" spans="1:18" ht="18" hidden="1" customHeight="1">
      <c r="A291" s="8">
        <v>5742</v>
      </c>
      <c r="B291" s="10">
        <v>45149</v>
      </c>
      <c r="C291" s="10">
        <v>45149</v>
      </c>
      <c r="D291" s="8" t="s">
        <v>935</v>
      </c>
      <c r="E291" s="8"/>
      <c r="F291" s="8" t="s">
        <v>775</v>
      </c>
      <c r="G291" s="6" t="e">
        <f>IF(F291="","",VLOOKUP(F291,'PLAN SUPORTE'!A:B,2,0))</f>
        <v>#N/A</v>
      </c>
      <c r="H291" s="7"/>
      <c r="I291" s="8" t="s">
        <v>754</v>
      </c>
      <c r="J291" s="8" t="s">
        <v>265</v>
      </c>
      <c r="K291" s="8" t="s">
        <v>25</v>
      </c>
      <c r="L291" s="8">
        <f>IF(K291="","",VLOOKUP(K291,'PLAN SUPORTE'!$H$2:$I$4,2,0))</f>
        <v>15</v>
      </c>
      <c r="M291" s="10">
        <v>45175</v>
      </c>
      <c r="N291" s="10">
        <v>45180</v>
      </c>
      <c r="O291" s="9" t="str">
        <f t="shared" si="49"/>
        <v>Fora do Prazo</v>
      </c>
      <c r="P291" s="10">
        <f t="shared" si="50"/>
        <v>45164</v>
      </c>
      <c r="Q291" s="6" t="str">
        <f t="shared" ca="1" si="51"/>
        <v>Prazo Vencido</v>
      </c>
      <c r="R291" s="8">
        <f t="shared" si="52"/>
        <v>26</v>
      </c>
    </row>
    <row r="292" spans="1:18" ht="18" hidden="1" customHeight="1">
      <c r="A292" s="8">
        <v>5743</v>
      </c>
      <c r="B292" s="10">
        <v>45149</v>
      </c>
      <c r="C292" s="10">
        <v>45149</v>
      </c>
      <c r="D292" s="8" t="s">
        <v>935</v>
      </c>
      <c r="E292" s="8"/>
      <c r="F292" s="8" t="s">
        <v>775</v>
      </c>
      <c r="G292" s="6" t="e">
        <f>IF(F292="","",VLOOKUP(F292,'PLAN SUPORTE'!A:B,2,0))</f>
        <v>#N/A</v>
      </c>
      <c r="H292" s="7"/>
      <c r="I292" s="8" t="s">
        <v>754</v>
      </c>
      <c r="J292" s="8" t="s">
        <v>265</v>
      </c>
      <c r="K292" s="8" t="s">
        <v>25</v>
      </c>
      <c r="L292" s="8">
        <f>IF(K292="","",VLOOKUP(K292,'PLAN SUPORTE'!$H$2:$I$4,2,0))</f>
        <v>15</v>
      </c>
      <c r="M292" s="10">
        <v>45175</v>
      </c>
      <c r="N292" s="10">
        <v>45180</v>
      </c>
      <c r="O292" s="9" t="str">
        <f t="shared" si="49"/>
        <v>Fora do Prazo</v>
      </c>
      <c r="P292" s="10">
        <f t="shared" si="50"/>
        <v>45164</v>
      </c>
      <c r="Q292" s="6" t="str">
        <f t="shared" ca="1" si="51"/>
        <v>Prazo Vencido</v>
      </c>
      <c r="R292" s="8">
        <f t="shared" si="52"/>
        <v>26</v>
      </c>
    </row>
    <row r="293" spans="1:18" ht="15" customHeight="1">
      <c r="A293" s="8">
        <v>5753</v>
      </c>
      <c r="B293" s="10">
        <v>45153</v>
      </c>
      <c r="C293" s="10">
        <v>45153</v>
      </c>
      <c r="D293" s="8" t="s">
        <v>771</v>
      </c>
      <c r="E293" s="8"/>
      <c r="F293" s="8" t="s">
        <v>803</v>
      </c>
      <c r="G293" s="6" t="e">
        <f>IF(F293="","",VLOOKUP(F293,'PLAN SUPORTE'!A:B,2,0))</f>
        <v>#N/A</v>
      </c>
      <c r="H293" s="7"/>
      <c r="I293" s="8" t="s">
        <v>692</v>
      </c>
      <c r="J293" s="8" t="s">
        <v>24</v>
      </c>
      <c r="K293" s="8" t="s">
        <v>25</v>
      </c>
      <c r="L293" s="8">
        <f>IF(K293="","",VLOOKUP(K293,'PLAN SUPORTE'!$H$2:$I$4,2,0))</f>
        <v>15</v>
      </c>
      <c r="M293" s="10">
        <v>45162</v>
      </c>
      <c r="N293" s="10">
        <v>45166</v>
      </c>
      <c r="O293" s="9" t="str">
        <f t="shared" si="49"/>
        <v>Dentro do Prazo</v>
      </c>
      <c r="P293" s="10">
        <f t="shared" si="50"/>
        <v>45168</v>
      </c>
      <c r="Q293" s="6" t="str">
        <f t="shared" ca="1" si="51"/>
        <v>Prazo Vencido</v>
      </c>
      <c r="R293" s="8">
        <f t="shared" si="52"/>
        <v>9</v>
      </c>
    </row>
    <row r="294" spans="1:18" ht="15" hidden="1" customHeight="1">
      <c r="A294" s="6">
        <v>5765</v>
      </c>
      <c r="B294" s="57">
        <v>45155</v>
      </c>
      <c r="C294" s="57">
        <v>45155</v>
      </c>
      <c r="D294" s="6" t="s">
        <v>932</v>
      </c>
      <c r="E294" s="6" t="s">
        <v>933</v>
      </c>
      <c r="F294" s="6" t="s">
        <v>705</v>
      </c>
      <c r="G294" s="6" t="e">
        <f>IF(F294="","",VLOOKUP(F294,'PLAN SUPORTE'!A:B,2,0))</f>
        <v>#N/A</v>
      </c>
      <c r="H294" s="7"/>
      <c r="I294" s="8" t="s">
        <v>692</v>
      </c>
      <c r="J294" s="8"/>
      <c r="K294" s="8" t="s">
        <v>25</v>
      </c>
      <c r="L294" s="8">
        <f>IF(K294="","",VLOOKUP(K294,'PLAN SUPORTE'!$H$2:$I$4,2,0))</f>
        <v>15</v>
      </c>
      <c r="M294" s="10"/>
      <c r="N294" s="10"/>
      <c r="O294" s="9" t="str">
        <f t="shared" si="49"/>
        <v>Em Andamento</v>
      </c>
      <c r="P294" s="10">
        <f t="shared" si="50"/>
        <v>45170</v>
      </c>
      <c r="Q294" s="6" t="str">
        <f t="shared" ca="1" si="51"/>
        <v>Prazo Vencido</v>
      </c>
      <c r="R294" s="8" t="str">
        <f t="shared" si="52"/>
        <v/>
      </c>
    </row>
    <row r="295" spans="1:18" ht="15" customHeight="1">
      <c r="A295" s="8">
        <v>5769</v>
      </c>
      <c r="B295" s="10">
        <v>45155</v>
      </c>
      <c r="C295" s="10">
        <v>45155</v>
      </c>
      <c r="D295" s="8" t="s">
        <v>771</v>
      </c>
      <c r="E295" s="8"/>
      <c r="F295" s="8" t="s">
        <v>699</v>
      </c>
      <c r="G295" s="6" t="e">
        <f>IF(F295="","",VLOOKUP(F295,'PLAN SUPORTE'!A:B,2,0))</f>
        <v>#N/A</v>
      </c>
      <c r="H295" s="7"/>
      <c r="I295" s="8" t="s">
        <v>692</v>
      </c>
      <c r="J295" s="8" t="s">
        <v>24</v>
      </c>
      <c r="K295" s="8" t="s">
        <v>25</v>
      </c>
      <c r="L295" s="8">
        <f>IF(K295="","",VLOOKUP(K295,'PLAN SUPORTE'!$H$2:$I$4,2,0))</f>
        <v>15</v>
      </c>
      <c r="M295" s="10">
        <v>45163</v>
      </c>
      <c r="N295" s="10">
        <v>45135</v>
      </c>
      <c r="O295" s="9" t="str">
        <f t="shared" si="49"/>
        <v>Dentro do Prazo</v>
      </c>
      <c r="P295" s="10">
        <f t="shared" si="50"/>
        <v>45170</v>
      </c>
      <c r="Q295" s="6" t="str">
        <f t="shared" ca="1" si="51"/>
        <v>Prazo Vencido</v>
      </c>
      <c r="R295" s="8">
        <f t="shared" si="52"/>
        <v>8</v>
      </c>
    </row>
    <row r="296" spans="1:18" ht="15" customHeight="1">
      <c r="A296" s="8">
        <v>5785</v>
      </c>
      <c r="B296" s="10">
        <v>45160</v>
      </c>
      <c r="C296" s="10">
        <v>45160</v>
      </c>
      <c r="D296" s="8" t="s">
        <v>942</v>
      </c>
      <c r="E296" s="8"/>
      <c r="F296" s="8" t="s">
        <v>943</v>
      </c>
      <c r="G296" s="6" t="e">
        <f>IF(F296="","",VLOOKUP(F296,'PLAN SUPORTE'!A:B,2,0))</f>
        <v>#N/A</v>
      </c>
      <c r="H296" s="7"/>
      <c r="I296" s="8" t="s">
        <v>692</v>
      </c>
      <c r="J296" s="8" t="s">
        <v>24</v>
      </c>
      <c r="K296" s="8" t="s">
        <v>25</v>
      </c>
      <c r="L296" s="8">
        <f>IF(K296="","",VLOOKUP(K296,'PLAN SUPORTE'!$H$2:$I$4,2,0))</f>
        <v>15</v>
      </c>
      <c r="M296" s="10">
        <v>45167</v>
      </c>
      <c r="N296" s="10">
        <v>45182</v>
      </c>
      <c r="O296" s="9" t="str">
        <f t="shared" si="49"/>
        <v>Dentro do Prazo</v>
      </c>
      <c r="P296" s="10">
        <f t="shared" si="50"/>
        <v>45175</v>
      </c>
      <c r="Q296" s="6" t="str">
        <f t="shared" ca="1" si="51"/>
        <v>Prazo Vencido</v>
      </c>
      <c r="R296" s="8">
        <f t="shared" si="52"/>
        <v>7</v>
      </c>
    </row>
    <row r="297" spans="1:18" ht="15" customHeight="1">
      <c r="A297" s="8">
        <v>5788</v>
      </c>
      <c r="B297" s="10">
        <v>45161</v>
      </c>
      <c r="C297" s="10">
        <v>45161</v>
      </c>
      <c r="D297" s="8" t="s">
        <v>771</v>
      </c>
      <c r="E297" s="8"/>
      <c r="F297" s="8" t="s">
        <v>748</v>
      </c>
      <c r="G297" s="6" t="e">
        <f>IF(F297="","",VLOOKUP(F297,'PLAN SUPORTE'!A:B,2,0))</f>
        <v>#N/A</v>
      </c>
      <c r="H297" s="7"/>
      <c r="I297" s="8" t="s">
        <v>692</v>
      </c>
      <c r="J297" s="8" t="s">
        <v>24</v>
      </c>
      <c r="K297" s="8" t="s">
        <v>25</v>
      </c>
      <c r="L297" s="8">
        <f>IF(K297="","",VLOOKUP(K297,'PLAN SUPORTE'!$H$2:$I$4,2,0))</f>
        <v>15</v>
      </c>
      <c r="M297" s="10">
        <v>45162</v>
      </c>
      <c r="N297" s="10">
        <v>45166</v>
      </c>
      <c r="O297" s="9" t="str">
        <f t="shared" si="49"/>
        <v>Dentro do Prazo</v>
      </c>
      <c r="P297" s="10">
        <f t="shared" si="50"/>
        <v>45176</v>
      </c>
      <c r="Q297" s="6" t="str">
        <f t="shared" ca="1" si="51"/>
        <v>Prazo Vencido</v>
      </c>
      <c r="R297" s="8">
        <f t="shared" si="52"/>
        <v>1</v>
      </c>
    </row>
    <row r="298" spans="1:18" ht="15" customHeight="1">
      <c r="A298" s="8">
        <v>5804</v>
      </c>
      <c r="B298" s="10">
        <v>45160</v>
      </c>
      <c r="C298" s="10">
        <v>45160</v>
      </c>
      <c r="D298" s="8" t="s">
        <v>771</v>
      </c>
      <c r="E298" s="8"/>
      <c r="F298" s="8" t="s">
        <v>944</v>
      </c>
      <c r="G298" s="6" t="e">
        <f>IF(F298="","",VLOOKUP(F298,'PLAN SUPORTE'!A:B,2,0))</f>
        <v>#N/A</v>
      </c>
      <c r="H298" s="7"/>
      <c r="I298" s="8" t="s">
        <v>692</v>
      </c>
      <c r="J298" s="8" t="s">
        <v>24</v>
      </c>
      <c r="K298" s="8" t="s">
        <v>25</v>
      </c>
      <c r="L298" s="8">
        <f>IF(K298="","",VLOOKUP(K298,'PLAN SUPORTE'!$H$2:$I$4,2,0))</f>
        <v>15</v>
      </c>
      <c r="M298" s="10">
        <v>45162</v>
      </c>
      <c r="N298" s="10">
        <v>45166</v>
      </c>
      <c r="O298" s="9" t="str">
        <f t="shared" si="49"/>
        <v>Dentro do Prazo</v>
      </c>
      <c r="P298" s="10">
        <f t="shared" si="50"/>
        <v>45175</v>
      </c>
      <c r="Q298" s="6" t="str">
        <f t="shared" ca="1" si="51"/>
        <v>Prazo Vencido</v>
      </c>
      <c r="R298" s="8">
        <f t="shared" si="52"/>
        <v>2</v>
      </c>
    </row>
    <row r="299" spans="1:18" ht="15" customHeight="1">
      <c r="A299" s="8">
        <v>5807</v>
      </c>
      <c r="B299" s="10">
        <v>45160</v>
      </c>
      <c r="C299" s="10">
        <v>45160</v>
      </c>
      <c r="D299" s="8" t="s">
        <v>771</v>
      </c>
      <c r="E299" s="8"/>
      <c r="F299" s="8" t="s">
        <v>944</v>
      </c>
      <c r="G299" s="6" t="e">
        <f>IF(F299="","",VLOOKUP(F299,'PLAN SUPORTE'!A:B,2,0))</f>
        <v>#N/A</v>
      </c>
      <c r="H299" s="7"/>
      <c r="I299" s="8" t="s">
        <v>692</v>
      </c>
      <c r="J299" s="8" t="s">
        <v>24</v>
      </c>
      <c r="K299" s="8" t="s">
        <v>25</v>
      </c>
      <c r="L299" s="8">
        <f>IF(K299="","",VLOOKUP(K299,'PLAN SUPORTE'!$H$2:$I$4,2,0))</f>
        <v>15</v>
      </c>
      <c r="M299" s="10">
        <v>45163</v>
      </c>
      <c r="N299" s="10">
        <v>45135</v>
      </c>
      <c r="O299" s="9" t="str">
        <f t="shared" si="49"/>
        <v>Dentro do Prazo</v>
      </c>
      <c r="P299" s="10">
        <f t="shared" si="50"/>
        <v>45175</v>
      </c>
      <c r="Q299" s="6" t="str">
        <f t="shared" ca="1" si="51"/>
        <v>Prazo Vencido</v>
      </c>
      <c r="R299" s="8">
        <f t="shared" si="52"/>
        <v>3</v>
      </c>
    </row>
    <row r="300" spans="1:18" ht="15" customHeight="1">
      <c r="A300" s="8">
        <v>5810</v>
      </c>
      <c r="B300" s="10">
        <v>45160</v>
      </c>
      <c r="C300" s="10">
        <v>45160</v>
      </c>
      <c r="D300" s="8" t="s">
        <v>771</v>
      </c>
      <c r="E300" s="8"/>
      <c r="F300" s="8" t="s">
        <v>945</v>
      </c>
      <c r="G300" s="6" t="e">
        <f>IF(F300="","",VLOOKUP(F300,'PLAN SUPORTE'!A:B,2,0))</f>
        <v>#N/A</v>
      </c>
      <c r="H300" s="7"/>
      <c r="I300" s="8" t="s">
        <v>692</v>
      </c>
      <c r="J300" s="8" t="s">
        <v>24</v>
      </c>
      <c r="K300" s="8" t="s">
        <v>25</v>
      </c>
      <c r="L300" s="8">
        <f>IF(K300="","",VLOOKUP(K300,'PLAN SUPORTE'!$H$2:$I$4,2,0))</f>
        <v>15</v>
      </c>
      <c r="M300" s="10">
        <v>45162</v>
      </c>
      <c r="N300" s="10">
        <v>45166</v>
      </c>
      <c r="O300" s="9" t="str">
        <f t="shared" si="49"/>
        <v>Dentro do Prazo</v>
      </c>
      <c r="P300" s="10">
        <f t="shared" si="50"/>
        <v>45175</v>
      </c>
      <c r="Q300" s="6" t="str">
        <f t="shared" ca="1" si="51"/>
        <v>Prazo Vencido</v>
      </c>
      <c r="R300" s="8">
        <f t="shared" si="52"/>
        <v>2</v>
      </c>
    </row>
    <row r="301" spans="1:18" ht="15" customHeight="1">
      <c r="A301" s="8">
        <v>5814</v>
      </c>
      <c r="B301" s="10">
        <v>45161</v>
      </c>
      <c r="C301" s="10">
        <v>45161</v>
      </c>
      <c r="D301" s="8" t="s">
        <v>746</v>
      </c>
      <c r="E301" s="8"/>
      <c r="F301" s="8" t="s">
        <v>945</v>
      </c>
      <c r="G301" s="6" t="e">
        <f>IF(F301="","",VLOOKUP(F301,'PLAN SUPORTE'!A:B,2,0))</f>
        <v>#N/A</v>
      </c>
      <c r="H301" s="7"/>
      <c r="I301" s="8" t="s">
        <v>692</v>
      </c>
      <c r="J301" s="8" t="s">
        <v>24</v>
      </c>
      <c r="K301" s="8" t="s">
        <v>25</v>
      </c>
      <c r="L301" s="8">
        <f>IF(K301="","",VLOOKUP(K301,'PLAN SUPORTE'!$H$2:$I$4,2,0))</f>
        <v>15</v>
      </c>
      <c r="M301" s="10">
        <v>45162</v>
      </c>
      <c r="N301" s="10">
        <v>45166</v>
      </c>
      <c r="O301" s="9" t="str">
        <f t="shared" si="49"/>
        <v>Dentro do Prazo</v>
      </c>
      <c r="P301" s="10">
        <f t="shared" si="50"/>
        <v>45176</v>
      </c>
      <c r="Q301" s="6" t="str">
        <f t="shared" ca="1" si="51"/>
        <v>Prazo Vencido</v>
      </c>
      <c r="R301" s="8">
        <f t="shared" si="52"/>
        <v>1</v>
      </c>
    </row>
    <row r="302" spans="1:18" ht="15" customHeight="1">
      <c r="A302" s="8">
        <v>5820</v>
      </c>
      <c r="B302" s="10">
        <v>45160</v>
      </c>
      <c r="C302" s="10">
        <v>45160</v>
      </c>
      <c r="D302" s="8" t="s">
        <v>771</v>
      </c>
      <c r="E302" s="8"/>
      <c r="F302" s="8" t="s">
        <v>945</v>
      </c>
      <c r="G302" s="6" t="e">
        <f>IF(F302="","",VLOOKUP(F302,'PLAN SUPORTE'!A:B,2,0))</f>
        <v>#N/A</v>
      </c>
      <c r="H302" s="7"/>
      <c r="I302" s="8" t="s">
        <v>692</v>
      </c>
      <c r="J302" s="8" t="s">
        <v>24</v>
      </c>
      <c r="K302" s="8" t="s">
        <v>25</v>
      </c>
      <c r="L302" s="8">
        <f>IF(K302="","",VLOOKUP(K302,'PLAN SUPORTE'!$H$2:$I$4,2,0))</f>
        <v>15</v>
      </c>
      <c r="M302" s="10">
        <v>45162</v>
      </c>
      <c r="N302" s="10">
        <v>45166</v>
      </c>
      <c r="O302" s="9" t="str">
        <f t="shared" si="49"/>
        <v>Dentro do Prazo</v>
      </c>
      <c r="P302" s="10">
        <f t="shared" si="50"/>
        <v>45175</v>
      </c>
      <c r="Q302" s="6" t="str">
        <f t="shared" ca="1" si="51"/>
        <v>Prazo Vencido</v>
      </c>
      <c r="R302" s="8">
        <f t="shared" si="52"/>
        <v>2</v>
      </c>
    </row>
    <row r="303" spans="1:18" ht="13">
      <c r="A303" s="8">
        <v>5826</v>
      </c>
      <c r="B303" s="10">
        <v>45160</v>
      </c>
      <c r="C303" s="10">
        <v>45160</v>
      </c>
      <c r="D303" s="8" t="s">
        <v>931</v>
      </c>
      <c r="E303" s="8"/>
      <c r="F303" s="8" t="s">
        <v>945</v>
      </c>
      <c r="G303" s="6" t="e">
        <f>IF(F303="","",VLOOKUP(F303,'PLAN SUPORTE'!A:B,2,0))</f>
        <v>#N/A</v>
      </c>
      <c r="H303" s="7"/>
      <c r="I303" s="8" t="s">
        <v>692</v>
      </c>
      <c r="J303" s="8" t="s">
        <v>24</v>
      </c>
      <c r="K303" s="8" t="s">
        <v>25</v>
      </c>
      <c r="L303" s="8">
        <f>IF(K303="","",VLOOKUP(K303,'PLAN SUPORTE'!$H$2:$I$4,2,0))</f>
        <v>15</v>
      </c>
      <c r="M303" s="10">
        <v>45163</v>
      </c>
      <c r="N303" s="10">
        <v>45166</v>
      </c>
      <c r="O303" s="9" t="str">
        <f t="shared" si="49"/>
        <v>Dentro do Prazo</v>
      </c>
      <c r="P303" s="10">
        <v>45163</v>
      </c>
      <c r="Q303" s="6" t="str">
        <f t="shared" ca="1" si="51"/>
        <v>Prazo Vencido</v>
      </c>
      <c r="R303" s="8">
        <f t="shared" si="52"/>
        <v>3</v>
      </c>
    </row>
    <row r="304" spans="1:18" ht="13">
      <c r="A304" s="8">
        <v>5832</v>
      </c>
      <c r="B304" s="10">
        <v>45160</v>
      </c>
      <c r="C304" s="10">
        <v>45160</v>
      </c>
      <c r="D304" s="8" t="s">
        <v>771</v>
      </c>
      <c r="E304" s="8"/>
      <c r="F304" s="8" t="s">
        <v>945</v>
      </c>
      <c r="G304" s="6" t="e">
        <f>IF(F304="","",VLOOKUP(F304,'PLAN SUPORTE'!A:B,2,0))</f>
        <v>#N/A</v>
      </c>
      <c r="H304" s="7"/>
      <c r="I304" s="8" t="s">
        <v>692</v>
      </c>
      <c r="J304" s="8" t="s">
        <v>24</v>
      </c>
      <c r="K304" s="8" t="s">
        <v>25</v>
      </c>
      <c r="L304" s="8">
        <f>IF(K304="","",VLOOKUP(K304,'PLAN SUPORTE'!$H$2:$I$4,2,0))</f>
        <v>15</v>
      </c>
      <c r="M304" s="10">
        <v>45163</v>
      </c>
      <c r="N304" s="10">
        <v>45135</v>
      </c>
      <c r="O304" s="9" t="str">
        <f t="shared" si="49"/>
        <v>Dentro do Prazo</v>
      </c>
      <c r="P304" s="10">
        <f t="shared" ref="P304:P312" si="53">IF(OR(C304="",L304=""),"",C304+L304)</f>
        <v>45175</v>
      </c>
      <c r="Q304" s="6" t="str">
        <f t="shared" ca="1" si="51"/>
        <v>Prazo Vencido</v>
      </c>
      <c r="R304" s="8">
        <f t="shared" si="52"/>
        <v>3</v>
      </c>
    </row>
    <row r="305" spans="1:18" ht="13">
      <c r="A305" s="8">
        <v>5834</v>
      </c>
      <c r="B305" s="10">
        <v>45160</v>
      </c>
      <c r="C305" s="10">
        <v>45160</v>
      </c>
      <c r="D305" s="8" t="s">
        <v>746</v>
      </c>
      <c r="E305" s="8"/>
      <c r="F305" s="8" t="s">
        <v>945</v>
      </c>
      <c r="G305" s="6" t="e">
        <f>IF(F305="","",VLOOKUP(F305,'PLAN SUPORTE'!A:B,2,0))</f>
        <v>#N/A</v>
      </c>
      <c r="H305" s="7"/>
      <c r="I305" s="8" t="s">
        <v>692</v>
      </c>
      <c r="J305" s="8" t="s">
        <v>24</v>
      </c>
      <c r="K305" s="8" t="s">
        <v>25</v>
      </c>
      <c r="L305" s="8">
        <f>IF(K305="","",VLOOKUP(K305,'PLAN SUPORTE'!$H$2:$I$4,2,0))</f>
        <v>15</v>
      </c>
      <c r="M305" s="10">
        <v>45163</v>
      </c>
      <c r="N305" s="10">
        <v>45166</v>
      </c>
      <c r="O305" s="9" t="str">
        <f t="shared" si="49"/>
        <v>Dentro do Prazo</v>
      </c>
      <c r="P305" s="10">
        <f t="shared" si="53"/>
        <v>45175</v>
      </c>
      <c r="Q305" s="6" t="str">
        <f t="shared" ca="1" si="51"/>
        <v>Prazo Vencido</v>
      </c>
      <c r="R305" s="8">
        <f t="shared" si="52"/>
        <v>3</v>
      </c>
    </row>
    <row r="306" spans="1:18" ht="13" hidden="1">
      <c r="A306" s="8">
        <v>5843</v>
      </c>
      <c r="B306" s="10">
        <v>45160</v>
      </c>
      <c r="C306" s="10">
        <v>45160</v>
      </c>
      <c r="D306" s="8" t="s">
        <v>946</v>
      </c>
      <c r="E306" s="8"/>
      <c r="F306" s="8" t="s">
        <v>799</v>
      </c>
      <c r="G306" s="6" t="e">
        <f>IF(F306="","",VLOOKUP(F306,'PLAN SUPORTE'!A:B,2,0))</f>
        <v>#N/A</v>
      </c>
      <c r="H306" s="7"/>
      <c r="I306" s="8" t="s">
        <v>754</v>
      </c>
      <c r="J306" s="8" t="s">
        <v>265</v>
      </c>
      <c r="K306" s="8" t="s">
        <v>25</v>
      </c>
      <c r="L306" s="8">
        <f>IF(K306="","",VLOOKUP(K306,'PLAN SUPORTE'!$H$2:$I$4,2,0))</f>
        <v>15</v>
      </c>
      <c r="M306" s="10"/>
      <c r="N306" s="10">
        <v>45180</v>
      </c>
      <c r="O306" s="9" t="str">
        <f t="shared" si="49"/>
        <v>Em Andamento</v>
      </c>
      <c r="P306" s="10">
        <f t="shared" si="53"/>
        <v>45175</v>
      </c>
      <c r="Q306" s="6" t="str">
        <f t="shared" ca="1" si="51"/>
        <v>Prazo Vencido</v>
      </c>
      <c r="R306" s="8" t="str">
        <f t="shared" si="52"/>
        <v/>
      </c>
    </row>
    <row r="307" spans="1:18" ht="13" hidden="1">
      <c r="A307" s="8">
        <v>5845</v>
      </c>
      <c r="B307" s="10">
        <v>45160</v>
      </c>
      <c r="C307" s="10">
        <v>45160</v>
      </c>
      <c r="D307" s="8" t="s">
        <v>946</v>
      </c>
      <c r="E307" s="8"/>
      <c r="F307" s="8" t="s">
        <v>799</v>
      </c>
      <c r="G307" s="6" t="e">
        <f>IF(F307="","",VLOOKUP(F307,'PLAN SUPORTE'!A:B,2,0))</f>
        <v>#N/A</v>
      </c>
      <c r="H307" s="7"/>
      <c r="I307" s="8" t="s">
        <v>754</v>
      </c>
      <c r="J307" s="8" t="s">
        <v>265</v>
      </c>
      <c r="K307" s="8" t="s">
        <v>25</v>
      </c>
      <c r="L307" s="8">
        <f>IF(K307="","",VLOOKUP(K307,'PLAN SUPORTE'!$H$2:$I$4,2,0))</f>
        <v>15</v>
      </c>
      <c r="M307" s="10"/>
      <c r="N307" s="10">
        <v>45180</v>
      </c>
      <c r="O307" s="9" t="str">
        <f t="shared" si="49"/>
        <v>Em Andamento</v>
      </c>
      <c r="P307" s="10">
        <f t="shared" si="53"/>
        <v>45175</v>
      </c>
      <c r="Q307" s="6" t="str">
        <f t="shared" ca="1" si="51"/>
        <v>Prazo Vencido</v>
      </c>
      <c r="R307" s="8" t="str">
        <f t="shared" si="52"/>
        <v/>
      </c>
    </row>
    <row r="308" spans="1:18" ht="13" hidden="1">
      <c r="A308" s="8">
        <v>5846</v>
      </c>
      <c r="B308" s="10">
        <v>45160</v>
      </c>
      <c r="C308" s="10">
        <v>45160</v>
      </c>
      <c r="D308" s="8" t="s">
        <v>946</v>
      </c>
      <c r="E308" s="8"/>
      <c r="F308" s="8" t="s">
        <v>799</v>
      </c>
      <c r="G308" s="6" t="e">
        <f>IF(F308="","",VLOOKUP(F308,'PLAN SUPORTE'!A:B,2,0))</f>
        <v>#N/A</v>
      </c>
      <c r="H308" s="7"/>
      <c r="I308" s="8" t="s">
        <v>754</v>
      </c>
      <c r="J308" s="8" t="s">
        <v>265</v>
      </c>
      <c r="K308" s="8" t="s">
        <v>25</v>
      </c>
      <c r="L308" s="8">
        <f>IF(K308="","",VLOOKUP(K308,'PLAN SUPORTE'!$H$2:$I$4,2,0))</f>
        <v>15</v>
      </c>
      <c r="M308" s="10"/>
      <c r="N308" s="10">
        <v>45180</v>
      </c>
      <c r="O308" s="9" t="str">
        <f t="shared" si="49"/>
        <v>Em Andamento</v>
      </c>
      <c r="P308" s="10">
        <f t="shared" si="53"/>
        <v>45175</v>
      </c>
      <c r="Q308" s="6" t="str">
        <f t="shared" ca="1" si="51"/>
        <v>Prazo Vencido</v>
      </c>
      <c r="R308" s="8" t="str">
        <f t="shared" si="52"/>
        <v/>
      </c>
    </row>
    <row r="309" spans="1:18" ht="13" hidden="1">
      <c r="A309" s="8">
        <v>5855</v>
      </c>
      <c r="B309" s="10">
        <v>45161</v>
      </c>
      <c r="C309" s="10">
        <v>45161</v>
      </c>
      <c r="D309" s="8" t="s">
        <v>947</v>
      </c>
      <c r="E309" s="8"/>
      <c r="F309" s="8" t="s">
        <v>775</v>
      </c>
      <c r="G309" s="6" t="e">
        <f>IF(F309="","",VLOOKUP(F309,'PLAN SUPORTE'!A:B,2,0))</f>
        <v>#N/A</v>
      </c>
      <c r="H309" s="7"/>
      <c r="I309" s="8" t="s">
        <v>754</v>
      </c>
      <c r="J309" s="8" t="s">
        <v>265</v>
      </c>
      <c r="K309" s="8" t="s">
        <v>25</v>
      </c>
      <c r="L309" s="8">
        <f>IF(K309="","",VLOOKUP(K309,'PLAN SUPORTE'!$H$2:$I$4,2,0))</f>
        <v>15</v>
      </c>
      <c r="M309" s="10">
        <v>45175</v>
      </c>
      <c r="N309" s="10">
        <v>45180</v>
      </c>
      <c r="O309" s="9" t="str">
        <f t="shared" si="49"/>
        <v>Dentro do Prazo</v>
      </c>
      <c r="P309" s="10">
        <f t="shared" si="53"/>
        <v>45176</v>
      </c>
      <c r="Q309" s="6" t="str">
        <f t="shared" ca="1" si="51"/>
        <v>Prazo Vencido</v>
      </c>
      <c r="R309" s="8">
        <f t="shared" si="52"/>
        <v>14</v>
      </c>
    </row>
    <row r="310" spans="1:18" ht="13" hidden="1">
      <c r="A310" s="8">
        <v>5856</v>
      </c>
      <c r="B310" s="10">
        <v>45161</v>
      </c>
      <c r="C310" s="10">
        <v>45161</v>
      </c>
      <c r="D310" s="8" t="s">
        <v>948</v>
      </c>
      <c r="E310" s="8"/>
      <c r="F310" s="8" t="s">
        <v>752</v>
      </c>
      <c r="G310" s="6" t="e">
        <f>IF(F310="","",VLOOKUP(F310,'PLAN SUPORTE'!A:B,2,0))</f>
        <v>#N/A</v>
      </c>
      <c r="H310" s="7"/>
      <c r="I310" s="8" t="s">
        <v>754</v>
      </c>
      <c r="J310" s="8" t="s">
        <v>265</v>
      </c>
      <c r="K310" s="8" t="s">
        <v>25</v>
      </c>
      <c r="L310" s="8">
        <f>IF(K310="","",VLOOKUP(K310,'PLAN SUPORTE'!$H$2:$I$4,2,0))</f>
        <v>15</v>
      </c>
      <c r="M310" s="10">
        <v>45175</v>
      </c>
      <c r="N310" s="10">
        <v>45180</v>
      </c>
      <c r="O310" s="9" t="str">
        <f t="shared" si="49"/>
        <v>Dentro do Prazo</v>
      </c>
      <c r="P310" s="10">
        <f t="shared" si="53"/>
        <v>45176</v>
      </c>
      <c r="Q310" s="6" t="str">
        <f t="shared" ca="1" si="51"/>
        <v>Prazo Vencido</v>
      </c>
      <c r="R310" s="8">
        <f t="shared" si="52"/>
        <v>14</v>
      </c>
    </row>
    <row r="311" spans="1:18" ht="13">
      <c r="A311" s="8">
        <v>5869</v>
      </c>
      <c r="B311" s="10">
        <v>45161</v>
      </c>
      <c r="C311" s="10">
        <v>45161</v>
      </c>
      <c r="D311" s="8" t="s">
        <v>771</v>
      </c>
      <c r="E311" s="8"/>
      <c r="F311" s="8" t="s">
        <v>770</v>
      </c>
      <c r="G311" s="6" t="e">
        <f>IF(F311="","",VLOOKUP(F311,'PLAN SUPORTE'!A:B,2,0))</f>
        <v>#N/A</v>
      </c>
      <c r="H311" s="7"/>
      <c r="I311" s="8" t="s">
        <v>692</v>
      </c>
      <c r="J311" s="8" t="s">
        <v>24</v>
      </c>
      <c r="K311" s="8" t="s">
        <v>25</v>
      </c>
      <c r="L311" s="8">
        <f>IF(K311="","",VLOOKUP(K311,'PLAN SUPORTE'!$H$2:$I$4,2,0))</f>
        <v>15</v>
      </c>
      <c r="M311" s="10">
        <v>45163</v>
      </c>
      <c r="N311" s="10">
        <v>45166</v>
      </c>
      <c r="O311" s="9" t="str">
        <f t="shared" si="49"/>
        <v>Dentro do Prazo</v>
      </c>
      <c r="P311" s="10">
        <f t="shared" si="53"/>
        <v>45176</v>
      </c>
      <c r="Q311" s="6" t="str">
        <f t="shared" ca="1" si="51"/>
        <v>Prazo Vencido</v>
      </c>
      <c r="R311" s="8">
        <f t="shared" si="52"/>
        <v>2</v>
      </c>
    </row>
    <row r="312" spans="1:18" ht="13">
      <c r="A312" s="8">
        <v>5870</v>
      </c>
      <c r="B312" s="10">
        <v>45161</v>
      </c>
      <c r="C312" s="10">
        <v>45161</v>
      </c>
      <c r="D312" s="8" t="s">
        <v>771</v>
      </c>
      <c r="E312" s="8"/>
      <c r="F312" s="8" t="s">
        <v>770</v>
      </c>
      <c r="G312" s="6" t="e">
        <f>IF(F312="","",VLOOKUP(F312,'PLAN SUPORTE'!A:B,2,0))</f>
        <v>#N/A</v>
      </c>
      <c r="H312" s="7"/>
      <c r="I312" s="8" t="s">
        <v>692</v>
      </c>
      <c r="J312" s="8" t="s">
        <v>24</v>
      </c>
      <c r="K312" s="8" t="s">
        <v>25</v>
      </c>
      <c r="L312" s="8">
        <f>IF(K312="","",VLOOKUP(K312,'PLAN SUPORTE'!$H$2:$I$4,2,0))</f>
        <v>15</v>
      </c>
      <c r="M312" s="10">
        <v>45163</v>
      </c>
      <c r="N312" s="10">
        <v>45135</v>
      </c>
      <c r="O312" s="9" t="str">
        <f t="shared" si="49"/>
        <v>Dentro do Prazo</v>
      </c>
      <c r="P312" s="10">
        <f t="shared" si="53"/>
        <v>45176</v>
      </c>
      <c r="Q312" s="6" t="str">
        <f t="shared" ca="1" si="51"/>
        <v>Prazo Vencido</v>
      </c>
      <c r="R312" s="8">
        <f t="shared" si="52"/>
        <v>2</v>
      </c>
    </row>
    <row r="313" spans="1:18" ht="13">
      <c r="A313" s="8">
        <v>5877</v>
      </c>
      <c r="B313" s="59">
        <v>45148</v>
      </c>
      <c r="C313" s="59">
        <v>45148</v>
      </c>
      <c r="D313" s="8" t="s">
        <v>741</v>
      </c>
      <c r="E313" s="8"/>
      <c r="F313" s="8" t="s">
        <v>704</v>
      </c>
      <c r="G313" s="8"/>
      <c r="H313" s="7"/>
      <c r="I313" s="8" t="s">
        <v>687</v>
      </c>
      <c r="J313" s="8" t="s">
        <v>24</v>
      </c>
      <c r="K313" s="8" t="s">
        <v>691</v>
      </c>
      <c r="L313" s="8">
        <v>25</v>
      </c>
      <c r="M313" s="10"/>
      <c r="N313" s="55"/>
      <c r="O313" s="9" t="str">
        <f t="shared" si="49"/>
        <v>Em Andamento</v>
      </c>
      <c r="P313" s="10"/>
      <c r="Q313" s="6"/>
      <c r="R313" s="8"/>
    </row>
    <row r="314" spans="1:18" ht="13" hidden="1">
      <c r="A314" s="8">
        <v>5904</v>
      </c>
      <c r="B314" s="10">
        <v>45166</v>
      </c>
      <c r="C314" s="10">
        <v>45166</v>
      </c>
      <c r="D314" s="8" t="s">
        <v>916</v>
      </c>
      <c r="E314" s="8"/>
      <c r="F314" s="8" t="s">
        <v>752</v>
      </c>
      <c r="G314" s="6" t="e">
        <f>IF(F314="","",VLOOKUP(F314,'PLAN SUPORTE'!A:B,2,0))</f>
        <v>#N/A</v>
      </c>
      <c r="H314" s="7"/>
      <c r="I314" s="8" t="s">
        <v>754</v>
      </c>
      <c r="J314" s="8" t="s">
        <v>265</v>
      </c>
      <c r="K314" s="8" t="s">
        <v>25</v>
      </c>
      <c r="L314" s="8">
        <f>IF(K314="","",VLOOKUP(K314,'PLAN SUPORTE'!$H$2:$I$4,2,0))</f>
        <v>15</v>
      </c>
      <c r="M314" s="10">
        <v>45175</v>
      </c>
      <c r="N314" s="10">
        <v>45180</v>
      </c>
      <c r="O314" s="9" t="str">
        <f t="shared" si="49"/>
        <v>Dentro do Prazo</v>
      </c>
      <c r="P314" s="10">
        <f t="shared" ref="P314:P315" si="54">IF(OR(C314="",L314=""),"",C314+L314)</f>
        <v>45181</v>
      </c>
      <c r="Q314" s="6" t="str">
        <f t="shared" ref="Q314:Q315" ca="1" si="55">IF(P314="","",IF(P314-TODAY()=0,"Vence Hoje!",IF(P314-TODAY()&gt;=0,P314-TODAY()&amp;" Dia(s) para vencer","Prazo Vencido")))</f>
        <v>Prazo Vencido</v>
      </c>
      <c r="R314" s="8">
        <f t="shared" ref="R314:R315" si="56">IF(OR(C314="",M314=""),"",M314-C314)</f>
        <v>9</v>
      </c>
    </row>
    <row r="315" spans="1:18" ht="13">
      <c r="A315" s="8">
        <v>5907</v>
      </c>
      <c r="B315" s="10">
        <v>45167</v>
      </c>
      <c r="C315" s="10">
        <v>45167</v>
      </c>
      <c r="D315" s="8" t="s">
        <v>937</v>
      </c>
      <c r="E315" s="8"/>
      <c r="F315" s="8" t="s">
        <v>752</v>
      </c>
      <c r="G315" s="6" t="e">
        <f>IF(F315="","",VLOOKUP(F315,'PLAN SUPORTE'!A:B,2,0))</f>
        <v>#N/A</v>
      </c>
      <c r="H315" s="7"/>
      <c r="I315" s="8" t="s">
        <v>754</v>
      </c>
      <c r="J315" s="8" t="s">
        <v>24</v>
      </c>
      <c r="K315" s="8" t="s">
        <v>25</v>
      </c>
      <c r="L315" s="8">
        <f>IF(K315="","",VLOOKUP(K315,'PLAN SUPORTE'!$H$2:$I$4,2,0))</f>
        <v>15</v>
      </c>
      <c r="M315" s="10">
        <v>45175</v>
      </c>
      <c r="N315" s="10">
        <v>45191</v>
      </c>
      <c r="O315" s="9" t="str">
        <f t="shared" si="49"/>
        <v>Dentro do Prazo</v>
      </c>
      <c r="P315" s="10">
        <f t="shared" si="54"/>
        <v>45182</v>
      </c>
      <c r="Q315" s="6" t="str">
        <f t="shared" ca="1" si="55"/>
        <v>Prazo Vencido</v>
      </c>
      <c r="R315" s="8">
        <f t="shared" si="56"/>
        <v>8</v>
      </c>
    </row>
    <row r="316" spans="1:18" ht="13" hidden="1">
      <c r="A316" s="8">
        <v>5908</v>
      </c>
      <c r="B316" s="10">
        <v>45167</v>
      </c>
      <c r="C316" s="10">
        <v>45167</v>
      </c>
      <c r="D316" s="8" t="s">
        <v>949</v>
      </c>
      <c r="E316" s="8"/>
      <c r="F316" s="8" t="s">
        <v>910</v>
      </c>
      <c r="G316" s="6"/>
      <c r="H316" s="7"/>
      <c r="I316" s="8" t="s">
        <v>754</v>
      </c>
      <c r="J316" s="8" t="s">
        <v>265</v>
      </c>
      <c r="K316" s="8" t="s">
        <v>25</v>
      </c>
      <c r="L316" s="8">
        <f>IF(K316="","",VLOOKUP(K316,'PLAN SUPORTE'!$H$2:$I$4,2,0))</f>
        <v>15</v>
      </c>
      <c r="M316" s="10"/>
      <c r="N316" s="10"/>
      <c r="O316" s="9"/>
      <c r="P316" s="10"/>
      <c r="Q316" s="6"/>
      <c r="R316" s="8"/>
    </row>
    <row r="317" spans="1:18" ht="13" hidden="1">
      <c r="A317" s="6">
        <v>5912</v>
      </c>
      <c r="B317" s="57">
        <v>45168</v>
      </c>
      <c r="C317" s="57">
        <v>45168</v>
      </c>
      <c r="D317" s="6" t="s">
        <v>920</v>
      </c>
      <c r="E317" s="6" t="s">
        <v>950</v>
      </c>
      <c r="F317" s="6" t="s">
        <v>748</v>
      </c>
      <c r="G317" s="6" t="e">
        <f>IF(F317="","",VLOOKUP(F317,'PLAN SUPORTE'!A:B,2,0))</f>
        <v>#N/A</v>
      </c>
      <c r="H317" s="7"/>
      <c r="I317" s="8" t="s">
        <v>692</v>
      </c>
      <c r="J317" s="8"/>
      <c r="K317" s="8" t="s">
        <v>25</v>
      </c>
      <c r="L317" s="8">
        <f>IF(K317="","",VLOOKUP(K317,'PLAN SUPORTE'!$H$2:$I$4,2,0))</f>
        <v>15</v>
      </c>
      <c r="M317" s="10"/>
      <c r="N317" s="10"/>
      <c r="O317" s="9" t="str">
        <f t="shared" ref="O317:O321" si="57">IF(AND(C317="",K317=""),"",IF(R317="","Em Andamento",IF(M317&lt;=P317,"Dentro do Prazo","Fora do Prazo")))</f>
        <v>Em Andamento</v>
      </c>
      <c r="P317" s="10">
        <f t="shared" ref="P317:P321" si="58">IF(OR(C317="",L317=""),"",C317+L317)</f>
        <v>45183</v>
      </c>
      <c r="Q317" s="6" t="str">
        <f t="shared" ref="Q317:Q321" ca="1" si="59">IF(P317="","",IF(P317-TODAY()=0,"Vence Hoje!",IF(P317-TODAY()&gt;=0,P317-TODAY()&amp;" Dia(s) para vencer","Prazo Vencido")))</f>
        <v>Prazo Vencido</v>
      </c>
      <c r="R317" s="8" t="str">
        <f t="shared" ref="R317:R321" si="60">IF(OR(C317="",M317=""),"",M317-C317)</f>
        <v/>
      </c>
    </row>
    <row r="318" spans="1:18" ht="13" hidden="1">
      <c r="A318" s="6">
        <v>5914</v>
      </c>
      <c r="B318" s="57">
        <v>45168</v>
      </c>
      <c r="C318" s="57">
        <v>45168</v>
      </c>
      <c r="D318" s="6" t="s">
        <v>920</v>
      </c>
      <c r="E318" s="6" t="s">
        <v>950</v>
      </c>
      <c r="F318" s="6" t="s">
        <v>748</v>
      </c>
      <c r="G318" s="6" t="e">
        <f>IF(F318="","",VLOOKUP(F318,'PLAN SUPORTE'!A:B,2,0))</f>
        <v>#N/A</v>
      </c>
      <c r="H318" s="7"/>
      <c r="I318" s="8" t="s">
        <v>692</v>
      </c>
      <c r="J318" s="8"/>
      <c r="K318" s="8" t="s">
        <v>25</v>
      </c>
      <c r="L318" s="8">
        <f>IF(K318="","",VLOOKUP(K318,'PLAN SUPORTE'!$H$2:$I$4,2,0))</f>
        <v>15</v>
      </c>
      <c r="M318" s="10"/>
      <c r="N318" s="10"/>
      <c r="O318" s="9" t="str">
        <f t="shared" si="57"/>
        <v>Em Andamento</v>
      </c>
      <c r="P318" s="10">
        <f t="shared" si="58"/>
        <v>45183</v>
      </c>
      <c r="Q318" s="6" t="str">
        <f t="shared" ca="1" si="59"/>
        <v>Prazo Vencido</v>
      </c>
      <c r="R318" s="8" t="str">
        <f t="shared" si="60"/>
        <v/>
      </c>
    </row>
    <row r="319" spans="1:18" ht="13">
      <c r="A319" s="8">
        <v>5921</v>
      </c>
      <c r="B319" s="10">
        <v>45169</v>
      </c>
      <c r="C319" s="10">
        <v>45169</v>
      </c>
      <c r="D319" s="8" t="s">
        <v>771</v>
      </c>
      <c r="E319" s="8"/>
      <c r="F319" s="8" t="s">
        <v>699</v>
      </c>
      <c r="G319" s="6" t="e">
        <f>IF(F319="","",VLOOKUP(F319,'PLAN SUPORTE'!A:B,2,0))</f>
        <v>#N/A</v>
      </c>
      <c r="H319" s="7"/>
      <c r="I319" s="8" t="s">
        <v>692</v>
      </c>
      <c r="J319" s="8" t="s">
        <v>24</v>
      </c>
      <c r="K319" s="8" t="s">
        <v>25</v>
      </c>
      <c r="L319" s="8">
        <f>IF(K319="","",VLOOKUP(K319,'PLAN SUPORTE'!$H$2:$I$4,2,0))</f>
        <v>15</v>
      </c>
      <c r="M319" s="10">
        <v>45139</v>
      </c>
      <c r="N319" s="10">
        <v>45181</v>
      </c>
      <c r="O319" s="9" t="str">
        <f t="shared" si="57"/>
        <v>Dentro do Prazo</v>
      </c>
      <c r="P319" s="10">
        <f t="shared" si="58"/>
        <v>45184</v>
      </c>
      <c r="Q319" s="6" t="str">
        <f t="shared" ca="1" si="59"/>
        <v>Prazo Vencido</v>
      </c>
      <c r="R319" s="8">
        <f t="shared" si="60"/>
        <v>-30</v>
      </c>
    </row>
    <row r="320" spans="1:18" ht="13" hidden="1">
      <c r="A320" s="8">
        <v>5924</v>
      </c>
      <c r="B320" s="10">
        <v>45138</v>
      </c>
      <c r="C320" s="10">
        <v>45138</v>
      </c>
      <c r="D320" s="8" t="s">
        <v>951</v>
      </c>
      <c r="E320" s="8"/>
      <c r="F320" s="8" t="s">
        <v>775</v>
      </c>
      <c r="G320" s="6" t="e">
        <f>IF(F320="","",VLOOKUP(F320,'PLAN SUPORTE'!A:B,2,0))</f>
        <v>#N/A</v>
      </c>
      <c r="H320" s="7"/>
      <c r="I320" s="8" t="s">
        <v>754</v>
      </c>
      <c r="J320" s="8" t="s">
        <v>265</v>
      </c>
      <c r="K320" s="8" t="s">
        <v>25</v>
      </c>
      <c r="L320" s="8">
        <f>IF(K320="","",VLOOKUP(K320,'PLAN SUPORTE'!$H$2:$I$4,2,0))</f>
        <v>15</v>
      </c>
      <c r="M320" s="10">
        <v>45175</v>
      </c>
      <c r="N320" s="10">
        <v>45180</v>
      </c>
      <c r="O320" s="9" t="str">
        <f t="shared" si="57"/>
        <v>Fora do Prazo</v>
      </c>
      <c r="P320" s="10">
        <f t="shared" si="58"/>
        <v>45153</v>
      </c>
      <c r="Q320" s="6" t="str">
        <f t="shared" ca="1" si="59"/>
        <v>Prazo Vencido</v>
      </c>
      <c r="R320" s="8">
        <f t="shared" si="60"/>
        <v>37</v>
      </c>
    </row>
    <row r="321" spans="1:18" ht="13" hidden="1">
      <c r="A321" s="6">
        <v>5942</v>
      </c>
      <c r="B321" s="57">
        <v>45174</v>
      </c>
      <c r="C321" s="57">
        <v>45174</v>
      </c>
      <c r="D321" s="6" t="s">
        <v>952</v>
      </c>
      <c r="E321" s="6" t="s">
        <v>953</v>
      </c>
      <c r="F321" s="6" t="s">
        <v>759</v>
      </c>
      <c r="G321" s="6" t="e">
        <f>IF(F321="","",VLOOKUP(F321,'PLAN SUPORTE'!A:B,2,0))</f>
        <v>#N/A</v>
      </c>
      <c r="H321" s="7"/>
      <c r="I321" s="8" t="s">
        <v>692</v>
      </c>
      <c r="J321" s="8"/>
      <c r="K321" s="8" t="s">
        <v>25</v>
      </c>
      <c r="L321" s="8">
        <f>IF(K321="","",VLOOKUP(K321,'PLAN SUPORTE'!$H$2:$I$4,2,0))</f>
        <v>15</v>
      </c>
      <c r="M321" s="10"/>
      <c r="N321" s="10"/>
      <c r="O321" s="9" t="str">
        <f t="shared" si="57"/>
        <v>Em Andamento</v>
      </c>
      <c r="P321" s="10">
        <f t="shared" si="58"/>
        <v>45189</v>
      </c>
      <c r="Q321" s="6" t="str">
        <f t="shared" ca="1" si="59"/>
        <v>Prazo Vencido</v>
      </c>
      <c r="R321" s="8" t="str">
        <f t="shared" si="60"/>
        <v/>
      </c>
    </row>
    <row r="322" spans="1:18" ht="13">
      <c r="A322" s="8">
        <v>5944</v>
      </c>
      <c r="B322" s="10">
        <v>45174</v>
      </c>
      <c r="C322" s="10">
        <v>45174</v>
      </c>
      <c r="D322" s="58" t="s">
        <v>954</v>
      </c>
      <c r="E322" s="8"/>
      <c r="F322" s="8" t="s">
        <v>799</v>
      </c>
      <c r="G322" s="6"/>
      <c r="H322" s="7"/>
      <c r="I322" s="8" t="s">
        <v>754</v>
      </c>
      <c r="J322" s="8" t="s">
        <v>24</v>
      </c>
      <c r="K322" s="8" t="s">
        <v>25</v>
      </c>
      <c r="L322" s="8">
        <f>IF(K322="","",VLOOKUP(K322,'PLAN SUPORTE'!$H$2:$I$4,2,0))</f>
        <v>15</v>
      </c>
      <c r="M322" s="10"/>
      <c r="N322" s="10">
        <v>45191</v>
      </c>
      <c r="O322" s="9"/>
      <c r="P322" s="10"/>
      <c r="Q322" s="6"/>
      <c r="R322" s="8"/>
    </row>
    <row r="323" spans="1:18" ht="13" hidden="1">
      <c r="A323" s="8">
        <v>5946</v>
      </c>
      <c r="B323" s="10">
        <v>45174</v>
      </c>
      <c r="C323" s="10">
        <v>45174</v>
      </c>
      <c r="D323" s="8" t="s">
        <v>937</v>
      </c>
      <c r="E323" s="8"/>
      <c r="F323" s="8" t="s">
        <v>775</v>
      </c>
      <c r="G323" s="6"/>
      <c r="H323" s="7"/>
      <c r="I323" s="8" t="s">
        <v>754</v>
      </c>
      <c r="J323" s="8" t="s">
        <v>265</v>
      </c>
      <c r="K323" s="8" t="s">
        <v>25</v>
      </c>
      <c r="L323" s="8">
        <f>IF(K323="","",VLOOKUP(K323,'PLAN SUPORTE'!$H$2:$I$4,2,0))</f>
        <v>15</v>
      </c>
      <c r="M323" s="10"/>
      <c r="N323" s="10"/>
      <c r="O323" s="9"/>
      <c r="P323" s="10"/>
      <c r="Q323" s="6"/>
      <c r="R323" s="8"/>
    </row>
    <row r="324" spans="1:18" ht="13" hidden="1">
      <c r="A324" s="8">
        <v>5947</v>
      </c>
      <c r="B324" s="10">
        <v>45174</v>
      </c>
      <c r="C324" s="10">
        <v>45174</v>
      </c>
      <c r="D324" s="58" t="s">
        <v>954</v>
      </c>
      <c r="E324" s="8"/>
      <c r="F324" s="8" t="s">
        <v>799</v>
      </c>
      <c r="G324" s="6"/>
      <c r="H324" s="7"/>
      <c r="I324" s="8" t="s">
        <v>754</v>
      </c>
      <c r="J324" s="8" t="s">
        <v>265</v>
      </c>
      <c r="K324" s="8" t="s">
        <v>25</v>
      </c>
      <c r="L324" s="8">
        <f>IF(K324="","",VLOOKUP(K324,'PLAN SUPORTE'!$H$2:$I$4,2,0))</f>
        <v>15</v>
      </c>
      <c r="M324" s="10"/>
      <c r="N324" s="10"/>
      <c r="O324" s="9"/>
      <c r="P324" s="10"/>
      <c r="Q324" s="6"/>
      <c r="R324" s="8"/>
    </row>
    <row r="325" spans="1:18" ht="13" hidden="1">
      <c r="A325" s="6">
        <v>5950</v>
      </c>
      <c r="B325" s="57">
        <v>45174</v>
      </c>
      <c r="C325" s="57">
        <v>45174</v>
      </c>
      <c r="D325" s="6" t="s">
        <v>955</v>
      </c>
      <c r="E325" s="6" t="s">
        <v>956</v>
      </c>
      <c r="F325" s="6" t="s">
        <v>705</v>
      </c>
      <c r="G325" s="6" t="e">
        <f>IF(F325="","",VLOOKUP(F325,'PLAN SUPORTE'!A:B,2,0))</f>
        <v>#N/A</v>
      </c>
      <c r="H325" s="7"/>
      <c r="I325" s="8" t="s">
        <v>692</v>
      </c>
      <c r="J325" s="8"/>
      <c r="K325" s="8" t="s">
        <v>25</v>
      </c>
      <c r="L325" s="8">
        <f>IF(K325="","",VLOOKUP(K325,'PLAN SUPORTE'!$H$2:$I$4,2,0))</f>
        <v>15</v>
      </c>
      <c r="M325" s="10"/>
      <c r="N325" s="10"/>
      <c r="O325" s="9" t="str">
        <f>IF(AND(C325="",K325=""),"",IF(R325="","Em Andamento",IF(M325&lt;=P325,"Dentro do Prazo","Fora do Prazo")))</f>
        <v>Em Andamento</v>
      </c>
      <c r="P325" s="10">
        <f>IF(OR(C325="",L325=""),"",C325+L325)</f>
        <v>45189</v>
      </c>
      <c r="Q325" s="6" t="str">
        <f ca="1">IF(P325="","",IF(P325-TODAY()=0,"Vence Hoje!",IF(P325-TODAY()&gt;=0,P325-TODAY()&amp;" Dia(s) para vencer","Prazo Vencido")))</f>
        <v>Prazo Vencido</v>
      </c>
      <c r="R325" s="8" t="str">
        <f>IF(OR(C325="",M325=""),"",M325-C325)</f>
        <v/>
      </c>
    </row>
    <row r="326" spans="1:18" ht="13" hidden="1">
      <c r="A326" s="8">
        <v>5951</v>
      </c>
      <c r="B326" s="10">
        <v>45174</v>
      </c>
      <c r="C326" s="10">
        <v>45174</v>
      </c>
      <c r="D326" s="8" t="s">
        <v>946</v>
      </c>
      <c r="E326" s="8"/>
      <c r="F326" s="8" t="s">
        <v>799</v>
      </c>
      <c r="G326" s="6"/>
      <c r="H326" s="7"/>
      <c r="I326" s="8" t="s">
        <v>754</v>
      </c>
      <c r="J326" s="8" t="s">
        <v>265</v>
      </c>
      <c r="K326" s="8" t="s">
        <v>25</v>
      </c>
      <c r="L326" s="8">
        <f>IF(K326="","",VLOOKUP(K326,'PLAN SUPORTE'!$H$2:$I$4,2,0))</f>
        <v>15</v>
      </c>
      <c r="M326" s="10"/>
      <c r="N326" s="10"/>
      <c r="O326" s="9"/>
      <c r="P326" s="10"/>
      <c r="Q326" s="6"/>
      <c r="R326" s="8"/>
    </row>
    <row r="327" spans="1:18" ht="13" hidden="1">
      <c r="A327" s="8">
        <v>5952</v>
      </c>
      <c r="B327" s="10">
        <v>45174</v>
      </c>
      <c r="C327" s="10">
        <v>45174</v>
      </c>
      <c r="D327" s="8" t="s">
        <v>946</v>
      </c>
      <c r="E327" s="8"/>
      <c r="F327" s="8" t="s">
        <v>799</v>
      </c>
      <c r="G327" s="6"/>
      <c r="H327" s="7"/>
      <c r="I327" s="8" t="s">
        <v>754</v>
      </c>
      <c r="J327" s="8" t="s">
        <v>265</v>
      </c>
      <c r="K327" s="8" t="s">
        <v>25</v>
      </c>
      <c r="L327" s="8">
        <f>IF(K327="","",VLOOKUP(K327,'PLAN SUPORTE'!$H$2:$I$4,2,0))</f>
        <v>15</v>
      </c>
      <c r="M327" s="10"/>
      <c r="N327" s="10"/>
      <c r="O327" s="9"/>
      <c r="P327" s="10"/>
      <c r="Q327" s="6"/>
      <c r="R327" s="8"/>
    </row>
    <row r="328" spans="1:18" ht="15" hidden="1" customHeight="1">
      <c r="A328" s="6">
        <v>5967</v>
      </c>
      <c r="B328" s="57">
        <v>45174</v>
      </c>
      <c r="C328" s="57">
        <v>45174</v>
      </c>
      <c r="D328" s="6" t="s">
        <v>955</v>
      </c>
      <c r="E328" s="6" t="s">
        <v>956</v>
      </c>
      <c r="F328" s="6" t="s">
        <v>705</v>
      </c>
      <c r="G328" s="6" t="e">
        <f>IF(F328="","",VLOOKUP(F328,'PLAN SUPORTE'!A:B,2,0))</f>
        <v>#N/A</v>
      </c>
      <c r="H328" s="7"/>
      <c r="I328" s="8" t="s">
        <v>692</v>
      </c>
      <c r="J328" s="8"/>
      <c r="K328" s="8" t="s">
        <v>25</v>
      </c>
      <c r="L328" s="8">
        <f>IF(K328="","",VLOOKUP(K328,'PLAN SUPORTE'!$H$2:$I$4,2,0))</f>
        <v>15</v>
      </c>
      <c r="M328" s="10"/>
      <c r="N328" s="10"/>
      <c r="O328" s="9" t="str">
        <f t="shared" ref="O328:O331" si="61">IF(AND(C328="",K328=""),"",IF(R328="","Em Andamento",IF(M328&lt;=P328,"Dentro do Prazo","Fora do Prazo")))</f>
        <v>Em Andamento</v>
      </c>
      <c r="P328" s="10">
        <f t="shared" ref="P328:P331" si="62">IF(OR(C328="",L328=""),"",C328+L328)</f>
        <v>45189</v>
      </c>
      <c r="Q328" s="6" t="str">
        <f t="shared" ref="Q328:Q331" ca="1" si="63">IF(P328="","",IF(P328-TODAY()=0,"Vence Hoje!",IF(P328-TODAY()&gt;=0,P328-TODAY()&amp;" Dia(s) para vencer","Prazo Vencido")))</f>
        <v>Prazo Vencido</v>
      </c>
      <c r="R328" s="8" t="str">
        <f t="shared" ref="R328:R331" si="64">IF(OR(C328="",M328=""),"",M328-C328)</f>
        <v/>
      </c>
    </row>
    <row r="329" spans="1:18" ht="13">
      <c r="A329" s="6">
        <v>5977</v>
      </c>
      <c r="B329" s="57">
        <v>45175</v>
      </c>
      <c r="C329" s="57">
        <v>45175</v>
      </c>
      <c r="D329" s="6" t="s">
        <v>957</v>
      </c>
      <c r="E329" s="6" t="s">
        <v>950</v>
      </c>
      <c r="F329" s="6" t="s">
        <v>748</v>
      </c>
      <c r="G329" s="6" t="e">
        <f>IF(F329="","",VLOOKUP(F329,'PLAN SUPORTE'!A:B,2,0))</f>
        <v>#N/A</v>
      </c>
      <c r="H329" s="7"/>
      <c r="I329" s="8" t="s">
        <v>692</v>
      </c>
      <c r="J329" s="8" t="s">
        <v>24</v>
      </c>
      <c r="K329" s="8" t="s">
        <v>25</v>
      </c>
      <c r="L329" s="8">
        <f>IF(K329="","",VLOOKUP(K329,'PLAN SUPORTE'!$H$2:$I$4,2,0))</f>
        <v>15</v>
      </c>
      <c r="M329" s="10">
        <v>45181</v>
      </c>
      <c r="N329" s="10">
        <v>45191</v>
      </c>
      <c r="O329" s="9" t="str">
        <f t="shared" si="61"/>
        <v>Dentro do Prazo</v>
      </c>
      <c r="P329" s="10">
        <f t="shared" si="62"/>
        <v>45190</v>
      </c>
      <c r="Q329" s="6" t="str">
        <f t="shared" ca="1" si="63"/>
        <v>Prazo Vencido</v>
      </c>
      <c r="R329" s="8">
        <f t="shared" si="64"/>
        <v>6</v>
      </c>
    </row>
    <row r="330" spans="1:18" ht="13">
      <c r="A330" s="6">
        <v>5978</v>
      </c>
      <c r="B330" s="57">
        <v>45175</v>
      </c>
      <c r="C330" s="57">
        <v>45175</v>
      </c>
      <c r="D330" s="6" t="s">
        <v>746</v>
      </c>
      <c r="E330" s="6" t="s">
        <v>958</v>
      </c>
      <c r="F330" s="6" t="s">
        <v>748</v>
      </c>
      <c r="G330" s="6" t="e">
        <f>IF(F330="","",VLOOKUP(F330,'PLAN SUPORTE'!A:B,2,0))</f>
        <v>#N/A</v>
      </c>
      <c r="H330" s="7"/>
      <c r="I330" s="8" t="s">
        <v>692</v>
      </c>
      <c r="J330" s="8" t="s">
        <v>24</v>
      </c>
      <c r="K330" s="8" t="s">
        <v>25</v>
      </c>
      <c r="L330" s="8">
        <f>IF(K330="","",VLOOKUP(K330,'PLAN SUPORTE'!$H$2:$I$4,2,0))</f>
        <v>15</v>
      </c>
      <c r="M330" s="10">
        <v>45181</v>
      </c>
      <c r="N330" s="10">
        <v>45181</v>
      </c>
      <c r="O330" s="9" t="str">
        <f t="shared" si="61"/>
        <v>Dentro do Prazo</v>
      </c>
      <c r="P330" s="10">
        <f t="shared" si="62"/>
        <v>45190</v>
      </c>
      <c r="Q330" s="6" t="str">
        <f t="shared" ca="1" si="63"/>
        <v>Prazo Vencido</v>
      </c>
      <c r="R330" s="8">
        <f t="shared" si="64"/>
        <v>6</v>
      </c>
    </row>
    <row r="331" spans="1:18" ht="14.5">
      <c r="A331" s="60">
        <v>5979</v>
      </c>
      <c r="B331" s="10">
        <v>45176</v>
      </c>
      <c r="C331" s="10">
        <v>45176</v>
      </c>
      <c r="D331" s="8" t="s">
        <v>771</v>
      </c>
      <c r="E331" s="8"/>
      <c r="F331" s="66" t="s">
        <v>959</v>
      </c>
      <c r="G331" s="6" t="e">
        <f>IF(F331="","",VLOOKUP(F331,'PLAN SUPORTE'!A:B,2,0))</f>
        <v>#N/A</v>
      </c>
      <c r="H331" s="7"/>
      <c r="I331" s="8" t="s">
        <v>692</v>
      </c>
      <c r="J331" s="8" t="s">
        <v>24</v>
      </c>
      <c r="K331" s="8" t="s">
        <v>25</v>
      </c>
      <c r="L331" s="8">
        <f>IF(K331="","",VLOOKUP(K331,'PLAN SUPORTE'!$H$2:$I$4,2,0))</f>
        <v>15</v>
      </c>
      <c r="M331" s="10">
        <v>45181</v>
      </c>
      <c r="N331" s="10">
        <v>45184</v>
      </c>
      <c r="O331" s="9" t="str">
        <f t="shared" si="61"/>
        <v>Dentro do Prazo</v>
      </c>
      <c r="P331" s="10">
        <f t="shared" si="62"/>
        <v>45191</v>
      </c>
      <c r="Q331" s="6" t="str">
        <f t="shared" ca="1" si="63"/>
        <v>Prazo Vencido</v>
      </c>
      <c r="R331" s="8">
        <f t="shared" si="64"/>
        <v>5</v>
      </c>
    </row>
    <row r="332" spans="1:18" ht="13" hidden="1">
      <c r="A332" s="8">
        <v>5980</v>
      </c>
      <c r="B332" s="10">
        <v>45175</v>
      </c>
      <c r="C332" s="10">
        <v>45175</v>
      </c>
      <c r="D332" s="58" t="s">
        <v>960</v>
      </c>
      <c r="E332" s="8"/>
      <c r="F332" s="8" t="s">
        <v>799</v>
      </c>
      <c r="G332" s="6"/>
      <c r="H332" s="7"/>
      <c r="I332" s="8" t="s">
        <v>754</v>
      </c>
      <c r="J332" s="8" t="s">
        <v>265</v>
      </c>
      <c r="K332" s="8" t="s">
        <v>25</v>
      </c>
      <c r="L332" s="8">
        <f>IF(K332="","",VLOOKUP(K332,'PLAN SUPORTE'!$H$2:$I$4,2,0))</f>
        <v>15</v>
      </c>
      <c r="M332" s="10"/>
      <c r="N332" s="10"/>
      <c r="O332" s="9"/>
      <c r="P332" s="10"/>
      <c r="Q332" s="6"/>
      <c r="R332" s="8"/>
    </row>
    <row r="333" spans="1:18" ht="13">
      <c r="A333" s="6">
        <v>5982</v>
      </c>
      <c r="B333" s="57">
        <v>45176</v>
      </c>
      <c r="C333" s="57">
        <v>45176</v>
      </c>
      <c r="D333" s="6" t="s">
        <v>746</v>
      </c>
      <c r="E333" s="6" t="s">
        <v>958</v>
      </c>
      <c r="F333" s="6" t="s">
        <v>825</v>
      </c>
      <c r="G333" s="6" t="e">
        <f>IF(F333="","",VLOOKUP(F333,'PLAN SUPORTE'!A:B,2,0))</f>
        <v>#N/A</v>
      </c>
      <c r="H333" s="7"/>
      <c r="I333" s="8" t="s">
        <v>692</v>
      </c>
      <c r="J333" s="8" t="s">
        <v>24</v>
      </c>
      <c r="K333" s="8" t="s">
        <v>25</v>
      </c>
      <c r="L333" s="8">
        <f>IF(K333="","",VLOOKUP(K333,'PLAN SUPORTE'!$H$2:$I$4,2,0))</f>
        <v>15</v>
      </c>
      <c r="M333" s="10">
        <v>45181</v>
      </c>
      <c r="N333" s="10">
        <v>45191</v>
      </c>
      <c r="O333" s="9" t="str">
        <f t="shared" ref="O333:O342" si="65">IF(AND(C333="",K333=""),"",IF(R333="","Em Andamento",IF(M333&lt;=P333,"Dentro do Prazo","Fora do Prazo")))</f>
        <v>Dentro do Prazo</v>
      </c>
      <c r="P333" s="10">
        <f t="shared" ref="P333:P342" si="66">IF(OR(C333="",L333=""),"",C333+L333)</f>
        <v>45191</v>
      </c>
      <c r="Q333" s="6" t="str">
        <f t="shared" ref="Q333:Q342" ca="1" si="67">IF(P333="","",IF(P333-TODAY()=0,"Vence Hoje!",IF(P333-TODAY()&gt;=0,P333-TODAY()&amp;" Dia(s) para vencer","Prazo Vencido")))</f>
        <v>Prazo Vencido</v>
      </c>
      <c r="R333" s="8">
        <f t="shared" ref="R333:R342" si="68">IF(OR(C333="",M333=""),"",M333-C333)</f>
        <v>5</v>
      </c>
    </row>
    <row r="334" spans="1:18" ht="13" hidden="1">
      <c r="A334" s="6">
        <v>5983</v>
      </c>
      <c r="B334" s="57">
        <v>45176</v>
      </c>
      <c r="C334" s="57">
        <v>45176</v>
      </c>
      <c r="D334" s="6" t="s">
        <v>162</v>
      </c>
      <c r="E334" s="6" t="s">
        <v>941</v>
      </c>
      <c r="F334" s="6" t="s">
        <v>825</v>
      </c>
      <c r="G334" s="6" t="e">
        <f>IF(F334="","",VLOOKUP(F334,'PLAN SUPORTE'!A:B,2,0))</f>
        <v>#N/A</v>
      </c>
      <c r="H334" s="7"/>
      <c r="I334" s="8" t="s">
        <v>692</v>
      </c>
      <c r="J334" s="8"/>
      <c r="K334" s="8" t="s">
        <v>25</v>
      </c>
      <c r="L334" s="8">
        <f>IF(K334="","",VLOOKUP(K334,'PLAN SUPORTE'!$H$2:$I$4,2,0))</f>
        <v>15</v>
      </c>
      <c r="M334" s="10"/>
      <c r="N334" s="10"/>
      <c r="O334" s="9" t="str">
        <f t="shared" si="65"/>
        <v>Em Andamento</v>
      </c>
      <c r="P334" s="10">
        <f t="shared" si="66"/>
        <v>45191</v>
      </c>
      <c r="Q334" s="6" t="str">
        <f t="shared" ca="1" si="67"/>
        <v>Prazo Vencido</v>
      </c>
      <c r="R334" s="8" t="str">
        <f t="shared" si="68"/>
        <v/>
      </c>
    </row>
    <row r="335" spans="1:18" ht="13" hidden="1">
      <c r="A335" s="6">
        <v>5984</v>
      </c>
      <c r="B335" s="57">
        <v>45176</v>
      </c>
      <c r="C335" s="57">
        <v>45176</v>
      </c>
      <c r="D335" s="6" t="s">
        <v>162</v>
      </c>
      <c r="E335" s="6" t="s">
        <v>941</v>
      </c>
      <c r="F335" s="6" t="s">
        <v>825</v>
      </c>
      <c r="G335" s="6" t="e">
        <f>IF(F335="","",VLOOKUP(F335,'PLAN SUPORTE'!A:B,2,0))</f>
        <v>#N/A</v>
      </c>
      <c r="H335" s="7"/>
      <c r="I335" s="8" t="s">
        <v>692</v>
      </c>
      <c r="J335" s="8"/>
      <c r="K335" s="8" t="s">
        <v>25</v>
      </c>
      <c r="L335" s="8">
        <f>IF(K335="","",VLOOKUP(K335,'PLAN SUPORTE'!$H$2:$I$4,2,0))</f>
        <v>15</v>
      </c>
      <c r="M335" s="10"/>
      <c r="N335" s="10"/>
      <c r="O335" s="9" t="str">
        <f t="shared" si="65"/>
        <v>Em Andamento</v>
      </c>
      <c r="P335" s="10">
        <f t="shared" si="66"/>
        <v>45191</v>
      </c>
      <c r="Q335" s="6" t="str">
        <f t="shared" ca="1" si="67"/>
        <v>Prazo Vencido</v>
      </c>
      <c r="R335" s="8" t="str">
        <f t="shared" si="68"/>
        <v/>
      </c>
    </row>
    <row r="336" spans="1:18" ht="13" hidden="1">
      <c r="A336" s="6">
        <v>5986</v>
      </c>
      <c r="B336" s="57">
        <v>45176</v>
      </c>
      <c r="C336" s="57">
        <v>45176</v>
      </c>
      <c r="D336" s="6" t="s">
        <v>771</v>
      </c>
      <c r="E336" s="6" t="s">
        <v>950</v>
      </c>
      <c r="F336" s="6" t="s">
        <v>825</v>
      </c>
      <c r="G336" s="6" t="e">
        <f>IF(F336="","",VLOOKUP(F336,'PLAN SUPORTE'!A:B,2,0))</f>
        <v>#N/A</v>
      </c>
      <c r="H336" s="7"/>
      <c r="I336" s="8" t="s">
        <v>692</v>
      </c>
      <c r="J336" s="8"/>
      <c r="K336" s="8" t="s">
        <v>25</v>
      </c>
      <c r="L336" s="8">
        <f>IF(K336="","",VLOOKUP(K336,'PLAN SUPORTE'!$H$2:$I$4,2,0))</f>
        <v>15</v>
      </c>
      <c r="M336" s="10"/>
      <c r="N336" s="10"/>
      <c r="O336" s="9" t="str">
        <f t="shared" si="65"/>
        <v>Em Andamento</v>
      </c>
      <c r="P336" s="10">
        <f t="shared" si="66"/>
        <v>45191</v>
      </c>
      <c r="Q336" s="6" t="str">
        <f t="shared" ca="1" si="67"/>
        <v>Prazo Vencido</v>
      </c>
      <c r="R336" s="8" t="str">
        <f t="shared" si="68"/>
        <v/>
      </c>
    </row>
    <row r="337" spans="1:18" ht="13" hidden="1">
      <c r="A337" s="6">
        <v>5987</v>
      </c>
      <c r="B337" s="57">
        <v>45176</v>
      </c>
      <c r="C337" s="57">
        <v>45176</v>
      </c>
      <c r="D337" s="6" t="s">
        <v>771</v>
      </c>
      <c r="E337" s="6" t="s">
        <v>950</v>
      </c>
      <c r="F337" s="6" t="s">
        <v>825</v>
      </c>
      <c r="G337" s="6" t="e">
        <f>IF(F337="","",VLOOKUP(F337,'PLAN SUPORTE'!A:B,2,0))</f>
        <v>#N/A</v>
      </c>
      <c r="H337" s="7"/>
      <c r="I337" s="8" t="s">
        <v>692</v>
      </c>
      <c r="J337" s="8"/>
      <c r="K337" s="8" t="s">
        <v>25</v>
      </c>
      <c r="L337" s="8">
        <f>IF(K337="","",VLOOKUP(K337,'PLAN SUPORTE'!$H$2:$I$4,2,0))</f>
        <v>15</v>
      </c>
      <c r="M337" s="10"/>
      <c r="N337" s="10"/>
      <c r="O337" s="38" t="str">
        <f t="shared" si="65"/>
        <v>Em Andamento</v>
      </c>
      <c r="P337" s="10">
        <f t="shared" si="66"/>
        <v>45191</v>
      </c>
      <c r="Q337" s="6" t="str">
        <f t="shared" ca="1" si="67"/>
        <v>Prazo Vencido</v>
      </c>
      <c r="R337" s="8" t="str">
        <f t="shared" si="68"/>
        <v/>
      </c>
    </row>
    <row r="338" spans="1:18" ht="13" hidden="1">
      <c r="A338" s="6">
        <v>5989</v>
      </c>
      <c r="B338" s="57">
        <v>45177</v>
      </c>
      <c r="C338" s="57">
        <v>45177</v>
      </c>
      <c r="D338" s="6" t="s">
        <v>771</v>
      </c>
      <c r="E338" s="6" t="s">
        <v>950</v>
      </c>
      <c r="F338" s="6" t="s">
        <v>748</v>
      </c>
      <c r="G338" s="6" t="e">
        <f>IF(F338="","",VLOOKUP(F338,'PLAN SUPORTE'!A:B,2,0))</f>
        <v>#N/A</v>
      </c>
      <c r="H338" s="7"/>
      <c r="I338" s="8" t="s">
        <v>692</v>
      </c>
      <c r="J338" s="8"/>
      <c r="K338" s="8" t="s">
        <v>25</v>
      </c>
      <c r="L338" s="8">
        <f>IF(K338="","",VLOOKUP(K338,'PLAN SUPORTE'!$H$2:$I$4,2,0))</f>
        <v>15</v>
      </c>
      <c r="M338" s="10"/>
      <c r="N338" s="10"/>
      <c r="O338" s="43" t="str">
        <f t="shared" si="65"/>
        <v>Em Andamento</v>
      </c>
      <c r="P338" s="10">
        <f t="shared" si="66"/>
        <v>45192</v>
      </c>
      <c r="Q338" s="6" t="str">
        <f t="shared" ca="1" si="67"/>
        <v>Prazo Vencido</v>
      </c>
      <c r="R338" s="8" t="str">
        <f t="shared" si="68"/>
        <v/>
      </c>
    </row>
    <row r="339" spans="1:18" ht="13" hidden="1">
      <c r="A339" s="6">
        <v>5990</v>
      </c>
      <c r="B339" s="57">
        <v>45177</v>
      </c>
      <c r="C339" s="57">
        <v>45177</v>
      </c>
      <c r="D339" s="6" t="s">
        <v>932</v>
      </c>
      <c r="E339" s="6" t="s">
        <v>933</v>
      </c>
      <c r="F339" s="6" t="s">
        <v>748</v>
      </c>
      <c r="G339" s="6" t="e">
        <f>IF(F339="","",VLOOKUP(F339,'PLAN SUPORTE'!A:B,2,0))</f>
        <v>#N/A</v>
      </c>
      <c r="H339" s="7"/>
      <c r="I339" s="8" t="s">
        <v>692</v>
      </c>
      <c r="J339" s="8" t="s">
        <v>296</v>
      </c>
      <c r="K339" s="8" t="s">
        <v>25</v>
      </c>
      <c r="L339" s="8">
        <f>IF(K339="","",VLOOKUP(K339,'PLAN SUPORTE'!$H$2:$I$4,2,0))</f>
        <v>15</v>
      </c>
      <c r="M339" s="10"/>
      <c r="N339" s="10"/>
      <c r="O339" s="9" t="str">
        <f t="shared" si="65"/>
        <v>Em Andamento</v>
      </c>
      <c r="P339" s="10">
        <f t="shared" si="66"/>
        <v>45192</v>
      </c>
      <c r="Q339" s="6" t="str">
        <f t="shared" ca="1" si="67"/>
        <v>Prazo Vencido</v>
      </c>
      <c r="R339" s="8" t="str">
        <f t="shared" si="68"/>
        <v/>
      </c>
    </row>
    <row r="340" spans="1:18" ht="13" hidden="1">
      <c r="A340" s="6">
        <v>5991</v>
      </c>
      <c r="B340" s="57">
        <v>45177</v>
      </c>
      <c r="C340" s="57">
        <v>45177</v>
      </c>
      <c r="D340" s="6" t="s">
        <v>771</v>
      </c>
      <c r="E340" s="6" t="s">
        <v>950</v>
      </c>
      <c r="F340" s="6" t="s">
        <v>748</v>
      </c>
      <c r="G340" s="6" t="e">
        <f>IF(F340="","",VLOOKUP(F340,'PLAN SUPORTE'!A:B,2,0))</f>
        <v>#N/A</v>
      </c>
      <c r="H340" s="7"/>
      <c r="I340" s="8" t="s">
        <v>692</v>
      </c>
      <c r="J340" s="8"/>
      <c r="K340" s="8" t="s">
        <v>25</v>
      </c>
      <c r="L340" s="8">
        <f>IF(K340="","",VLOOKUP(K340,'PLAN SUPORTE'!$H$2:$I$4,2,0))</f>
        <v>15</v>
      </c>
      <c r="M340" s="10"/>
      <c r="N340" s="10"/>
      <c r="O340" s="9" t="str">
        <f t="shared" si="65"/>
        <v>Em Andamento</v>
      </c>
      <c r="P340" s="10">
        <f t="shared" si="66"/>
        <v>45192</v>
      </c>
      <c r="Q340" s="6" t="str">
        <f t="shared" ca="1" si="67"/>
        <v>Prazo Vencido</v>
      </c>
      <c r="R340" s="8" t="str">
        <f t="shared" si="68"/>
        <v/>
      </c>
    </row>
    <row r="341" spans="1:18" ht="13" hidden="1">
      <c r="A341" s="6">
        <v>5992</v>
      </c>
      <c r="B341" s="57">
        <v>45177</v>
      </c>
      <c r="C341" s="57">
        <v>45177</v>
      </c>
      <c r="D341" s="6" t="s">
        <v>771</v>
      </c>
      <c r="E341" s="6" t="s">
        <v>950</v>
      </c>
      <c r="F341" s="6" t="s">
        <v>748</v>
      </c>
      <c r="G341" s="6" t="e">
        <f>IF(F341="","",VLOOKUP(F341,'PLAN SUPORTE'!A:B,2,0))</f>
        <v>#N/A</v>
      </c>
      <c r="H341" s="7"/>
      <c r="I341" s="8" t="s">
        <v>692</v>
      </c>
      <c r="J341" s="8"/>
      <c r="K341" s="8" t="s">
        <v>25</v>
      </c>
      <c r="L341" s="8">
        <f>IF(K341="","",VLOOKUP(K341,'PLAN SUPORTE'!$H$2:$I$4,2,0))</f>
        <v>15</v>
      </c>
      <c r="M341" s="10"/>
      <c r="N341" s="10"/>
      <c r="O341" s="9" t="str">
        <f t="shared" si="65"/>
        <v>Em Andamento</v>
      </c>
      <c r="P341" s="10">
        <f t="shared" si="66"/>
        <v>45192</v>
      </c>
      <c r="Q341" s="6" t="str">
        <f t="shared" ca="1" si="67"/>
        <v>Prazo Vencido</v>
      </c>
      <c r="R341" s="8" t="str">
        <f t="shared" si="68"/>
        <v/>
      </c>
    </row>
    <row r="342" spans="1:18" ht="13" hidden="1">
      <c r="A342" s="6">
        <v>5993</v>
      </c>
      <c r="B342" s="57">
        <v>45177</v>
      </c>
      <c r="C342" s="57">
        <v>45177</v>
      </c>
      <c r="D342" s="6" t="s">
        <v>961</v>
      </c>
      <c r="E342" s="6" t="s">
        <v>962</v>
      </c>
      <c r="F342" s="6" t="s">
        <v>825</v>
      </c>
      <c r="G342" s="6" t="e">
        <f>IF(F342="","",VLOOKUP(F342,'PLAN SUPORTE'!A:B,2,0))</f>
        <v>#N/A</v>
      </c>
      <c r="H342" s="7"/>
      <c r="I342" s="8" t="s">
        <v>692</v>
      </c>
      <c r="J342" s="8"/>
      <c r="K342" s="8" t="s">
        <v>25</v>
      </c>
      <c r="L342" s="8">
        <f>IF(K342="","",VLOOKUP(K342,'PLAN SUPORTE'!$H$2:$I$4,2,0))</f>
        <v>15</v>
      </c>
      <c r="M342" s="10"/>
      <c r="N342" s="10"/>
      <c r="O342" s="9" t="str">
        <f t="shared" si="65"/>
        <v>Em Andamento</v>
      </c>
      <c r="P342" s="10">
        <f t="shared" si="66"/>
        <v>45192</v>
      </c>
      <c r="Q342" s="6" t="str">
        <f t="shared" ca="1" si="67"/>
        <v>Prazo Vencido</v>
      </c>
      <c r="R342" s="8" t="str">
        <f t="shared" si="68"/>
        <v/>
      </c>
    </row>
    <row r="343" spans="1:18" ht="13">
      <c r="A343" s="8">
        <v>6005</v>
      </c>
      <c r="B343" s="10">
        <v>45178</v>
      </c>
      <c r="C343" s="10">
        <v>45178</v>
      </c>
      <c r="D343" s="8" t="s">
        <v>963</v>
      </c>
      <c r="E343" s="8"/>
      <c r="F343" s="8" t="s">
        <v>775</v>
      </c>
      <c r="G343" s="6"/>
      <c r="H343" s="7"/>
      <c r="I343" s="8" t="s">
        <v>754</v>
      </c>
      <c r="J343" s="8" t="s">
        <v>24</v>
      </c>
      <c r="K343" s="8" t="s">
        <v>25</v>
      </c>
      <c r="L343" s="8">
        <f>IF(K343="","",VLOOKUP(K343,'PLAN SUPORTE'!$H$2:$I$4,2,0))</f>
        <v>15</v>
      </c>
      <c r="M343" s="10"/>
      <c r="N343" s="10">
        <v>45191</v>
      </c>
      <c r="O343" s="9"/>
      <c r="P343" s="10"/>
      <c r="Q343" s="6"/>
      <c r="R343" s="8"/>
    </row>
    <row r="344" spans="1:18" ht="13" hidden="1">
      <c r="A344" s="8">
        <v>6014</v>
      </c>
      <c r="B344" s="10">
        <v>45178</v>
      </c>
      <c r="C344" s="10">
        <v>45178</v>
      </c>
      <c r="D344" s="8" t="s">
        <v>935</v>
      </c>
      <c r="E344" s="8"/>
      <c r="F344" s="8" t="s">
        <v>964</v>
      </c>
      <c r="G344" s="6"/>
      <c r="H344" s="7"/>
      <c r="I344" s="8" t="s">
        <v>754</v>
      </c>
      <c r="J344" s="8" t="s">
        <v>265</v>
      </c>
      <c r="K344" s="8" t="s">
        <v>25</v>
      </c>
      <c r="L344" s="8">
        <f>IF(K344="","",VLOOKUP(K344,'PLAN SUPORTE'!$H$2:$I$4,2,0))</f>
        <v>15</v>
      </c>
      <c r="M344" s="10"/>
      <c r="N344" s="10"/>
      <c r="O344" s="9"/>
      <c r="P344" s="10"/>
      <c r="Q344" s="6"/>
      <c r="R344" s="8"/>
    </row>
    <row r="345" spans="1:18" ht="13">
      <c r="A345" s="8">
        <v>6016</v>
      </c>
      <c r="B345" s="10">
        <v>45180</v>
      </c>
      <c r="C345" s="10">
        <v>45180</v>
      </c>
      <c r="D345" s="8" t="s">
        <v>920</v>
      </c>
      <c r="E345" s="8"/>
      <c r="F345" s="66" t="s">
        <v>959</v>
      </c>
      <c r="G345" s="6" t="e">
        <f>IF(F345="","",VLOOKUP(F345,'PLAN SUPORTE'!A:B,2,0))</f>
        <v>#N/A</v>
      </c>
      <c r="H345" s="7"/>
      <c r="I345" s="8" t="s">
        <v>692</v>
      </c>
      <c r="J345" s="8" t="s">
        <v>24</v>
      </c>
      <c r="K345" s="8" t="s">
        <v>25</v>
      </c>
      <c r="L345" s="8">
        <f>IF(K345="","",VLOOKUP(K345,'PLAN SUPORTE'!$H$2:$I$4,2,0))</f>
        <v>15</v>
      </c>
      <c r="M345" s="10">
        <v>45181</v>
      </c>
      <c r="N345" s="10">
        <v>45191</v>
      </c>
      <c r="O345" s="9" t="str">
        <f t="shared" ref="O345:O346" si="69">IF(AND(C345="",K345=""),"",IF(R345="","Em Andamento",IF(M345&lt;=P345,"Dentro do Prazo","Fora do Prazo")))</f>
        <v>Dentro do Prazo</v>
      </c>
      <c r="P345" s="10">
        <f t="shared" ref="P345:P346" si="70">IF(OR(C345="",L345=""),"",C345+L345)</f>
        <v>45195</v>
      </c>
      <c r="Q345" s="6" t="str">
        <f t="shared" ref="Q345:Q346" ca="1" si="71">IF(P345="","",IF(P345-TODAY()=0,"Vence Hoje!",IF(P345-TODAY()&gt;=0,P345-TODAY()&amp;" Dia(s) para vencer","Prazo Vencido")))</f>
        <v>Prazo Vencido</v>
      </c>
      <c r="R345" s="8">
        <f t="shared" ref="R345:R346" si="72">IF(OR(C345="",M345=""),"",M345-C345)</f>
        <v>1</v>
      </c>
    </row>
    <row r="346" spans="1:18" ht="13" hidden="1">
      <c r="A346" s="6">
        <v>6017</v>
      </c>
      <c r="B346" s="57">
        <v>45180</v>
      </c>
      <c r="C346" s="57">
        <v>45180</v>
      </c>
      <c r="D346" s="6" t="s">
        <v>965</v>
      </c>
      <c r="E346" s="6" t="s">
        <v>950</v>
      </c>
      <c r="F346" s="6" t="s">
        <v>825</v>
      </c>
      <c r="G346" s="6" t="e">
        <f>IF(F346="","",VLOOKUP(F346,'PLAN SUPORTE'!A:B,2,0))</f>
        <v>#N/A</v>
      </c>
      <c r="H346" s="7"/>
      <c r="I346" s="8" t="s">
        <v>692</v>
      </c>
      <c r="J346" s="8"/>
      <c r="K346" s="8" t="s">
        <v>25</v>
      </c>
      <c r="L346" s="8">
        <f>IF(K346="","",VLOOKUP(K346,'PLAN SUPORTE'!$H$2:$I$4,2,0))</f>
        <v>15</v>
      </c>
      <c r="M346" s="10"/>
      <c r="N346" s="10"/>
      <c r="O346" s="9" t="str">
        <f t="shared" si="69"/>
        <v>Em Andamento</v>
      </c>
      <c r="P346" s="10">
        <f t="shared" si="70"/>
        <v>45195</v>
      </c>
      <c r="Q346" s="6" t="str">
        <f t="shared" ca="1" si="71"/>
        <v>Prazo Vencido</v>
      </c>
      <c r="R346" s="8" t="str">
        <f t="shared" si="72"/>
        <v/>
      </c>
    </row>
    <row r="347" spans="1:18" ht="13" hidden="1">
      <c r="A347" s="8">
        <v>6018</v>
      </c>
      <c r="B347" s="10">
        <v>45180</v>
      </c>
      <c r="C347" s="10">
        <v>45180</v>
      </c>
      <c r="D347" s="8" t="s">
        <v>947</v>
      </c>
      <c r="E347" s="8"/>
      <c r="F347" s="8" t="s">
        <v>775</v>
      </c>
      <c r="G347" s="6"/>
      <c r="H347" s="7"/>
      <c r="I347" s="8" t="s">
        <v>754</v>
      </c>
      <c r="J347" s="8" t="s">
        <v>265</v>
      </c>
      <c r="K347" s="8" t="s">
        <v>25</v>
      </c>
      <c r="L347" s="8">
        <f>IF(K347="","",VLOOKUP(K347,'PLAN SUPORTE'!$H$2:$I$4,2,0))</f>
        <v>15</v>
      </c>
      <c r="M347" s="10"/>
      <c r="N347" s="10"/>
      <c r="O347" s="9"/>
      <c r="P347" s="10"/>
      <c r="Q347" s="6"/>
      <c r="R347" s="8"/>
    </row>
    <row r="348" spans="1:18" ht="13" hidden="1">
      <c r="A348" s="8">
        <v>6081</v>
      </c>
      <c r="B348" s="10">
        <v>45188</v>
      </c>
      <c r="C348" s="10">
        <v>45188</v>
      </c>
      <c r="D348" s="8" t="s">
        <v>966</v>
      </c>
      <c r="E348" s="8"/>
      <c r="F348" s="8" t="s">
        <v>775</v>
      </c>
      <c r="G348" s="6"/>
      <c r="H348" s="7"/>
      <c r="I348" s="8" t="s">
        <v>754</v>
      </c>
      <c r="J348" s="8" t="s">
        <v>265</v>
      </c>
      <c r="K348" s="8" t="s">
        <v>25</v>
      </c>
      <c r="L348" s="8"/>
      <c r="M348" s="10"/>
      <c r="N348" s="10"/>
      <c r="O348" s="9"/>
      <c r="P348" s="10"/>
      <c r="Q348" s="6"/>
      <c r="R348" s="8"/>
    </row>
    <row r="349" spans="1:18" ht="13" hidden="1">
      <c r="A349" s="8">
        <v>6078</v>
      </c>
      <c r="B349" s="10">
        <v>45188</v>
      </c>
      <c r="C349" s="10">
        <v>45188</v>
      </c>
      <c r="D349" s="8" t="s">
        <v>935</v>
      </c>
      <c r="E349" s="8"/>
      <c r="F349" s="8" t="s">
        <v>775</v>
      </c>
      <c r="G349" s="6"/>
      <c r="H349" s="7"/>
      <c r="I349" s="8" t="s">
        <v>754</v>
      </c>
      <c r="J349" s="8" t="s">
        <v>265</v>
      </c>
      <c r="K349" s="8" t="s">
        <v>25</v>
      </c>
      <c r="L349" s="8"/>
      <c r="M349" s="10"/>
      <c r="N349" s="10"/>
      <c r="O349" s="9"/>
      <c r="P349" s="10"/>
      <c r="Q349" s="6"/>
      <c r="R349" s="8"/>
    </row>
    <row r="350" spans="1:18" ht="13" hidden="1">
      <c r="A350" s="8">
        <v>6079</v>
      </c>
      <c r="B350" s="10">
        <v>45188</v>
      </c>
      <c r="C350" s="10">
        <v>45188</v>
      </c>
      <c r="D350" s="8" t="s">
        <v>934</v>
      </c>
      <c r="E350" s="8"/>
      <c r="F350" s="8" t="s">
        <v>775</v>
      </c>
      <c r="G350" s="6"/>
      <c r="H350" s="7"/>
      <c r="I350" s="8" t="s">
        <v>754</v>
      </c>
      <c r="J350" s="8" t="s">
        <v>265</v>
      </c>
      <c r="K350" s="8" t="s">
        <v>25</v>
      </c>
      <c r="L350" s="8"/>
      <c r="M350" s="10"/>
      <c r="N350" s="10"/>
      <c r="O350" s="9"/>
      <c r="P350" s="10"/>
      <c r="Q350" s="6"/>
      <c r="R350" s="8"/>
    </row>
    <row r="351" spans="1:18" ht="13" hidden="1">
      <c r="A351" s="8">
        <v>6076</v>
      </c>
      <c r="B351" s="10">
        <v>45188</v>
      </c>
      <c r="C351" s="10">
        <v>45188</v>
      </c>
      <c r="D351" s="8" t="s">
        <v>946</v>
      </c>
      <c r="E351" s="8"/>
      <c r="F351" s="8" t="s">
        <v>775</v>
      </c>
      <c r="G351" s="6"/>
      <c r="H351" s="7"/>
      <c r="I351" s="8" t="s">
        <v>754</v>
      </c>
      <c r="J351" s="8" t="s">
        <v>265</v>
      </c>
      <c r="K351" s="8" t="s">
        <v>25</v>
      </c>
      <c r="L351" s="8"/>
      <c r="M351" s="10"/>
      <c r="N351" s="10"/>
      <c r="O351" s="9"/>
      <c r="P351" s="10"/>
      <c r="Q351" s="6"/>
      <c r="R351" s="8"/>
    </row>
    <row r="352" spans="1:18" ht="13" hidden="1">
      <c r="A352" s="8">
        <v>6075</v>
      </c>
      <c r="B352" s="10">
        <v>45188</v>
      </c>
      <c r="C352" s="10">
        <v>45188</v>
      </c>
      <c r="D352" s="8" t="s">
        <v>967</v>
      </c>
      <c r="E352" s="8"/>
      <c r="F352" s="8" t="s">
        <v>775</v>
      </c>
      <c r="G352" s="6"/>
      <c r="H352" s="7"/>
      <c r="I352" s="8" t="s">
        <v>754</v>
      </c>
      <c r="J352" s="8" t="s">
        <v>265</v>
      </c>
      <c r="K352" s="8" t="s">
        <v>25</v>
      </c>
      <c r="L352" s="8"/>
      <c r="M352" s="10"/>
      <c r="N352" s="10"/>
      <c r="O352" s="9"/>
      <c r="P352" s="10"/>
      <c r="Q352" s="6"/>
      <c r="R352" s="8"/>
    </row>
    <row r="353" spans="1:18" ht="13" hidden="1">
      <c r="A353" s="8">
        <v>6042</v>
      </c>
      <c r="B353" s="10">
        <v>45182</v>
      </c>
      <c r="C353" s="10">
        <v>45182</v>
      </c>
      <c r="D353" s="8" t="s">
        <v>968</v>
      </c>
      <c r="E353" s="8"/>
      <c r="F353" s="8" t="s">
        <v>775</v>
      </c>
      <c r="G353" s="6"/>
      <c r="H353" s="7"/>
      <c r="I353" s="8" t="s">
        <v>754</v>
      </c>
      <c r="J353" s="8" t="s">
        <v>265</v>
      </c>
      <c r="K353" s="8" t="s">
        <v>25</v>
      </c>
      <c r="L353" s="8"/>
      <c r="M353" s="10"/>
      <c r="N353" s="10"/>
      <c r="O353" s="9"/>
      <c r="P353" s="10"/>
      <c r="Q353" s="6"/>
      <c r="R353" s="8"/>
    </row>
    <row r="354" spans="1:18" ht="13" hidden="1">
      <c r="A354" s="8">
        <v>6020</v>
      </c>
      <c r="B354" s="10">
        <v>45180</v>
      </c>
      <c r="C354" s="10">
        <v>45180</v>
      </c>
      <c r="D354" s="8" t="s">
        <v>937</v>
      </c>
      <c r="E354" s="8"/>
      <c r="F354" s="8" t="s">
        <v>910</v>
      </c>
      <c r="G354" s="6"/>
      <c r="H354" s="7"/>
      <c r="I354" s="8" t="s">
        <v>754</v>
      </c>
      <c r="J354" s="8" t="s">
        <v>265</v>
      </c>
      <c r="K354" s="8" t="s">
        <v>25</v>
      </c>
      <c r="L354" s="8">
        <f>IF(K354="","",VLOOKUP(K354,'PLAN SUPORTE'!$H$2:$I$4,2,0))</f>
        <v>15</v>
      </c>
      <c r="M354" s="10"/>
      <c r="N354" s="10"/>
      <c r="O354" s="9"/>
      <c r="P354" s="10"/>
      <c r="Q354" s="6"/>
      <c r="R354" s="8"/>
    </row>
    <row r="355" spans="1:18" ht="13">
      <c r="A355" s="8">
        <v>6021</v>
      </c>
      <c r="B355" s="10">
        <v>45180</v>
      </c>
      <c r="C355" s="10">
        <v>45180</v>
      </c>
      <c r="D355" s="8" t="s">
        <v>946</v>
      </c>
      <c r="E355" s="8"/>
      <c r="F355" s="8" t="s">
        <v>799</v>
      </c>
      <c r="G355" s="6"/>
      <c r="H355" s="7"/>
      <c r="I355" s="8" t="s">
        <v>754</v>
      </c>
      <c r="J355" s="8" t="s">
        <v>24</v>
      </c>
      <c r="K355" s="8" t="s">
        <v>25</v>
      </c>
      <c r="L355" s="8">
        <f>IF(K355="","",VLOOKUP(K355,'PLAN SUPORTE'!$H$2:$I$4,2,0))</f>
        <v>15</v>
      </c>
      <c r="M355" s="10"/>
      <c r="N355" s="10">
        <v>45191</v>
      </c>
      <c r="O355" s="9"/>
      <c r="P355" s="10"/>
      <c r="Q355" s="6"/>
      <c r="R355" s="8"/>
    </row>
    <row r="356" spans="1:18" ht="13" hidden="1">
      <c r="A356" s="8">
        <v>6077</v>
      </c>
      <c r="B356" s="10">
        <v>45188</v>
      </c>
      <c r="C356" s="10">
        <v>45188</v>
      </c>
      <c r="D356" s="8" t="s">
        <v>934</v>
      </c>
      <c r="E356" s="8"/>
      <c r="F356" s="8" t="s">
        <v>799</v>
      </c>
      <c r="G356" s="6"/>
      <c r="H356" s="7"/>
      <c r="I356" s="8" t="s">
        <v>754</v>
      </c>
      <c r="J356" s="8" t="s">
        <v>265</v>
      </c>
      <c r="K356" s="8" t="s">
        <v>25</v>
      </c>
      <c r="L356" s="8"/>
      <c r="M356" s="10"/>
      <c r="N356" s="10"/>
      <c r="O356" s="9"/>
      <c r="P356" s="10"/>
      <c r="Q356" s="6"/>
      <c r="R356" s="8"/>
    </row>
    <row r="357" spans="1:18" ht="13" hidden="1">
      <c r="A357" s="8">
        <v>6022</v>
      </c>
      <c r="B357" s="10">
        <v>45180</v>
      </c>
      <c r="C357" s="10">
        <v>45180</v>
      </c>
      <c r="D357" s="8" t="s">
        <v>937</v>
      </c>
      <c r="E357" s="8"/>
      <c r="F357" s="8" t="s">
        <v>910</v>
      </c>
      <c r="G357" s="6"/>
      <c r="H357" s="7"/>
      <c r="I357" s="8" t="s">
        <v>754</v>
      </c>
      <c r="J357" s="8" t="s">
        <v>265</v>
      </c>
      <c r="K357" s="8" t="s">
        <v>25</v>
      </c>
      <c r="L357" s="8">
        <f>IF(K357="","",VLOOKUP(K357,'PLAN SUPORTE'!$H$2:$I$4,2,0))</f>
        <v>15</v>
      </c>
      <c r="M357" s="10"/>
      <c r="N357" s="10"/>
      <c r="O357" s="9"/>
      <c r="P357" s="10"/>
      <c r="Q357" s="6"/>
      <c r="R357" s="8"/>
    </row>
    <row r="358" spans="1:18" ht="13">
      <c r="A358" s="8">
        <v>6026</v>
      </c>
      <c r="B358" s="10">
        <v>45180</v>
      </c>
      <c r="C358" s="10">
        <v>45180</v>
      </c>
      <c r="D358" s="6" t="s">
        <v>940</v>
      </c>
      <c r="E358" s="8"/>
      <c r="F358" s="8" t="s">
        <v>752</v>
      </c>
      <c r="G358" s="6"/>
      <c r="H358" s="7"/>
      <c r="I358" s="8" t="s">
        <v>754</v>
      </c>
      <c r="J358" s="8" t="s">
        <v>24</v>
      </c>
      <c r="K358" s="8" t="s">
        <v>25</v>
      </c>
      <c r="L358" s="8">
        <f>IF(K358="","",VLOOKUP(K358,'PLAN SUPORTE'!$H$2:$I$4,2,0))</f>
        <v>15</v>
      </c>
      <c r="M358" s="10"/>
      <c r="N358" s="10">
        <v>45191</v>
      </c>
      <c r="O358" s="9"/>
      <c r="P358" s="10"/>
      <c r="Q358" s="6"/>
      <c r="R358" s="8"/>
    </row>
    <row r="359" spans="1:18" ht="13">
      <c r="A359" s="6">
        <v>6031</v>
      </c>
      <c r="B359" s="57">
        <v>45180</v>
      </c>
      <c r="C359" s="57">
        <v>45180</v>
      </c>
      <c r="D359" s="6" t="s">
        <v>746</v>
      </c>
      <c r="E359" s="6" t="s">
        <v>969</v>
      </c>
      <c r="F359" s="6" t="s">
        <v>748</v>
      </c>
      <c r="G359" s="6" t="e">
        <f>IF(F359="","",VLOOKUP(F359,'PLAN SUPORTE'!A:B,2,0))</f>
        <v>#N/A</v>
      </c>
      <c r="H359" s="7"/>
      <c r="I359" s="8" t="s">
        <v>692</v>
      </c>
      <c r="J359" s="8" t="s">
        <v>24</v>
      </c>
      <c r="K359" s="8" t="s">
        <v>25</v>
      </c>
      <c r="L359" s="8">
        <f>IF(K359="","",VLOOKUP(K359,'PLAN SUPORTE'!$H$2:$I$4,2,0))</f>
        <v>15</v>
      </c>
      <c r="M359" s="10">
        <v>45182</v>
      </c>
      <c r="N359" s="10">
        <v>45191</v>
      </c>
      <c r="O359" s="9" t="str">
        <f t="shared" ref="O359:O463" si="73">IF(AND(C359="",K359=""),"",IF(R359="","Em Andamento",IF(M359&lt;=P359,"Dentro do Prazo","Fora do Prazo")))</f>
        <v>Dentro do Prazo</v>
      </c>
      <c r="P359" s="10">
        <f t="shared" ref="P359:P613" si="74">IF(OR(C359="",L359=""),"",C359+L359)</f>
        <v>45195</v>
      </c>
      <c r="Q359" s="6" t="str">
        <f t="shared" ref="Q359:Q613" ca="1" si="75">IF(P359="","",IF(P359-TODAY()=0,"Vence Hoje!",IF(P359-TODAY()&gt;=0,P359-TODAY()&amp;" Dia(s) para vencer","Prazo Vencido")))</f>
        <v>Prazo Vencido</v>
      </c>
      <c r="R359" s="8">
        <f t="shared" ref="R359:R462" si="76">IF(OR(C359="",M359=""),"",M359-C359)</f>
        <v>2</v>
      </c>
    </row>
    <row r="360" spans="1:18" ht="13" hidden="1">
      <c r="A360" s="6">
        <v>6032</v>
      </c>
      <c r="B360" s="57">
        <v>45180</v>
      </c>
      <c r="C360" s="57">
        <v>45180</v>
      </c>
      <c r="D360" s="6" t="s">
        <v>771</v>
      </c>
      <c r="E360" s="6" t="s">
        <v>950</v>
      </c>
      <c r="F360" s="6" t="s">
        <v>825</v>
      </c>
      <c r="G360" s="6" t="e">
        <f>IF(F360="","",VLOOKUP(F360,'PLAN SUPORTE'!A:B,2,0))</f>
        <v>#N/A</v>
      </c>
      <c r="H360" s="7"/>
      <c r="I360" s="8" t="s">
        <v>692</v>
      </c>
      <c r="J360" s="8"/>
      <c r="K360" s="8" t="s">
        <v>25</v>
      </c>
      <c r="L360" s="8">
        <f>IF(K360="","",VLOOKUP(K360,'PLAN SUPORTE'!$H$2:$I$4,2,0))</f>
        <v>15</v>
      </c>
      <c r="M360" s="10"/>
      <c r="N360" s="10"/>
      <c r="O360" s="9" t="str">
        <f t="shared" si="73"/>
        <v>Em Andamento</v>
      </c>
      <c r="P360" s="10">
        <f t="shared" si="74"/>
        <v>45195</v>
      </c>
      <c r="Q360" s="6" t="str">
        <f t="shared" ca="1" si="75"/>
        <v>Prazo Vencido</v>
      </c>
      <c r="R360" s="8" t="str">
        <f t="shared" si="76"/>
        <v/>
      </c>
    </row>
    <row r="361" spans="1:18" ht="13" hidden="1">
      <c r="A361" s="6">
        <v>6033</v>
      </c>
      <c r="B361" s="57">
        <v>45180</v>
      </c>
      <c r="C361" s="57">
        <v>45180</v>
      </c>
      <c r="D361" s="6" t="s">
        <v>746</v>
      </c>
      <c r="E361" s="6" t="s">
        <v>958</v>
      </c>
      <c r="F361" s="6" t="s">
        <v>825</v>
      </c>
      <c r="G361" s="6" t="e">
        <f>IF(F361="","",VLOOKUP(F361,'PLAN SUPORTE'!A:B,2,0))</f>
        <v>#N/A</v>
      </c>
      <c r="H361" s="7"/>
      <c r="I361" s="8" t="s">
        <v>692</v>
      </c>
      <c r="J361" s="8"/>
      <c r="K361" s="8" t="s">
        <v>25</v>
      </c>
      <c r="L361" s="8">
        <f>IF(K361="","",VLOOKUP(K361,'PLAN SUPORTE'!$H$2:$I$4,2,0))</f>
        <v>15</v>
      </c>
      <c r="M361" s="10"/>
      <c r="N361" s="10"/>
      <c r="O361" s="9" t="str">
        <f t="shared" si="73"/>
        <v>Em Andamento</v>
      </c>
      <c r="P361" s="10">
        <f t="shared" si="74"/>
        <v>45195</v>
      </c>
      <c r="Q361" s="61" t="str">
        <f t="shared" ca="1" si="75"/>
        <v>Prazo Vencido</v>
      </c>
      <c r="R361" s="8" t="str">
        <f t="shared" si="76"/>
        <v/>
      </c>
    </row>
    <row r="362" spans="1:18" ht="13">
      <c r="A362" s="8" t="s">
        <v>749</v>
      </c>
      <c r="B362" s="10">
        <v>45061</v>
      </c>
      <c r="C362" s="10">
        <v>45061</v>
      </c>
      <c r="D362" s="8" t="s">
        <v>883</v>
      </c>
      <c r="E362" s="8" t="s">
        <v>884</v>
      </c>
      <c r="F362" s="8" t="s">
        <v>690</v>
      </c>
      <c r="G362" s="6" t="e">
        <f>IF(F362="","",VLOOKUP(F362,'PLAN SUPORTE'!A:B,2,0))</f>
        <v>#N/A</v>
      </c>
      <c r="H362" s="7"/>
      <c r="I362" s="8" t="s">
        <v>687</v>
      </c>
      <c r="J362" s="8" t="s">
        <v>24</v>
      </c>
      <c r="K362" s="8" t="s">
        <v>691</v>
      </c>
      <c r="L362" s="8" t="e">
        <f>IF(K362="","",VLOOKUP(K362,'PLAN SUPORTE'!$H$2:$I$4,2,0))</f>
        <v>#N/A</v>
      </c>
      <c r="M362" s="10">
        <v>45089</v>
      </c>
      <c r="N362" s="10">
        <v>45100</v>
      </c>
      <c r="O362" s="9" t="e">
        <f t="shared" si="73"/>
        <v>#N/A</v>
      </c>
      <c r="P362" s="10" t="e">
        <f t="shared" si="74"/>
        <v>#N/A</v>
      </c>
      <c r="Q362" s="6" t="e">
        <f t="shared" ca="1" si="75"/>
        <v>#N/A</v>
      </c>
      <c r="R362" s="8">
        <f t="shared" si="76"/>
        <v>28</v>
      </c>
    </row>
    <row r="363" spans="1:18" ht="13">
      <c r="A363" s="8" t="s">
        <v>970</v>
      </c>
      <c r="B363" s="10">
        <v>44928</v>
      </c>
      <c r="C363" s="10">
        <v>44928</v>
      </c>
      <c r="D363" s="8" t="s">
        <v>771</v>
      </c>
      <c r="E363" s="8" t="s">
        <v>838</v>
      </c>
      <c r="F363" s="8" t="s">
        <v>699</v>
      </c>
      <c r="G363" s="6" t="e">
        <f>IF(F363="","",VLOOKUP(F363,'PLAN SUPORTE'!A:B,2,0))</f>
        <v>#N/A</v>
      </c>
      <c r="H363" s="7" t="s">
        <v>686</v>
      </c>
      <c r="I363" s="8" t="s">
        <v>682</v>
      </c>
      <c r="J363" s="8" t="s">
        <v>24</v>
      </c>
      <c r="K363" s="8" t="s">
        <v>25</v>
      </c>
      <c r="L363" s="8">
        <f>IF(K363="","",VLOOKUP(K363,'PLAN SUPORTE'!$H$2:$I$4,2,0))</f>
        <v>15</v>
      </c>
      <c r="M363" s="10">
        <v>44938</v>
      </c>
      <c r="N363" s="10"/>
      <c r="O363" s="9" t="str">
        <f t="shared" si="73"/>
        <v>Dentro do Prazo</v>
      </c>
      <c r="P363" s="10">
        <f t="shared" si="74"/>
        <v>44943</v>
      </c>
      <c r="Q363" s="6" t="str">
        <f t="shared" ca="1" si="75"/>
        <v>Prazo Vencido</v>
      </c>
      <c r="R363" s="8">
        <f t="shared" si="76"/>
        <v>10</v>
      </c>
    </row>
    <row r="364" spans="1:18" ht="13">
      <c r="A364" s="8" t="s">
        <v>971</v>
      </c>
      <c r="B364" s="10">
        <v>44928</v>
      </c>
      <c r="C364" s="10">
        <v>44928</v>
      </c>
      <c r="D364" s="8" t="s">
        <v>972</v>
      </c>
      <c r="E364" s="8" t="s">
        <v>827</v>
      </c>
      <c r="F364" s="8" t="s">
        <v>690</v>
      </c>
      <c r="G364" s="6" t="e">
        <f>IF(F364="","",VLOOKUP(F364,'PLAN SUPORTE'!A:B,2,0))</f>
        <v>#N/A</v>
      </c>
      <c r="H364" s="7" t="s">
        <v>686</v>
      </c>
      <c r="I364" s="8" t="s">
        <v>687</v>
      </c>
      <c r="J364" s="8" t="s">
        <v>24</v>
      </c>
      <c r="K364" s="8" t="s">
        <v>691</v>
      </c>
      <c r="L364" s="8" t="e">
        <f>IF(K364="","",VLOOKUP(K364,'PLAN SUPORTE'!$H$2:$I$4,2,0))</f>
        <v>#N/A</v>
      </c>
      <c r="M364" s="10">
        <v>44939</v>
      </c>
      <c r="N364" s="10">
        <v>44939</v>
      </c>
      <c r="O364" s="9" t="e">
        <f t="shared" si="73"/>
        <v>#N/A</v>
      </c>
      <c r="P364" s="10" t="e">
        <f t="shared" si="74"/>
        <v>#N/A</v>
      </c>
      <c r="Q364" s="6" t="e">
        <f t="shared" ca="1" si="75"/>
        <v>#N/A</v>
      </c>
      <c r="R364" s="8">
        <f t="shared" si="76"/>
        <v>11</v>
      </c>
    </row>
    <row r="365" spans="1:18" ht="13">
      <c r="A365" s="8" t="s">
        <v>973</v>
      </c>
      <c r="B365" s="10">
        <v>44929</v>
      </c>
      <c r="C365" s="10">
        <v>44929</v>
      </c>
      <c r="D365" s="8" t="s">
        <v>920</v>
      </c>
      <c r="E365" s="8" t="s">
        <v>838</v>
      </c>
      <c r="F365" s="8" t="s">
        <v>699</v>
      </c>
      <c r="G365" s="6" t="e">
        <f>IF(F365="","",VLOOKUP(F365,'PLAN SUPORTE'!A:B,2,0))</f>
        <v>#N/A</v>
      </c>
      <c r="H365" s="7" t="s">
        <v>686</v>
      </c>
      <c r="I365" s="8" t="s">
        <v>682</v>
      </c>
      <c r="J365" s="8" t="s">
        <v>24</v>
      </c>
      <c r="K365" s="8" t="s">
        <v>25</v>
      </c>
      <c r="L365" s="8">
        <f>IF(K365="","",VLOOKUP(K365,'PLAN SUPORTE'!$H$2:$I$4,2,0))</f>
        <v>15</v>
      </c>
      <c r="M365" s="10">
        <v>44937</v>
      </c>
      <c r="N365" s="10"/>
      <c r="O365" s="9" t="str">
        <f t="shared" si="73"/>
        <v>Dentro do Prazo</v>
      </c>
      <c r="P365" s="10">
        <f t="shared" si="74"/>
        <v>44944</v>
      </c>
      <c r="Q365" s="6" t="str">
        <f t="shared" ca="1" si="75"/>
        <v>Prazo Vencido</v>
      </c>
      <c r="R365" s="8">
        <f t="shared" si="76"/>
        <v>8</v>
      </c>
    </row>
    <row r="366" spans="1:18" ht="13">
      <c r="A366" s="8" t="s">
        <v>974</v>
      </c>
      <c r="B366" s="10">
        <v>44929</v>
      </c>
      <c r="C366" s="10">
        <v>44929</v>
      </c>
      <c r="D366" s="8" t="s">
        <v>771</v>
      </c>
      <c r="E366" s="8" t="s">
        <v>838</v>
      </c>
      <c r="F366" s="8" t="s">
        <v>699</v>
      </c>
      <c r="G366" s="6" t="e">
        <f>IF(F366="","",VLOOKUP(F366,'PLAN SUPORTE'!A:B,2,0))</f>
        <v>#N/A</v>
      </c>
      <c r="H366" s="7" t="s">
        <v>686</v>
      </c>
      <c r="I366" s="8" t="s">
        <v>682</v>
      </c>
      <c r="J366" s="8" t="s">
        <v>24</v>
      </c>
      <c r="K366" s="8" t="s">
        <v>25</v>
      </c>
      <c r="L366" s="8">
        <f>IF(K366="","",VLOOKUP(K366,'PLAN SUPORTE'!$H$2:$I$4,2,0))</f>
        <v>15</v>
      </c>
      <c r="M366" s="10">
        <v>44938</v>
      </c>
      <c r="N366" s="10"/>
      <c r="O366" s="9" t="str">
        <f t="shared" si="73"/>
        <v>Dentro do Prazo</v>
      </c>
      <c r="P366" s="10">
        <f t="shared" si="74"/>
        <v>44944</v>
      </c>
      <c r="Q366" s="6" t="str">
        <f t="shared" ca="1" si="75"/>
        <v>Prazo Vencido</v>
      </c>
      <c r="R366" s="8">
        <f t="shared" si="76"/>
        <v>9</v>
      </c>
    </row>
    <row r="367" spans="1:18" ht="13">
      <c r="A367" s="8" t="s">
        <v>975</v>
      </c>
      <c r="B367" s="10">
        <v>44929</v>
      </c>
      <c r="C367" s="10">
        <v>44929</v>
      </c>
      <c r="D367" s="8" t="s">
        <v>976</v>
      </c>
      <c r="E367" s="8" t="s">
        <v>871</v>
      </c>
      <c r="F367" s="8" t="s">
        <v>701</v>
      </c>
      <c r="G367" s="6" t="e">
        <f>IF(F367="","",VLOOKUP(F367,'PLAN SUPORTE'!A:B,2,0))</f>
        <v>#N/A</v>
      </c>
      <c r="H367" s="7" t="s">
        <v>686</v>
      </c>
      <c r="I367" s="8" t="s">
        <v>682</v>
      </c>
      <c r="J367" s="8" t="s">
        <v>24</v>
      </c>
      <c r="K367" s="8" t="s">
        <v>25</v>
      </c>
      <c r="L367" s="8">
        <f>IF(K367="","",VLOOKUP(K367,'PLAN SUPORTE'!$H$2:$I$4,2,0))</f>
        <v>15</v>
      </c>
      <c r="M367" s="10">
        <v>44942</v>
      </c>
      <c r="N367" s="10">
        <v>44963</v>
      </c>
      <c r="O367" s="9" t="str">
        <f t="shared" si="73"/>
        <v>Dentro do Prazo</v>
      </c>
      <c r="P367" s="10">
        <f t="shared" si="74"/>
        <v>44944</v>
      </c>
      <c r="Q367" s="6" t="str">
        <f t="shared" ca="1" si="75"/>
        <v>Prazo Vencido</v>
      </c>
      <c r="R367" s="8">
        <f t="shared" si="76"/>
        <v>13</v>
      </c>
    </row>
    <row r="368" spans="1:18" ht="13" hidden="1">
      <c r="A368" s="8" t="s">
        <v>977</v>
      </c>
      <c r="B368" s="10">
        <v>44930</v>
      </c>
      <c r="C368" s="10">
        <v>44930</v>
      </c>
      <c r="D368" s="8" t="s">
        <v>957</v>
      </c>
      <c r="E368" s="8" t="s">
        <v>978</v>
      </c>
      <c r="F368" s="8" t="s">
        <v>701</v>
      </c>
      <c r="G368" s="6" t="e">
        <f>IF(F368="","",VLOOKUP(F368,'PLAN SUPORTE'!A:B,2,0))</f>
        <v>#N/A</v>
      </c>
      <c r="H368" s="7" t="s">
        <v>686</v>
      </c>
      <c r="I368" s="8" t="s">
        <v>682</v>
      </c>
      <c r="J368" s="8" t="s">
        <v>296</v>
      </c>
      <c r="K368" s="8" t="s">
        <v>25</v>
      </c>
      <c r="L368" s="8">
        <f>IF(K368="","",VLOOKUP(K368,'PLAN SUPORTE'!$H$2:$I$4,2,0))</f>
        <v>15</v>
      </c>
      <c r="M368" s="10"/>
      <c r="N368" s="10"/>
      <c r="O368" s="9" t="str">
        <f t="shared" si="73"/>
        <v>Em Andamento</v>
      </c>
      <c r="P368" s="10">
        <f t="shared" si="74"/>
        <v>44945</v>
      </c>
      <c r="Q368" s="6" t="str">
        <f t="shared" ca="1" si="75"/>
        <v>Prazo Vencido</v>
      </c>
      <c r="R368" s="8" t="str">
        <f t="shared" si="76"/>
        <v/>
      </c>
    </row>
    <row r="369" spans="1:18" ht="13">
      <c r="A369" s="8" t="s">
        <v>979</v>
      </c>
      <c r="B369" s="10">
        <v>44930</v>
      </c>
      <c r="C369" s="10">
        <v>44930</v>
      </c>
      <c r="D369" s="8" t="s">
        <v>932</v>
      </c>
      <c r="E369" s="8" t="s">
        <v>871</v>
      </c>
      <c r="F369" s="8" t="s">
        <v>701</v>
      </c>
      <c r="G369" s="6" t="e">
        <f>IF(F369="","",VLOOKUP(F369,'PLAN SUPORTE'!A:B,2,0))</f>
        <v>#N/A</v>
      </c>
      <c r="H369" s="7" t="s">
        <v>686</v>
      </c>
      <c r="I369" s="8" t="s">
        <v>692</v>
      </c>
      <c r="J369" s="8" t="s">
        <v>24</v>
      </c>
      <c r="K369" s="8" t="s">
        <v>25</v>
      </c>
      <c r="L369" s="8">
        <f>IF(K369="","",VLOOKUP(K369,'PLAN SUPORTE'!$H$2:$I$4,2,0))</f>
        <v>15</v>
      </c>
      <c r="M369" s="10">
        <v>44937</v>
      </c>
      <c r="N369" s="10">
        <v>44946</v>
      </c>
      <c r="O369" s="9" t="str">
        <f t="shared" si="73"/>
        <v>Dentro do Prazo</v>
      </c>
      <c r="P369" s="10">
        <f t="shared" si="74"/>
        <v>44945</v>
      </c>
      <c r="Q369" s="6" t="str">
        <f t="shared" ca="1" si="75"/>
        <v>Prazo Vencido</v>
      </c>
      <c r="R369" s="8">
        <f t="shared" si="76"/>
        <v>7</v>
      </c>
    </row>
    <row r="370" spans="1:18" ht="13">
      <c r="A370" s="8" t="s">
        <v>980</v>
      </c>
      <c r="B370" s="10">
        <v>44930</v>
      </c>
      <c r="C370" s="10">
        <v>44930</v>
      </c>
      <c r="D370" s="8" t="s">
        <v>932</v>
      </c>
      <c r="E370" s="8" t="s">
        <v>871</v>
      </c>
      <c r="F370" s="8" t="s">
        <v>701</v>
      </c>
      <c r="G370" s="6" t="e">
        <f>IF(F370="","",VLOOKUP(F370,'PLAN SUPORTE'!A:B,2,0))</f>
        <v>#N/A</v>
      </c>
      <c r="H370" s="7" t="s">
        <v>686</v>
      </c>
      <c r="I370" s="8" t="s">
        <v>692</v>
      </c>
      <c r="J370" s="8" t="s">
        <v>24</v>
      </c>
      <c r="K370" s="8" t="s">
        <v>25</v>
      </c>
      <c r="L370" s="8">
        <f>IF(K370="","",VLOOKUP(K370,'PLAN SUPORTE'!$H$2:$I$4,2,0))</f>
        <v>15</v>
      </c>
      <c r="M370" s="10">
        <v>44937</v>
      </c>
      <c r="N370" s="10">
        <v>44946</v>
      </c>
      <c r="O370" s="9" t="str">
        <f t="shared" si="73"/>
        <v>Dentro do Prazo</v>
      </c>
      <c r="P370" s="10">
        <f t="shared" si="74"/>
        <v>44945</v>
      </c>
      <c r="Q370" s="6" t="str">
        <f t="shared" ca="1" si="75"/>
        <v>Prazo Vencido</v>
      </c>
      <c r="R370" s="8">
        <f t="shared" si="76"/>
        <v>7</v>
      </c>
    </row>
    <row r="371" spans="1:18" ht="13" hidden="1">
      <c r="A371" s="8" t="s">
        <v>981</v>
      </c>
      <c r="B371" s="10">
        <v>44930</v>
      </c>
      <c r="C371" s="10">
        <v>44930</v>
      </c>
      <c r="D371" s="8" t="s">
        <v>924</v>
      </c>
      <c r="E371" s="8" t="s">
        <v>680</v>
      </c>
      <c r="F371" s="8" t="s">
        <v>681</v>
      </c>
      <c r="G371" s="6" t="e">
        <f>IF(F371="","",VLOOKUP(F371,'PLAN SUPORTE'!A:B,2,0))</f>
        <v>#N/A</v>
      </c>
      <c r="H371" s="7" t="s">
        <v>686</v>
      </c>
      <c r="I371" s="8" t="s">
        <v>682</v>
      </c>
      <c r="J371" s="8" t="s">
        <v>265</v>
      </c>
      <c r="K371" s="8" t="s">
        <v>25</v>
      </c>
      <c r="L371" s="8">
        <f>IF(K371="","",VLOOKUP(K371,'PLAN SUPORTE'!$H$2:$I$4,2,0))</f>
        <v>15</v>
      </c>
      <c r="M371" s="10">
        <v>44931</v>
      </c>
      <c r="N371" s="10">
        <v>44939</v>
      </c>
      <c r="O371" s="9" t="str">
        <f t="shared" si="73"/>
        <v>Dentro do Prazo</v>
      </c>
      <c r="P371" s="10">
        <f t="shared" si="74"/>
        <v>44945</v>
      </c>
      <c r="Q371" s="6" t="str">
        <f t="shared" ca="1" si="75"/>
        <v>Prazo Vencido</v>
      </c>
      <c r="R371" s="8">
        <f t="shared" si="76"/>
        <v>1</v>
      </c>
    </row>
    <row r="372" spans="1:18" ht="13">
      <c r="A372" s="8" t="s">
        <v>982</v>
      </c>
      <c r="B372" s="10">
        <v>44930</v>
      </c>
      <c r="C372" s="10">
        <v>44930</v>
      </c>
      <c r="D372" s="8" t="s">
        <v>924</v>
      </c>
      <c r="E372" s="8" t="s">
        <v>983</v>
      </c>
      <c r="F372" s="8" t="s">
        <v>690</v>
      </c>
      <c r="G372" s="6" t="e">
        <f>IF(F372="","",VLOOKUP(F372,'PLAN SUPORTE'!A:B,2,0))</f>
        <v>#N/A</v>
      </c>
      <c r="H372" s="7" t="s">
        <v>686</v>
      </c>
      <c r="I372" s="8" t="s">
        <v>682</v>
      </c>
      <c r="J372" s="8" t="s">
        <v>24</v>
      </c>
      <c r="K372" s="8" t="s">
        <v>25</v>
      </c>
      <c r="L372" s="8">
        <f>IF(K372="","",VLOOKUP(K372,'PLAN SUPORTE'!$H$2:$I$4,2,0))</f>
        <v>15</v>
      </c>
      <c r="M372" s="10">
        <v>44931</v>
      </c>
      <c r="N372" s="10">
        <v>44939</v>
      </c>
      <c r="O372" s="9" t="str">
        <f t="shared" si="73"/>
        <v>Dentro do Prazo</v>
      </c>
      <c r="P372" s="10">
        <f t="shared" si="74"/>
        <v>44945</v>
      </c>
      <c r="Q372" s="6" t="str">
        <f t="shared" ca="1" si="75"/>
        <v>Prazo Vencido</v>
      </c>
      <c r="R372" s="8">
        <f t="shared" si="76"/>
        <v>1</v>
      </c>
    </row>
    <row r="373" spans="1:18" ht="13">
      <c r="A373" s="8" t="s">
        <v>984</v>
      </c>
      <c r="B373" s="10">
        <v>44930</v>
      </c>
      <c r="C373" s="10">
        <v>44930</v>
      </c>
      <c r="D373" s="8" t="s">
        <v>924</v>
      </c>
      <c r="E373" s="8" t="s">
        <v>985</v>
      </c>
      <c r="F373" s="8" t="s">
        <v>835</v>
      </c>
      <c r="G373" s="6" t="e">
        <f>IF(F373="","",VLOOKUP(F373,'PLAN SUPORTE'!A:B,2,0))</f>
        <v>#N/A</v>
      </c>
      <c r="H373" s="7" t="s">
        <v>686</v>
      </c>
      <c r="I373" s="8" t="s">
        <v>692</v>
      </c>
      <c r="J373" s="8" t="s">
        <v>24</v>
      </c>
      <c r="K373" s="8" t="s">
        <v>25</v>
      </c>
      <c r="L373" s="8">
        <f>IF(K373="","",VLOOKUP(K373,'PLAN SUPORTE'!$H$2:$I$4,2,0))</f>
        <v>15</v>
      </c>
      <c r="M373" s="10">
        <v>44931</v>
      </c>
      <c r="N373" s="10">
        <v>44939</v>
      </c>
      <c r="O373" s="9" t="str">
        <f t="shared" si="73"/>
        <v>Dentro do Prazo</v>
      </c>
      <c r="P373" s="10">
        <f t="shared" si="74"/>
        <v>44945</v>
      </c>
      <c r="Q373" s="6" t="str">
        <f t="shared" ca="1" si="75"/>
        <v>Prazo Vencido</v>
      </c>
      <c r="R373" s="8">
        <f t="shared" si="76"/>
        <v>1</v>
      </c>
    </row>
    <row r="374" spans="1:18" ht="13">
      <c r="A374" s="8" t="s">
        <v>986</v>
      </c>
      <c r="B374" s="10">
        <v>44930</v>
      </c>
      <c r="C374" s="10">
        <v>44930</v>
      </c>
      <c r="D374" s="8" t="s">
        <v>924</v>
      </c>
      <c r="E374" s="8" t="s">
        <v>987</v>
      </c>
      <c r="F374" s="8" t="s">
        <v>701</v>
      </c>
      <c r="G374" s="6" t="e">
        <f>IF(F374="","",VLOOKUP(F374,'PLAN SUPORTE'!A:B,2,0))</f>
        <v>#N/A</v>
      </c>
      <c r="H374" s="7" t="s">
        <v>686</v>
      </c>
      <c r="I374" s="8" t="s">
        <v>682</v>
      </c>
      <c r="J374" s="8" t="s">
        <v>24</v>
      </c>
      <c r="K374" s="8" t="s">
        <v>25</v>
      </c>
      <c r="L374" s="8">
        <f>IF(K374="","",VLOOKUP(K374,'PLAN SUPORTE'!$H$2:$I$4,2,0))</f>
        <v>15</v>
      </c>
      <c r="M374" s="10">
        <v>44931</v>
      </c>
      <c r="N374" s="10">
        <v>44939</v>
      </c>
      <c r="O374" s="9" t="str">
        <f t="shared" si="73"/>
        <v>Dentro do Prazo</v>
      </c>
      <c r="P374" s="10">
        <f t="shared" si="74"/>
        <v>44945</v>
      </c>
      <c r="Q374" s="6" t="str">
        <f t="shared" ca="1" si="75"/>
        <v>Prazo Vencido</v>
      </c>
      <c r="R374" s="8">
        <f t="shared" si="76"/>
        <v>1</v>
      </c>
    </row>
    <row r="375" spans="1:18" ht="13">
      <c r="A375" s="8" t="s">
        <v>988</v>
      </c>
      <c r="B375" s="10">
        <v>44937</v>
      </c>
      <c r="C375" s="10">
        <v>44937</v>
      </c>
      <c r="D375" s="8" t="s">
        <v>932</v>
      </c>
      <c r="E375" s="8" t="s">
        <v>867</v>
      </c>
      <c r="F375" s="8" t="s">
        <v>699</v>
      </c>
      <c r="G375" s="6" t="e">
        <f>IF(F375="","",VLOOKUP(F375,'PLAN SUPORTE'!A:B,2,0))</f>
        <v>#N/A</v>
      </c>
      <c r="H375" s="7" t="s">
        <v>686</v>
      </c>
      <c r="I375" s="8" t="s">
        <v>692</v>
      </c>
      <c r="J375" s="8" t="s">
        <v>24</v>
      </c>
      <c r="K375" s="8" t="s">
        <v>25</v>
      </c>
      <c r="L375" s="8">
        <f>IF(K375="","",VLOOKUP(K375,'PLAN SUPORTE'!$H$2:$I$4,2,0))</f>
        <v>15</v>
      </c>
      <c r="M375" s="10">
        <v>44937</v>
      </c>
      <c r="N375" s="10">
        <v>44946</v>
      </c>
      <c r="O375" s="9" t="str">
        <f t="shared" si="73"/>
        <v>Dentro do Prazo</v>
      </c>
      <c r="P375" s="10">
        <f t="shared" si="74"/>
        <v>44952</v>
      </c>
      <c r="Q375" s="6" t="str">
        <f t="shared" ca="1" si="75"/>
        <v>Prazo Vencido</v>
      </c>
      <c r="R375" s="8">
        <f t="shared" si="76"/>
        <v>0</v>
      </c>
    </row>
    <row r="376" spans="1:18" ht="13">
      <c r="A376" s="8" t="s">
        <v>989</v>
      </c>
      <c r="B376" s="10">
        <v>44937</v>
      </c>
      <c r="C376" s="10">
        <v>44937</v>
      </c>
      <c r="D376" s="8" t="s">
        <v>932</v>
      </c>
      <c r="E376" s="8" t="s">
        <v>867</v>
      </c>
      <c r="F376" s="8" t="s">
        <v>699</v>
      </c>
      <c r="G376" s="6" t="e">
        <f>IF(F376="","",VLOOKUP(F376,'PLAN SUPORTE'!A:B,2,0))</f>
        <v>#N/A</v>
      </c>
      <c r="H376" s="7" t="s">
        <v>686</v>
      </c>
      <c r="I376" s="8" t="s">
        <v>692</v>
      </c>
      <c r="J376" s="8" t="s">
        <v>24</v>
      </c>
      <c r="K376" s="8" t="s">
        <v>25</v>
      </c>
      <c r="L376" s="8">
        <f>IF(K376="","",VLOOKUP(K376,'PLAN SUPORTE'!$H$2:$I$4,2,0))</f>
        <v>15</v>
      </c>
      <c r="M376" s="10">
        <v>44937</v>
      </c>
      <c r="N376" s="10">
        <v>44946</v>
      </c>
      <c r="O376" s="9" t="str">
        <f t="shared" si="73"/>
        <v>Dentro do Prazo</v>
      </c>
      <c r="P376" s="10">
        <f t="shared" si="74"/>
        <v>44952</v>
      </c>
      <c r="Q376" s="6" t="str">
        <f t="shared" ca="1" si="75"/>
        <v>Prazo Vencido</v>
      </c>
      <c r="R376" s="8">
        <f t="shared" si="76"/>
        <v>0</v>
      </c>
    </row>
    <row r="377" spans="1:18" ht="13">
      <c r="A377" s="8" t="s">
        <v>990</v>
      </c>
      <c r="B377" s="10">
        <v>44937</v>
      </c>
      <c r="C377" s="10">
        <v>44937</v>
      </c>
      <c r="D377" s="8" t="s">
        <v>932</v>
      </c>
      <c r="E377" s="8" t="s">
        <v>781</v>
      </c>
      <c r="F377" s="8" t="s">
        <v>681</v>
      </c>
      <c r="G377" s="6" t="e">
        <f>IF(F377="","",VLOOKUP(F377,'PLAN SUPORTE'!A:B,2,0))</f>
        <v>#N/A</v>
      </c>
      <c r="H377" s="7" t="s">
        <v>686</v>
      </c>
      <c r="I377" s="8" t="s">
        <v>692</v>
      </c>
      <c r="J377" s="8" t="s">
        <v>24</v>
      </c>
      <c r="K377" s="8" t="s">
        <v>25</v>
      </c>
      <c r="L377" s="8">
        <f>IF(K377="","",VLOOKUP(K377,'PLAN SUPORTE'!$H$2:$I$4,2,0))</f>
        <v>15</v>
      </c>
      <c r="M377" s="10">
        <v>44937</v>
      </c>
      <c r="N377" s="10">
        <v>44946</v>
      </c>
      <c r="O377" s="9" t="str">
        <f t="shared" si="73"/>
        <v>Dentro do Prazo</v>
      </c>
      <c r="P377" s="10">
        <f t="shared" si="74"/>
        <v>44952</v>
      </c>
      <c r="Q377" s="6" t="str">
        <f t="shared" ca="1" si="75"/>
        <v>Prazo Vencido</v>
      </c>
      <c r="R377" s="8">
        <f t="shared" si="76"/>
        <v>0</v>
      </c>
    </row>
    <row r="378" spans="1:18" ht="13">
      <c r="A378" s="8" t="s">
        <v>991</v>
      </c>
      <c r="B378" s="10">
        <v>44939</v>
      </c>
      <c r="C378" s="10">
        <v>44939</v>
      </c>
      <c r="D378" s="8" t="s">
        <v>992</v>
      </c>
      <c r="E378" s="8" t="s">
        <v>993</v>
      </c>
      <c r="F378" s="8" t="s">
        <v>699</v>
      </c>
      <c r="G378" s="6" t="e">
        <f>IF(F378="","",VLOOKUP(F378,'PLAN SUPORTE'!A:B,2,0))</f>
        <v>#N/A</v>
      </c>
      <c r="H378" s="7" t="s">
        <v>686</v>
      </c>
      <c r="I378" s="8" t="s">
        <v>692</v>
      </c>
      <c r="J378" s="8" t="s">
        <v>24</v>
      </c>
      <c r="K378" s="8" t="s">
        <v>25</v>
      </c>
      <c r="L378" s="8">
        <f>IF(K378="","",VLOOKUP(K378,'PLAN SUPORTE'!$H$2:$I$4,2,0))</f>
        <v>15</v>
      </c>
      <c r="M378" s="10">
        <v>44953</v>
      </c>
      <c r="N378" s="10">
        <v>44960</v>
      </c>
      <c r="O378" s="9" t="str">
        <f t="shared" si="73"/>
        <v>Dentro do Prazo</v>
      </c>
      <c r="P378" s="10">
        <f t="shared" si="74"/>
        <v>44954</v>
      </c>
      <c r="Q378" s="6" t="str">
        <f t="shared" ca="1" si="75"/>
        <v>Prazo Vencido</v>
      </c>
      <c r="R378" s="8">
        <f t="shared" si="76"/>
        <v>14</v>
      </c>
    </row>
    <row r="379" spans="1:18" ht="13">
      <c r="A379" s="8" t="s">
        <v>994</v>
      </c>
      <c r="B379" s="10">
        <v>44944</v>
      </c>
      <c r="C379" s="10">
        <v>44944</v>
      </c>
      <c r="D379" s="8" t="s">
        <v>771</v>
      </c>
      <c r="E379" s="8" t="s">
        <v>772</v>
      </c>
      <c r="F379" s="8" t="s">
        <v>748</v>
      </c>
      <c r="G379" s="6" t="e">
        <f>IF(F379="","",VLOOKUP(F379,'PLAN SUPORTE'!A:B,2,0))</f>
        <v>#N/A</v>
      </c>
      <c r="H379" s="7" t="s">
        <v>686</v>
      </c>
      <c r="I379" s="8" t="s">
        <v>692</v>
      </c>
      <c r="J379" s="8" t="s">
        <v>24</v>
      </c>
      <c r="K379" s="8" t="s">
        <v>25</v>
      </c>
      <c r="L379" s="8">
        <f>IF(K379="","",VLOOKUP(K379,'PLAN SUPORTE'!$H$2:$I$4,2,0))</f>
        <v>15</v>
      </c>
      <c r="M379" s="10">
        <v>44960</v>
      </c>
      <c r="N379" s="10">
        <v>44960</v>
      </c>
      <c r="O379" s="9" t="str">
        <f t="shared" si="73"/>
        <v>Fora do Prazo</v>
      </c>
      <c r="P379" s="10">
        <f t="shared" si="74"/>
        <v>44959</v>
      </c>
      <c r="Q379" s="6" t="str">
        <f t="shared" ca="1" si="75"/>
        <v>Prazo Vencido</v>
      </c>
      <c r="R379" s="8">
        <f t="shared" si="76"/>
        <v>16</v>
      </c>
    </row>
    <row r="380" spans="1:18" ht="13">
      <c r="A380" s="8" t="s">
        <v>995</v>
      </c>
      <c r="B380" s="10">
        <v>44944</v>
      </c>
      <c r="C380" s="10">
        <v>44944</v>
      </c>
      <c r="D380" s="8" t="s">
        <v>688</v>
      </c>
      <c r="E380" s="8" t="s">
        <v>996</v>
      </c>
      <c r="F380" s="8" t="s">
        <v>690</v>
      </c>
      <c r="G380" s="6" t="e">
        <f>IF(F380="","",VLOOKUP(F380,'PLAN SUPORTE'!A:B,2,0))</f>
        <v>#N/A</v>
      </c>
      <c r="H380" s="7" t="s">
        <v>686</v>
      </c>
      <c r="I380" s="8" t="s">
        <v>682</v>
      </c>
      <c r="J380" s="8" t="s">
        <v>24</v>
      </c>
      <c r="K380" s="8" t="s">
        <v>691</v>
      </c>
      <c r="L380" s="8" t="e">
        <f>IF(K380="","",VLOOKUP(K380,'PLAN SUPORTE'!$H$2:$I$4,2,0))</f>
        <v>#N/A</v>
      </c>
      <c r="M380" s="10">
        <v>44949</v>
      </c>
      <c r="N380" s="10">
        <v>44953</v>
      </c>
      <c r="O380" s="9" t="e">
        <f t="shared" si="73"/>
        <v>#N/A</v>
      </c>
      <c r="P380" s="10" t="e">
        <f t="shared" si="74"/>
        <v>#N/A</v>
      </c>
      <c r="Q380" s="6" t="e">
        <f t="shared" ca="1" si="75"/>
        <v>#N/A</v>
      </c>
      <c r="R380" s="8">
        <f t="shared" si="76"/>
        <v>5</v>
      </c>
    </row>
    <row r="381" spans="1:18" ht="13">
      <c r="A381" s="8" t="s">
        <v>997</v>
      </c>
      <c r="B381" s="10">
        <v>44985</v>
      </c>
      <c r="C381" s="10">
        <v>44985</v>
      </c>
      <c r="D381" s="8" t="s">
        <v>771</v>
      </c>
      <c r="E381" s="8" t="s">
        <v>777</v>
      </c>
      <c r="F381" s="8" t="s">
        <v>705</v>
      </c>
      <c r="G381" s="6" t="e">
        <f>IF(F381="","",VLOOKUP(F381,'PLAN SUPORTE'!A:B,2,0))</f>
        <v>#N/A</v>
      </c>
      <c r="H381" s="7" t="s">
        <v>686</v>
      </c>
      <c r="I381" s="8" t="s">
        <v>692</v>
      </c>
      <c r="J381" s="8" t="s">
        <v>24</v>
      </c>
      <c r="K381" s="8" t="s">
        <v>25</v>
      </c>
      <c r="L381" s="8">
        <f>IF(K381="","",VLOOKUP(K381,'PLAN SUPORTE'!$H$2:$I$4,2,0))</f>
        <v>15</v>
      </c>
      <c r="M381" s="10">
        <v>45007</v>
      </c>
      <c r="N381" s="10">
        <v>45022</v>
      </c>
      <c r="O381" s="9" t="str">
        <f t="shared" si="73"/>
        <v>Fora do Prazo</v>
      </c>
      <c r="P381" s="10">
        <f t="shared" si="74"/>
        <v>45000</v>
      </c>
      <c r="Q381" s="6" t="str">
        <f t="shared" ca="1" si="75"/>
        <v>Prazo Vencido</v>
      </c>
      <c r="R381" s="8">
        <f t="shared" si="76"/>
        <v>22</v>
      </c>
    </row>
    <row r="382" spans="1:18" ht="13">
      <c r="A382" s="8" t="s">
        <v>998</v>
      </c>
      <c r="B382" s="10">
        <v>44977</v>
      </c>
      <c r="C382" s="10">
        <v>44977</v>
      </c>
      <c r="D382" s="8" t="s">
        <v>162</v>
      </c>
      <c r="E382" s="8" t="s">
        <v>733</v>
      </c>
      <c r="F382" s="8" t="s">
        <v>690</v>
      </c>
      <c r="G382" s="6" t="e">
        <f>IF(F382="","",VLOOKUP(F382,'PLAN SUPORTE'!A:B,2,0))</f>
        <v>#N/A</v>
      </c>
      <c r="H382" s="7" t="s">
        <v>686</v>
      </c>
      <c r="I382" s="8" t="s">
        <v>682</v>
      </c>
      <c r="J382" s="8" t="s">
        <v>24</v>
      </c>
      <c r="K382" s="8" t="s">
        <v>25</v>
      </c>
      <c r="L382" s="8">
        <f>IF(K382="","",VLOOKUP(K382,'PLAN SUPORTE'!$H$2:$I$4,2,0))</f>
        <v>15</v>
      </c>
      <c r="M382" s="10">
        <v>44995</v>
      </c>
      <c r="N382" s="10">
        <v>45009</v>
      </c>
      <c r="O382" s="9" t="str">
        <f t="shared" si="73"/>
        <v>Fora do Prazo</v>
      </c>
      <c r="P382" s="10">
        <f t="shared" si="74"/>
        <v>44992</v>
      </c>
      <c r="Q382" s="6" t="str">
        <f t="shared" ca="1" si="75"/>
        <v>Prazo Vencido</v>
      </c>
      <c r="R382" s="8">
        <f t="shared" si="76"/>
        <v>18</v>
      </c>
    </row>
    <row r="383" spans="1:18" ht="13">
      <c r="A383" s="8" t="s">
        <v>999</v>
      </c>
      <c r="B383" s="10">
        <v>44979</v>
      </c>
      <c r="C383" s="10">
        <v>44979</v>
      </c>
      <c r="D383" s="8" t="s">
        <v>771</v>
      </c>
      <c r="E383" s="8" t="s">
        <v>777</v>
      </c>
      <c r="F383" s="8" t="s">
        <v>705</v>
      </c>
      <c r="G383" s="6" t="e">
        <f>IF(F383="","",VLOOKUP(F383,'PLAN SUPORTE'!A:B,2,0))</f>
        <v>#N/A</v>
      </c>
      <c r="H383" s="7" t="s">
        <v>686</v>
      </c>
      <c r="I383" s="8" t="s">
        <v>692</v>
      </c>
      <c r="J383" s="8" t="s">
        <v>24</v>
      </c>
      <c r="K383" s="8" t="s">
        <v>25</v>
      </c>
      <c r="L383" s="8">
        <f>IF(K383="","",VLOOKUP(K383,'PLAN SUPORTE'!$H$2:$I$4,2,0))</f>
        <v>15</v>
      </c>
      <c r="M383" s="10">
        <v>45001</v>
      </c>
      <c r="N383" s="10">
        <v>45009</v>
      </c>
      <c r="O383" s="9" t="str">
        <f t="shared" si="73"/>
        <v>Fora do Prazo</v>
      </c>
      <c r="P383" s="10">
        <f t="shared" si="74"/>
        <v>44994</v>
      </c>
      <c r="Q383" s="6" t="str">
        <f t="shared" ca="1" si="75"/>
        <v>Prazo Vencido</v>
      </c>
      <c r="R383" s="8">
        <f t="shared" si="76"/>
        <v>22</v>
      </c>
    </row>
    <row r="384" spans="1:18" ht="13">
      <c r="A384" s="8" t="s">
        <v>1000</v>
      </c>
      <c r="B384" s="10">
        <v>44979</v>
      </c>
      <c r="C384" s="10">
        <v>44979</v>
      </c>
      <c r="D384" s="8" t="s">
        <v>771</v>
      </c>
      <c r="E384" s="8" t="s">
        <v>772</v>
      </c>
      <c r="F384" s="8" t="s">
        <v>748</v>
      </c>
      <c r="G384" s="6" t="e">
        <f>IF(F384="","",VLOOKUP(F384,'PLAN SUPORTE'!A:B,2,0))</f>
        <v>#N/A</v>
      </c>
      <c r="H384" s="7" t="s">
        <v>686</v>
      </c>
      <c r="I384" s="8" t="s">
        <v>692</v>
      </c>
      <c r="J384" s="8" t="s">
        <v>24</v>
      </c>
      <c r="K384" s="8" t="s">
        <v>25</v>
      </c>
      <c r="L384" s="8">
        <f>IF(K384="","",VLOOKUP(K384,'PLAN SUPORTE'!$H$2:$I$4,2,0))</f>
        <v>15</v>
      </c>
      <c r="M384" s="10">
        <v>45000</v>
      </c>
      <c r="N384" s="10">
        <v>45009</v>
      </c>
      <c r="O384" s="9" t="str">
        <f t="shared" si="73"/>
        <v>Fora do Prazo</v>
      </c>
      <c r="P384" s="10">
        <f t="shared" si="74"/>
        <v>44994</v>
      </c>
      <c r="Q384" s="6" t="str">
        <f t="shared" ca="1" si="75"/>
        <v>Prazo Vencido</v>
      </c>
      <c r="R384" s="8">
        <f t="shared" si="76"/>
        <v>21</v>
      </c>
    </row>
    <row r="385" spans="1:18" ht="13">
      <c r="A385" s="8" t="s">
        <v>1001</v>
      </c>
      <c r="B385" s="10">
        <v>44979</v>
      </c>
      <c r="C385" s="10">
        <v>44979</v>
      </c>
      <c r="D385" s="8" t="s">
        <v>771</v>
      </c>
      <c r="E385" s="8" t="s">
        <v>772</v>
      </c>
      <c r="F385" s="8" t="s">
        <v>748</v>
      </c>
      <c r="G385" s="6" t="e">
        <f>IF(F385="","",VLOOKUP(F385,'PLAN SUPORTE'!A:B,2,0))</f>
        <v>#N/A</v>
      </c>
      <c r="H385" s="7" t="s">
        <v>686</v>
      </c>
      <c r="I385" s="8" t="s">
        <v>692</v>
      </c>
      <c r="J385" s="8" t="s">
        <v>24</v>
      </c>
      <c r="K385" s="8" t="s">
        <v>25</v>
      </c>
      <c r="L385" s="8">
        <f>IF(K385="","",VLOOKUP(K385,'PLAN SUPORTE'!$H$2:$I$4,2,0))</f>
        <v>15</v>
      </c>
      <c r="M385" s="10">
        <v>45000</v>
      </c>
      <c r="N385" s="10">
        <v>45009</v>
      </c>
      <c r="O385" s="9" t="str">
        <f t="shared" si="73"/>
        <v>Fora do Prazo</v>
      </c>
      <c r="P385" s="10">
        <f t="shared" si="74"/>
        <v>44994</v>
      </c>
      <c r="Q385" s="6" t="str">
        <f t="shared" ca="1" si="75"/>
        <v>Prazo Vencido</v>
      </c>
      <c r="R385" s="8">
        <f t="shared" si="76"/>
        <v>21</v>
      </c>
    </row>
    <row r="386" spans="1:18" ht="13">
      <c r="A386" s="8" t="s">
        <v>1002</v>
      </c>
      <c r="B386" s="10">
        <v>44979</v>
      </c>
      <c r="C386" s="10">
        <v>44979</v>
      </c>
      <c r="D386" s="8" t="s">
        <v>771</v>
      </c>
      <c r="E386" s="8" t="s">
        <v>772</v>
      </c>
      <c r="F386" s="8" t="s">
        <v>748</v>
      </c>
      <c r="G386" s="6" t="e">
        <f>IF(F386="","",VLOOKUP(F386,'PLAN SUPORTE'!A:B,2,0))</f>
        <v>#N/A</v>
      </c>
      <c r="H386" s="7" t="s">
        <v>686</v>
      </c>
      <c r="I386" s="8" t="s">
        <v>692</v>
      </c>
      <c r="J386" s="8" t="s">
        <v>24</v>
      </c>
      <c r="K386" s="8" t="s">
        <v>25</v>
      </c>
      <c r="L386" s="8">
        <f>IF(K386="","",VLOOKUP(K386,'PLAN SUPORTE'!$H$2:$I$4,2,0))</f>
        <v>15</v>
      </c>
      <c r="M386" s="10">
        <v>45000</v>
      </c>
      <c r="N386" s="10">
        <v>45009</v>
      </c>
      <c r="O386" s="9" t="str">
        <f t="shared" si="73"/>
        <v>Fora do Prazo</v>
      </c>
      <c r="P386" s="10">
        <f t="shared" si="74"/>
        <v>44994</v>
      </c>
      <c r="Q386" s="6" t="str">
        <f t="shared" ca="1" si="75"/>
        <v>Prazo Vencido</v>
      </c>
      <c r="R386" s="8">
        <f t="shared" si="76"/>
        <v>21</v>
      </c>
    </row>
    <row r="387" spans="1:18" ht="13">
      <c r="A387" s="8" t="s">
        <v>1003</v>
      </c>
      <c r="B387" s="10">
        <v>44979</v>
      </c>
      <c r="C387" s="10">
        <v>44979</v>
      </c>
      <c r="D387" s="8" t="s">
        <v>771</v>
      </c>
      <c r="E387" s="8" t="s">
        <v>834</v>
      </c>
      <c r="F387" s="8" t="s">
        <v>835</v>
      </c>
      <c r="G387" s="6" t="e">
        <f>IF(F387="","",VLOOKUP(F387,'PLAN SUPORTE'!A:B,2,0))</f>
        <v>#N/A</v>
      </c>
      <c r="H387" s="7" t="s">
        <v>686</v>
      </c>
      <c r="I387" s="8" t="s">
        <v>682</v>
      </c>
      <c r="J387" s="8" t="s">
        <v>24</v>
      </c>
      <c r="K387" s="8" t="s">
        <v>25</v>
      </c>
      <c r="L387" s="8">
        <f>IF(K387="","",VLOOKUP(K387,'PLAN SUPORTE'!$H$2:$I$4,2,0))</f>
        <v>15</v>
      </c>
      <c r="M387" s="10">
        <v>45051</v>
      </c>
      <c r="N387" s="10">
        <v>45058</v>
      </c>
      <c r="O387" s="9" t="str">
        <f t="shared" si="73"/>
        <v>Fora do Prazo</v>
      </c>
      <c r="P387" s="10">
        <f t="shared" si="74"/>
        <v>44994</v>
      </c>
      <c r="Q387" s="6" t="str">
        <f t="shared" ca="1" si="75"/>
        <v>Prazo Vencido</v>
      </c>
      <c r="R387" s="8">
        <f t="shared" si="76"/>
        <v>72</v>
      </c>
    </row>
    <row r="388" spans="1:18" ht="13">
      <c r="A388" s="8" t="s">
        <v>1004</v>
      </c>
      <c r="B388" s="10">
        <v>44979</v>
      </c>
      <c r="C388" s="10">
        <v>44979</v>
      </c>
      <c r="D388" s="8" t="s">
        <v>771</v>
      </c>
      <c r="E388" s="8" t="s">
        <v>778</v>
      </c>
      <c r="F388" s="8" t="s">
        <v>759</v>
      </c>
      <c r="G388" s="6" t="e">
        <f>IF(F388="","",VLOOKUP(F388,'PLAN SUPORTE'!A:B,2,0))</f>
        <v>#N/A</v>
      </c>
      <c r="H388" s="7" t="s">
        <v>686</v>
      </c>
      <c r="I388" s="8" t="s">
        <v>692</v>
      </c>
      <c r="J388" s="8" t="s">
        <v>24</v>
      </c>
      <c r="K388" s="8" t="s">
        <v>25</v>
      </c>
      <c r="L388" s="8">
        <f>IF(K388="","",VLOOKUP(K388,'PLAN SUPORTE'!$H$2:$I$4,2,0))</f>
        <v>15</v>
      </c>
      <c r="M388" s="10">
        <v>44998</v>
      </c>
      <c r="N388" s="10">
        <v>45009</v>
      </c>
      <c r="O388" s="9" t="str">
        <f t="shared" si="73"/>
        <v>Fora do Prazo</v>
      </c>
      <c r="P388" s="10">
        <f t="shared" si="74"/>
        <v>44994</v>
      </c>
      <c r="Q388" s="6" t="str">
        <f t="shared" ca="1" si="75"/>
        <v>Prazo Vencido</v>
      </c>
      <c r="R388" s="8">
        <f t="shared" si="76"/>
        <v>19</v>
      </c>
    </row>
    <row r="389" spans="1:18" ht="13">
      <c r="A389" s="8" t="s">
        <v>1005</v>
      </c>
      <c r="B389" s="10">
        <v>44979</v>
      </c>
      <c r="C389" s="10">
        <v>44979</v>
      </c>
      <c r="D389" s="8" t="s">
        <v>771</v>
      </c>
      <c r="E389" s="8" t="s">
        <v>772</v>
      </c>
      <c r="F389" s="8" t="s">
        <v>748</v>
      </c>
      <c r="G389" s="6" t="e">
        <f>IF(F389="","",VLOOKUP(F389,'PLAN SUPORTE'!A:B,2,0))</f>
        <v>#N/A</v>
      </c>
      <c r="H389" s="7" t="s">
        <v>686</v>
      </c>
      <c r="I389" s="8" t="s">
        <v>692</v>
      </c>
      <c r="J389" s="8" t="s">
        <v>24</v>
      </c>
      <c r="K389" s="8" t="s">
        <v>25</v>
      </c>
      <c r="L389" s="8">
        <f>IF(K389="","",VLOOKUP(K389,'PLAN SUPORTE'!$H$2:$I$4,2,0))</f>
        <v>15</v>
      </c>
      <c r="M389" s="10">
        <v>45000</v>
      </c>
      <c r="N389" s="10">
        <v>45009</v>
      </c>
      <c r="O389" s="9" t="str">
        <f t="shared" si="73"/>
        <v>Fora do Prazo</v>
      </c>
      <c r="P389" s="10">
        <f t="shared" si="74"/>
        <v>44994</v>
      </c>
      <c r="Q389" s="6" t="str">
        <f t="shared" ca="1" si="75"/>
        <v>Prazo Vencido</v>
      </c>
      <c r="R389" s="8">
        <f t="shared" si="76"/>
        <v>21</v>
      </c>
    </row>
    <row r="390" spans="1:18" ht="13">
      <c r="A390" s="8" t="s">
        <v>1006</v>
      </c>
      <c r="B390" s="10">
        <v>44979</v>
      </c>
      <c r="C390" s="10">
        <v>44979</v>
      </c>
      <c r="D390" s="8" t="s">
        <v>771</v>
      </c>
      <c r="E390" s="8" t="s">
        <v>778</v>
      </c>
      <c r="F390" s="8" t="s">
        <v>759</v>
      </c>
      <c r="G390" s="6" t="e">
        <f>IF(F390="","",VLOOKUP(F390,'PLAN SUPORTE'!A:B,2,0))</f>
        <v>#N/A</v>
      </c>
      <c r="H390" s="7" t="s">
        <v>686</v>
      </c>
      <c r="I390" s="8" t="s">
        <v>692</v>
      </c>
      <c r="J390" s="8" t="s">
        <v>24</v>
      </c>
      <c r="K390" s="8" t="s">
        <v>25</v>
      </c>
      <c r="L390" s="8">
        <f>IF(K390="","",VLOOKUP(K390,'PLAN SUPORTE'!$H$2:$I$4,2,0))</f>
        <v>15</v>
      </c>
      <c r="M390" s="10">
        <v>44998</v>
      </c>
      <c r="N390" s="10">
        <v>45009</v>
      </c>
      <c r="O390" s="9" t="str">
        <f t="shared" si="73"/>
        <v>Fora do Prazo</v>
      </c>
      <c r="P390" s="10">
        <f t="shared" si="74"/>
        <v>44994</v>
      </c>
      <c r="Q390" s="6" t="str">
        <f t="shared" ca="1" si="75"/>
        <v>Prazo Vencido</v>
      </c>
      <c r="R390" s="8">
        <f t="shared" si="76"/>
        <v>19</v>
      </c>
    </row>
    <row r="391" spans="1:18" ht="13">
      <c r="A391" s="8" t="s">
        <v>1007</v>
      </c>
      <c r="B391" s="10">
        <v>44979</v>
      </c>
      <c r="C391" s="10">
        <v>44979</v>
      </c>
      <c r="D391" s="8" t="s">
        <v>771</v>
      </c>
      <c r="E391" s="8" t="s">
        <v>778</v>
      </c>
      <c r="F391" s="8" t="s">
        <v>759</v>
      </c>
      <c r="G391" s="6" t="e">
        <f>IF(F391="","",VLOOKUP(F391,'PLAN SUPORTE'!A:B,2,0))</f>
        <v>#N/A</v>
      </c>
      <c r="H391" s="7" t="s">
        <v>686</v>
      </c>
      <c r="I391" s="8" t="s">
        <v>692</v>
      </c>
      <c r="J391" s="8" t="s">
        <v>24</v>
      </c>
      <c r="K391" s="8" t="s">
        <v>25</v>
      </c>
      <c r="L391" s="8">
        <f>IF(K391="","",VLOOKUP(K391,'PLAN SUPORTE'!$H$2:$I$4,2,0))</f>
        <v>15</v>
      </c>
      <c r="M391" s="10">
        <v>45001</v>
      </c>
      <c r="N391" s="10">
        <v>45009</v>
      </c>
      <c r="O391" s="9" t="str">
        <f t="shared" si="73"/>
        <v>Fora do Prazo</v>
      </c>
      <c r="P391" s="10">
        <f t="shared" si="74"/>
        <v>44994</v>
      </c>
      <c r="Q391" s="6" t="str">
        <f t="shared" ca="1" si="75"/>
        <v>Prazo Vencido</v>
      </c>
      <c r="R391" s="8">
        <f t="shared" si="76"/>
        <v>22</v>
      </c>
    </row>
    <row r="392" spans="1:18" ht="13">
      <c r="A392" s="8" t="s">
        <v>1008</v>
      </c>
      <c r="B392" s="10">
        <v>44979</v>
      </c>
      <c r="C392" s="10">
        <v>44979</v>
      </c>
      <c r="D392" s="8" t="s">
        <v>771</v>
      </c>
      <c r="E392" s="8" t="s">
        <v>778</v>
      </c>
      <c r="F392" s="8" t="s">
        <v>759</v>
      </c>
      <c r="G392" s="6" t="e">
        <f>IF(F392="","",VLOOKUP(F392,'PLAN SUPORTE'!A:B,2,0))</f>
        <v>#N/A</v>
      </c>
      <c r="H392" s="7" t="s">
        <v>686</v>
      </c>
      <c r="I392" s="8" t="s">
        <v>692</v>
      </c>
      <c r="J392" s="8" t="s">
        <v>24</v>
      </c>
      <c r="K392" s="8" t="s">
        <v>25</v>
      </c>
      <c r="L392" s="8">
        <f>IF(K392="","",VLOOKUP(K392,'PLAN SUPORTE'!$H$2:$I$4,2,0))</f>
        <v>15</v>
      </c>
      <c r="M392" s="10">
        <v>45002</v>
      </c>
      <c r="N392" s="10">
        <v>45009</v>
      </c>
      <c r="O392" s="9" t="str">
        <f t="shared" si="73"/>
        <v>Fora do Prazo</v>
      </c>
      <c r="P392" s="10">
        <f t="shared" si="74"/>
        <v>44994</v>
      </c>
      <c r="Q392" s="6" t="str">
        <f t="shared" ca="1" si="75"/>
        <v>Prazo Vencido</v>
      </c>
      <c r="R392" s="8">
        <f t="shared" si="76"/>
        <v>23</v>
      </c>
    </row>
    <row r="393" spans="1:18" ht="13">
      <c r="A393" s="8" t="s">
        <v>1009</v>
      </c>
      <c r="B393" s="10">
        <v>44981</v>
      </c>
      <c r="C393" s="10">
        <v>44981</v>
      </c>
      <c r="D393" s="8" t="s">
        <v>924</v>
      </c>
      <c r="E393" s="8" t="s">
        <v>925</v>
      </c>
      <c r="F393" s="8" t="s">
        <v>748</v>
      </c>
      <c r="G393" s="6" t="e">
        <f>IF(F393="","",VLOOKUP(F393,'PLAN SUPORTE'!A:B,2,0))</f>
        <v>#N/A</v>
      </c>
      <c r="H393" s="7" t="s">
        <v>686</v>
      </c>
      <c r="I393" s="8" t="s">
        <v>692</v>
      </c>
      <c r="J393" s="8" t="s">
        <v>24</v>
      </c>
      <c r="K393" s="8" t="s">
        <v>25</v>
      </c>
      <c r="L393" s="8">
        <f>IF(K393="","",VLOOKUP(K393,'PLAN SUPORTE'!$H$2:$I$4,2,0))</f>
        <v>15</v>
      </c>
      <c r="M393" s="10">
        <v>45000</v>
      </c>
      <c r="N393" s="10">
        <v>45009</v>
      </c>
      <c r="O393" s="9" t="str">
        <f t="shared" si="73"/>
        <v>Fora do Prazo</v>
      </c>
      <c r="P393" s="10">
        <f t="shared" si="74"/>
        <v>44996</v>
      </c>
      <c r="Q393" s="6" t="str">
        <f t="shared" ca="1" si="75"/>
        <v>Prazo Vencido</v>
      </c>
      <c r="R393" s="8">
        <f t="shared" si="76"/>
        <v>19</v>
      </c>
    </row>
    <row r="394" spans="1:18" ht="13">
      <c r="A394" s="8" t="s">
        <v>1010</v>
      </c>
      <c r="B394" s="10">
        <v>44982</v>
      </c>
      <c r="C394" s="10">
        <v>44982</v>
      </c>
      <c r="D394" s="8" t="s">
        <v>924</v>
      </c>
      <c r="E394" s="8" t="s">
        <v>832</v>
      </c>
      <c r="F394" s="8" t="s">
        <v>770</v>
      </c>
      <c r="G394" s="6" t="e">
        <f>IF(F394="","",VLOOKUP(F394,'PLAN SUPORTE'!A:B,2,0))</f>
        <v>#N/A</v>
      </c>
      <c r="H394" s="7" t="s">
        <v>686</v>
      </c>
      <c r="I394" s="8" t="s">
        <v>682</v>
      </c>
      <c r="J394" s="8" t="s">
        <v>24</v>
      </c>
      <c r="K394" s="8" t="s">
        <v>25</v>
      </c>
      <c r="L394" s="8">
        <f>IF(K394="","",VLOOKUP(K394,'PLAN SUPORTE'!$H$2:$I$4,2,0))</f>
        <v>15</v>
      </c>
      <c r="M394" s="10">
        <v>44995</v>
      </c>
      <c r="N394" s="10">
        <v>45009</v>
      </c>
      <c r="O394" s="9" t="str">
        <f t="shared" si="73"/>
        <v>Dentro do Prazo</v>
      </c>
      <c r="P394" s="10">
        <f t="shared" si="74"/>
        <v>44997</v>
      </c>
      <c r="Q394" s="6" t="str">
        <f t="shared" ca="1" si="75"/>
        <v>Prazo Vencido</v>
      </c>
      <c r="R394" s="8">
        <f t="shared" si="76"/>
        <v>13</v>
      </c>
    </row>
    <row r="395" spans="1:18" ht="13">
      <c r="A395" s="8" t="s">
        <v>1011</v>
      </c>
      <c r="B395" s="10">
        <v>44984</v>
      </c>
      <c r="C395" s="10">
        <v>44984</v>
      </c>
      <c r="D395" s="8" t="s">
        <v>771</v>
      </c>
      <c r="E395" s="8" t="s">
        <v>838</v>
      </c>
      <c r="F395" s="8" t="s">
        <v>699</v>
      </c>
      <c r="G395" s="6" t="e">
        <f>IF(F395="","",VLOOKUP(F395,'PLAN SUPORTE'!A:B,2,0))</f>
        <v>#N/A</v>
      </c>
      <c r="H395" s="7" t="s">
        <v>686</v>
      </c>
      <c r="I395" s="8" t="s">
        <v>682</v>
      </c>
      <c r="J395" s="8" t="s">
        <v>24</v>
      </c>
      <c r="K395" s="8" t="s">
        <v>25</v>
      </c>
      <c r="L395" s="8">
        <f>IF(K395="","",VLOOKUP(K395,'PLAN SUPORTE'!$H$2:$I$4,2,0))</f>
        <v>15</v>
      </c>
      <c r="M395" s="10">
        <v>44995</v>
      </c>
      <c r="N395" s="10">
        <v>45009</v>
      </c>
      <c r="O395" s="9" t="str">
        <f t="shared" si="73"/>
        <v>Dentro do Prazo</v>
      </c>
      <c r="P395" s="10">
        <f t="shared" si="74"/>
        <v>44999</v>
      </c>
      <c r="Q395" s="6" t="str">
        <f t="shared" ca="1" si="75"/>
        <v>Prazo Vencido</v>
      </c>
      <c r="R395" s="8">
        <f t="shared" si="76"/>
        <v>11</v>
      </c>
    </row>
    <row r="396" spans="1:18" ht="13">
      <c r="A396" s="8" t="s">
        <v>1012</v>
      </c>
      <c r="B396" s="10">
        <v>44984</v>
      </c>
      <c r="C396" s="10">
        <v>44984</v>
      </c>
      <c r="D396" s="8" t="s">
        <v>771</v>
      </c>
      <c r="E396" s="8" t="s">
        <v>777</v>
      </c>
      <c r="F396" s="8" t="s">
        <v>705</v>
      </c>
      <c r="G396" s="6" t="e">
        <f>IF(F396="","",VLOOKUP(F396,'PLAN SUPORTE'!A:B,2,0))</f>
        <v>#N/A</v>
      </c>
      <c r="H396" s="7" t="s">
        <v>686</v>
      </c>
      <c r="I396" s="8" t="s">
        <v>692</v>
      </c>
      <c r="J396" s="8" t="s">
        <v>24</v>
      </c>
      <c r="K396" s="8" t="s">
        <v>25</v>
      </c>
      <c r="L396" s="8">
        <f>IF(K396="","",VLOOKUP(K396,'PLAN SUPORTE'!$H$2:$I$4,2,0))</f>
        <v>15</v>
      </c>
      <c r="M396" s="10">
        <v>44998</v>
      </c>
      <c r="N396" s="10">
        <v>45009</v>
      </c>
      <c r="O396" s="9" t="str">
        <f t="shared" si="73"/>
        <v>Dentro do Prazo</v>
      </c>
      <c r="P396" s="10">
        <f t="shared" si="74"/>
        <v>44999</v>
      </c>
      <c r="Q396" s="6" t="str">
        <f t="shared" ca="1" si="75"/>
        <v>Prazo Vencido</v>
      </c>
      <c r="R396" s="8">
        <f t="shared" si="76"/>
        <v>14</v>
      </c>
    </row>
    <row r="397" spans="1:18" ht="13">
      <c r="A397" s="8" t="s">
        <v>1013</v>
      </c>
      <c r="B397" s="10">
        <v>44984</v>
      </c>
      <c r="C397" s="10">
        <v>44984</v>
      </c>
      <c r="D397" s="8" t="s">
        <v>771</v>
      </c>
      <c r="E397" s="8" t="s">
        <v>778</v>
      </c>
      <c r="F397" s="8" t="s">
        <v>759</v>
      </c>
      <c r="G397" s="6" t="e">
        <f>IF(F397="","",VLOOKUP(F397,'PLAN SUPORTE'!A:B,2,0))</f>
        <v>#N/A</v>
      </c>
      <c r="H397" s="7" t="s">
        <v>686</v>
      </c>
      <c r="I397" s="8" t="s">
        <v>692</v>
      </c>
      <c r="J397" s="8" t="s">
        <v>24</v>
      </c>
      <c r="K397" s="8" t="s">
        <v>25</v>
      </c>
      <c r="L397" s="8">
        <f>IF(K397="","",VLOOKUP(K397,'PLAN SUPORTE'!$H$2:$I$4,2,0))</f>
        <v>15</v>
      </c>
      <c r="M397" s="10">
        <v>44998</v>
      </c>
      <c r="N397" s="10">
        <v>45009</v>
      </c>
      <c r="O397" s="9" t="str">
        <f t="shared" si="73"/>
        <v>Dentro do Prazo</v>
      </c>
      <c r="P397" s="10">
        <f t="shared" si="74"/>
        <v>44999</v>
      </c>
      <c r="Q397" s="6" t="str">
        <f t="shared" ca="1" si="75"/>
        <v>Prazo Vencido</v>
      </c>
      <c r="R397" s="8">
        <f t="shared" si="76"/>
        <v>14</v>
      </c>
    </row>
    <row r="398" spans="1:18" ht="13">
      <c r="A398" s="8" t="s">
        <v>1014</v>
      </c>
      <c r="B398" s="10">
        <v>44984</v>
      </c>
      <c r="C398" s="10">
        <v>44984</v>
      </c>
      <c r="D398" s="8" t="s">
        <v>771</v>
      </c>
      <c r="E398" s="8" t="s">
        <v>778</v>
      </c>
      <c r="F398" s="8" t="s">
        <v>759</v>
      </c>
      <c r="G398" s="6" t="e">
        <f>IF(F398="","",VLOOKUP(F398,'PLAN SUPORTE'!A:B,2,0))</f>
        <v>#N/A</v>
      </c>
      <c r="H398" s="7" t="s">
        <v>686</v>
      </c>
      <c r="I398" s="8" t="s">
        <v>692</v>
      </c>
      <c r="J398" s="8" t="s">
        <v>24</v>
      </c>
      <c r="K398" s="8" t="s">
        <v>25</v>
      </c>
      <c r="L398" s="8">
        <f>IF(K398="","",VLOOKUP(K398,'PLAN SUPORTE'!$H$2:$I$4,2,0))</f>
        <v>15</v>
      </c>
      <c r="M398" s="10">
        <v>45001</v>
      </c>
      <c r="N398" s="10">
        <v>45009</v>
      </c>
      <c r="O398" s="9" t="str">
        <f t="shared" si="73"/>
        <v>Fora do Prazo</v>
      </c>
      <c r="P398" s="10">
        <f t="shared" si="74"/>
        <v>44999</v>
      </c>
      <c r="Q398" s="6" t="str">
        <f t="shared" ca="1" si="75"/>
        <v>Prazo Vencido</v>
      </c>
      <c r="R398" s="8">
        <f t="shared" si="76"/>
        <v>17</v>
      </c>
    </row>
    <row r="399" spans="1:18" ht="13">
      <c r="A399" s="8" t="s">
        <v>1015</v>
      </c>
      <c r="B399" s="10">
        <v>44984</v>
      </c>
      <c r="C399" s="10">
        <v>44984</v>
      </c>
      <c r="D399" s="8" t="s">
        <v>771</v>
      </c>
      <c r="E399" s="8" t="s">
        <v>778</v>
      </c>
      <c r="F399" s="8" t="s">
        <v>759</v>
      </c>
      <c r="G399" s="6" t="e">
        <f>IF(F399="","",VLOOKUP(F399,'PLAN SUPORTE'!A:B,2,0))</f>
        <v>#N/A</v>
      </c>
      <c r="H399" s="7" t="s">
        <v>686</v>
      </c>
      <c r="I399" s="8" t="s">
        <v>692</v>
      </c>
      <c r="J399" s="8" t="s">
        <v>24</v>
      </c>
      <c r="K399" s="8" t="s">
        <v>25</v>
      </c>
      <c r="L399" s="8">
        <f>IF(K399="","",VLOOKUP(K399,'PLAN SUPORTE'!$H$2:$I$4,2,0))</f>
        <v>15</v>
      </c>
      <c r="M399" s="10">
        <v>45007</v>
      </c>
      <c r="N399" s="10">
        <v>45022</v>
      </c>
      <c r="O399" s="9" t="str">
        <f t="shared" si="73"/>
        <v>Fora do Prazo</v>
      </c>
      <c r="P399" s="10">
        <f t="shared" si="74"/>
        <v>44999</v>
      </c>
      <c r="Q399" s="6" t="str">
        <f t="shared" ca="1" si="75"/>
        <v>Prazo Vencido</v>
      </c>
      <c r="R399" s="8">
        <f t="shared" si="76"/>
        <v>23</v>
      </c>
    </row>
    <row r="400" spans="1:18" ht="13">
      <c r="A400" s="8" t="s">
        <v>1016</v>
      </c>
      <c r="B400" s="10">
        <v>44984</v>
      </c>
      <c r="C400" s="10">
        <v>44984</v>
      </c>
      <c r="D400" s="8" t="s">
        <v>771</v>
      </c>
      <c r="E400" s="8" t="s">
        <v>778</v>
      </c>
      <c r="F400" s="8" t="s">
        <v>759</v>
      </c>
      <c r="G400" s="6" t="e">
        <f>IF(F400="","",VLOOKUP(F400,'PLAN SUPORTE'!A:B,2,0))</f>
        <v>#N/A</v>
      </c>
      <c r="H400" s="7" t="s">
        <v>686</v>
      </c>
      <c r="I400" s="8" t="s">
        <v>692</v>
      </c>
      <c r="J400" s="8" t="s">
        <v>24</v>
      </c>
      <c r="K400" s="8" t="s">
        <v>25</v>
      </c>
      <c r="L400" s="8">
        <f>IF(K400="","",VLOOKUP(K400,'PLAN SUPORTE'!$H$2:$I$4,2,0))</f>
        <v>15</v>
      </c>
      <c r="M400" s="10">
        <v>45008</v>
      </c>
      <c r="N400" s="10">
        <v>45022</v>
      </c>
      <c r="O400" s="9" t="str">
        <f t="shared" si="73"/>
        <v>Fora do Prazo</v>
      </c>
      <c r="P400" s="10">
        <f t="shared" si="74"/>
        <v>44999</v>
      </c>
      <c r="Q400" s="6" t="str">
        <f t="shared" ca="1" si="75"/>
        <v>Prazo Vencido</v>
      </c>
      <c r="R400" s="8">
        <f t="shared" si="76"/>
        <v>24</v>
      </c>
    </row>
    <row r="401" spans="1:18" ht="13" hidden="1">
      <c r="A401" s="8" t="s">
        <v>1017</v>
      </c>
      <c r="B401" s="10">
        <v>44984</v>
      </c>
      <c r="C401" s="10">
        <v>44984</v>
      </c>
      <c r="D401" s="8" t="s">
        <v>771</v>
      </c>
      <c r="E401" s="8" t="s">
        <v>778</v>
      </c>
      <c r="F401" s="8" t="s">
        <v>759</v>
      </c>
      <c r="G401" s="6" t="e">
        <f>IF(F401="","",VLOOKUP(F401,'PLAN SUPORTE'!A:B,2,0))</f>
        <v>#N/A</v>
      </c>
      <c r="H401" s="7" t="s">
        <v>686</v>
      </c>
      <c r="I401" s="8" t="s">
        <v>692</v>
      </c>
      <c r="J401" s="8" t="s">
        <v>296</v>
      </c>
      <c r="K401" s="8" t="s">
        <v>25</v>
      </c>
      <c r="L401" s="8">
        <f>IF(K401="","",VLOOKUP(K401,'PLAN SUPORTE'!$H$2:$I$4,2,0))</f>
        <v>15</v>
      </c>
      <c r="M401" s="10"/>
      <c r="N401" s="10"/>
      <c r="O401" s="9" t="str">
        <f t="shared" si="73"/>
        <v>Em Andamento</v>
      </c>
      <c r="P401" s="10">
        <f t="shared" si="74"/>
        <v>44999</v>
      </c>
      <c r="Q401" s="6" t="str">
        <f t="shared" ca="1" si="75"/>
        <v>Prazo Vencido</v>
      </c>
      <c r="R401" s="8" t="str">
        <f t="shared" si="76"/>
        <v/>
      </c>
    </row>
    <row r="402" spans="1:18" ht="13">
      <c r="A402" s="8" t="s">
        <v>1018</v>
      </c>
      <c r="B402" s="10">
        <v>44985</v>
      </c>
      <c r="C402" s="10">
        <v>44985</v>
      </c>
      <c r="D402" s="8" t="s">
        <v>771</v>
      </c>
      <c r="E402" s="8" t="s">
        <v>777</v>
      </c>
      <c r="F402" s="8" t="s">
        <v>705</v>
      </c>
      <c r="G402" s="6" t="e">
        <f>IF(F402="","",VLOOKUP(F402,'PLAN SUPORTE'!A:B,2,0))</f>
        <v>#N/A</v>
      </c>
      <c r="H402" s="7" t="s">
        <v>686</v>
      </c>
      <c r="I402" s="8" t="s">
        <v>692</v>
      </c>
      <c r="J402" s="8" t="s">
        <v>24</v>
      </c>
      <c r="K402" s="8" t="s">
        <v>25</v>
      </c>
      <c r="L402" s="8">
        <f>IF(K402="","",VLOOKUP(K402,'PLAN SUPORTE'!$H$2:$I$4,2,0))</f>
        <v>15</v>
      </c>
      <c r="M402" s="10">
        <v>45021</v>
      </c>
      <c r="N402" s="10">
        <v>45030</v>
      </c>
      <c r="O402" s="9" t="str">
        <f t="shared" si="73"/>
        <v>Fora do Prazo</v>
      </c>
      <c r="P402" s="10">
        <f t="shared" si="74"/>
        <v>45000</v>
      </c>
      <c r="Q402" s="6" t="str">
        <f t="shared" ca="1" si="75"/>
        <v>Prazo Vencido</v>
      </c>
      <c r="R402" s="8">
        <f t="shared" si="76"/>
        <v>36</v>
      </c>
    </row>
    <row r="403" spans="1:18" ht="13">
      <c r="A403" s="8" t="s">
        <v>1019</v>
      </c>
      <c r="B403" s="10">
        <v>44985</v>
      </c>
      <c r="C403" s="10">
        <v>44985</v>
      </c>
      <c r="D403" s="8" t="s">
        <v>771</v>
      </c>
      <c r="E403" s="8" t="s">
        <v>777</v>
      </c>
      <c r="F403" s="8" t="s">
        <v>705</v>
      </c>
      <c r="G403" s="6" t="e">
        <f>IF(F403="","",VLOOKUP(F403,'PLAN SUPORTE'!A:B,2,0))</f>
        <v>#N/A</v>
      </c>
      <c r="H403" s="7" t="s">
        <v>686</v>
      </c>
      <c r="I403" s="8" t="s">
        <v>692</v>
      </c>
      <c r="J403" s="8" t="s">
        <v>24</v>
      </c>
      <c r="K403" s="8" t="s">
        <v>25</v>
      </c>
      <c r="L403" s="8">
        <f>IF(K403="","",VLOOKUP(K403,'PLAN SUPORTE'!$H$2:$I$4,2,0))</f>
        <v>15</v>
      </c>
      <c r="M403" s="10">
        <v>45007</v>
      </c>
      <c r="N403" s="10">
        <v>45022</v>
      </c>
      <c r="O403" s="9" t="str">
        <f t="shared" si="73"/>
        <v>Fora do Prazo</v>
      </c>
      <c r="P403" s="10">
        <f t="shared" si="74"/>
        <v>45000</v>
      </c>
      <c r="Q403" s="6" t="str">
        <f t="shared" ca="1" si="75"/>
        <v>Prazo Vencido</v>
      </c>
      <c r="R403" s="8">
        <f t="shared" si="76"/>
        <v>22</v>
      </c>
    </row>
    <row r="404" spans="1:18" ht="13">
      <c r="A404" s="8" t="s">
        <v>1020</v>
      </c>
      <c r="B404" s="10">
        <v>44985</v>
      </c>
      <c r="C404" s="10">
        <v>44985</v>
      </c>
      <c r="D404" s="8" t="s">
        <v>771</v>
      </c>
      <c r="E404" s="8" t="s">
        <v>777</v>
      </c>
      <c r="F404" s="8" t="s">
        <v>705</v>
      </c>
      <c r="G404" s="6" t="e">
        <f>IF(F404="","",VLOOKUP(F404,'PLAN SUPORTE'!A:B,2,0))</f>
        <v>#N/A</v>
      </c>
      <c r="H404" s="7" t="s">
        <v>686</v>
      </c>
      <c r="I404" s="8" t="s">
        <v>692</v>
      </c>
      <c r="J404" s="8" t="s">
        <v>24</v>
      </c>
      <c r="K404" s="8" t="s">
        <v>25</v>
      </c>
      <c r="L404" s="8">
        <f>IF(K404="","",VLOOKUP(K404,'PLAN SUPORTE'!$H$2:$I$4,2,0))</f>
        <v>15</v>
      </c>
      <c r="M404" s="10">
        <v>45007</v>
      </c>
      <c r="N404" s="10">
        <v>45022</v>
      </c>
      <c r="O404" s="9" t="str">
        <f t="shared" si="73"/>
        <v>Fora do Prazo</v>
      </c>
      <c r="P404" s="10">
        <f t="shared" si="74"/>
        <v>45000</v>
      </c>
      <c r="Q404" s="6" t="str">
        <f t="shared" ca="1" si="75"/>
        <v>Prazo Vencido</v>
      </c>
      <c r="R404" s="8">
        <f t="shared" si="76"/>
        <v>22</v>
      </c>
    </row>
    <row r="405" spans="1:18" ht="13">
      <c r="A405" s="8" t="s">
        <v>1021</v>
      </c>
      <c r="B405" s="10">
        <v>44985</v>
      </c>
      <c r="C405" s="10">
        <v>44985</v>
      </c>
      <c r="D405" s="8" t="s">
        <v>771</v>
      </c>
      <c r="E405" s="8" t="s">
        <v>777</v>
      </c>
      <c r="F405" s="8" t="s">
        <v>705</v>
      </c>
      <c r="G405" s="6" t="e">
        <f>IF(F405="","",VLOOKUP(F405,'PLAN SUPORTE'!A:B,2,0))</f>
        <v>#N/A</v>
      </c>
      <c r="H405" s="7" t="s">
        <v>686</v>
      </c>
      <c r="I405" s="8" t="s">
        <v>692</v>
      </c>
      <c r="J405" s="8" t="s">
        <v>24</v>
      </c>
      <c r="K405" s="8" t="s">
        <v>25</v>
      </c>
      <c r="L405" s="8">
        <f>IF(K405="","",VLOOKUP(K405,'PLAN SUPORTE'!$H$2:$I$4,2,0))</f>
        <v>15</v>
      </c>
      <c r="M405" s="10">
        <v>45007</v>
      </c>
      <c r="N405" s="10">
        <v>45022</v>
      </c>
      <c r="O405" s="9" t="str">
        <f t="shared" si="73"/>
        <v>Fora do Prazo</v>
      </c>
      <c r="P405" s="10">
        <f t="shared" si="74"/>
        <v>45000</v>
      </c>
      <c r="Q405" s="6" t="str">
        <f t="shared" ca="1" si="75"/>
        <v>Prazo Vencido</v>
      </c>
      <c r="R405" s="8">
        <f t="shared" si="76"/>
        <v>22</v>
      </c>
    </row>
    <row r="406" spans="1:18" ht="13">
      <c r="A406" s="8" t="s">
        <v>1022</v>
      </c>
      <c r="B406" s="10">
        <v>44985</v>
      </c>
      <c r="C406" s="10">
        <v>44985</v>
      </c>
      <c r="D406" s="8" t="s">
        <v>771</v>
      </c>
      <c r="E406" s="8" t="s">
        <v>777</v>
      </c>
      <c r="F406" s="8" t="s">
        <v>705</v>
      </c>
      <c r="G406" s="6" t="e">
        <f>IF(F406="","",VLOOKUP(F406,'PLAN SUPORTE'!A:B,2,0))</f>
        <v>#N/A</v>
      </c>
      <c r="H406" s="7" t="s">
        <v>686</v>
      </c>
      <c r="I406" s="8" t="s">
        <v>692</v>
      </c>
      <c r="J406" s="8" t="s">
        <v>24</v>
      </c>
      <c r="K406" s="8" t="s">
        <v>25</v>
      </c>
      <c r="L406" s="8">
        <f>IF(K406="","",VLOOKUP(K406,'PLAN SUPORTE'!$H$2:$I$4,2,0))</f>
        <v>15</v>
      </c>
      <c r="M406" s="10">
        <v>45008</v>
      </c>
      <c r="N406" s="10">
        <v>45022</v>
      </c>
      <c r="O406" s="9" t="str">
        <f t="shared" si="73"/>
        <v>Fora do Prazo</v>
      </c>
      <c r="P406" s="10">
        <f t="shared" si="74"/>
        <v>45000</v>
      </c>
      <c r="Q406" s="6" t="str">
        <f t="shared" ca="1" si="75"/>
        <v>Prazo Vencido</v>
      </c>
      <c r="R406" s="8">
        <f t="shared" si="76"/>
        <v>23</v>
      </c>
    </row>
    <row r="407" spans="1:18" ht="13">
      <c r="A407" s="8" t="s">
        <v>1023</v>
      </c>
      <c r="B407" s="10">
        <v>44985</v>
      </c>
      <c r="C407" s="10">
        <v>44985</v>
      </c>
      <c r="D407" s="8" t="s">
        <v>771</v>
      </c>
      <c r="E407" s="8" t="s">
        <v>777</v>
      </c>
      <c r="F407" s="8" t="s">
        <v>705</v>
      </c>
      <c r="G407" s="6" t="e">
        <f>IF(F407="","",VLOOKUP(F407,'PLAN SUPORTE'!A:B,2,0))</f>
        <v>#N/A</v>
      </c>
      <c r="H407" s="7" t="s">
        <v>686</v>
      </c>
      <c r="I407" s="8" t="s">
        <v>692</v>
      </c>
      <c r="J407" s="8" t="s">
        <v>24</v>
      </c>
      <c r="K407" s="8" t="s">
        <v>25</v>
      </c>
      <c r="L407" s="8">
        <f>IF(K407="","",VLOOKUP(K407,'PLAN SUPORTE'!$H$2:$I$4,2,0))</f>
        <v>15</v>
      </c>
      <c r="M407" s="10">
        <v>45014</v>
      </c>
      <c r="N407" s="10">
        <v>45022</v>
      </c>
      <c r="O407" s="9" t="str">
        <f t="shared" si="73"/>
        <v>Fora do Prazo</v>
      </c>
      <c r="P407" s="10">
        <f t="shared" si="74"/>
        <v>45000</v>
      </c>
      <c r="Q407" s="6" t="str">
        <f t="shared" ca="1" si="75"/>
        <v>Prazo Vencido</v>
      </c>
      <c r="R407" s="8">
        <f t="shared" si="76"/>
        <v>29</v>
      </c>
    </row>
    <row r="408" spans="1:18" ht="13">
      <c r="A408" s="8" t="s">
        <v>1024</v>
      </c>
      <c r="B408" s="10">
        <v>44985</v>
      </c>
      <c r="C408" s="10">
        <v>44985</v>
      </c>
      <c r="D408" s="8" t="s">
        <v>771</v>
      </c>
      <c r="E408" s="8" t="s">
        <v>777</v>
      </c>
      <c r="F408" s="8" t="s">
        <v>705</v>
      </c>
      <c r="G408" s="6" t="e">
        <f>IF(F408="","",VLOOKUP(F408,'PLAN SUPORTE'!A:B,2,0))</f>
        <v>#N/A</v>
      </c>
      <c r="H408" s="7" t="s">
        <v>686</v>
      </c>
      <c r="I408" s="8" t="s">
        <v>692</v>
      </c>
      <c r="J408" s="8" t="s">
        <v>24</v>
      </c>
      <c r="K408" s="8" t="s">
        <v>25</v>
      </c>
      <c r="L408" s="8">
        <f>IF(K408="","",VLOOKUP(K408,'PLAN SUPORTE'!$H$2:$I$4,2,0))</f>
        <v>15</v>
      </c>
      <c r="M408" s="10">
        <v>45012</v>
      </c>
      <c r="N408" s="10">
        <v>45022</v>
      </c>
      <c r="O408" s="9" t="str">
        <f t="shared" si="73"/>
        <v>Fora do Prazo</v>
      </c>
      <c r="P408" s="10">
        <f t="shared" si="74"/>
        <v>45000</v>
      </c>
      <c r="Q408" s="6" t="str">
        <f t="shared" ca="1" si="75"/>
        <v>Prazo Vencido</v>
      </c>
      <c r="R408" s="8">
        <f t="shared" si="76"/>
        <v>27</v>
      </c>
    </row>
    <row r="409" spans="1:18" ht="13">
      <c r="A409" s="8" t="s">
        <v>1025</v>
      </c>
      <c r="B409" s="10">
        <v>44987</v>
      </c>
      <c r="C409" s="10">
        <v>44987</v>
      </c>
      <c r="D409" s="8" t="s">
        <v>924</v>
      </c>
      <c r="E409" s="8" t="s">
        <v>680</v>
      </c>
      <c r="F409" s="8" t="s">
        <v>681</v>
      </c>
      <c r="G409" s="6" t="e">
        <f>IF(F409="","",VLOOKUP(F409,'PLAN SUPORTE'!A:B,2,0))</f>
        <v>#N/A</v>
      </c>
      <c r="H409" s="7" t="s">
        <v>686</v>
      </c>
      <c r="I409" s="8" t="s">
        <v>682</v>
      </c>
      <c r="J409" s="8" t="s">
        <v>24</v>
      </c>
      <c r="K409" s="8" t="s">
        <v>25</v>
      </c>
      <c r="L409" s="8">
        <f>IF(K409="","",VLOOKUP(K409,'PLAN SUPORTE'!$H$2:$I$4,2,0))</f>
        <v>15</v>
      </c>
      <c r="M409" s="10">
        <v>44995</v>
      </c>
      <c r="N409" s="10">
        <v>45009</v>
      </c>
      <c r="O409" s="9" t="str">
        <f t="shared" si="73"/>
        <v>Dentro do Prazo</v>
      </c>
      <c r="P409" s="10">
        <f t="shared" si="74"/>
        <v>45002</v>
      </c>
      <c r="Q409" s="6" t="str">
        <f t="shared" ca="1" si="75"/>
        <v>Prazo Vencido</v>
      </c>
      <c r="R409" s="8">
        <f t="shared" si="76"/>
        <v>8</v>
      </c>
    </row>
    <row r="410" spans="1:18" ht="13">
      <c r="A410" s="8" t="s">
        <v>1026</v>
      </c>
      <c r="B410" s="10">
        <v>44988</v>
      </c>
      <c r="C410" s="10">
        <v>44988</v>
      </c>
      <c r="D410" s="8" t="s">
        <v>746</v>
      </c>
      <c r="E410" s="8" t="s">
        <v>739</v>
      </c>
      <c r="F410" s="8" t="s">
        <v>759</v>
      </c>
      <c r="G410" s="6" t="e">
        <f>IF(F410="","",VLOOKUP(F410,'PLAN SUPORTE'!A:B,2,0))</f>
        <v>#N/A</v>
      </c>
      <c r="H410" s="7" t="s">
        <v>686</v>
      </c>
      <c r="I410" s="8" t="s">
        <v>692</v>
      </c>
      <c r="J410" s="8" t="s">
        <v>24</v>
      </c>
      <c r="K410" s="8" t="s">
        <v>25</v>
      </c>
      <c r="L410" s="8">
        <f>IF(K410="","",VLOOKUP(K410,'PLAN SUPORTE'!$H$2:$I$4,2,0))</f>
        <v>15</v>
      </c>
      <c r="M410" s="10">
        <v>44998</v>
      </c>
      <c r="N410" s="10">
        <v>45009</v>
      </c>
      <c r="O410" s="9" t="str">
        <f t="shared" si="73"/>
        <v>Dentro do Prazo</v>
      </c>
      <c r="P410" s="10">
        <f t="shared" si="74"/>
        <v>45003</v>
      </c>
      <c r="Q410" s="6" t="str">
        <f t="shared" ca="1" si="75"/>
        <v>Prazo Vencido</v>
      </c>
      <c r="R410" s="8">
        <f t="shared" si="76"/>
        <v>10</v>
      </c>
    </row>
    <row r="411" spans="1:18" ht="13">
      <c r="A411" s="8" t="s">
        <v>1027</v>
      </c>
      <c r="B411" s="10">
        <v>44989</v>
      </c>
      <c r="C411" s="10">
        <v>44989</v>
      </c>
      <c r="D411" s="8" t="s">
        <v>746</v>
      </c>
      <c r="E411" s="8" t="s">
        <v>736</v>
      </c>
      <c r="F411" s="8" t="s">
        <v>705</v>
      </c>
      <c r="G411" s="6" t="e">
        <f>IF(F411="","",VLOOKUP(F411,'PLAN SUPORTE'!A:B,2,0))</f>
        <v>#N/A</v>
      </c>
      <c r="H411" s="7" t="s">
        <v>686</v>
      </c>
      <c r="I411" s="8" t="s">
        <v>692</v>
      </c>
      <c r="J411" s="8" t="s">
        <v>24</v>
      </c>
      <c r="K411" s="8" t="s">
        <v>25</v>
      </c>
      <c r="L411" s="8">
        <f>IF(K411="","",VLOOKUP(K411,'PLAN SUPORTE'!$H$2:$I$4,2,0))</f>
        <v>15</v>
      </c>
      <c r="M411" s="10">
        <v>44998</v>
      </c>
      <c r="N411" s="10">
        <v>45009</v>
      </c>
      <c r="O411" s="9" t="str">
        <f t="shared" si="73"/>
        <v>Dentro do Prazo</v>
      </c>
      <c r="P411" s="10">
        <f t="shared" si="74"/>
        <v>45004</v>
      </c>
      <c r="Q411" s="6" t="str">
        <f t="shared" ca="1" si="75"/>
        <v>Prazo Vencido</v>
      </c>
      <c r="R411" s="8">
        <f t="shared" si="76"/>
        <v>9</v>
      </c>
    </row>
    <row r="412" spans="1:18" ht="13">
      <c r="A412" s="8" t="s">
        <v>1028</v>
      </c>
      <c r="B412" s="10">
        <v>44989</v>
      </c>
      <c r="C412" s="10">
        <v>44989</v>
      </c>
      <c r="D412" s="8" t="s">
        <v>746</v>
      </c>
      <c r="E412" s="8" t="s">
        <v>736</v>
      </c>
      <c r="F412" s="8" t="s">
        <v>705</v>
      </c>
      <c r="G412" s="6" t="e">
        <f>IF(F412="","",VLOOKUP(F412,'PLAN SUPORTE'!A:B,2,0))</f>
        <v>#N/A</v>
      </c>
      <c r="H412" s="7" t="s">
        <v>686</v>
      </c>
      <c r="I412" s="8" t="s">
        <v>692</v>
      </c>
      <c r="J412" s="8" t="s">
        <v>24</v>
      </c>
      <c r="K412" s="8" t="s">
        <v>25</v>
      </c>
      <c r="L412" s="8">
        <f>IF(K412="","",VLOOKUP(K412,'PLAN SUPORTE'!$H$2:$I$4,2,0))</f>
        <v>15</v>
      </c>
      <c r="M412" s="10">
        <v>45002</v>
      </c>
      <c r="N412" s="10">
        <v>45009</v>
      </c>
      <c r="O412" s="9" t="str">
        <f t="shared" si="73"/>
        <v>Dentro do Prazo</v>
      </c>
      <c r="P412" s="10">
        <f t="shared" si="74"/>
        <v>45004</v>
      </c>
      <c r="Q412" s="6" t="str">
        <f t="shared" ca="1" si="75"/>
        <v>Prazo Vencido</v>
      </c>
      <c r="R412" s="8">
        <f t="shared" si="76"/>
        <v>13</v>
      </c>
    </row>
    <row r="413" spans="1:18" ht="13">
      <c r="A413" s="8" t="s">
        <v>1029</v>
      </c>
      <c r="B413" s="10">
        <v>44989</v>
      </c>
      <c r="C413" s="10">
        <v>44989</v>
      </c>
      <c r="D413" s="8" t="s">
        <v>952</v>
      </c>
      <c r="E413" s="8" t="s">
        <v>760</v>
      </c>
      <c r="F413" s="8" t="s">
        <v>761</v>
      </c>
      <c r="G413" s="6" t="e">
        <f>IF(F413="","",VLOOKUP(F413,'PLAN SUPORTE'!A:B,2,0))</f>
        <v>#N/A</v>
      </c>
      <c r="H413" s="7" t="s">
        <v>686</v>
      </c>
      <c r="I413" s="8" t="s">
        <v>692</v>
      </c>
      <c r="J413" s="8" t="s">
        <v>24</v>
      </c>
      <c r="K413" s="8" t="s">
        <v>25</v>
      </c>
      <c r="L413" s="8">
        <f>IF(K413="","",VLOOKUP(K413,'PLAN SUPORTE'!$H$2:$I$4,2,0))</f>
        <v>15</v>
      </c>
      <c r="M413" s="10">
        <v>45000</v>
      </c>
      <c r="N413" s="10">
        <v>45000</v>
      </c>
      <c r="O413" s="9" t="str">
        <f t="shared" si="73"/>
        <v>Dentro do Prazo</v>
      </c>
      <c r="P413" s="10">
        <f t="shared" si="74"/>
        <v>45004</v>
      </c>
      <c r="Q413" s="6" t="str">
        <f t="shared" ca="1" si="75"/>
        <v>Prazo Vencido</v>
      </c>
      <c r="R413" s="8">
        <f t="shared" si="76"/>
        <v>11</v>
      </c>
    </row>
    <row r="414" spans="1:18" ht="13" hidden="1">
      <c r="A414" s="8" t="s">
        <v>1030</v>
      </c>
      <c r="B414" s="10">
        <v>44990</v>
      </c>
      <c r="C414" s="10">
        <v>44990</v>
      </c>
      <c r="D414" s="8" t="s">
        <v>957</v>
      </c>
      <c r="E414" s="8" t="s">
        <v>1031</v>
      </c>
      <c r="F414" s="8" t="s">
        <v>705</v>
      </c>
      <c r="G414" s="6" t="e">
        <f>IF(F414="","",VLOOKUP(F414,'PLAN SUPORTE'!A:B,2,0))</f>
        <v>#N/A</v>
      </c>
      <c r="H414" s="7" t="s">
        <v>686</v>
      </c>
      <c r="I414" s="8" t="s">
        <v>692</v>
      </c>
      <c r="J414" s="8" t="s">
        <v>296</v>
      </c>
      <c r="K414" s="8" t="s">
        <v>25</v>
      </c>
      <c r="L414" s="8">
        <f>IF(K414="","",VLOOKUP(K414,'PLAN SUPORTE'!$H$2:$I$4,2,0))</f>
        <v>15</v>
      </c>
      <c r="M414" s="10"/>
      <c r="N414" s="10"/>
      <c r="O414" s="9" t="str">
        <f t="shared" si="73"/>
        <v>Em Andamento</v>
      </c>
      <c r="P414" s="10">
        <f t="shared" si="74"/>
        <v>45005</v>
      </c>
      <c r="Q414" s="6" t="str">
        <f t="shared" ca="1" si="75"/>
        <v>Prazo Vencido</v>
      </c>
      <c r="R414" s="8" t="str">
        <f t="shared" si="76"/>
        <v/>
      </c>
    </row>
    <row r="415" spans="1:18" ht="13">
      <c r="A415" s="8" t="s">
        <v>1032</v>
      </c>
      <c r="B415" s="10">
        <v>44991</v>
      </c>
      <c r="C415" s="10">
        <v>44991</v>
      </c>
      <c r="D415" s="8" t="s">
        <v>771</v>
      </c>
      <c r="E415" s="8" t="s">
        <v>777</v>
      </c>
      <c r="F415" s="8" t="s">
        <v>705</v>
      </c>
      <c r="G415" s="6" t="e">
        <f>IF(F415="","",VLOOKUP(F415,'PLAN SUPORTE'!A:B,2,0))</f>
        <v>#N/A</v>
      </c>
      <c r="H415" s="7" t="s">
        <v>686</v>
      </c>
      <c r="I415" s="8" t="s">
        <v>692</v>
      </c>
      <c r="J415" s="8" t="s">
        <v>24</v>
      </c>
      <c r="K415" s="8" t="s">
        <v>25</v>
      </c>
      <c r="L415" s="8">
        <f>IF(K415="","",VLOOKUP(K415,'PLAN SUPORTE'!$H$2:$I$4,2,0))</f>
        <v>15</v>
      </c>
      <c r="M415" s="10"/>
      <c r="N415" s="10">
        <v>45022</v>
      </c>
      <c r="O415" s="9" t="str">
        <f t="shared" si="73"/>
        <v>Em Andamento</v>
      </c>
      <c r="P415" s="10">
        <f t="shared" si="74"/>
        <v>45006</v>
      </c>
      <c r="Q415" s="6" t="str">
        <f t="shared" ca="1" si="75"/>
        <v>Prazo Vencido</v>
      </c>
      <c r="R415" s="8" t="str">
        <f t="shared" si="76"/>
        <v/>
      </c>
    </row>
    <row r="416" spans="1:18" ht="13">
      <c r="A416" s="8" t="s">
        <v>1033</v>
      </c>
      <c r="B416" s="10">
        <v>44992</v>
      </c>
      <c r="C416" s="10">
        <v>44992</v>
      </c>
      <c r="D416" s="8" t="s">
        <v>924</v>
      </c>
      <c r="E416" s="8" t="s">
        <v>985</v>
      </c>
      <c r="F416" s="8" t="s">
        <v>835</v>
      </c>
      <c r="G416" s="6" t="e">
        <f>IF(F416="","",VLOOKUP(F416,'PLAN SUPORTE'!A:B,2,0))</f>
        <v>#N/A</v>
      </c>
      <c r="H416" s="7" t="s">
        <v>686</v>
      </c>
      <c r="I416" s="8" t="s">
        <v>682</v>
      </c>
      <c r="J416" s="8" t="s">
        <v>24</v>
      </c>
      <c r="K416" s="8" t="s">
        <v>25</v>
      </c>
      <c r="L416" s="8">
        <f>IF(K416="","",VLOOKUP(K416,'PLAN SUPORTE'!$H$2:$I$4,2,0))</f>
        <v>15</v>
      </c>
      <c r="M416" s="10">
        <v>44995</v>
      </c>
      <c r="N416" s="10">
        <v>45009</v>
      </c>
      <c r="O416" s="9" t="str">
        <f t="shared" si="73"/>
        <v>Dentro do Prazo</v>
      </c>
      <c r="P416" s="10">
        <f t="shared" si="74"/>
        <v>45007</v>
      </c>
      <c r="Q416" s="6" t="str">
        <f t="shared" ca="1" si="75"/>
        <v>Prazo Vencido</v>
      </c>
      <c r="R416" s="8">
        <f t="shared" si="76"/>
        <v>3</v>
      </c>
    </row>
    <row r="417" spans="1:18" ht="13">
      <c r="A417" s="8" t="s">
        <v>1034</v>
      </c>
      <c r="B417" s="10">
        <v>44992</v>
      </c>
      <c r="C417" s="10">
        <v>44992</v>
      </c>
      <c r="D417" s="8" t="s">
        <v>771</v>
      </c>
      <c r="E417" s="8" t="s">
        <v>838</v>
      </c>
      <c r="F417" s="8" t="s">
        <v>699</v>
      </c>
      <c r="G417" s="6" t="e">
        <f>IF(F417="","",VLOOKUP(F417,'PLAN SUPORTE'!A:B,2,0))</f>
        <v>#N/A</v>
      </c>
      <c r="H417" s="7" t="s">
        <v>686</v>
      </c>
      <c r="I417" s="8" t="s">
        <v>682</v>
      </c>
      <c r="J417" s="8" t="s">
        <v>24</v>
      </c>
      <c r="K417" s="8" t="s">
        <v>25</v>
      </c>
      <c r="L417" s="8">
        <f>IF(K417="","",VLOOKUP(K417,'PLAN SUPORTE'!$H$2:$I$4,2,0))</f>
        <v>15</v>
      </c>
      <c r="M417" s="10">
        <v>44995</v>
      </c>
      <c r="N417" s="10">
        <v>45009</v>
      </c>
      <c r="O417" s="9" t="str">
        <f t="shared" si="73"/>
        <v>Dentro do Prazo</v>
      </c>
      <c r="P417" s="10">
        <f t="shared" si="74"/>
        <v>45007</v>
      </c>
      <c r="Q417" s="6" t="str">
        <f t="shared" ca="1" si="75"/>
        <v>Prazo Vencido</v>
      </c>
      <c r="R417" s="8">
        <f t="shared" si="76"/>
        <v>3</v>
      </c>
    </row>
    <row r="418" spans="1:18" ht="13">
      <c r="A418" s="8" t="s">
        <v>1035</v>
      </c>
      <c r="B418" s="10">
        <v>44992</v>
      </c>
      <c r="C418" s="10">
        <v>44992</v>
      </c>
      <c r="D418" s="8" t="s">
        <v>771</v>
      </c>
      <c r="E418" s="8" t="s">
        <v>788</v>
      </c>
      <c r="F418" s="8" t="s">
        <v>770</v>
      </c>
      <c r="G418" s="6" t="e">
        <f>IF(F418="","",VLOOKUP(F418,'PLAN SUPORTE'!A:B,2,0))</f>
        <v>#N/A</v>
      </c>
      <c r="H418" s="7" t="s">
        <v>686</v>
      </c>
      <c r="I418" s="8" t="s">
        <v>682</v>
      </c>
      <c r="J418" s="8" t="s">
        <v>24</v>
      </c>
      <c r="K418" s="8" t="s">
        <v>25</v>
      </c>
      <c r="L418" s="8">
        <f>IF(K418="","",VLOOKUP(K418,'PLAN SUPORTE'!$H$2:$I$4,2,0))</f>
        <v>15</v>
      </c>
      <c r="M418" s="10">
        <v>44995</v>
      </c>
      <c r="N418" s="10">
        <v>45009</v>
      </c>
      <c r="O418" s="9" t="str">
        <f t="shared" si="73"/>
        <v>Dentro do Prazo</v>
      </c>
      <c r="P418" s="10">
        <f t="shared" si="74"/>
        <v>45007</v>
      </c>
      <c r="Q418" s="6" t="str">
        <f t="shared" ca="1" si="75"/>
        <v>Prazo Vencido</v>
      </c>
      <c r="R418" s="8">
        <f t="shared" si="76"/>
        <v>3</v>
      </c>
    </row>
    <row r="419" spans="1:18" ht="13">
      <c r="A419" s="8" t="s">
        <v>1036</v>
      </c>
      <c r="B419" s="10">
        <v>44992</v>
      </c>
      <c r="C419" s="10">
        <v>44992</v>
      </c>
      <c r="D419" s="8" t="s">
        <v>771</v>
      </c>
      <c r="E419" s="8" t="s">
        <v>828</v>
      </c>
      <c r="F419" s="8" t="s">
        <v>701</v>
      </c>
      <c r="G419" s="6" t="e">
        <f>IF(F419="","",VLOOKUP(F419,'PLAN SUPORTE'!A:B,2,0))</f>
        <v>#N/A</v>
      </c>
      <c r="H419" s="7" t="s">
        <v>686</v>
      </c>
      <c r="I419" s="8" t="s">
        <v>682</v>
      </c>
      <c r="J419" s="8" t="s">
        <v>24</v>
      </c>
      <c r="K419" s="8" t="s">
        <v>25</v>
      </c>
      <c r="L419" s="8">
        <f>IF(K419="","",VLOOKUP(K419,'PLAN SUPORTE'!$H$2:$I$4,2,0))</f>
        <v>15</v>
      </c>
      <c r="M419" s="10">
        <v>44995</v>
      </c>
      <c r="N419" s="10">
        <v>45009</v>
      </c>
      <c r="O419" s="9" t="str">
        <f t="shared" si="73"/>
        <v>Dentro do Prazo</v>
      </c>
      <c r="P419" s="10">
        <f t="shared" si="74"/>
        <v>45007</v>
      </c>
      <c r="Q419" s="6" t="str">
        <f t="shared" ca="1" si="75"/>
        <v>Prazo Vencido</v>
      </c>
      <c r="R419" s="8">
        <f t="shared" si="76"/>
        <v>3</v>
      </c>
    </row>
    <row r="420" spans="1:18" ht="13">
      <c r="A420" s="8" t="s">
        <v>1037</v>
      </c>
      <c r="B420" s="10">
        <v>44993</v>
      </c>
      <c r="C420" s="10">
        <v>44993</v>
      </c>
      <c r="D420" s="8" t="s">
        <v>771</v>
      </c>
      <c r="E420" s="8" t="s">
        <v>778</v>
      </c>
      <c r="F420" s="8" t="s">
        <v>759</v>
      </c>
      <c r="G420" s="6" t="e">
        <f>IF(F420="","",VLOOKUP(F420,'PLAN SUPORTE'!A:B,2,0))</f>
        <v>#N/A</v>
      </c>
      <c r="H420" s="7" t="s">
        <v>686</v>
      </c>
      <c r="I420" s="8" t="s">
        <v>692</v>
      </c>
      <c r="J420" s="8" t="s">
        <v>24</v>
      </c>
      <c r="K420" s="8" t="s">
        <v>25</v>
      </c>
      <c r="L420" s="8">
        <f>IF(K420="","",VLOOKUP(K420,'PLAN SUPORTE'!$H$2:$I$4,2,0))</f>
        <v>15</v>
      </c>
      <c r="M420" s="10">
        <v>45007</v>
      </c>
      <c r="N420" s="10">
        <v>45022</v>
      </c>
      <c r="O420" s="9" t="str">
        <f t="shared" si="73"/>
        <v>Dentro do Prazo</v>
      </c>
      <c r="P420" s="10">
        <f t="shared" si="74"/>
        <v>45008</v>
      </c>
      <c r="Q420" s="6" t="str">
        <f t="shared" ca="1" si="75"/>
        <v>Prazo Vencido</v>
      </c>
      <c r="R420" s="8">
        <f t="shared" si="76"/>
        <v>14</v>
      </c>
    </row>
    <row r="421" spans="1:18" ht="13">
      <c r="A421" s="8" t="s">
        <v>1038</v>
      </c>
      <c r="B421" s="10">
        <v>44993</v>
      </c>
      <c r="C421" s="10">
        <v>44993</v>
      </c>
      <c r="D421" s="8" t="s">
        <v>771</v>
      </c>
      <c r="E421" s="8" t="s">
        <v>828</v>
      </c>
      <c r="F421" s="8" t="s">
        <v>701</v>
      </c>
      <c r="G421" s="6" t="e">
        <f>IF(F421="","",VLOOKUP(F421,'PLAN SUPORTE'!A:B,2,0))</f>
        <v>#N/A</v>
      </c>
      <c r="H421" s="7" t="s">
        <v>686</v>
      </c>
      <c r="I421" s="8" t="s">
        <v>682</v>
      </c>
      <c r="J421" s="8" t="s">
        <v>24</v>
      </c>
      <c r="K421" s="8" t="s">
        <v>25</v>
      </c>
      <c r="L421" s="8">
        <f>IF(K421="","",VLOOKUP(K421,'PLAN SUPORTE'!$H$2:$I$4,2,0))</f>
        <v>15</v>
      </c>
      <c r="M421" s="10">
        <v>45007</v>
      </c>
      <c r="N421" s="10">
        <v>45022</v>
      </c>
      <c r="O421" s="9" t="str">
        <f t="shared" si="73"/>
        <v>Dentro do Prazo</v>
      </c>
      <c r="P421" s="10">
        <f t="shared" si="74"/>
        <v>45008</v>
      </c>
      <c r="Q421" s="6" t="str">
        <f t="shared" ca="1" si="75"/>
        <v>Prazo Vencido</v>
      </c>
      <c r="R421" s="8">
        <f t="shared" si="76"/>
        <v>14</v>
      </c>
    </row>
    <row r="422" spans="1:18" ht="13">
      <c r="A422" s="8" t="s">
        <v>1039</v>
      </c>
      <c r="B422" s="10">
        <v>44994</v>
      </c>
      <c r="C422" s="10">
        <v>44994</v>
      </c>
      <c r="D422" s="8" t="s">
        <v>957</v>
      </c>
      <c r="E422" s="8" t="s">
        <v>1040</v>
      </c>
      <c r="F422" s="8" t="s">
        <v>748</v>
      </c>
      <c r="G422" s="6" t="e">
        <f>IF(F422="","",VLOOKUP(F422,'PLAN SUPORTE'!A:B,2,0))</f>
        <v>#N/A</v>
      </c>
      <c r="H422" s="7" t="s">
        <v>686</v>
      </c>
      <c r="I422" s="8" t="s">
        <v>692</v>
      </c>
      <c r="J422" s="8" t="s">
        <v>24</v>
      </c>
      <c r="K422" s="8" t="s">
        <v>25</v>
      </c>
      <c r="L422" s="8">
        <f>IF(K422="","",VLOOKUP(K422,'PLAN SUPORTE'!$H$2:$I$4,2,0))</f>
        <v>15</v>
      </c>
      <c r="M422" s="10">
        <v>45002</v>
      </c>
      <c r="N422" s="10">
        <v>45009</v>
      </c>
      <c r="O422" s="9" t="str">
        <f t="shared" si="73"/>
        <v>Dentro do Prazo</v>
      </c>
      <c r="P422" s="10">
        <f t="shared" si="74"/>
        <v>45009</v>
      </c>
      <c r="Q422" s="6" t="str">
        <f t="shared" ca="1" si="75"/>
        <v>Prazo Vencido</v>
      </c>
      <c r="R422" s="8">
        <f t="shared" si="76"/>
        <v>8</v>
      </c>
    </row>
    <row r="423" spans="1:18" ht="13">
      <c r="A423" s="8" t="s">
        <v>1041</v>
      </c>
      <c r="B423" s="10">
        <v>44995</v>
      </c>
      <c r="C423" s="10">
        <v>44995</v>
      </c>
      <c r="D423" s="8" t="s">
        <v>918</v>
      </c>
      <c r="E423" s="8" t="s">
        <v>832</v>
      </c>
      <c r="F423" s="8" t="s">
        <v>770</v>
      </c>
      <c r="G423" s="6" t="e">
        <f>IF(F423="","",VLOOKUP(F423,'PLAN SUPORTE'!A:B,2,0))</f>
        <v>#N/A</v>
      </c>
      <c r="H423" s="7" t="s">
        <v>686</v>
      </c>
      <c r="I423" s="8" t="s">
        <v>682</v>
      </c>
      <c r="J423" s="8" t="s">
        <v>24</v>
      </c>
      <c r="K423" s="8" t="s">
        <v>25</v>
      </c>
      <c r="L423" s="8">
        <f>IF(K423="","",VLOOKUP(K423,'PLAN SUPORTE'!$H$2:$I$4,2,0))</f>
        <v>15</v>
      </c>
      <c r="M423" s="10">
        <v>45005</v>
      </c>
      <c r="N423" s="10">
        <v>45022</v>
      </c>
      <c r="O423" s="9" t="str">
        <f t="shared" si="73"/>
        <v>Dentro do Prazo</v>
      </c>
      <c r="P423" s="10">
        <f t="shared" si="74"/>
        <v>45010</v>
      </c>
      <c r="Q423" s="6" t="str">
        <f t="shared" ca="1" si="75"/>
        <v>Prazo Vencido</v>
      </c>
      <c r="R423" s="8">
        <f t="shared" si="76"/>
        <v>10</v>
      </c>
    </row>
    <row r="424" spans="1:18" ht="13">
      <c r="A424" s="8" t="s">
        <v>1042</v>
      </c>
      <c r="B424" s="10">
        <v>44995</v>
      </c>
      <c r="C424" s="10">
        <v>44995</v>
      </c>
      <c r="D424" s="8" t="s">
        <v>918</v>
      </c>
      <c r="E424" s="8" t="s">
        <v>832</v>
      </c>
      <c r="F424" s="8" t="s">
        <v>770</v>
      </c>
      <c r="G424" s="6" t="e">
        <f>IF(F424="","",VLOOKUP(F424,'PLAN SUPORTE'!A:B,2,0))</f>
        <v>#N/A</v>
      </c>
      <c r="H424" s="7" t="s">
        <v>686</v>
      </c>
      <c r="I424" s="8" t="s">
        <v>682</v>
      </c>
      <c r="J424" s="8" t="s">
        <v>24</v>
      </c>
      <c r="K424" s="8" t="s">
        <v>25</v>
      </c>
      <c r="L424" s="8">
        <f>IF(K424="","",VLOOKUP(K424,'PLAN SUPORTE'!$H$2:$I$4,2,0))</f>
        <v>15</v>
      </c>
      <c r="M424" s="10">
        <v>45005</v>
      </c>
      <c r="N424" s="10">
        <v>45022</v>
      </c>
      <c r="O424" s="9" t="str">
        <f t="shared" si="73"/>
        <v>Dentro do Prazo</v>
      </c>
      <c r="P424" s="10">
        <f t="shared" si="74"/>
        <v>45010</v>
      </c>
      <c r="Q424" s="6" t="str">
        <f t="shared" ca="1" si="75"/>
        <v>Prazo Vencido</v>
      </c>
      <c r="R424" s="8">
        <f t="shared" si="76"/>
        <v>10</v>
      </c>
    </row>
    <row r="425" spans="1:18" ht="13">
      <c r="A425" s="8" t="s">
        <v>1043</v>
      </c>
      <c r="B425" s="10">
        <v>44996</v>
      </c>
      <c r="C425" s="10">
        <v>44996</v>
      </c>
      <c r="D425" s="8" t="s">
        <v>924</v>
      </c>
      <c r="E425" s="8" t="s">
        <v>1044</v>
      </c>
      <c r="F425" s="8" t="s">
        <v>699</v>
      </c>
      <c r="G425" s="6" t="e">
        <f>IF(F425="","",VLOOKUP(F425,'PLAN SUPORTE'!A:B,2,0))</f>
        <v>#N/A</v>
      </c>
      <c r="H425" s="7" t="s">
        <v>686</v>
      </c>
      <c r="I425" s="8" t="s">
        <v>682</v>
      </c>
      <c r="J425" s="8" t="s">
        <v>24</v>
      </c>
      <c r="K425" s="8" t="s">
        <v>25</v>
      </c>
      <c r="L425" s="8">
        <f>IF(K425="","",VLOOKUP(K425,'PLAN SUPORTE'!$H$2:$I$4,2,0))</f>
        <v>15</v>
      </c>
      <c r="M425" s="10">
        <v>45000</v>
      </c>
      <c r="N425" s="10">
        <v>45022</v>
      </c>
      <c r="O425" s="9" t="str">
        <f t="shared" si="73"/>
        <v>Dentro do Prazo</v>
      </c>
      <c r="P425" s="10">
        <f t="shared" si="74"/>
        <v>45011</v>
      </c>
      <c r="Q425" s="6" t="str">
        <f t="shared" ca="1" si="75"/>
        <v>Prazo Vencido</v>
      </c>
      <c r="R425" s="8">
        <f t="shared" si="76"/>
        <v>4</v>
      </c>
    </row>
    <row r="426" spans="1:18" ht="13">
      <c r="A426" s="8" t="s">
        <v>1045</v>
      </c>
      <c r="B426" s="10">
        <v>44998</v>
      </c>
      <c r="C426" s="10">
        <v>44998</v>
      </c>
      <c r="D426" s="8" t="s">
        <v>771</v>
      </c>
      <c r="E426" s="8" t="s">
        <v>828</v>
      </c>
      <c r="F426" s="8" t="s">
        <v>701</v>
      </c>
      <c r="G426" s="6" t="e">
        <f>IF(F426="","",VLOOKUP(F426,'PLAN SUPORTE'!A:B,2,0))</f>
        <v>#N/A</v>
      </c>
      <c r="H426" s="7" t="s">
        <v>686</v>
      </c>
      <c r="I426" s="8" t="s">
        <v>682</v>
      </c>
      <c r="J426" s="8" t="s">
        <v>24</v>
      </c>
      <c r="K426" s="8" t="s">
        <v>25</v>
      </c>
      <c r="L426" s="8">
        <f>IF(K426="","",VLOOKUP(K426,'PLAN SUPORTE'!$H$2:$I$4,2,0))</f>
        <v>15</v>
      </c>
      <c r="M426" s="10">
        <v>45015</v>
      </c>
      <c r="N426" s="10">
        <v>45022</v>
      </c>
      <c r="O426" s="9" t="str">
        <f t="shared" si="73"/>
        <v>Fora do Prazo</v>
      </c>
      <c r="P426" s="10">
        <f t="shared" si="74"/>
        <v>45013</v>
      </c>
      <c r="Q426" s="6" t="str">
        <f t="shared" ca="1" si="75"/>
        <v>Prazo Vencido</v>
      </c>
      <c r="R426" s="8">
        <f t="shared" si="76"/>
        <v>17</v>
      </c>
    </row>
    <row r="427" spans="1:18" ht="13">
      <c r="A427" s="8" t="s">
        <v>1046</v>
      </c>
      <c r="B427" s="10">
        <v>44998</v>
      </c>
      <c r="C427" s="10">
        <v>44998</v>
      </c>
      <c r="D427" s="8" t="s">
        <v>771</v>
      </c>
      <c r="E427" s="8" t="s">
        <v>779</v>
      </c>
      <c r="F427" s="8" t="s">
        <v>761</v>
      </c>
      <c r="G427" s="6" t="e">
        <f>IF(F427="","",VLOOKUP(F427,'PLAN SUPORTE'!A:B,2,0))</f>
        <v>#N/A</v>
      </c>
      <c r="H427" s="7" t="s">
        <v>686</v>
      </c>
      <c r="I427" s="8" t="s">
        <v>692</v>
      </c>
      <c r="J427" s="8" t="s">
        <v>24</v>
      </c>
      <c r="K427" s="8" t="s">
        <v>25</v>
      </c>
      <c r="L427" s="8">
        <f>IF(K427="","",VLOOKUP(K427,'PLAN SUPORTE'!$H$2:$I$4,2,0))</f>
        <v>15</v>
      </c>
      <c r="M427" s="10">
        <v>45001</v>
      </c>
      <c r="N427" s="10">
        <v>45009</v>
      </c>
      <c r="O427" s="9" t="str">
        <f t="shared" si="73"/>
        <v>Dentro do Prazo</v>
      </c>
      <c r="P427" s="10">
        <f t="shared" si="74"/>
        <v>45013</v>
      </c>
      <c r="Q427" s="6" t="str">
        <f t="shared" ca="1" si="75"/>
        <v>Prazo Vencido</v>
      </c>
      <c r="R427" s="8">
        <f t="shared" si="76"/>
        <v>3</v>
      </c>
    </row>
    <row r="428" spans="1:18" ht="13">
      <c r="A428" s="8" t="s">
        <v>1047</v>
      </c>
      <c r="B428" s="10">
        <v>45000</v>
      </c>
      <c r="C428" s="10">
        <v>45000</v>
      </c>
      <c r="D428" s="8" t="s">
        <v>771</v>
      </c>
      <c r="E428" s="8" t="s">
        <v>838</v>
      </c>
      <c r="F428" s="8" t="s">
        <v>699</v>
      </c>
      <c r="G428" s="6" t="e">
        <f>IF(F428="","",VLOOKUP(F428,'PLAN SUPORTE'!A:B,2,0))</f>
        <v>#N/A</v>
      </c>
      <c r="H428" s="7" t="s">
        <v>686</v>
      </c>
      <c r="I428" s="8" t="s">
        <v>682</v>
      </c>
      <c r="J428" s="8" t="s">
        <v>24</v>
      </c>
      <c r="K428" s="8" t="s">
        <v>25</v>
      </c>
      <c r="L428" s="8">
        <f>IF(K428="","",VLOOKUP(K428,'PLAN SUPORTE'!$H$2:$I$4,2,0))</f>
        <v>15</v>
      </c>
      <c r="M428" s="10">
        <v>45015</v>
      </c>
      <c r="N428" s="10">
        <v>45022</v>
      </c>
      <c r="O428" s="9" t="str">
        <f t="shared" si="73"/>
        <v>Dentro do Prazo</v>
      </c>
      <c r="P428" s="10">
        <f t="shared" si="74"/>
        <v>45015</v>
      </c>
      <c r="Q428" s="6" t="str">
        <f t="shared" ca="1" si="75"/>
        <v>Prazo Vencido</v>
      </c>
      <c r="R428" s="8">
        <f t="shared" si="76"/>
        <v>15</v>
      </c>
    </row>
    <row r="429" spans="1:18" ht="13">
      <c r="A429" s="8" t="s">
        <v>1048</v>
      </c>
      <c r="B429" s="10">
        <v>45001</v>
      </c>
      <c r="C429" s="10">
        <v>45001</v>
      </c>
      <c r="D429" s="8" t="s">
        <v>992</v>
      </c>
      <c r="E429" s="8" t="s">
        <v>1049</v>
      </c>
      <c r="F429" s="8" t="s">
        <v>825</v>
      </c>
      <c r="G429" s="6" t="e">
        <f>IF(F429="","",VLOOKUP(F429,'PLAN SUPORTE'!A:B,2,0))</f>
        <v>#N/A</v>
      </c>
      <c r="H429" s="7" t="s">
        <v>686</v>
      </c>
      <c r="I429" s="8" t="s">
        <v>692</v>
      </c>
      <c r="J429" s="8" t="s">
        <v>24</v>
      </c>
      <c r="K429" s="8" t="s">
        <v>25</v>
      </c>
      <c r="L429" s="8">
        <f>IF(K429="","",VLOOKUP(K429,'PLAN SUPORTE'!$H$2:$I$4,2,0))</f>
        <v>15</v>
      </c>
      <c r="M429" s="10">
        <v>45041</v>
      </c>
      <c r="N429" s="10">
        <v>45051</v>
      </c>
      <c r="O429" s="9" t="str">
        <f t="shared" si="73"/>
        <v>Fora do Prazo</v>
      </c>
      <c r="P429" s="10">
        <f t="shared" si="74"/>
        <v>45016</v>
      </c>
      <c r="Q429" s="6" t="str">
        <f t="shared" ca="1" si="75"/>
        <v>Prazo Vencido</v>
      </c>
      <c r="R429" s="8">
        <f t="shared" si="76"/>
        <v>40</v>
      </c>
    </row>
    <row r="430" spans="1:18" ht="13">
      <c r="A430" s="8" t="s">
        <v>1050</v>
      </c>
      <c r="B430" s="10">
        <v>45003</v>
      </c>
      <c r="C430" s="10">
        <v>45003</v>
      </c>
      <c r="D430" s="8" t="s">
        <v>771</v>
      </c>
      <c r="E430" s="8" t="s">
        <v>778</v>
      </c>
      <c r="F430" s="8" t="s">
        <v>759</v>
      </c>
      <c r="G430" s="6" t="e">
        <f>IF(F430="","",VLOOKUP(F430,'PLAN SUPORTE'!A:B,2,0))</f>
        <v>#N/A</v>
      </c>
      <c r="H430" s="7" t="s">
        <v>686</v>
      </c>
      <c r="I430" s="8" t="s">
        <v>692</v>
      </c>
      <c r="J430" s="8" t="s">
        <v>24</v>
      </c>
      <c r="K430" s="8" t="s">
        <v>25</v>
      </c>
      <c r="L430" s="8">
        <f>IF(K430="","",VLOOKUP(K430,'PLAN SUPORTE'!$H$2:$I$4,2,0))</f>
        <v>15</v>
      </c>
      <c r="M430" s="10">
        <v>45007</v>
      </c>
      <c r="N430" s="10">
        <v>45022</v>
      </c>
      <c r="O430" s="9" t="str">
        <f t="shared" si="73"/>
        <v>Dentro do Prazo</v>
      </c>
      <c r="P430" s="10">
        <f t="shared" si="74"/>
        <v>45018</v>
      </c>
      <c r="Q430" s="6" t="str">
        <f t="shared" ca="1" si="75"/>
        <v>Prazo Vencido</v>
      </c>
      <c r="R430" s="8">
        <f t="shared" si="76"/>
        <v>4</v>
      </c>
    </row>
    <row r="431" spans="1:18" ht="13">
      <c r="A431" s="8" t="s">
        <v>1051</v>
      </c>
      <c r="B431" s="10">
        <v>45006</v>
      </c>
      <c r="C431" s="10">
        <v>45006</v>
      </c>
      <c r="D431" s="8" t="s">
        <v>957</v>
      </c>
      <c r="E431" s="8" t="s">
        <v>1052</v>
      </c>
      <c r="F431" s="8" t="s">
        <v>759</v>
      </c>
      <c r="G431" s="6" t="e">
        <f>IF(F431="","",VLOOKUP(F431,'PLAN SUPORTE'!A:B,2,0))</f>
        <v>#N/A</v>
      </c>
      <c r="H431" s="7" t="s">
        <v>686</v>
      </c>
      <c r="I431" s="8" t="s">
        <v>692</v>
      </c>
      <c r="J431" s="8" t="s">
        <v>24</v>
      </c>
      <c r="K431" s="8" t="s">
        <v>25</v>
      </c>
      <c r="L431" s="8">
        <f>IF(K431="","",VLOOKUP(K431,'PLAN SUPORTE'!$H$2:$I$4,2,0))</f>
        <v>15</v>
      </c>
      <c r="M431" s="10">
        <v>45054</v>
      </c>
      <c r="N431" s="10">
        <v>45065</v>
      </c>
      <c r="O431" s="9" t="str">
        <f t="shared" si="73"/>
        <v>Fora do Prazo</v>
      </c>
      <c r="P431" s="10">
        <f t="shared" si="74"/>
        <v>45021</v>
      </c>
      <c r="Q431" s="6" t="str">
        <f t="shared" ca="1" si="75"/>
        <v>Prazo Vencido</v>
      </c>
      <c r="R431" s="8">
        <f t="shared" si="76"/>
        <v>48</v>
      </c>
    </row>
    <row r="432" spans="1:18" ht="13">
      <c r="A432" s="8" t="s">
        <v>1053</v>
      </c>
      <c r="B432" s="10">
        <v>45008</v>
      </c>
      <c r="C432" s="10">
        <v>45008</v>
      </c>
      <c r="D432" s="8" t="s">
        <v>771</v>
      </c>
      <c r="E432" s="8" t="s">
        <v>772</v>
      </c>
      <c r="F432" s="8" t="s">
        <v>748</v>
      </c>
      <c r="G432" s="6" t="e">
        <f>IF(F432="","",VLOOKUP(F432,'PLAN SUPORTE'!A:B,2,0))</f>
        <v>#N/A</v>
      </c>
      <c r="H432" s="7" t="s">
        <v>686</v>
      </c>
      <c r="I432" s="8" t="s">
        <v>692</v>
      </c>
      <c r="J432" s="8" t="s">
        <v>24</v>
      </c>
      <c r="K432" s="8" t="s">
        <v>25</v>
      </c>
      <c r="L432" s="8">
        <f>IF(K432="","",VLOOKUP(K432,'PLAN SUPORTE'!$H$2:$I$4,2,0))</f>
        <v>15</v>
      </c>
      <c r="M432" s="10">
        <v>45012</v>
      </c>
      <c r="N432" s="10">
        <v>44991</v>
      </c>
      <c r="O432" s="9" t="str">
        <f t="shared" si="73"/>
        <v>Dentro do Prazo</v>
      </c>
      <c r="P432" s="10">
        <f t="shared" si="74"/>
        <v>45023</v>
      </c>
      <c r="Q432" s="6" t="str">
        <f t="shared" ca="1" si="75"/>
        <v>Prazo Vencido</v>
      </c>
      <c r="R432" s="8">
        <f t="shared" si="76"/>
        <v>4</v>
      </c>
    </row>
    <row r="433" spans="1:18" ht="13">
      <c r="A433" s="8" t="s">
        <v>1054</v>
      </c>
      <c r="B433" s="10">
        <v>45007</v>
      </c>
      <c r="C433" s="10">
        <v>45007</v>
      </c>
      <c r="D433" s="8" t="s">
        <v>771</v>
      </c>
      <c r="E433" s="8" t="s">
        <v>772</v>
      </c>
      <c r="F433" s="8" t="s">
        <v>748</v>
      </c>
      <c r="G433" s="6" t="e">
        <f>IF(F433="","",VLOOKUP(F433,'PLAN SUPORTE'!A:B,2,0))</f>
        <v>#N/A</v>
      </c>
      <c r="H433" s="7" t="s">
        <v>686</v>
      </c>
      <c r="I433" s="8" t="s">
        <v>692</v>
      </c>
      <c r="J433" s="8" t="s">
        <v>24</v>
      </c>
      <c r="K433" s="8" t="s">
        <v>25</v>
      </c>
      <c r="L433" s="8">
        <f>IF(K433="","",VLOOKUP(K433,'PLAN SUPORTE'!$H$2:$I$4,2,0))</f>
        <v>15</v>
      </c>
      <c r="M433" s="10">
        <v>45014</v>
      </c>
      <c r="N433" s="10">
        <v>45022</v>
      </c>
      <c r="O433" s="9" t="str">
        <f t="shared" si="73"/>
        <v>Dentro do Prazo</v>
      </c>
      <c r="P433" s="10">
        <f t="shared" si="74"/>
        <v>45022</v>
      </c>
      <c r="Q433" s="6" t="str">
        <f t="shared" ca="1" si="75"/>
        <v>Prazo Vencido</v>
      </c>
      <c r="R433" s="8">
        <f t="shared" si="76"/>
        <v>7</v>
      </c>
    </row>
    <row r="434" spans="1:18" ht="13">
      <c r="A434" s="8" t="s">
        <v>1055</v>
      </c>
      <c r="B434" s="10">
        <v>45008</v>
      </c>
      <c r="C434" s="10">
        <v>45008</v>
      </c>
      <c r="D434" s="8" t="s">
        <v>746</v>
      </c>
      <c r="E434" s="8" t="s">
        <v>739</v>
      </c>
      <c r="F434" s="8" t="s">
        <v>759</v>
      </c>
      <c r="G434" s="6" t="e">
        <f>IF(F434="","",VLOOKUP(F434,'PLAN SUPORTE'!A:B,2,0))</f>
        <v>#N/A</v>
      </c>
      <c r="H434" s="7" t="s">
        <v>686</v>
      </c>
      <c r="I434" s="8" t="s">
        <v>692</v>
      </c>
      <c r="J434" s="8" t="s">
        <v>24</v>
      </c>
      <c r="K434" s="8" t="s">
        <v>25</v>
      </c>
      <c r="L434" s="8">
        <f>IF(K434="","",VLOOKUP(K434,'PLAN SUPORTE'!$H$2:$I$4,2,0))</f>
        <v>15</v>
      </c>
      <c r="M434" s="10">
        <v>45012</v>
      </c>
      <c r="N434" s="10">
        <v>44991</v>
      </c>
      <c r="O434" s="9" t="str">
        <f t="shared" si="73"/>
        <v>Dentro do Prazo</v>
      </c>
      <c r="P434" s="10">
        <f t="shared" si="74"/>
        <v>45023</v>
      </c>
      <c r="Q434" s="6" t="str">
        <f t="shared" ca="1" si="75"/>
        <v>Prazo Vencido</v>
      </c>
      <c r="R434" s="8">
        <f t="shared" si="76"/>
        <v>4</v>
      </c>
    </row>
    <row r="435" spans="1:18" ht="13">
      <c r="A435" s="8" t="s">
        <v>1056</v>
      </c>
      <c r="B435" s="10">
        <v>45008</v>
      </c>
      <c r="C435" s="10">
        <v>45008</v>
      </c>
      <c r="D435" s="8" t="s">
        <v>746</v>
      </c>
      <c r="E435" s="8" t="s">
        <v>739</v>
      </c>
      <c r="F435" s="8" t="s">
        <v>759</v>
      </c>
      <c r="G435" s="6" t="e">
        <f>IF(F435="","",VLOOKUP(F435,'PLAN SUPORTE'!A:B,2,0))</f>
        <v>#N/A</v>
      </c>
      <c r="H435" s="7" t="s">
        <v>686</v>
      </c>
      <c r="I435" s="8" t="s">
        <v>692</v>
      </c>
      <c r="J435" s="8" t="s">
        <v>24</v>
      </c>
      <c r="K435" s="8" t="s">
        <v>25</v>
      </c>
      <c r="L435" s="8">
        <f>IF(K435="","",VLOOKUP(K435,'PLAN SUPORTE'!$H$2:$I$4,2,0))</f>
        <v>15</v>
      </c>
      <c r="M435" s="10">
        <v>45012</v>
      </c>
      <c r="N435" s="10">
        <v>45022</v>
      </c>
      <c r="O435" s="9" t="str">
        <f t="shared" si="73"/>
        <v>Dentro do Prazo</v>
      </c>
      <c r="P435" s="10">
        <f t="shared" si="74"/>
        <v>45023</v>
      </c>
      <c r="Q435" s="6" t="str">
        <f t="shared" ca="1" si="75"/>
        <v>Prazo Vencido</v>
      </c>
      <c r="R435" s="8">
        <f t="shared" si="76"/>
        <v>4</v>
      </c>
    </row>
    <row r="436" spans="1:18" ht="13">
      <c r="A436" s="8" t="s">
        <v>1057</v>
      </c>
      <c r="B436" s="10">
        <v>45009</v>
      </c>
      <c r="C436" s="10">
        <v>45009</v>
      </c>
      <c r="D436" s="8" t="s">
        <v>162</v>
      </c>
      <c r="E436" s="8" t="s">
        <v>733</v>
      </c>
      <c r="F436" s="8" t="s">
        <v>690</v>
      </c>
      <c r="G436" s="6" t="e">
        <f>IF(F436="","",VLOOKUP(F436,'PLAN SUPORTE'!A:B,2,0))</f>
        <v>#N/A</v>
      </c>
      <c r="H436" s="7" t="s">
        <v>686</v>
      </c>
      <c r="I436" s="8" t="s">
        <v>682</v>
      </c>
      <c r="J436" s="8" t="s">
        <v>24</v>
      </c>
      <c r="K436" s="8" t="s">
        <v>25</v>
      </c>
      <c r="L436" s="8">
        <f>IF(K436="","",VLOOKUP(K436,'PLAN SUPORTE'!$H$2:$I$4,2,0))</f>
        <v>15</v>
      </c>
      <c r="M436" s="10">
        <v>45013</v>
      </c>
      <c r="N436" s="10">
        <v>45022</v>
      </c>
      <c r="O436" s="9" t="str">
        <f t="shared" si="73"/>
        <v>Dentro do Prazo</v>
      </c>
      <c r="P436" s="10">
        <f t="shared" si="74"/>
        <v>45024</v>
      </c>
      <c r="Q436" s="6" t="str">
        <f t="shared" ca="1" si="75"/>
        <v>Prazo Vencido</v>
      </c>
      <c r="R436" s="8">
        <f t="shared" si="76"/>
        <v>4</v>
      </c>
    </row>
    <row r="437" spans="1:18" ht="13">
      <c r="A437" s="8" t="s">
        <v>1058</v>
      </c>
      <c r="B437" s="10">
        <v>45012</v>
      </c>
      <c r="C437" s="10">
        <v>45012</v>
      </c>
      <c r="D437" s="8" t="s">
        <v>746</v>
      </c>
      <c r="E437" s="8" t="s">
        <v>698</v>
      </c>
      <c r="F437" s="8" t="s">
        <v>699</v>
      </c>
      <c r="G437" s="6" t="e">
        <f>IF(F437="","",VLOOKUP(F437,'PLAN SUPORTE'!A:B,2,0))</f>
        <v>#N/A</v>
      </c>
      <c r="H437" s="7" t="s">
        <v>686</v>
      </c>
      <c r="I437" s="8" t="s">
        <v>682</v>
      </c>
      <c r="J437" s="8" t="s">
        <v>24</v>
      </c>
      <c r="K437" s="8" t="s">
        <v>25</v>
      </c>
      <c r="L437" s="8">
        <f>IF(K437="","",VLOOKUP(K437,'PLAN SUPORTE'!$H$2:$I$4,2,0))</f>
        <v>15</v>
      </c>
      <c r="M437" s="10">
        <v>45051</v>
      </c>
      <c r="N437" s="10">
        <v>45058</v>
      </c>
      <c r="O437" s="9" t="str">
        <f t="shared" si="73"/>
        <v>Fora do Prazo</v>
      </c>
      <c r="P437" s="10">
        <f t="shared" si="74"/>
        <v>45027</v>
      </c>
      <c r="Q437" s="6" t="str">
        <f t="shared" ca="1" si="75"/>
        <v>Prazo Vencido</v>
      </c>
      <c r="R437" s="8">
        <f t="shared" si="76"/>
        <v>39</v>
      </c>
    </row>
    <row r="438" spans="1:18" ht="13">
      <c r="A438" s="8" t="s">
        <v>1059</v>
      </c>
      <c r="B438" s="10">
        <v>45012</v>
      </c>
      <c r="C438" s="10">
        <v>45012</v>
      </c>
      <c r="D438" s="8" t="s">
        <v>162</v>
      </c>
      <c r="E438" s="8" t="s">
        <v>1060</v>
      </c>
      <c r="F438" s="8" t="s">
        <v>759</v>
      </c>
      <c r="G438" s="6" t="e">
        <f>IF(F438="","",VLOOKUP(F438,'PLAN SUPORTE'!A:B,2,0))</f>
        <v>#N/A</v>
      </c>
      <c r="H438" s="7" t="s">
        <v>686</v>
      </c>
      <c r="I438" s="8" t="s">
        <v>692</v>
      </c>
      <c r="J438" s="8" t="s">
        <v>24</v>
      </c>
      <c r="K438" s="8" t="s">
        <v>25</v>
      </c>
      <c r="L438" s="8">
        <f>IF(K438="","",VLOOKUP(K438,'PLAN SUPORTE'!$H$2:$I$4,2,0))</f>
        <v>15</v>
      </c>
      <c r="M438" s="10">
        <v>45065</v>
      </c>
      <c r="N438" s="10">
        <v>45072</v>
      </c>
      <c r="O438" s="9" t="str">
        <f t="shared" si="73"/>
        <v>Fora do Prazo</v>
      </c>
      <c r="P438" s="10">
        <f t="shared" si="74"/>
        <v>45027</v>
      </c>
      <c r="Q438" s="6" t="str">
        <f t="shared" ca="1" si="75"/>
        <v>Prazo Vencido</v>
      </c>
      <c r="R438" s="8">
        <f t="shared" si="76"/>
        <v>53</v>
      </c>
    </row>
    <row r="439" spans="1:18" ht="13" hidden="1">
      <c r="A439" s="8" t="s">
        <v>1061</v>
      </c>
      <c r="B439" s="10">
        <v>45013</v>
      </c>
      <c r="C439" s="10">
        <v>45013</v>
      </c>
      <c r="D439" s="8" t="s">
        <v>771</v>
      </c>
      <c r="E439" s="8" t="s">
        <v>788</v>
      </c>
      <c r="F439" s="8" t="s">
        <v>770</v>
      </c>
      <c r="G439" s="6" t="e">
        <f>IF(F439="","",VLOOKUP(F439,'PLAN SUPORTE'!A:B,2,0))</f>
        <v>#N/A</v>
      </c>
      <c r="H439" s="7" t="s">
        <v>686</v>
      </c>
      <c r="I439" s="8" t="s">
        <v>682</v>
      </c>
      <c r="J439" s="8" t="s">
        <v>296</v>
      </c>
      <c r="K439" s="8" t="s">
        <v>25</v>
      </c>
      <c r="L439" s="8">
        <f>IF(K439="","",VLOOKUP(K439,'PLAN SUPORTE'!$H$2:$I$4,2,0))</f>
        <v>15</v>
      </c>
      <c r="M439" s="10">
        <v>45051</v>
      </c>
      <c r="N439" s="10">
        <v>45058</v>
      </c>
      <c r="O439" s="9" t="str">
        <f t="shared" si="73"/>
        <v>Fora do Prazo</v>
      </c>
      <c r="P439" s="10">
        <f t="shared" si="74"/>
        <v>45028</v>
      </c>
      <c r="Q439" s="6" t="str">
        <f t="shared" ca="1" si="75"/>
        <v>Prazo Vencido</v>
      </c>
      <c r="R439" s="8">
        <f t="shared" si="76"/>
        <v>38</v>
      </c>
    </row>
    <row r="440" spans="1:18" ht="13">
      <c r="A440" s="8" t="s">
        <v>1062</v>
      </c>
      <c r="B440" s="10">
        <v>45016</v>
      </c>
      <c r="C440" s="10">
        <v>45016</v>
      </c>
      <c r="D440" s="8" t="s">
        <v>771</v>
      </c>
      <c r="E440" s="8" t="s">
        <v>772</v>
      </c>
      <c r="F440" s="8" t="s">
        <v>748</v>
      </c>
      <c r="G440" s="6" t="e">
        <f>IF(F440="","",VLOOKUP(F440,'PLAN SUPORTE'!A:B,2,0))</f>
        <v>#N/A</v>
      </c>
      <c r="H440" s="7" t="s">
        <v>686</v>
      </c>
      <c r="I440" s="8" t="s">
        <v>692</v>
      </c>
      <c r="J440" s="8" t="s">
        <v>24</v>
      </c>
      <c r="K440" s="8" t="s">
        <v>25</v>
      </c>
      <c r="L440" s="8">
        <f>IF(K440="","",VLOOKUP(K440,'PLAN SUPORTE'!$H$2:$I$4,2,0))</f>
        <v>15</v>
      </c>
      <c r="M440" s="10">
        <v>45051</v>
      </c>
      <c r="N440" s="10">
        <v>45065</v>
      </c>
      <c r="O440" s="9" t="str">
        <f t="shared" si="73"/>
        <v>Fora do Prazo</v>
      </c>
      <c r="P440" s="10">
        <f t="shared" si="74"/>
        <v>45031</v>
      </c>
      <c r="Q440" s="6" t="str">
        <f t="shared" ca="1" si="75"/>
        <v>Prazo Vencido</v>
      </c>
      <c r="R440" s="8">
        <f t="shared" si="76"/>
        <v>35</v>
      </c>
    </row>
    <row r="441" spans="1:18" ht="13">
      <c r="A441" s="8" t="s">
        <v>1063</v>
      </c>
      <c r="B441" s="10">
        <v>45019</v>
      </c>
      <c r="C441" s="10">
        <v>45019</v>
      </c>
      <c r="D441" s="8" t="s">
        <v>957</v>
      </c>
      <c r="E441" s="8" t="s">
        <v>1031</v>
      </c>
      <c r="F441" s="8" t="s">
        <v>705</v>
      </c>
      <c r="G441" s="6" t="e">
        <f>IF(F441="","",VLOOKUP(F441,'PLAN SUPORTE'!A:B,2,0))</f>
        <v>#N/A</v>
      </c>
      <c r="H441" s="7" t="s">
        <v>686</v>
      </c>
      <c r="I441" s="8" t="s">
        <v>692</v>
      </c>
      <c r="J441" s="8" t="s">
        <v>24</v>
      </c>
      <c r="K441" s="8" t="s">
        <v>25</v>
      </c>
      <c r="L441" s="8">
        <f>IF(K441="","",VLOOKUP(K441,'PLAN SUPORTE'!$H$2:$I$4,2,0))</f>
        <v>15</v>
      </c>
      <c r="M441" s="10">
        <v>45065</v>
      </c>
      <c r="N441" s="10">
        <v>45072</v>
      </c>
      <c r="O441" s="9" t="str">
        <f t="shared" si="73"/>
        <v>Fora do Prazo</v>
      </c>
      <c r="P441" s="10">
        <f t="shared" si="74"/>
        <v>45034</v>
      </c>
      <c r="Q441" s="6" t="str">
        <f t="shared" ca="1" si="75"/>
        <v>Prazo Vencido</v>
      </c>
      <c r="R441" s="8">
        <f t="shared" si="76"/>
        <v>46</v>
      </c>
    </row>
    <row r="442" spans="1:18" ht="13">
      <c r="A442" s="8" t="s">
        <v>1064</v>
      </c>
      <c r="B442" s="10">
        <v>45019</v>
      </c>
      <c r="C442" s="10">
        <v>45019</v>
      </c>
      <c r="D442" s="8" t="s">
        <v>957</v>
      </c>
      <c r="E442" s="8" t="s">
        <v>1031</v>
      </c>
      <c r="F442" s="8" t="s">
        <v>705</v>
      </c>
      <c r="G442" s="6" t="e">
        <f>IF(F442="","",VLOOKUP(F442,'PLAN SUPORTE'!A:B,2,0))</f>
        <v>#N/A</v>
      </c>
      <c r="H442" s="7" t="s">
        <v>686</v>
      </c>
      <c r="I442" s="8" t="s">
        <v>692</v>
      </c>
      <c r="J442" s="8" t="s">
        <v>24</v>
      </c>
      <c r="K442" s="8" t="s">
        <v>25</v>
      </c>
      <c r="L442" s="8">
        <f>IF(K442="","",VLOOKUP(K442,'PLAN SUPORTE'!$H$2:$I$4,2,0))</f>
        <v>15</v>
      </c>
      <c r="M442" s="10">
        <v>45065</v>
      </c>
      <c r="N442" s="10">
        <v>45072</v>
      </c>
      <c r="O442" s="9" t="str">
        <f t="shared" si="73"/>
        <v>Fora do Prazo</v>
      </c>
      <c r="P442" s="10">
        <f t="shared" si="74"/>
        <v>45034</v>
      </c>
      <c r="Q442" s="6" t="str">
        <f t="shared" ca="1" si="75"/>
        <v>Prazo Vencido</v>
      </c>
      <c r="R442" s="8">
        <f t="shared" si="76"/>
        <v>46</v>
      </c>
    </row>
    <row r="443" spans="1:18" ht="13">
      <c r="A443" s="8" t="s">
        <v>1065</v>
      </c>
      <c r="B443" s="10">
        <v>45021</v>
      </c>
      <c r="C443" s="10">
        <v>45021</v>
      </c>
      <c r="D443" s="8" t="s">
        <v>746</v>
      </c>
      <c r="E443" s="8" t="s">
        <v>769</v>
      </c>
      <c r="F443" s="8" t="s">
        <v>770</v>
      </c>
      <c r="G443" s="6" t="e">
        <f>IF(F443="","",VLOOKUP(F443,'PLAN SUPORTE'!A:B,2,0))</f>
        <v>#N/A</v>
      </c>
      <c r="H443" s="7" t="s">
        <v>686</v>
      </c>
      <c r="I443" s="8" t="s">
        <v>682</v>
      </c>
      <c r="J443" s="8" t="s">
        <v>24</v>
      </c>
      <c r="K443" s="8" t="s">
        <v>25</v>
      </c>
      <c r="L443" s="8">
        <f>IF(K443="","",VLOOKUP(K443,'PLAN SUPORTE'!$H$2:$I$4,2,0))</f>
        <v>15</v>
      </c>
      <c r="M443" s="10">
        <v>45071</v>
      </c>
      <c r="N443" s="10">
        <v>45079</v>
      </c>
      <c r="O443" s="9" t="str">
        <f t="shared" si="73"/>
        <v>Fora do Prazo</v>
      </c>
      <c r="P443" s="10">
        <f t="shared" si="74"/>
        <v>45036</v>
      </c>
      <c r="Q443" s="6" t="str">
        <f t="shared" ca="1" si="75"/>
        <v>Prazo Vencido</v>
      </c>
      <c r="R443" s="8">
        <f t="shared" si="76"/>
        <v>50</v>
      </c>
    </row>
    <row r="444" spans="1:18" ht="13" hidden="1">
      <c r="A444" s="8" t="s">
        <v>1066</v>
      </c>
      <c r="B444" s="10">
        <v>45021</v>
      </c>
      <c r="C444" s="10">
        <v>45021</v>
      </c>
      <c r="D444" s="8" t="s">
        <v>771</v>
      </c>
      <c r="E444" s="8" t="s">
        <v>834</v>
      </c>
      <c r="F444" s="8" t="s">
        <v>835</v>
      </c>
      <c r="G444" s="6" t="e">
        <f>IF(F444="","",VLOOKUP(F444,'PLAN SUPORTE'!A:B,2,0))</f>
        <v>#N/A</v>
      </c>
      <c r="H444" s="7" t="s">
        <v>686</v>
      </c>
      <c r="I444" s="8" t="s">
        <v>682</v>
      </c>
      <c r="J444" s="8" t="s">
        <v>296</v>
      </c>
      <c r="K444" s="8" t="s">
        <v>25</v>
      </c>
      <c r="L444" s="8">
        <f>IF(K444="","",VLOOKUP(K444,'PLAN SUPORTE'!$H$2:$I$4,2,0))</f>
        <v>15</v>
      </c>
      <c r="M444" s="10">
        <v>45051</v>
      </c>
      <c r="N444" s="10">
        <v>45058</v>
      </c>
      <c r="O444" s="9" t="str">
        <f t="shared" si="73"/>
        <v>Fora do Prazo</v>
      </c>
      <c r="P444" s="10">
        <f t="shared" si="74"/>
        <v>45036</v>
      </c>
      <c r="Q444" s="6" t="str">
        <f t="shared" ca="1" si="75"/>
        <v>Prazo Vencido</v>
      </c>
      <c r="R444" s="8">
        <f t="shared" si="76"/>
        <v>30</v>
      </c>
    </row>
    <row r="445" spans="1:18" ht="13">
      <c r="A445" s="8" t="s">
        <v>1067</v>
      </c>
      <c r="B445" s="10">
        <v>45021</v>
      </c>
      <c r="C445" s="10">
        <v>45021</v>
      </c>
      <c r="D445" s="8" t="s">
        <v>771</v>
      </c>
      <c r="E445" s="8" t="s">
        <v>834</v>
      </c>
      <c r="F445" s="8" t="s">
        <v>835</v>
      </c>
      <c r="G445" s="6" t="e">
        <f>IF(F445="","",VLOOKUP(F445,'PLAN SUPORTE'!A:B,2,0))</f>
        <v>#N/A</v>
      </c>
      <c r="H445" s="7" t="s">
        <v>686</v>
      </c>
      <c r="I445" s="8" t="s">
        <v>682</v>
      </c>
      <c r="J445" s="8" t="s">
        <v>24</v>
      </c>
      <c r="K445" s="8" t="s">
        <v>25</v>
      </c>
      <c r="L445" s="8">
        <f>IF(K445="","",VLOOKUP(K445,'PLAN SUPORTE'!$H$2:$I$4,2,0))</f>
        <v>15</v>
      </c>
      <c r="M445" s="10">
        <v>45051</v>
      </c>
      <c r="N445" s="10">
        <v>45058</v>
      </c>
      <c r="O445" s="9" t="str">
        <f t="shared" si="73"/>
        <v>Fora do Prazo</v>
      </c>
      <c r="P445" s="10">
        <f t="shared" si="74"/>
        <v>45036</v>
      </c>
      <c r="Q445" s="6" t="str">
        <f t="shared" ca="1" si="75"/>
        <v>Prazo Vencido</v>
      </c>
      <c r="R445" s="8">
        <f t="shared" si="76"/>
        <v>30</v>
      </c>
    </row>
    <row r="446" spans="1:18" ht="13">
      <c r="A446" s="8" t="s">
        <v>1068</v>
      </c>
      <c r="B446" s="10">
        <v>45022</v>
      </c>
      <c r="C446" s="10">
        <v>45022</v>
      </c>
      <c r="D446" s="8" t="s">
        <v>746</v>
      </c>
      <c r="E446" s="8" t="s">
        <v>739</v>
      </c>
      <c r="F446" s="8" t="s">
        <v>759</v>
      </c>
      <c r="G446" s="6" t="e">
        <f>IF(F446="","",VLOOKUP(F446,'PLAN SUPORTE'!A:B,2,0))</f>
        <v>#N/A</v>
      </c>
      <c r="H446" s="7" t="s">
        <v>686</v>
      </c>
      <c r="I446" s="8" t="s">
        <v>692</v>
      </c>
      <c r="J446" s="8" t="s">
        <v>24</v>
      </c>
      <c r="K446" s="8" t="s">
        <v>25</v>
      </c>
      <c r="L446" s="8">
        <f>IF(K446="","",VLOOKUP(K446,'PLAN SUPORTE'!$H$2:$I$4,2,0))</f>
        <v>15</v>
      </c>
      <c r="M446" s="10">
        <v>45065</v>
      </c>
      <c r="N446" s="10">
        <v>45072</v>
      </c>
      <c r="O446" s="9" t="str">
        <f t="shared" si="73"/>
        <v>Fora do Prazo</v>
      </c>
      <c r="P446" s="10">
        <f t="shared" si="74"/>
        <v>45037</v>
      </c>
      <c r="Q446" s="6" t="str">
        <f t="shared" ca="1" si="75"/>
        <v>Prazo Vencido</v>
      </c>
      <c r="R446" s="8">
        <f t="shared" si="76"/>
        <v>43</v>
      </c>
    </row>
    <row r="447" spans="1:18" ht="13">
      <c r="A447" s="8" t="s">
        <v>1069</v>
      </c>
      <c r="B447" s="10">
        <v>45022</v>
      </c>
      <c r="C447" s="10">
        <v>45022</v>
      </c>
      <c r="D447" s="8" t="s">
        <v>746</v>
      </c>
      <c r="E447" s="8" t="s">
        <v>736</v>
      </c>
      <c r="F447" s="8" t="s">
        <v>705</v>
      </c>
      <c r="G447" s="6" t="e">
        <f>IF(F447="","",VLOOKUP(F447,'PLAN SUPORTE'!A:B,2,0))</f>
        <v>#N/A</v>
      </c>
      <c r="H447" s="7" t="s">
        <v>686</v>
      </c>
      <c r="I447" s="8" t="s">
        <v>692</v>
      </c>
      <c r="J447" s="8" t="s">
        <v>24</v>
      </c>
      <c r="K447" s="8" t="s">
        <v>25</v>
      </c>
      <c r="L447" s="8">
        <f>IF(K447="","",VLOOKUP(K447,'PLAN SUPORTE'!$H$2:$I$4,2,0))</f>
        <v>15</v>
      </c>
      <c r="M447" s="10">
        <v>45051</v>
      </c>
      <c r="N447" s="10">
        <v>45058</v>
      </c>
      <c r="O447" s="9" t="str">
        <f t="shared" si="73"/>
        <v>Fora do Prazo</v>
      </c>
      <c r="P447" s="10">
        <f t="shared" si="74"/>
        <v>45037</v>
      </c>
      <c r="Q447" s="6" t="str">
        <f t="shared" ca="1" si="75"/>
        <v>Prazo Vencido</v>
      </c>
      <c r="R447" s="8">
        <f t="shared" si="76"/>
        <v>29</v>
      </c>
    </row>
    <row r="448" spans="1:18" ht="13">
      <c r="A448" s="8" t="s">
        <v>1070</v>
      </c>
      <c r="B448" s="10">
        <v>45023</v>
      </c>
      <c r="C448" s="10">
        <v>45023</v>
      </c>
      <c r="D448" s="8" t="s">
        <v>746</v>
      </c>
      <c r="E448" s="8" t="s">
        <v>769</v>
      </c>
      <c r="F448" s="8" t="s">
        <v>770</v>
      </c>
      <c r="G448" s="6" t="e">
        <f>IF(F448="","",VLOOKUP(F448,'PLAN SUPORTE'!A:B,2,0))</f>
        <v>#N/A</v>
      </c>
      <c r="H448" s="7" t="s">
        <v>686</v>
      </c>
      <c r="I448" s="8" t="s">
        <v>682</v>
      </c>
      <c r="J448" s="8" t="s">
        <v>24</v>
      </c>
      <c r="K448" s="8" t="s">
        <v>25</v>
      </c>
      <c r="L448" s="8">
        <f>IF(K448="","",VLOOKUP(K448,'PLAN SUPORTE'!$H$2:$I$4,2,0))</f>
        <v>15</v>
      </c>
      <c r="M448" s="10">
        <v>45071</v>
      </c>
      <c r="N448" s="10">
        <v>45079</v>
      </c>
      <c r="O448" s="9" t="str">
        <f t="shared" si="73"/>
        <v>Fora do Prazo</v>
      </c>
      <c r="P448" s="10">
        <f t="shared" si="74"/>
        <v>45038</v>
      </c>
      <c r="Q448" s="6" t="str">
        <f t="shared" ca="1" si="75"/>
        <v>Prazo Vencido</v>
      </c>
      <c r="R448" s="8">
        <f t="shared" si="76"/>
        <v>48</v>
      </c>
    </row>
    <row r="449" spans="1:18" ht="13">
      <c r="A449" s="8" t="s">
        <v>1071</v>
      </c>
      <c r="B449" s="10">
        <v>45026</v>
      </c>
      <c r="C449" s="10">
        <v>45026</v>
      </c>
      <c r="D449" s="8" t="s">
        <v>771</v>
      </c>
      <c r="E449" s="8" t="s">
        <v>772</v>
      </c>
      <c r="F449" s="8" t="s">
        <v>748</v>
      </c>
      <c r="G449" s="6" t="e">
        <f>IF(F449="","",VLOOKUP(F449,'PLAN SUPORTE'!A:B,2,0))</f>
        <v>#N/A</v>
      </c>
      <c r="H449" s="7" t="s">
        <v>686</v>
      </c>
      <c r="I449" s="8" t="s">
        <v>692</v>
      </c>
      <c r="J449" s="8" t="s">
        <v>24</v>
      </c>
      <c r="K449" s="8" t="s">
        <v>25</v>
      </c>
      <c r="L449" s="8">
        <f>IF(K449="","",VLOOKUP(K449,'PLAN SUPORTE'!$H$2:$I$4,2,0))</f>
        <v>15</v>
      </c>
      <c r="M449" s="10">
        <v>45051</v>
      </c>
      <c r="N449" s="10">
        <v>45056</v>
      </c>
      <c r="O449" s="9" t="str">
        <f t="shared" si="73"/>
        <v>Fora do Prazo</v>
      </c>
      <c r="P449" s="10">
        <f t="shared" si="74"/>
        <v>45041</v>
      </c>
      <c r="Q449" s="6" t="str">
        <f t="shared" ca="1" si="75"/>
        <v>Prazo Vencido</v>
      </c>
      <c r="R449" s="8">
        <f t="shared" si="76"/>
        <v>25</v>
      </c>
    </row>
    <row r="450" spans="1:18" ht="13" hidden="1">
      <c r="A450" s="8" t="s">
        <v>1072</v>
      </c>
      <c r="B450" s="10">
        <v>45026</v>
      </c>
      <c r="C450" s="10">
        <v>45026</v>
      </c>
      <c r="D450" s="8" t="s">
        <v>771</v>
      </c>
      <c r="E450" s="8" t="s">
        <v>838</v>
      </c>
      <c r="F450" s="8" t="s">
        <v>699</v>
      </c>
      <c r="G450" s="6" t="e">
        <f>IF(F450="","",VLOOKUP(F450,'PLAN SUPORTE'!A:B,2,0))</f>
        <v>#N/A</v>
      </c>
      <c r="H450" s="7" t="s">
        <v>686</v>
      </c>
      <c r="I450" s="8" t="s">
        <v>682</v>
      </c>
      <c r="J450" s="8" t="s">
        <v>296</v>
      </c>
      <c r="K450" s="8" t="s">
        <v>25</v>
      </c>
      <c r="L450" s="8">
        <f>IF(K450="","",VLOOKUP(K450,'PLAN SUPORTE'!$H$2:$I$4,2,0))</f>
        <v>15</v>
      </c>
      <c r="M450" s="10">
        <v>45051</v>
      </c>
      <c r="N450" s="10">
        <v>45058</v>
      </c>
      <c r="O450" s="9" t="str">
        <f t="shared" si="73"/>
        <v>Fora do Prazo</v>
      </c>
      <c r="P450" s="10">
        <f t="shared" si="74"/>
        <v>45041</v>
      </c>
      <c r="Q450" s="6" t="str">
        <f t="shared" ca="1" si="75"/>
        <v>Prazo Vencido</v>
      </c>
      <c r="R450" s="8">
        <f t="shared" si="76"/>
        <v>25</v>
      </c>
    </row>
    <row r="451" spans="1:18" ht="13" hidden="1">
      <c r="A451" s="8" t="s">
        <v>1073</v>
      </c>
      <c r="B451" s="10">
        <v>45026</v>
      </c>
      <c r="C451" s="10">
        <v>45026</v>
      </c>
      <c r="D451" s="8" t="s">
        <v>771</v>
      </c>
      <c r="E451" s="8" t="s">
        <v>838</v>
      </c>
      <c r="F451" s="8" t="s">
        <v>699</v>
      </c>
      <c r="G451" s="6" t="e">
        <f>IF(F451="","",VLOOKUP(F451,'PLAN SUPORTE'!A:B,2,0))</f>
        <v>#N/A</v>
      </c>
      <c r="H451" s="7" t="s">
        <v>686</v>
      </c>
      <c r="I451" s="8" t="s">
        <v>682</v>
      </c>
      <c r="J451" s="8" t="s">
        <v>296</v>
      </c>
      <c r="K451" s="8" t="s">
        <v>25</v>
      </c>
      <c r="L451" s="8">
        <f>IF(K451="","",VLOOKUP(K451,'PLAN SUPORTE'!$H$2:$I$4,2,0))</f>
        <v>15</v>
      </c>
      <c r="M451" s="10">
        <v>45051</v>
      </c>
      <c r="N451" s="10">
        <v>45058</v>
      </c>
      <c r="O451" s="9" t="str">
        <f t="shared" si="73"/>
        <v>Fora do Prazo</v>
      </c>
      <c r="P451" s="10">
        <f t="shared" si="74"/>
        <v>45041</v>
      </c>
      <c r="Q451" s="6" t="str">
        <f t="shared" ca="1" si="75"/>
        <v>Prazo Vencido</v>
      </c>
      <c r="R451" s="8">
        <f t="shared" si="76"/>
        <v>25</v>
      </c>
    </row>
    <row r="452" spans="1:18" ht="13" hidden="1">
      <c r="A452" s="8" t="s">
        <v>1074</v>
      </c>
      <c r="B452" s="10">
        <v>45026</v>
      </c>
      <c r="C452" s="10">
        <v>45026</v>
      </c>
      <c r="D452" s="8" t="s">
        <v>771</v>
      </c>
      <c r="E452" s="8" t="s">
        <v>838</v>
      </c>
      <c r="F452" s="8" t="s">
        <v>699</v>
      </c>
      <c r="G452" s="6" t="e">
        <f>IF(F452="","",VLOOKUP(F452,'PLAN SUPORTE'!A:B,2,0))</f>
        <v>#N/A</v>
      </c>
      <c r="H452" s="7" t="s">
        <v>686</v>
      </c>
      <c r="I452" s="8" t="s">
        <v>682</v>
      </c>
      <c r="J452" s="8" t="s">
        <v>296</v>
      </c>
      <c r="K452" s="8" t="s">
        <v>25</v>
      </c>
      <c r="L452" s="8">
        <f>IF(K452="","",VLOOKUP(K452,'PLAN SUPORTE'!$H$2:$I$4,2,0))</f>
        <v>15</v>
      </c>
      <c r="M452" s="10">
        <v>45051</v>
      </c>
      <c r="N452" s="10">
        <v>45058</v>
      </c>
      <c r="O452" s="9" t="str">
        <f t="shared" si="73"/>
        <v>Fora do Prazo</v>
      </c>
      <c r="P452" s="10">
        <f t="shared" si="74"/>
        <v>45041</v>
      </c>
      <c r="Q452" s="6" t="str">
        <f t="shared" ca="1" si="75"/>
        <v>Prazo Vencido</v>
      </c>
      <c r="R452" s="8">
        <f t="shared" si="76"/>
        <v>25</v>
      </c>
    </row>
    <row r="453" spans="1:18" ht="13" hidden="1">
      <c r="A453" s="8" t="s">
        <v>1075</v>
      </c>
      <c r="B453" s="10">
        <v>45026</v>
      </c>
      <c r="C453" s="10">
        <v>45026</v>
      </c>
      <c r="D453" s="8" t="s">
        <v>771</v>
      </c>
      <c r="E453" s="8" t="s">
        <v>838</v>
      </c>
      <c r="F453" s="8" t="s">
        <v>699</v>
      </c>
      <c r="G453" s="6" t="e">
        <f>IF(F453="","",VLOOKUP(F453,'PLAN SUPORTE'!A:B,2,0))</f>
        <v>#N/A</v>
      </c>
      <c r="H453" s="7" t="s">
        <v>686</v>
      </c>
      <c r="I453" s="8" t="s">
        <v>682</v>
      </c>
      <c r="J453" s="8" t="s">
        <v>296</v>
      </c>
      <c r="K453" s="8" t="s">
        <v>25</v>
      </c>
      <c r="L453" s="8">
        <f>IF(K453="","",VLOOKUP(K453,'PLAN SUPORTE'!$H$2:$I$4,2,0))</f>
        <v>15</v>
      </c>
      <c r="M453" s="10">
        <v>45051</v>
      </c>
      <c r="N453" s="10">
        <v>45058</v>
      </c>
      <c r="O453" s="9" t="str">
        <f t="shared" si="73"/>
        <v>Fora do Prazo</v>
      </c>
      <c r="P453" s="10">
        <f t="shared" si="74"/>
        <v>45041</v>
      </c>
      <c r="Q453" s="6" t="str">
        <f t="shared" ca="1" si="75"/>
        <v>Prazo Vencido</v>
      </c>
      <c r="R453" s="8">
        <f t="shared" si="76"/>
        <v>25</v>
      </c>
    </row>
    <row r="454" spans="1:18" ht="13">
      <c r="A454" s="8" t="s">
        <v>1076</v>
      </c>
      <c r="B454" s="10">
        <v>45026</v>
      </c>
      <c r="C454" s="10">
        <v>45026</v>
      </c>
      <c r="D454" s="8" t="s">
        <v>771</v>
      </c>
      <c r="E454" s="8" t="s">
        <v>767</v>
      </c>
      <c r="F454" s="8" t="s">
        <v>681</v>
      </c>
      <c r="G454" s="6" t="e">
        <f>IF(F454="","",VLOOKUP(F454,'PLAN SUPORTE'!A:B,2,0))</f>
        <v>#N/A</v>
      </c>
      <c r="H454" s="7" t="s">
        <v>686</v>
      </c>
      <c r="I454" s="8" t="s">
        <v>682</v>
      </c>
      <c r="J454" s="8" t="s">
        <v>24</v>
      </c>
      <c r="K454" s="8" t="s">
        <v>25</v>
      </c>
      <c r="L454" s="8">
        <f>IF(K454="","",VLOOKUP(K454,'PLAN SUPORTE'!$H$2:$I$4,2,0))</f>
        <v>15</v>
      </c>
      <c r="M454" s="10">
        <v>45051</v>
      </c>
      <c r="N454" s="10">
        <v>45058</v>
      </c>
      <c r="O454" s="9" t="str">
        <f t="shared" si="73"/>
        <v>Fora do Prazo</v>
      </c>
      <c r="P454" s="10">
        <f t="shared" si="74"/>
        <v>45041</v>
      </c>
      <c r="Q454" s="6" t="str">
        <f t="shared" ca="1" si="75"/>
        <v>Prazo Vencido</v>
      </c>
      <c r="R454" s="8">
        <f t="shared" si="76"/>
        <v>25</v>
      </c>
    </row>
    <row r="455" spans="1:18" ht="13">
      <c r="A455" s="8" t="s">
        <v>1077</v>
      </c>
      <c r="B455" s="10">
        <v>45026</v>
      </c>
      <c r="C455" s="10">
        <v>45026</v>
      </c>
      <c r="D455" s="8" t="s">
        <v>771</v>
      </c>
      <c r="E455" s="8" t="s">
        <v>767</v>
      </c>
      <c r="F455" s="8" t="s">
        <v>681</v>
      </c>
      <c r="G455" s="6" t="e">
        <f>IF(F455="","",VLOOKUP(F455,'PLAN SUPORTE'!A:B,2,0))</f>
        <v>#N/A</v>
      </c>
      <c r="H455" s="7" t="s">
        <v>686</v>
      </c>
      <c r="I455" s="8" t="s">
        <v>682</v>
      </c>
      <c r="J455" s="8" t="s">
        <v>24</v>
      </c>
      <c r="K455" s="8" t="s">
        <v>25</v>
      </c>
      <c r="L455" s="8">
        <f>IF(K455="","",VLOOKUP(K455,'PLAN SUPORTE'!$H$2:$I$4,2,0))</f>
        <v>15</v>
      </c>
      <c r="M455" s="10">
        <v>45051</v>
      </c>
      <c r="N455" s="10">
        <v>45058</v>
      </c>
      <c r="O455" s="9" t="str">
        <f t="shared" si="73"/>
        <v>Fora do Prazo</v>
      </c>
      <c r="P455" s="10">
        <f t="shared" si="74"/>
        <v>45041</v>
      </c>
      <c r="Q455" s="6" t="str">
        <f t="shared" ca="1" si="75"/>
        <v>Prazo Vencido</v>
      </c>
      <c r="R455" s="8">
        <f t="shared" si="76"/>
        <v>25</v>
      </c>
    </row>
    <row r="456" spans="1:18" ht="13">
      <c r="A456" s="8" t="s">
        <v>1078</v>
      </c>
      <c r="B456" s="10">
        <v>45027</v>
      </c>
      <c r="C456" s="10">
        <v>45027</v>
      </c>
      <c r="D456" s="8" t="s">
        <v>918</v>
      </c>
      <c r="E456" s="8" t="s">
        <v>869</v>
      </c>
      <c r="F456" s="8" t="s">
        <v>690</v>
      </c>
      <c r="G456" s="6" t="e">
        <f>IF(F456="","",VLOOKUP(F456,'PLAN SUPORTE'!A:B,2,0))</f>
        <v>#N/A</v>
      </c>
      <c r="H456" s="7" t="s">
        <v>686</v>
      </c>
      <c r="I456" s="8" t="s">
        <v>682</v>
      </c>
      <c r="J456" s="8" t="s">
        <v>24</v>
      </c>
      <c r="K456" s="8" t="s">
        <v>25</v>
      </c>
      <c r="L456" s="8">
        <f>IF(K456="","",VLOOKUP(K456,'PLAN SUPORTE'!$H$2:$I$4,2,0))</f>
        <v>15</v>
      </c>
      <c r="M456" s="10">
        <v>45091</v>
      </c>
      <c r="N456" s="10">
        <v>45098</v>
      </c>
      <c r="O456" s="9" t="str">
        <f t="shared" si="73"/>
        <v>Fora do Prazo</v>
      </c>
      <c r="P456" s="10">
        <f t="shared" si="74"/>
        <v>45042</v>
      </c>
      <c r="Q456" s="6" t="str">
        <f t="shared" ca="1" si="75"/>
        <v>Prazo Vencido</v>
      </c>
      <c r="R456" s="42">
        <f t="shared" si="76"/>
        <v>64</v>
      </c>
    </row>
    <row r="457" spans="1:18" ht="13">
      <c r="A457" s="8" t="s">
        <v>1079</v>
      </c>
      <c r="B457" s="10">
        <v>45027</v>
      </c>
      <c r="C457" s="10">
        <v>45027</v>
      </c>
      <c r="D457" s="8" t="s">
        <v>746</v>
      </c>
      <c r="E457" s="8" t="s">
        <v>736</v>
      </c>
      <c r="F457" s="8" t="s">
        <v>705</v>
      </c>
      <c r="G457" s="6" t="e">
        <f>IF(F457="","",VLOOKUP(F457,'PLAN SUPORTE'!A:B,2,0))</f>
        <v>#N/A</v>
      </c>
      <c r="H457" s="7" t="s">
        <v>686</v>
      </c>
      <c r="I457" s="8" t="s">
        <v>692</v>
      </c>
      <c r="J457" s="8" t="s">
        <v>24</v>
      </c>
      <c r="K457" s="8" t="s">
        <v>25</v>
      </c>
      <c r="L457" s="8">
        <f>IF(K457="","",VLOOKUP(K457,'PLAN SUPORTE'!$H$2:$I$4,2,0))</f>
        <v>15</v>
      </c>
      <c r="M457" s="10">
        <v>45065</v>
      </c>
      <c r="N457" s="10">
        <v>45072</v>
      </c>
      <c r="O457" s="9" t="str">
        <f t="shared" si="73"/>
        <v>Fora do Prazo</v>
      </c>
      <c r="P457" s="10">
        <f t="shared" si="74"/>
        <v>45042</v>
      </c>
      <c r="Q457" s="6" t="str">
        <f t="shared" ca="1" si="75"/>
        <v>Prazo Vencido</v>
      </c>
      <c r="R457" s="8">
        <f t="shared" si="76"/>
        <v>38</v>
      </c>
    </row>
    <row r="458" spans="1:18" ht="13">
      <c r="A458" s="8" t="s">
        <v>1080</v>
      </c>
      <c r="B458" s="10">
        <v>45028</v>
      </c>
      <c r="C458" s="10">
        <v>45028</v>
      </c>
      <c r="D458" s="8" t="s">
        <v>746</v>
      </c>
      <c r="E458" s="8" t="s">
        <v>739</v>
      </c>
      <c r="F458" s="8" t="s">
        <v>759</v>
      </c>
      <c r="G458" s="6" t="e">
        <f>IF(F458="","",VLOOKUP(F458,'PLAN SUPORTE'!A:B,2,0))</f>
        <v>#N/A</v>
      </c>
      <c r="H458" s="7" t="s">
        <v>686</v>
      </c>
      <c r="I458" s="8" t="s">
        <v>692</v>
      </c>
      <c r="J458" s="8" t="s">
        <v>24</v>
      </c>
      <c r="K458" s="8" t="s">
        <v>25</v>
      </c>
      <c r="L458" s="8">
        <f>IF(K458="","",VLOOKUP(K458,'PLAN SUPORTE'!$H$2:$I$4,2,0))</f>
        <v>15</v>
      </c>
      <c r="M458" s="10">
        <v>45065</v>
      </c>
      <c r="N458" s="10">
        <v>45072</v>
      </c>
      <c r="O458" s="9" t="str">
        <f t="shared" si="73"/>
        <v>Fora do Prazo</v>
      </c>
      <c r="P458" s="10">
        <f t="shared" si="74"/>
        <v>45043</v>
      </c>
      <c r="Q458" s="6" t="str">
        <f t="shared" ca="1" si="75"/>
        <v>Prazo Vencido</v>
      </c>
      <c r="R458" s="8">
        <f t="shared" si="76"/>
        <v>37</v>
      </c>
    </row>
    <row r="459" spans="1:18" ht="13">
      <c r="A459" s="8" t="s">
        <v>1081</v>
      </c>
      <c r="B459" s="10">
        <v>45028</v>
      </c>
      <c r="C459" s="10">
        <v>45028</v>
      </c>
      <c r="D459" s="8" t="s">
        <v>771</v>
      </c>
      <c r="E459" s="8" t="s">
        <v>767</v>
      </c>
      <c r="F459" s="8" t="s">
        <v>681</v>
      </c>
      <c r="G459" s="6" t="e">
        <f>IF(F459="","",VLOOKUP(F459,'PLAN SUPORTE'!A:B,2,0))</f>
        <v>#N/A</v>
      </c>
      <c r="H459" s="7" t="s">
        <v>686</v>
      </c>
      <c r="I459" s="8" t="s">
        <v>682</v>
      </c>
      <c r="J459" s="8" t="s">
        <v>24</v>
      </c>
      <c r="K459" s="8" t="s">
        <v>25</v>
      </c>
      <c r="L459" s="8">
        <f>IF(K459="","",VLOOKUP(K459,'PLAN SUPORTE'!$H$2:$I$4,2,0))</f>
        <v>15</v>
      </c>
      <c r="M459" s="10">
        <v>45051</v>
      </c>
      <c r="N459" s="10">
        <v>45058</v>
      </c>
      <c r="O459" s="9" t="str">
        <f t="shared" si="73"/>
        <v>Fora do Prazo</v>
      </c>
      <c r="P459" s="10">
        <f t="shared" si="74"/>
        <v>45043</v>
      </c>
      <c r="Q459" s="6" t="str">
        <f t="shared" ca="1" si="75"/>
        <v>Prazo Vencido</v>
      </c>
      <c r="R459" s="8">
        <f t="shared" si="76"/>
        <v>23</v>
      </c>
    </row>
    <row r="460" spans="1:18" ht="13">
      <c r="A460" s="8" t="s">
        <v>1082</v>
      </c>
      <c r="B460" s="10">
        <v>45030</v>
      </c>
      <c r="C460" s="10">
        <v>45030</v>
      </c>
      <c r="D460" s="8" t="s">
        <v>924</v>
      </c>
      <c r="E460" s="8" t="s">
        <v>1044</v>
      </c>
      <c r="F460" s="8" t="s">
        <v>699</v>
      </c>
      <c r="G460" s="6" t="e">
        <f>IF(F460="","",VLOOKUP(F460,'PLAN SUPORTE'!A:B,2,0))</f>
        <v>#N/A</v>
      </c>
      <c r="H460" s="7" t="s">
        <v>686</v>
      </c>
      <c r="I460" s="8" t="s">
        <v>682</v>
      </c>
      <c r="J460" s="8" t="s">
        <v>24</v>
      </c>
      <c r="K460" s="8" t="s">
        <v>25</v>
      </c>
      <c r="L460" s="8">
        <f>IF(K460="","",VLOOKUP(K460,'PLAN SUPORTE'!$H$2:$I$4,2,0))</f>
        <v>15</v>
      </c>
      <c r="M460" s="10">
        <v>45091</v>
      </c>
      <c r="N460" s="10">
        <v>45098</v>
      </c>
      <c r="O460" s="9" t="str">
        <f t="shared" si="73"/>
        <v>Fora do Prazo</v>
      </c>
      <c r="P460" s="10">
        <f t="shared" si="74"/>
        <v>45045</v>
      </c>
      <c r="Q460" s="6" t="str">
        <f t="shared" ca="1" si="75"/>
        <v>Prazo Vencido</v>
      </c>
      <c r="R460" s="42">
        <f t="shared" si="76"/>
        <v>61</v>
      </c>
    </row>
    <row r="461" spans="1:18" ht="13">
      <c r="A461" s="8" t="s">
        <v>1083</v>
      </c>
      <c r="B461" s="10">
        <v>44754</v>
      </c>
      <c r="C461" s="10">
        <v>45119</v>
      </c>
      <c r="D461" s="8" t="s">
        <v>920</v>
      </c>
      <c r="E461" s="8" t="s">
        <v>777</v>
      </c>
      <c r="F461" s="8" t="s">
        <v>705</v>
      </c>
      <c r="G461" s="6" t="e">
        <f>IF(F461="","",VLOOKUP(F461,'PLAN SUPORTE'!A:B,2,0))</f>
        <v>#N/A</v>
      </c>
      <c r="H461" s="7" t="s">
        <v>686</v>
      </c>
      <c r="I461" s="8" t="s">
        <v>682</v>
      </c>
      <c r="J461" s="8" t="s">
        <v>24</v>
      </c>
      <c r="K461" s="8" t="s">
        <v>25</v>
      </c>
      <c r="L461" s="8">
        <f>IF(K461="","",VLOOKUP(K461,'PLAN SUPORTE'!$H$2:$I$4,2,0))</f>
        <v>15</v>
      </c>
      <c r="M461" s="10">
        <v>44953</v>
      </c>
      <c r="N461" s="10">
        <v>44967</v>
      </c>
      <c r="O461" s="9" t="str">
        <f t="shared" si="73"/>
        <v>Dentro do Prazo</v>
      </c>
      <c r="P461" s="10">
        <f t="shared" si="74"/>
        <v>45134</v>
      </c>
      <c r="Q461" s="6" t="str">
        <f t="shared" ca="1" si="75"/>
        <v>Prazo Vencido</v>
      </c>
      <c r="R461" s="8">
        <f t="shared" si="76"/>
        <v>-166</v>
      </c>
    </row>
    <row r="462" spans="1:18" ht="13" hidden="1">
      <c r="A462" s="8" t="s">
        <v>1084</v>
      </c>
      <c r="B462" s="10">
        <v>44918</v>
      </c>
      <c r="C462" s="10">
        <v>44918</v>
      </c>
      <c r="D462" s="8" t="s">
        <v>746</v>
      </c>
      <c r="E462" s="8" t="s">
        <v>762</v>
      </c>
      <c r="F462" s="8" t="s">
        <v>705</v>
      </c>
      <c r="G462" s="6" t="e">
        <f>IF(F462="","",VLOOKUP(F462,'PLAN SUPORTE'!A:B,2,0))</f>
        <v>#N/A</v>
      </c>
      <c r="H462" s="7" t="s">
        <v>686</v>
      </c>
      <c r="I462" s="8" t="s">
        <v>682</v>
      </c>
      <c r="J462" s="8" t="s">
        <v>554</v>
      </c>
      <c r="K462" s="8" t="s">
        <v>25</v>
      </c>
      <c r="L462" s="8">
        <f>IF(K462="","",VLOOKUP(K462,'PLAN SUPORTE'!$H$2:$I$4,2,0))</f>
        <v>15</v>
      </c>
      <c r="M462" s="10"/>
      <c r="N462" s="10"/>
      <c r="O462" s="9" t="str">
        <f t="shared" si="73"/>
        <v>Em Andamento</v>
      </c>
      <c r="P462" s="10">
        <f t="shared" si="74"/>
        <v>44933</v>
      </c>
      <c r="Q462" s="6" t="str">
        <f t="shared" ca="1" si="75"/>
        <v>Prazo Vencido</v>
      </c>
      <c r="R462" s="8" t="str">
        <f t="shared" si="76"/>
        <v/>
      </c>
    </row>
    <row r="463" spans="1:18" ht="13">
      <c r="A463" s="8">
        <v>5172</v>
      </c>
      <c r="B463" s="10">
        <v>45050</v>
      </c>
      <c r="C463" s="10">
        <v>45050</v>
      </c>
      <c r="D463" s="8" t="s">
        <v>1085</v>
      </c>
      <c r="E463" s="8"/>
      <c r="F463" s="8" t="s">
        <v>1086</v>
      </c>
      <c r="G463" s="6" t="e">
        <f>IF(F463="","",VLOOKUP(F463,'PLAN SUPORTE'!A:B,2,0))</f>
        <v>#N/A</v>
      </c>
      <c r="H463" s="7"/>
      <c r="I463" s="8" t="s">
        <v>682</v>
      </c>
      <c r="J463" s="8" t="s">
        <v>24</v>
      </c>
      <c r="K463" s="8" t="s">
        <v>25</v>
      </c>
      <c r="L463" s="8">
        <f>IF(K463="","",VLOOKUP(K463,'PLAN SUPORTE'!$H$2:$I$4,2,0))</f>
        <v>15</v>
      </c>
      <c r="M463" s="10">
        <v>45170</v>
      </c>
      <c r="N463" s="10">
        <v>45181</v>
      </c>
      <c r="O463" s="9" t="str">
        <f t="shared" si="73"/>
        <v>Em Andamento</v>
      </c>
      <c r="P463" s="10">
        <f t="shared" si="74"/>
        <v>45065</v>
      </c>
      <c r="Q463" s="6" t="str">
        <f t="shared" ca="1" si="75"/>
        <v>Prazo Vencido</v>
      </c>
      <c r="R463" s="8"/>
    </row>
    <row r="464" spans="1:18" ht="13">
      <c r="A464" s="8">
        <v>5664</v>
      </c>
      <c r="B464" s="10">
        <v>45140</v>
      </c>
      <c r="C464" s="10">
        <v>45140</v>
      </c>
      <c r="D464" s="8" t="s">
        <v>939</v>
      </c>
      <c r="E464" s="8"/>
      <c r="F464" s="8" t="s">
        <v>752</v>
      </c>
      <c r="G464" s="6" t="e">
        <f>IF(F464="","",VLOOKUP(F464,'PLAN SUPORTE'!A:B,2,0))</f>
        <v>#N/A</v>
      </c>
      <c r="H464" s="7"/>
      <c r="I464" s="8" t="s">
        <v>754</v>
      </c>
      <c r="J464" s="8" t="s">
        <v>24</v>
      </c>
      <c r="K464" s="8" t="s">
        <v>25</v>
      </c>
      <c r="L464" s="8">
        <f>IF(K464="","",VLOOKUP(K464,'PLAN SUPORTE'!$H$2:$I$4,2,0))</f>
        <v>15</v>
      </c>
      <c r="M464" s="10">
        <v>45163</v>
      </c>
      <c r="N464" s="10">
        <v>45173</v>
      </c>
      <c r="O464" s="9" t="s">
        <v>1087</v>
      </c>
      <c r="P464" s="10">
        <f t="shared" si="74"/>
        <v>45155</v>
      </c>
      <c r="Q464" s="6" t="str">
        <f t="shared" ca="1" si="75"/>
        <v>Prazo Vencido</v>
      </c>
      <c r="R464" s="8">
        <f t="shared" ref="R464:R718" si="77">IF(OR(C464="",M464=""),"",M464-C464)</f>
        <v>23</v>
      </c>
    </row>
    <row r="465" spans="1:18" ht="13">
      <c r="A465" s="8">
        <v>5663</v>
      </c>
      <c r="B465" s="10">
        <v>45140</v>
      </c>
      <c r="C465" s="10">
        <v>45140</v>
      </c>
      <c r="D465" s="8" t="s">
        <v>939</v>
      </c>
      <c r="E465" s="8"/>
      <c r="F465" s="8" t="s">
        <v>799</v>
      </c>
      <c r="G465" s="6" t="e">
        <f>IF(F465="","",VLOOKUP(F465,'PLAN SUPORTE'!A:B,2,0))</f>
        <v>#N/A</v>
      </c>
      <c r="H465" s="7"/>
      <c r="I465" s="8" t="s">
        <v>754</v>
      </c>
      <c r="J465" s="8" t="s">
        <v>24</v>
      </c>
      <c r="K465" s="8" t="s">
        <v>25</v>
      </c>
      <c r="L465" s="8">
        <f>IF(K465="","",VLOOKUP(K465,'PLAN SUPORTE'!$H$2:$I$4,2,0))</f>
        <v>15</v>
      </c>
      <c r="M465" s="10">
        <v>45169</v>
      </c>
      <c r="N465" s="10">
        <v>45184</v>
      </c>
      <c r="O465" s="9" t="s">
        <v>1087</v>
      </c>
      <c r="P465" s="10">
        <f t="shared" si="74"/>
        <v>45155</v>
      </c>
      <c r="Q465" s="6" t="str">
        <f t="shared" ca="1" si="75"/>
        <v>Prazo Vencido</v>
      </c>
      <c r="R465" s="8">
        <f t="shared" si="77"/>
        <v>29</v>
      </c>
    </row>
    <row r="466" spans="1:18" ht="13">
      <c r="A466" s="8">
        <v>5665</v>
      </c>
      <c r="B466" s="10">
        <v>45140</v>
      </c>
      <c r="C466" s="10">
        <v>45140</v>
      </c>
      <c r="D466" s="8" t="s">
        <v>939</v>
      </c>
      <c r="E466" s="8"/>
      <c r="F466" s="8" t="s">
        <v>752</v>
      </c>
      <c r="G466" s="6" t="e">
        <f>IF(F466="","",VLOOKUP(F466,'PLAN SUPORTE'!A:B,2,0))</f>
        <v>#N/A</v>
      </c>
      <c r="H466" s="7"/>
      <c r="I466" s="8" t="s">
        <v>754</v>
      </c>
      <c r="J466" s="8" t="s">
        <v>24</v>
      </c>
      <c r="K466" s="8" t="s">
        <v>25</v>
      </c>
      <c r="L466" s="8">
        <f>IF(K466="","",VLOOKUP(K466,'PLAN SUPORTE'!$H$2:$I$4,2,0))</f>
        <v>15</v>
      </c>
      <c r="M466" s="10">
        <v>45169</v>
      </c>
      <c r="N466" s="10">
        <v>45184</v>
      </c>
      <c r="O466" s="9" t="str">
        <f t="shared" ref="O466:O720" si="78">IF(AND(C466="",K466=""),"",IF(R466="","Em Andamento",IF(M466&lt;=P466,"Dentro do Prazo","Fora do Prazo")))</f>
        <v>Fora do Prazo</v>
      </c>
      <c r="P466" s="10">
        <f t="shared" si="74"/>
        <v>45155</v>
      </c>
      <c r="Q466" s="6" t="str">
        <f t="shared" ca="1" si="75"/>
        <v>Prazo Vencido</v>
      </c>
      <c r="R466" s="8">
        <f t="shared" si="77"/>
        <v>29</v>
      </c>
    </row>
    <row r="467" spans="1:18" ht="13">
      <c r="A467" s="8"/>
      <c r="B467" s="10"/>
      <c r="C467" s="10"/>
      <c r="D467" s="8" t="s">
        <v>939</v>
      </c>
      <c r="E467" s="8"/>
      <c r="F467" s="8" t="s">
        <v>752</v>
      </c>
      <c r="G467" s="6" t="e">
        <f>IF(F467="","",VLOOKUP(F467,'PLAN SUPORTE'!A:B,2,0))</f>
        <v>#N/A</v>
      </c>
      <c r="H467" s="7"/>
      <c r="I467" s="8" t="s">
        <v>754</v>
      </c>
      <c r="J467" s="8" t="s">
        <v>24</v>
      </c>
      <c r="K467" s="8" t="s">
        <v>25</v>
      </c>
      <c r="L467" s="8">
        <f>IF(K467="","",VLOOKUP(K467,'PLAN SUPORTE'!$H$2:$I$4,2,0))</f>
        <v>15</v>
      </c>
      <c r="M467" s="10">
        <v>45169</v>
      </c>
      <c r="N467" s="10">
        <v>45184</v>
      </c>
      <c r="O467" s="9" t="str">
        <f t="shared" si="78"/>
        <v>Em Andamento</v>
      </c>
      <c r="P467" s="10" t="str">
        <f t="shared" si="74"/>
        <v/>
      </c>
      <c r="Q467" s="6" t="str">
        <f t="shared" ca="1" si="75"/>
        <v/>
      </c>
      <c r="R467" s="8" t="str">
        <f t="shared" si="77"/>
        <v/>
      </c>
    </row>
    <row r="468" spans="1:18" ht="14.5">
      <c r="A468" s="8">
        <v>5842</v>
      </c>
      <c r="B468" s="10">
        <v>45160</v>
      </c>
      <c r="C468" s="10">
        <v>45160</v>
      </c>
      <c r="D468" s="8" t="s">
        <v>746</v>
      </c>
      <c r="E468" s="8"/>
      <c r="F468" s="62" t="s">
        <v>945</v>
      </c>
      <c r="G468" s="6" t="e">
        <f>IF(F468="","",VLOOKUP(F468,'PLAN SUPORTE'!A:B,2,0))</f>
        <v>#N/A</v>
      </c>
      <c r="H468" s="7"/>
      <c r="I468" s="8" t="s">
        <v>692</v>
      </c>
      <c r="J468" s="8" t="s">
        <v>24</v>
      </c>
      <c r="K468" s="8" t="s">
        <v>25</v>
      </c>
      <c r="L468" s="8">
        <f>IF(K468="","",VLOOKUP(K468,'PLAN SUPORTE'!$H$2:$I$4,2,0))</f>
        <v>15</v>
      </c>
      <c r="M468" s="10">
        <v>45154</v>
      </c>
      <c r="N468" s="10">
        <v>45163</v>
      </c>
      <c r="O468" s="9" t="str">
        <f t="shared" si="78"/>
        <v>Dentro do Prazo</v>
      </c>
      <c r="P468" s="10">
        <f t="shared" si="74"/>
        <v>45175</v>
      </c>
      <c r="Q468" s="6" t="str">
        <f t="shared" ca="1" si="75"/>
        <v>Prazo Vencido</v>
      </c>
      <c r="R468" s="8">
        <f t="shared" si="77"/>
        <v>-6</v>
      </c>
    </row>
    <row r="469" spans="1:18" ht="13">
      <c r="A469" s="8">
        <v>5617</v>
      </c>
      <c r="B469" s="10">
        <v>45133</v>
      </c>
      <c r="C469" s="10">
        <v>45133</v>
      </c>
      <c r="D469" s="8" t="s">
        <v>1088</v>
      </c>
      <c r="E469" s="8"/>
      <c r="F469" s="8" t="s">
        <v>803</v>
      </c>
      <c r="G469" s="6" t="e">
        <f>IF(F469="","",VLOOKUP(F469,'PLAN SUPORTE'!A:B,2,0))</f>
        <v>#N/A</v>
      </c>
      <c r="H469" s="7"/>
      <c r="I469" s="8" t="s">
        <v>682</v>
      </c>
      <c r="J469" s="8" t="s">
        <v>24</v>
      </c>
      <c r="K469" s="8" t="s">
        <v>25</v>
      </c>
      <c r="L469" s="8">
        <f>IF(K469="","",VLOOKUP(K469,'PLAN SUPORTE'!$H$2:$I$4,2,0))</f>
        <v>15</v>
      </c>
      <c r="M469" s="10">
        <v>45171</v>
      </c>
      <c r="N469" s="10">
        <v>45171</v>
      </c>
      <c r="O469" s="9" t="str">
        <f t="shared" si="78"/>
        <v>Fora do Prazo</v>
      </c>
      <c r="P469" s="10">
        <f t="shared" si="74"/>
        <v>45148</v>
      </c>
      <c r="Q469" s="6" t="str">
        <f t="shared" ca="1" si="75"/>
        <v>Prazo Vencido</v>
      </c>
      <c r="R469" s="8">
        <f t="shared" si="77"/>
        <v>38</v>
      </c>
    </row>
    <row r="470" spans="1:18" ht="13">
      <c r="A470" s="8">
        <v>6019</v>
      </c>
      <c r="B470" s="10">
        <v>45180</v>
      </c>
      <c r="C470" s="10">
        <v>45180</v>
      </c>
      <c r="D470" s="8" t="s">
        <v>162</v>
      </c>
      <c r="E470" s="8"/>
      <c r="F470" s="8" t="s">
        <v>775</v>
      </c>
      <c r="G470" s="6" t="e">
        <f>IF(F470="","",VLOOKUP(F470,'PLAN SUPORTE'!A:B,2,0))</f>
        <v>#N/A</v>
      </c>
      <c r="H470" s="7"/>
      <c r="I470" s="8" t="s">
        <v>754</v>
      </c>
      <c r="J470" s="8" t="s">
        <v>24</v>
      </c>
      <c r="K470" s="8" t="s">
        <v>25</v>
      </c>
      <c r="L470" s="8">
        <f>IF(K470="","",VLOOKUP(K470,'PLAN SUPORTE'!$H$2:$I$4,2,0))</f>
        <v>15</v>
      </c>
      <c r="M470" s="10"/>
      <c r="N470" s="10"/>
      <c r="O470" s="9" t="str">
        <f t="shared" si="78"/>
        <v>Em Andamento</v>
      </c>
      <c r="P470" s="10">
        <f t="shared" si="74"/>
        <v>45195</v>
      </c>
      <c r="Q470" s="6" t="str">
        <f t="shared" ca="1" si="75"/>
        <v>Prazo Vencido</v>
      </c>
      <c r="R470" s="8" t="str">
        <f t="shared" si="77"/>
        <v/>
      </c>
    </row>
    <row r="471" spans="1:18" ht="13">
      <c r="A471" s="8">
        <v>5800</v>
      </c>
      <c r="B471" s="10">
        <v>45160</v>
      </c>
      <c r="C471" s="10">
        <v>45160</v>
      </c>
      <c r="D471" s="8" t="s">
        <v>771</v>
      </c>
      <c r="E471" s="8"/>
      <c r="F471" s="8" t="s">
        <v>825</v>
      </c>
      <c r="G471" s="6" t="e">
        <f>IF(F471="","",VLOOKUP(F471,'PLAN SUPORTE'!A:B,2,0))</f>
        <v>#N/A</v>
      </c>
      <c r="H471" s="7"/>
      <c r="I471" s="8" t="s">
        <v>692</v>
      </c>
      <c r="J471" s="8" t="s">
        <v>24</v>
      </c>
      <c r="K471" s="8" t="s">
        <v>25</v>
      </c>
      <c r="L471" s="8">
        <f>IF(K471="","",VLOOKUP(K471,'PLAN SUPORTE'!$H$2:$I$4,2,0))</f>
        <v>15</v>
      </c>
      <c r="M471" s="10">
        <v>45169</v>
      </c>
      <c r="N471" s="10">
        <v>45181</v>
      </c>
      <c r="O471" s="9" t="str">
        <f t="shared" si="78"/>
        <v>Dentro do Prazo</v>
      </c>
      <c r="P471" s="10">
        <f t="shared" si="74"/>
        <v>45175</v>
      </c>
      <c r="Q471" s="6" t="str">
        <f t="shared" ca="1" si="75"/>
        <v>Prazo Vencido</v>
      </c>
      <c r="R471" s="8">
        <f t="shared" si="77"/>
        <v>9</v>
      </c>
    </row>
    <row r="472" spans="1:18" ht="13">
      <c r="A472" s="8">
        <v>5866</v>
      </c>
      <c r="B472" s="10">
        <v>45161</v>
      </c>
      <c r="C472" s="10">
        <v>45161</v>
      </c>
      <c r="D472" s="8" t="s">
        <v>930</v>
      </c>
      <c r="E472" s="8"/>
      <c r="F472" s="8" t="s">
        <v>761</v>
      </c>
      <c r="G472" s="6" t="e">
        <f>IF(F472="","",VLOOKUP(F472,'PLAN SUPORTE'!A:B,2,0))</f>
        <v>#N/A</v>
      </c>
      <c r="H472" s="7"/>
      <c r="I472" s="8" t="s">
        <v>692</v>
      </c>
      <c r="J472" s="8" t="s">
        <v>24</v>
      </c>
      <c r="K472" s="8" t="s">
        <v>25</v>
      </c>
      <c r="L472" s="8">
        <f>IF(K472="","",VLOOKUP(K472,'PLAN SUPORTE'!$H$2:$I$4,2,0))</f>
        <v>15</v>
      </c>
      <c r="M472" s="10">
        <v>45164</v>
      </c>
      <c r="N472" s="10">
        <v>45170</v>
      </c>
      <c r="O472" s="9" t="str">
        <f t="shared" si="78"/>
        <v>Dentro do Prazo</v>
      </c>
      <c r="P472" s="10">
        <f t="shared" si="74"/>
        <v>45176</v>
      </c>
      <c r="Q472" s="6" t="str">
        <f t="shared" ca="1" si="75"/>
        <v>Prazo Vencido</v>
      </c>
      <c r="R472" s="8">
        <f t="shared" si="77"/>
        <v>3</v>
      </c>
    </row>
    <row r="473" spans="1:18" ht="13">
      <c r="A473" s="8">
        <v>6029</v>
      </c>
      <c r="B473" s="10">
        <v>45180</v>
      </c>
      <c r="C473" s="10">
        <v>45180</v>
      </c>
      <c r="D473" s="8" t="s">
        <v>946</v>
      </c>
      <c r="E473" s="8"/>
      <c r="F473" s="8" t="s">
        <v>775</v>
      </c>
      <c r="G473" s="6" t="e">
        <f>IF(F473="","",VLOOKUP(F473,'PLAN SUPORTE'!A:B,2,0))</f>
        <v>#N/A</v>
      </c>
      <c r="H473" s="7"/>
      <c r="I473" s="8" t="s">
        <v>754</v>
      </c>
      <c r="J473" s="8" t="s">
        <v>24</v>
      </c>
      <c r="K473" s="8" t="s">
        <v>25</v>
      </c>
      <c r="L473" s="8">
        <f>IF(K473="","",VLOOKUP(K473,'PLAN SUPORTE'!$H$2:$I$4,2,0))</f>
        <v>15</v>
      </c>
      <c r="M473" s="10">
        <v>45180</v>
      </c>
      <c r="N473" s="10">
        <v>45181</v>
      </c>
      <c r="O473" s="9" t="str">
        <f t="shared" si="78"/>
        <v>Dentro do Prazo</v>
      </c>
      <c r="P473" s="10">
        <f t="shared" si="74"/>
        <v>45195</v>
      </c>
      <c r="Q473" s="6" t="str">
        <f t="shared" ca="1" si="75"/>
        <v>Prazo Vencido</v>
      </c>
      <c r="R473" s="8">
        <f t="shared" si="77"/>
        <v>0</v>
      </c>
    </row>
    <row r="474" spans="1:18" ht="13">
      <c r="A474" s="8">
        <v>6030</v>
      </c>
      <c r="B474" s="10"/>
      <c r="C474" s="10"/>
      <c r="D474" s="8" t="s">
        <v>946</v>
      </c>
      <c r="E474" s="8"/>
      <c r="F474" s="8" t="s">
        <v>775</v>
      </c>
      <c r="G474" s="6" t="e">
        <f>IF(F474="","",VLOOKUP(F474,'PLAN SUPORTE'!A:B,2,0))</f>
        <v>#N/A</v>
      </c>
      <c r="H474" s="7"/>
      <c r="I474" s="8" t="s">
        <v>754</v>
      </c>
      <c r="J474" s="8" t="s">
        <v>24</v>
      </c>
      <c r="K474" s="8" t="s">
        <v>25</v>
      </c>
      <c r="L474" s="8">
        <f>IF(K474="","",VLOOKUP(K474,'PLAN SUPORTE'!$H$2:$I$4,2,0))</f>
        <v>15</v>
      </c>
      <c r="M474" s="10"/>
      <c r="N474" s="10">
        <v>45181</v>
      </c>
      <c r="O474" s="9" t="str">
        <f t="shared" si="78"/>
        <v>Em Andamento</v>
      </c>
      <c r="P474" s="10" t="str">
        <f t="shared" si="74"/>
        <v/>
      </c>
      <c r="Q474" s="6" t="str">
        <f t="shared" ca="1" si="75"/>
        <v/>
      </c>
      <c r="R474" s="8" t="str">
        <f t="shared" si="77"/>
        <v/>
      </c>
    </row>
    <row r="475" spans="1:18" ht="13">
      <c r="A475" s="8">
        <v>5884</v>
      </c>
      <c r="B475" s="10"/>
      <c r="C475" s="10"/>
      <c r="D475" s="8" t="s">
        <v>946</v>
      </c>
      <c r="E475" s="8"/>
      <c r="F475" s="8" t="s">
        <v>775</v>
      </c>
      <c r="G475" s="6" t="e">
        <f>IF(F475="","",VLOOKUP(F475,'PLAN SUPORTE'!A:B,2,0))</f>
        <v>#N/A</v>
      </c>
      <c r="H475" s="7"/>
      <c r="I475" s="8" t="s">
        <v>754</v>
      </c>
      <c r="J475" s="8" t="s">
        <v>24</v>
      </c>
      <c r="K475" s="8" t="s">
        <v>25</v>
      </c>
      <c r="L475" s="8">
        <f>IF(K475="","",VLOOKUP(K475,'PLAN SUPORTE'!$H$2:$I$4,2,0))</f>
        <v>15</v>
      </c>
      <c r="M475" s="10"/>
      <c r="N475" s="10">
        <v>45181</v>
      </c>
      <c r="O475" s="9" t="str">
        <f t="shared" si="78"/>
        <v>Em Andamento</v>
      </c>
      <c r="P475" s="10" t="str">
        <f t="shared" si="74"/>
        <v/>
      </c>
      <c r="Q475" s="6" t="str">
        <f t="shared" ca="1" si="75"/>
        <v/>
      </c>
      <c r="R475" s="8" t="str">
        <f t="shared" si="77"/>
        <v/>
      </c>
    </row>
    <row r="476" spans="1:18" ht="13">
      <c r="A476" s="8"/>
      <c r="B476" s="10"/>
      <c r="C476" s="10"/>
      <c r="D476" s="8" t="s">
        <v>946</v>
      </c>
      <c r="E476" s="8"/>
      <c r="F476" s="8" t="s">
        <v>752</v>
      </c>
      <c r="G476" s="6" t="e">
        <f>IF(F476="","",VLOOKUP(F476,'PLAN SUPORTE'!A:B,2,0))</f>
        <v>#N/A</v>
      </c>
      <c r="H476" s="7"/>
      <c r="I476" s="8" t="s">
        <v>754</v>
      </c>
      <c r="J476" s="8" t="s">
        <v>24</v>
      </c>
      <c r="K476" s="8"/>
      <c r="L476" s="8" t="str">
        <f>IF(K476="","",VLOOKUP(K476,'PLAN SUPORTE'!$H$2:$I$4,2,0))</f>
        <v/>
      </c>
      <c r="M476" s="10"/>
      <c r="N476" s="10"/>
      <c r="O476" s="9" t="str">
        <f t="shared" si="78"/>
        <v/>
      </c>
      <c r="P476" s="10" t="str">
        <f t="shared" si="74"/>
        <v/>
      </c>
      <c r="Q476" s="6" t="str">
        <f t="shared" ca="1" si="75"/>
        <v/>
      </c>
      <c r="R476" s="8" t="str">
        <f t="shared" si="77"/>
        <v/>
      </c>
    </row>
    <row r="477" spans="1:18" ht="13">
      <c r="A477" s="8">
        <v>5748</v>
      </c>
      <c r="B477" s="10"/>
      <c r="C477" s="10"/>
      <c r="D477" s="8" t="s">
        <v>946</v>
      </c>
      <c r="E477" s="8"/>
      <c r="F477" s="8" t="s">
        <v>799</v>
      </c>
      <c r="G477" s="6" t="e">
        <f>IF(F477="","",VLOOKUP(F477,'PLAN SUPORTE'!A:B,2,0))</f>
        <v>#N/A</v>
      </c>
      <c r="H477" s="7"/>
      <c r="I477" s="8" t="s">
        <v>754</v>
      </c>
      <c r="J477" s="8" t="s">
        <v>24</v>
      </c>
      <c r="K477" s="8" t="s">
        <v>25</v>
      </c>
      <c r="L477" s="8">
        <f>IF(K477="","",VLOOKUP(K477,'PLAN SUPORTE'!$H$2:$I$4,2,0))</f>
        <v>15</v>
      </c>
      <c r="M477" s="10">
        <v>45165</v>
      </c>
      <c r="N477" s="10">
        <v>45181</v>
      </c>
      <c r="O477" s="9" t="str">
        <f t="shared" si="78"/>
        <v>Em Andamento</v>
      </c>
      <c r="P477" s="10" t="str">
        <f t="shared" si="74"/>
        <v/>
      </c>
      <c r="Q477" s="6" t="str">
        <f t="shared" ca="1" si="75"/>
        <v/>
      </c>
      <c r="R477" s="8" t="str">
        <f t="shared" si="77"/>
        <v/>
      </c>
    </row>
    <row r="478" spans="1:18" ht="13">
      <c r="A478" s="8">
        <v>6039</v>
      </c>
      <c r="B478" s="10">
        <v>45181</v>
      </c>
      <c r="C478" s="10">
        <v>45181</v>
      </c>
      <c r="D478" s="8" t="s">
        <v>1089</v>
      </c>
      <c r="E478" s="8"/>
      <c r="F478" s="8" t="s">
        <v>705</v>
      </c>
      <c r="G478" s="6" t="e">
        <f>IF(F478="","",VLOOKUP(F478,'PLAN SUPORTE'!A:B,2,0))</f>
        <v>#N/A</v>
      </c>
      <c r="H478" s="7"/>
      <c r="I478" s="8" t="s">
        <v>692</v>
      </c>
      <c r="J478" s="8" t="s">
        <v>24</v>
      </c>
      <c r="K478" s="8" t="s">
        <v>691</v>
      </c>
      <c r="L478" s="8" t="e">
        <f>IF(K478="","",VLOOKUP(K478,'PLAN SUPORTE'!$H$2:$I$4,2,0))</f>
        <v>#N/A</v>
      </c>
      <c r="M478" s="10">
        <v>45186</v>
      </c>
      <c r="N478" s="10">
        <v>45191</v>
      </c>
      <c r="O478" s="9" t="e">
        <f t="shared" si="78"/>
        <v>#N/A</v>
      </c>
      <c r="P478" s="10" t="e">
        <f t="shared" si="74"/>
        <v>#N/A</v>
      </c>
      <c r="Q478" s="6" t="e">
        <f t="shared" ca="1" si="75"/>
        <v>#N/A</v>
      </c>
      <c r="R478" s="8">
        <f t="shared" si="77"/>
        <v>5</v>
      </c>
    </row>
    <row r="479" spans="1:18" ht="13">
      <c r="A479" s="8">
        <v>5492</v>
      </c>
      <c r="B479" s="10">
        <v>45114</v>
      </c>
      <c r="C479" s="10">
        <v>45114</v>
      </c>
      <c r="D479" s="8" t="s">
        <v>916</v>
      </c>
      <c r="E479" s="8"/>
      <c r="F479" s="8" t="s">
        <v>681</v>
      </c>
      <c r="G479" s="6" t="e">
        <f>IF(F479="","",VLOOKUP(F479,'PLAN SUPORTE'!A:B,2,0))</f>
        <v>#N/A</v>
      </c>
      <c r="H479" s="7"/>
      <c r="I479" s="8" t="s">
        <v>692</v>
      </c>
      <c r="J479" s="8" t="s">
        <v>24</v>
      </c>
      <c r="K479" s="8" t="s">
        <v>25</v>
      </c>
      <c r="L479" s="8">
        <f>IF(K479="","",VLOOKUP(K479,'PLAN SUPORTE'!$H$2:$I$4,2,0))</f>
        <v>15</v>
      </c>
      <c r="M479" s="10">
        <v>45157</v>
      </c>
      <c r="N479" s="10">
        <v>45198</v>
      </c>
      <c r="O479" s="9" t="str">
        <f t="shared" si="78"/>
        <v>Fora do Prazo</v>
      </c>
      <c r="P479" s="10">
        <f t="shared" si="74"/>
        <v>45129</v>
      </c>
      <c r="Q479" s="6" t="str">
        <f t="shared" ca="1" si="75"/>
        <v>Prazo Vencido</v>
      </c>
      <c r="R479" s="8">
        <f t="shared" si="77"/>
        <v>43</v>
      </c>
    </row>
    <row r="480" spans="1:18" ht="13">
      <c r="A480" s="8"/>
      <c r="B480" s="10"/>
      <c r="C480" s="10"/>
      <c r="D480" s="8"/>
      <c r="E480" s="8"/>
      <c r="F480" s="8" t="s">
        <v>1090</v>
      </c>
      <c r="G480" s="6" t="str">
        <f>IF(F480="","",VLOOKUP(F480,'PLAN SUPORTE'!A:B,2,0))</f>
        <v/>
      </c>
      <c r="H480" s="7"/>
      <c r="I480" s="8"/>
      <c r="J480" s="8"/>
      <c r="K480" s="8"/>
      <c r="L480" s="8" t="str">
        <f>IF(K480="","",VLOOKUP(K480,'PLAN SUPORTE'!$H$2:$I$4,2,0))</f>
        <v/>
      </c>
      <c r="M480" s="10"/>
      <c r="N480" s="10"/>
      <c r="O480" s="9" t="str">
        <f t="shared" si="78"/>
        <v/>
      </c>
      <c r="P480" s="10" t="str">
        <f t="shared" si="74"/>
        <v/>
      </c>
      <c r="Q480" s="6" t="str">
        <f t="shared" ca="1" si="75"/>
        <v/>
      </c>
      <c r="R480" s="8" t="str">
        <f t="shared" si="77"/>
        <v/>
      </c>
    </row>
    <row r="481" spans="1:18" ht="13">
      <c r="A481" s="8"/>
      <c r="B481" s="10"/>
      <c r="C481" s="10"/>
      <c r="D481" s="8"/>
      <c r="E481" s="8"/>
      <c r="F481" s="8" t="s">
        <v>1090</v>
      </c>
      <c r="G481" s="6" t="str">
        <f>IF(F481="","",VLOOKUP(F481,'PLAN SUPORTE'!A:B,2,0))</f>
        <v/>
      </c>
      <c r="H481" s="7"/>
      <c r="I481" s="8"/>
      <c r="J481" s="8"/>
      <c r="K481" s="8"/>
      <c r="L481" s="8" t="str">
        <f>IF(K481="","",VLOOKUP(K481,'PLAN SUPORTE'!$H$2:$I$4,2,0))</f>
        <v/>
      </c>
      <c r="M481" s="10"/>
      <c r="N481" s="10"/>
      <c r="O481" s="9" t="str">
        <f t="shared" si="78"/>
        <v/>
      </c>
      <c r="P481" s="10" t="str">
        <f t="shared" si="74"/>
        <v/>
      </c>
      <c r="Q481" s="6" t="str">
        <f t="shared" ca="1" si="75"/>
        <v/>
      </c>
      <c r="R481" s="8" t="str">
        <f t="shared" si="77"/>
        <v/>
      </c>
    </row>
    <row r="482" spans="1:18" ht="13">
      <c r="A482" s="8"/>
      <c r="B482" s="10"/>
      <c r="C482" s="10"/>
      <c r="D482" s="8"/>
      <c r="E482" s="8"/>
      <c r="F482" s="8" t="s">
        <v>1090</v>
      </c>
      <c r="G482" s="6" t="str">
        <f>IF(F482="","",VLOOKUP(F482,'PLAN SUPORTE'!A:B,2,0))</f>
        <v/>
      </c>
      <c r="H482" s="7"/>
      <c r="I482" s="8"/>
      <c r="J482" s="8"/>
      <c r="K482" s="8"/>
      <c r="L482" s="8" t="str">
        <f>IF(K482="","",VLOOKUP(K482,'PLAN SUPORTE'!$H$2:$I$4,2,0))</f>
        <v/>
      </c>
      <c r="M482" s="10"/>
      <c r="N482" s="10"/>
      <c r="O482" s="9" t="str">
        <f t="shared" si="78"/>
        <v/>
      </c>
      <c r="P482" s="10" t="str">
        <f t="shared" si="74"/>
        <v/>
      </c>
      <c r="Q482" s="6" t="str">
        <f t="shared" ca="1" si="75"/>
        <v/>
      </c>
      <c r="R482" s="8" t="str">
        <f t="shared" si="77"/>
        <v/>
      </c>
    </row>
    <row r="483" spans="1:18" ht="13">
      <c r="A483" s="8"/>
      <c r="B483" s="10"/>
      <c r="C483" s="10"/>
      <c r="D483" s="8"/>
      <c r="E483" s="8"/>
      <c r="F483" s="8" t="s">
        <v>1090</v>
      </c>
      <c r="G483" s="6" t="str">
        <f>IF(F483="","",VLOOKUP(F483,'PLAN SUPORTE'!A:B,2,0))</f>
        <v/>
      </c>
      <c r="H483" s="7"/>
      <c r="I483" s="8"/>
      <c r="J483" s="8"/>
      <c r="K483" s="8"/>
      <c r="L483" s="8" t="str">
        <f>IF(K483="","",VLOOKUP(K483,'PLAN SUPORTE'!$H$2:$I$4,2,0))</f>
        <v/>
      </c>
      <c r="M483" s="10"/>
      <c r="N483" s="10"/>
      <c r="O483" s="9" t="str">
        <f t="shared" si="78"/>
        <v/>
      </c>
      <c r="P483" s="10" t="str">
        <f t="shared" si="74"/>
        <v/>
      </c>
      <c r="Q483" s="6" t="str">
        <f t="shared" ca="1" si="75"/>
        <v/>
      </c>
      <c r="R483" s="8" t="str">
        <f t="shared" si="77"/>
        <v/>
      </c>
    </row>
    <row r="484" spans="1:18" ht="13">
      <c r="A484" s="8"/>
      <c r="B484" s="10"/>
      <c r="C484" s="10"/>
      <c r="D484" s="8"/>
      <c r="E484" s="8"/>
      <c r="F484" s="8" t="s">
        <v>1090</v>
      </c>
      <c r="G484" s="6" t="str">
        <f>IF(F484="","",VLOOKUP(F484,'PLAN SUPORTE'!A:B,2,0))</f>
        <v/>
      </c>
      <c r="H484" s="7"/>
      <c r="I484" s="8"/>
      <c r="J484" s="8"/>
      <c r="K484" s="8"/>
      <c r="L484" s="8" t="str">
        <f>IF(K484="","",VLOOKUP(K484,'PLAN SUPORTE'!$H$2:$I$4,2,0))</f>
        <v/>
      </c>
      <c r="M484" s="10"/>
      <c r="N484" s="10"/>
      <c r="O484" s="9" t="str">
        <f t="shared" si="78"/>
        <v/>
      </c>
      <c r="P484" s="10" t="str">
        <f t="shared" si="74"/>
        <v/>
      </c>
      <c r="Q484" s="6" t="str">
        <f t="shared" ca="1" si="75"/>
        <v/>
      </c>
      <c r="R484" s="8" t="str">
        <f t="shared" si="77"/>
        <v/>
      </c>
    </row>
    <row r="485" spans="1:18" ht="13">
      <c r="A485" s="8"/>
      <c r="B485" s="10"/>
      <c r="C485" s="10"/>
      <c r="D485" s="8"/>
      <c r="E485" s="8"/>
      <c r="F485" s="8" t="s">
        <v>1090</v>
      </c>
      <c r="G485" s="6" t="str">
        <f>IF(F485="","",VLOOKUP(F485,'PLAN SUPORTE'!A:B,2,0))</f>
        <v/>
      </c>
      <c r="H485" s="7"/>
      <c r="I485" s="8"/>
      <c r="J485" s="8"/>
      <c r="K485" s="8"/>
      <c r="L485" s="8" t="str">
        <f>IF(K485="","",VLOOKUP(K485,'PLAN SUPORTE'!$H$2:$I$4,2,0))</f>
        <v/>
      </c>
      <c r="M485" s="10"/>
      <c r="N485" s="10"/>
      <c r="O485" s="9" t="str">
        <f t="shared" si="78"/>
        <v/>
      </c>
      <c r="P485" s="10" t="str">
        <f t="shared" si="74"/>
        <v/>
      </c>
      <c r="Q485" s="6" t="str">
        <f t="shared" ca="1" si="75"/>
        <v/>
      </c>
      <c r="R485" s="8" t="str">
        <f t="shared" si="77"/>
        <v/>
      </c>
    </row>
    <row r="486" spans="1:18" ht="13">
      <c r="A486" s="8"/>
      <c r="B486" s="10"/>
      <c r="C486" s="10"/>
      <c r="D486" s="8"/>
      <c r="E486" s="8"/>
      <c r="F486" s="8" t="s">
        <v>1090</v>
      </c>
      <c r="G486" s="6" t="str">
        <f>IF(F486="","",VLOOKUP(F486,'PLAN SUPORTE'!A:B,2,0))</f>
        <v/>
      </c>
      <c r="H486" s="7"/>
      <c r="I486" s="8"/>
      <c r="J486" s="8"/>
      <c r="K486" s="8"/>
      <c r="L486" s="8" t="str">
        <f>IF(K486="","",VLOOKUP(K486,'PLAN SUPORTE'!$H$2:$I$4,2,0))</f>
        <v/>
      </c>
      <c r="M486" s="10"/>
      <c r="N486" s="10"/>
      <c r="O486" s="9" t="str">
        <f t="shared" si="78"/>
        <v/>
      </c>
      <c r="P486" s="10" t="str">
        <f t="shared" si="74"/>
        <v/>
      </c>
      <c r="Q486" s="6" t="str">
        <f t="shared" ca="1" si="75"/>
        <v/>
      </c>
      <c r="R486" s="8" t="str">
        <f t="shared" si="77"/>
        <v/>
      </c>
    </row>
    <row r="487" spans="1:18" ht="13">
      <c r="A487" s="8"/>
      <c r="B487" s="10"/>
      <c r="C487" s="10"/>
      <c r="D487" s="8"/>
      <c r="E487" s="8"/>
      <c r="F487" s="8" t="s">
        <v>1090</v>
      </c>
      <c r="G487" s="6" t="str">
        <f>IF(F487="","",VLOOKUP(F487,'PLAN SUPORTE'!A:B,2,0))</f>
        <v/>
      </c>
      <c r="H487" s="7"/>
      <c r="I487" s="8"/>
      <c r="J487" s="8"/>
      <c r="K487" s="8"/>
      <c r="L487" s="8" t="str">
        <f>IF(K487="","",VLOOKUP(K487,'PLAN SUPORTE'!$H$2:$I$4,2,0))</f>
        <v/>
      </c>
      <c r="M487" s="10"/>
      <c r="N487" s="10"/>
      <c r="O487" s="9" t="str">
        <f t="shared" si="78"/>
        <v/>
      </c>
      <c r="P487" s="10" t="str">
        <f t="shared" si="74"/>
        <v/>
      </c>
      <c r="Q487" s="6" t="str">
        <f t="shared" ca="1" si="75"/>
        <v/>
      </c>
      <c r="R487" s="8" t="str">
        <f t="shared" si="77"/>
        <v/>
      </c>
    </row>
    <row r="488" spans="1:18" ht="13">
      <c r="A488" s="8"/>
      <c r="B488" s="10"/>
      <c r="C488" s="10"/>
      <c r="D488" s="8"/>
      <c r="E488" s="8"/>
      <c r="F488" s="8" t="s">
        <v>1090</v>
      </c>
      <c r="G488" s="6" t="str">
        <f>IF(F488="","",VLOOKUP(F488,'PLAN SUPORTE'!A:B,2,0))</f>
        <v/>
      </c>
      <c r="H488" s="7"/>
      <c r="I488" s="8"/>
      <c r="J488" s="8"/>
      <c r="K488" s="8"/>
      <c r="L488" s="8" t="str">
        <f>IF(K488="","",VLOOKUP(K488,'PLAN SUPORTE'!$H$2:$I$4,2,0))</f>
        <v/>
      </c>
      <c r="M488" s="10"/>
      <c r="N488" s="10"/>
      <c r="O488" s="9" t="str">
        <f t="shared" si="78"/>
        <v/>
      </c>
      <c r="P488" s="10" t="str">
        <f t="shared" si="74"/>
        <v/>
      </c>
      <c r="Q488" s="6" t="str">
        <f t="shared" ca="1" si="75"/>
        <v/>
      </c>
      <c r="R488" s="8" t="str">
        <f t="shared" si="77"/>
        <v/>
      </c>
    </row>
    <row r="489" spans="1:18" ht="13">
      <c r="A489" s="8"/>
      <c r="B489" s="10"/>
      <c r="C489" s="10"/>
      <c r="D489" s="8"/>
      <c r="E489" s="8"/>
      <c r="F489" s="8" t="s">
        <v>1090</v>
      </c>
      <c r="G489" s="6" t="str">
        <f>IF(F489="","",VLOOKUP(F489,'PLAN SUPORTE'!A:B,2,0))</f>
        <v/>
      </c>
      <c r="H489" s="7"/>
      <c r="I489" s="8"/>
      <c r="J489" s="8"/>
      <c r="K489" s="8"/>
      <c r="L489" s="8" t="str">
        <f>IF(K489="","",VLOOKUP(K489,'PLAN SUPORTE'!$H$2:$I$4,2,0))</f>
        <v/>
      </c>
      <c r="M489" s="10"/>
      <c r="N489" s="10"/>
      <c r="O489" s="9" t="str">
        <f t="shared" si="78"/>
        <v/>
      </c>
      <c r="P489" s="10" t="str">
        <f t="shared" si="74"/>
        <v/>
      </c>
      <c r="Q489" s="6" t="str">
        <f t="shared" ca="1" si="75"/>
        <v/>
      </c>
      <c r="R489" s="8" t="str">
        <f t="shared" si="77"/>
        <v/>
      </c>
    </row>
    <row r="490" spans="1:18" ht="13">
      <c r="A490" s="8"/>
      <c r="B490" s="10"/>
      <c r="C490" s="10"/>
      <c r="D490" s="8"/>
      <c r="E490" s="8"/>
      <c r="F490" s="8" t="s">
        <v>1090</v>
      </c>
      <c r="G490" s="6" t="str">
        <f>IF(F490="","",VLOOKUP(F490,'PLAN SUPORTE'!A:B,2,0))</f>
        <v/>
      </c>
      <c r="H490" s="7"/>
      <c r="I490" s="8"/>
      <c r="J490" s="8"/>
      <c r="K490" s="8"/>
      <c r="L490" s="8" t="str">
        <f>IF(K490="","",VLOOKUP(K490,'PLAN SUPORTE'!$H$2:$I$4,2,0))</f>
        <v/>
      </c>
      <c r="M490" s="10"/>
      <c r="N490" s="10"/>
      <c r="O490" s="9" t="str">
        <f t="shared" si="78"/>
        <v/>
      </c>
      <c r="P490" s="10" t="str">
        <f t="shared" si="74"/>
        <v/>
      </c>
      <c r="Q490" s="6" t="str">
        <f t="shared" ca="1" si="75"/>
        <v/>
      </c>
      <c r="R490" s="8" t="str">
        <f t="shared" si="77"/>
        <v/>
      </c>
    </row>
    <row r="491" spans="1:18" ht="13">
      <c r="A491" s="8"/>
      <c r="B491" s="10"/>
      <c r="C491" s="10"/>
      <c r="D491" s="8"/>
      <c r="E491" s="8"/>
      <c r="F491" s="8" t="s">
        <v>1090</v>
      </c>
      <c r="G491" s="6" t="str">
        <f>IF(F491="","",VLOOKUP(F491,'PLAN SUPORTE'!A:B,2,0))</f>
        <v/>
      </c>
      <c r="H491" s="7"/>
      <c r="I491" s="8"/>
      <c r="J491" s="8"/>
      <c r="K491" s="8"/>
      <c r="L491" s="8" t="str">
        <f>IF(K491="","",VLOOKUP(K491,'PLAN SUPORTE'!$H$2:$I$4,2,0))</f>
        <v/>
      </c>
      <c r="M491" s="10"/>
      <c r="N491" s="10"/>
      <c r="O491" s="9" t="str">
        <f t="shared" si="78"/>
        <v/>
      </c>
      <c r="P491" s="10" t="str">
        <f t="shared" si="74"/>
        <v/>
      </c>
      <c r="Q491" s="6" t="str">
        <f t="shared" ca="1" si="75"/>
        <v/>
      </c>
      <c r="R491" s="8" t="str">
        <f t="shared" si="77"/>
        <v/>
      </c>
    </row>
    <row r="492" spans="1:18" ht="13">
      <c r="A492" s="8"/>
      <c r="B492" s="10"/>
      <c r="C492" s="10"/>
      <c r="D492" s="8"/>
      <c r="E492" s="8"/>
      <c r="F492" s="8" t="s">
        <v>1090</v>
      </c>
      <c r="G492" s="6" t="str">
        <f>IF(F492="","",VLOOKUP(F492,'PLAN SUPORTE'!A:B,2,0))</f>
        <v/>
      </c>
      <c r="H492" s="7"/>
      <c r="I492" s="8"/>
      <c r="J492" s="8"/>
      <c r="K492" s="8"/>
      <c r="L492" s="8" t="str">
        <f>IF(K492="","",VLOOKUP(K492,'PLAN SUPORTE'!$H$2:$I$4,2,0))</f>
        <v/>
      </c>
      <c r="M492" s="10"/>
      <c r="N492" s="10"/>
      <c r="O492" s="9" t="str">
        <f t="shared" si="78"/>
        <v/>
      </c>
      <c r="P492" s="10" t="str">
        <f t="shared" si="74"/>
        <v/>
      </c>
      <c r="Q492" s="6" t="str">
        <f t="shared" ca="1" si="75"/>
        <v/>
      </c>
      <c r="R492" s="8" t="str">
        <f t="shared" si="77"/>
        <v/>
      </c>
    </row>
    <row r="493" spans="1:18" ht="13">
      <c r="A493" s="8"/>
      <c r="B493" s="10"/>
      <c r="C493" s="10"/>
      <c r="D493" s="8"/>
      <c r="E493" s="8"/>
      <c r="F493" s="8" t="s">
        <v>1090</v>
      </c>
      <c r="G493" s="6" t="str">
        <f>IF(F493="","",VLOOKUP(F493,'PLAN SUPORTE'!A:B,2,0))</f>
        <v/>
      </c>
      <c r="H493" s="7"/>
      <c r="I493" s="8"/>
      <c r="J493" s="8"/>
      <c r="K493" s="8"/>
      <c r="L493" s="8" t="str">
        <f>IF(K493="","",VLOOKUP(K493,'PLAN SUPORTE'!$H$2:$I$4,2,0))</f>
        <v/>
      </c>
      <c r="M493" s="10"/>
      <c r="N493" s="10"/>
      <c r="O493" s="9" t="str">
        <f t="shared" si="78"/>
        <v/>
      </c>
      <c r="P493" s="10" t="str">
        <f t="shared" si="74"/>
        <v/>
      </c>
      <c r="Q493" s="6" t="str">
        <f t="shared" ca="1" si="75"/>
        <v/>
      </c>
      <c r="R493" s="8" t="str">
        <f t="shared" si="77"/>
        <v/>
      </c>
    </row>
    <row r="494" spans="1:18" ht="13">
      <c r="A494" s="8"/>
      <c r="B494" s="10"/>
      <c r="C494" s="10"/>
      <c r="D494" s="8"/>
      <c r="E494" s="8"/>
      <c r="F494" s="8" t="s">
        <v>1090</v>
      </c>
      <c r="G494" s="6" t="str">
        <f>IF(F494="","",VLOOKUP(F494,'PLAN SUPORTE'!A:B,2,0))</f>
        <v/>
      </c>
      <c r="H494" s="7"/>
      <c r="I494" s="8"/>
      <c r="J494" s="8"/>
      <c r="K494" s="8"/>
      <c r="L494" s="8" t="str">
        <f>IF(K494="","",VLOOKUP(K494,'PLAN SUPORTE'!$H$2:$I$4,2,0))</f>
        <v/>
      </c>
      <c r="M494" s="10"/>
      <c r="N494" s="10"/>
      <c r="O494" s="9" t="str">
        <f t="shared" si="78"/>
        <v/>
      </c>
      <c r="P494" s="10" t="str">
        <f t="shared" si="74"/>
        <v/>
      </c>
      <c r="Q494" s="6" t="str">
        <f t="shared" ca="1" si="75"/>
        <v/>
      </c>
      <c r="R494" s="8" t="str">
        <f t="shared" si="77"/>
        <v/>
      </c>
    </row>
    <row r="495" spans="1:18" ht="13">
      <c r="A495" s="8"/>
      <c r="B495" s="10"/>
      <c r="C495" s="10"/>
      <c r="D495" s="8"/>
      <c r="E495" s="8"/>
      <c r="F495" s="8" t="s">
        <v>1090</v>
      </c>
      <c r="G495" s="6" t="str">
        <f>IF(F495="","",VLOOKUP(F495,'PLAN SUPORTE'!A:B,2,0))</f>
        <v/>
      </c>
      <c r="H495" s="7"/>
      <c r="I495" s="8"/>
      <c r="J495" s="8"/>
      <c r="K495" s="8"/>
      <c r="L495" s="8" t="str">
        <f>IF(K495="","",VLOOKUP(K495,'PLAN SUPORTE'!$H$2:$I$4,2,0))</f>
        <v/>
      </c>
      <c r="M495" s="10"/>
      <c r="N495" s="10"/>
      <c r="O495" s="9" t="str">
        <f t="shared" si="78"/>
        <v/>
      </c>
      <c r="P495" s="10" t="str">
        <f t="shared" si="74"/>
        <v/>
      </c>
      <c r="Q495" s="6" t="str">
        <f t="shared" ca="1" si="75"/>
        <v/>
      </c>
      <c r="R495" s="8" t="str">
        <f t="shared" si="77"/>
        <v/>
      </c>
    </row>
    <row r="496" spans="1:18" ht="13">
      <c r="A496" s="8"/>
      <c r="B496" s="10"/>
      <c r="C496" s="10"/>
      <c r="D496" s="8"/>
      <c r="E496" s="8"/>
      <c r="F496" s="8" t="s">
        <v>1090</v>
      </c>
      <c r="G496" s="6" t="str">
        <f>IF(F496="","",VLOOKUP(F496,'PLAN SUPORTE'!A:B,2,0))</f>
        <v/>
      </c>
      <c r="H496" s="7"/>
      <c r="I496" s="8"/>
      <c r="J496" s="8"/>
      <c r="K496" s="8"/>
      <c r="L496" s="8" t="str">
        <f>IF(K496="","",VLOOKUP(K496,'PLAN SUPORTE'!$H$2:$I$4,2,0))</f>
        <v/>
      </c>
      <c r="M496" s="10"/>
      <c r="N496" s="10"/>
      <c r="O496" s="9" t="str">
        <f t="shared" si="78"/>
        <v/>
      </c>
      <c r="P496" s="10" t="str">
        <f t="shared" si="74"/>
        <v/>
      </c>
      <c r="Q496" s="6" t="str">
        <f t="shared" ca="1" si="75"/>
        <v/>
      </c>
      <c r="R496" s="8" t="str">
        <f t="shared" si="77"/>
        <v/>
      </c>
    </row>
    <row r="497" spans="1:18" ht="13">
      <c r="A497" s="8"/>
      <c r="B497" s="10"/>
      <c r="C497" s="10"/>
      <c r="D497" s="8"/>
      <c r="E497" s="8"/>
      <c r="F497" s="8" t="s">
        <v>1090</v>
      </c>
      <c r="G497" s="6" t="str">
        <f>IF(F497="","",VLOOKUP(F497,'PLAN SUPORTE'!A:B,2,0))</f>
        <v/>
      </c>
      <c r="H497" s="7"/>
      <c r="I497" s="8"/>
      <c r="J497" s="8"/>
      <c r="K497" s="8"/>
      <c r="L497" s="8" t="str">
        <f>IF(K497="","",VLOOKUP(K497,'PLAN SUPORTE'!$H$2:$I$4,2,0))</f>
        <v/>
      </c>
      <c r="M497" s="10"/>
      <c r="N497" s="10"/>
      <c r="O497" s="9" t="str">
        <f t="shared" si="78"/>
        <v/>
      </c>
      <c r="P497" s="10" t="str">
        <f t="shared" si="74"/>
        <v/>
      </c>
      <c r="Q497" s="6" t="str">
        <f t="shared" ca="1" si="75"/>
        <v/>
      </c>
      <c r="R497" s="8" t="str">
        <f t="shared" si="77"/>
        <v/>
      </c>
    </row>
    <row r="498" spans="1:18" ht="13">
      <c r="A498" s="8"/>
      <c r="B498" s="10"/>
      <c r="C498" s="10"/>
      <c r="D498" s="8"/>
      <c r="E498" s="8"/>
      <c r="F498" s="8" t="s">
        <v>1090</v>
      </c>
      <c r="G498" s="6" t="str">
        <f>IF(F498="","",VLOOKUP(F498,'PLAN SUPORTE'!A:B,2,0))</f>
        <v/>
      </c>
      <c r="H498" s="7"/>
      <c r="I498" s="8"/>
      <c r="J498" s="8"/>
      <c r="K498" s="8"/>
      <c r="L498" s="8" t="str">
        <f>IF(K498="","",VLOOKUP(K498,'PLAN SUPORTE'!$H$2:$I$4,2,0))</f>
        <v/>
      </c>
      <c r="M498" s="10"/>
      <c r="N498" s="10"/>
      <c r="O498" s="9" t="str">
        <f t="shared" si="78"/>
        <v/>
      </c>
      <c r="P498" s="10" t="str">
        <f t="shared" si="74"/>
        <v/>
      </c>
      <c r="Q498" s="6" t="str">
        <f t="shared" ca="1" si="75"/>
        <v/>
      </c>
      <c r="R498" s="8" t="str">
        <f t="shared" si="77"/>
        <v/>
      </c>
    </row>
    <row r="499" spans="1:18" ht="13">
      <c r="A499" s="8"/>
      <c r="B499" s="10"/>
      <c r="C499" s="10"/>
      <c r="D499" s="8"/>
      <c r="E499" s="8"/>
      <c r="F499" s="8" t="s">
        <v>1090</v>
      </c>
      <c r="G499" s="6" t="str">
        <f>IF(F499="","",VLOOKUP(F499,'PLAN SUPORTE'!A:B,2,0))</f>
        <v/>
      </c>
      <c r="H499" s="7"/>
      <c r="I499" s="8"/>
      <c r="J499" s="8"/>
      <c r="K499" s="8"/>
      <c r="L499" s="8" t="str">
        <f>IF(K499="","",VLOOKUP(K499,'PLAN SUPORTE'!$H$2:$I$4,2,0))</f>
        <v/>
      </c>
      <c r="M499" s="10"/>
      <c r="N499" s="10"/>
      <c r="O499" s="9" t="str">
        <f t="shared" si="78"/>
        <v/>
      </c>
      <c r="P499" s="10" t="str">
        <f t="shared" si="74"/>
        <v/>
      </c>
      <c r="Q499" s="6" t="str">
        <f t="shared" ca="1" si="75"/>
        <v/>
      </c>
      <c r="R499" s="8" t="str">
        <f t="shared" si="77"/>
        <v/>
      </c>
    </row>
    <row r="500" spans="1:18" ht="13">
      <c r="A500" s="8"/>
      <c r="B500" s="10"/>
      <c r="C500" s="10"/>
      <c r="D500" s="8"/>
      <c r="E500" s="8"/>
      <c r="F500" s="8" t="s">
        <v>1090</v>
      </c>
      <c r="G500" s="6" t="str">
        <f>IF(F500="","",VLOOKUP(F500,'PLAN SUPORTE'!A:B,2,0))</f>
        <v/>
      </c>
      <c r="H500" s="7"/>
      <c r="I500" s="8"/>
      <c r="J500" s="8"/>
      <c r="K500" s="8"/>
      <c r="L500" s="8" t="str">
        <f>IF(K500="","",VLOOKUP(K500,'PLAN SUPORTE'!$H$2:$I$4,2,0))</f>
        <v/>
      </c>
      <c r="M500" s="10"/>
      <c r="N500" s="10"/>
      <c r="O500" s="9" t="str">
        <f t="shared" si="78"/>
        <v/>
      </c>
      <c r="P500" s="10" t="str">
        <f t="shared" si="74"/>
        <v/>
      </c>
      <c r="Q500" s="6" t="str">
        <f t="shared" ca="1" si="75"/>
        <v/>
      </c>
      <c r="R500" s="8" t="str">
        <f t="shared" si="77"/>
        <v/>
      </c>
    </row>
    <row r="501" spans="1:18" ht="13">
      <c r="A501" s="8"/>
      <c r="B501" s="10"/>
      <c r="C501" s="10"/>
      <c r="D501" s="8"/>
      <c r="E501" s="8"/>
      <c r="F501" s="8" t="s">
        <v>1090</v>
      </c>
      <c r="G501" s="6" t="str">
        <f>IF(F501="","",VLOOKUP(F501,'PLAN SUPORTE'!A:B,2,0))</f>
        <v/>
      </c>
      <c r="H501" s="7"/>
      <c r="I501" s="8"/>
      <c r="J501" s="8"/>
      <c r="K501" s="8"/>
      <c r="L501" s="8" t="str">
        <f>IF(K501="","",VLOOKUP(K501,'PLAN SUPORTE'!$H$2:$I$4,2,0))</f>
        <v/>
      </c>
      <c r="M501" s="10"/>
      <c r="N501" s="10"/>
      <c r="O501" s="9" t="str">
        <f t="shared" si="78"/>
        <v/>
      </c>
      <c r="P501" s="10" t="str">
        <f t="shared" si="74"/>
        <v/>
      </c>
      <c r="Q501" s="6" t="str">
        <f t="shared" ca="1" si="75"/>
        <v/>
      </c>
      <c r="R501" s="8" t="str">
        <f t="shared" si="77"/>
        <v/>
      </c>
    </row>
    <row r="502" spans="1:18" ht="13">
      <c r="A502" s="8"/>
      <c r="B502" s="10"/>
      <c r="C502" s="10"/>
      <c r="D502" s="8"/>
      <c r="E502" s="8"/>
      <c r="F502" s="8" t="s">
        <v>1090</v>
      </c>
      <c r="G502" s="6" t="str">
        <f>IF(F502="","",VLOOKUP(F502,'PLAN SUPORTE'!A:B,2,0))</f>
        <v/>
      </c>
      <c r="H502" s="7"/>
      <c r="I502" s="8"/>
      <c r="J502" s="8"/>
      <c r="K502" s="8"/>
      <c r="L502" s="8" t="str">
        <f>IF(K502="","",VLOOKUP(K502,'PLAN SUPORTE'!$H$2:$I$4,2,0))</f>
        <v/>
      </c>
      <c r="M502" s="10"/>
      <c r="N502" s="10"/>
      <c r="O502" s="9" t="str">
        <f t="shared" si="78"/>
        <v/>
      </c>
      <c r="P502" s="10" t="str">
        <f t="shared" si="74"/>
        <v/>
      </c>
      <c r="Q502" s="6" t="str">
        <f t="shared" ca="1" si="75"/>
        <v/>
      </c>
      <c r="R502" s="8" t="str">
        <f t="shared" si="77"/>
        <v/>
      </c>
    </row>
    <row r="503" spans="1:18" ht="13">
      <c r="A503" s="8"/>
      <c r="B503" s="10"/>
      <c r="C503" s="10"/>
      <c r="D503" s="8"/>
      <c r="E503" s="8"/>
      <c r="F503" s="8" t="s">
        <v>1090</v>
      </c>
      <c r="G503" s="6" t="str">
        <f>IF(F503="","",VLOOKUP(F503,'PLAN SUPORTE'!A:B,2,0))</f>
        <v/>
      </c>
      <c r="H503" s="7"/>
      <c r="I503" s="8"/>
      <c r="J503" s="8"/>
      <c r="K503" s="8"/>
      <c r="L503" s="8" t="str">
        <f>IF(K503="","",VLOOKUP(K503,'PLAN SUPORTE'!$H$2:$I$4,2,0))</f>
        <v/>
      </c>
      <c r="M503" s="10"/>
      <c r="N503" s="10"/>
      <c r="O503" s="9" t="str">
        <f t="shared" si="78"/>
        <v/>
      </c>
      <c r="P503" s="10" t="str">
        <f t="shared" si="74"/>
        <v/>
      </c>
      <c r="Q503" s="6" t="str">
        <f t="shared" ca="1" si="75"/>
        <v/>
      </c>
      <c r="R503" s="8" t="str">
        <f t="shared" si="77"/>
        <v/>
      </c>
    </row>
    <row r="504" spans="1:18" ht="13">
      <c r="A504" s="8"/>
      <c r="B504" s="10"/>
      <c r="C504" s="10"/>
      <c r="D504" s="8"/>
      <c r="E504" s="8"/>
      <c r="F504" s="8" t="s">
        <v>1090</v>
      </c>
      <c r="G504" s="6" t="str">
        <f>IF(F504="","",VLOOKUP(F504,'PLAN SUPORTE'!A:B,2,0))</f>
        <v/>
      </c>
      <c r="H504" s="7"/>
      <c r="I504" s="8"/>
      <c r="J504" s="8"/>
      <c r="K504" s="8"/>
      <c r="L504" s="8" t="str">
        <f>IF(K504="","",VLOOKUP(K504,'PLAN SUPORTE'!$H$2:$I$4,2,0))</f>
        <v/>
      </c>
      <c r="M504" s="10"/>
      <c r="N504" s="10"/>
      <c r="O504" s="9" t="str">
        <f t="shared" si="78"/>
        <v/>
      </c>
      <c r="P504" s="10" t="str">
        <f t="shared" si="74"/>
        <v/>
      </c>
      <c r="Q504" s="6" t="str">
        <f t="shared" ca="1" si="75"/>
        <v/>
      </c>
      <c r="R504" s="8" t="str">
        <f t="shared" si="77"/>
        <v/>
      </c>
    </row>
    <row r="505" spans="1:18" ht="13">
      <c r="A505" s="8"/>
      <c r="B505" s="10"/>
      <c r="C505" s="10"/>
      <c r="D505" s="8"/>
      <c r="E505" s="8"/>
      <c r="F505" s="8" t="s">
        <v>1090</v>
      </c>
      <c r="G505" s="6" t="str">
        <f>IF(F505="","",VLOOKUP(F505,'PLAN SUPORTE'!A:B,2,0))</f>
        <v/>
      </c>
      <c r="H505" s="7"/>
      <c r="I505" s="8"/>
      <c r="J505" s="8"/>
      <c r="K505" s="8"/>
      <c r="L505" s="8" t="str">
        <f>IF(K505="","",VLOOKUP(K505,'PLAN SUPORTE'!$H$2:$I$4,2,0))</f>
        <v/>
      </c>
      <c r="M505" s="10"/>
      <c r="N505" s="10"/>
      <c r="O505" s="9" t="str">
        <f t="shared" si="78"/>
        <v/>
      </c>
      <c r="P505" s="10" t="str">
        <f t="shared" si="74"/>
        <v/>
      </c>
      <c r="Q505" s="6" t="str">
        <f t="shared" ca="1" si="75"/>
        <v/>
      </c>
      <c r="R505" s="8" t="str">
        <f t="shared" si="77"/>
        <v/>
      </c>
    </row>
    <row r="506" spans="1:18" ht="13">
      <c r="A506" s="8"/>
      <c r="B506" s="10"/>
      <c r="C506" s="10"/>
      <c r="D506" s="8"/>
      <c r="E506" s="8"/>
      <c r="F506" s="8" t="s">
        <v>1090</v>
      </c>
      <c r="G506" s="6" t="str">
        <f>IF(F506="","",VLOOKUP(F506,'PLAN SUPORTE'!A:B,2,0))</f>
        <v/>
      </c>
      <c r="H506" s="7"/>
      <c r="I506" s="8"/>
      <c r="J506" s="8"/>
      <c r="K506" s="8"/>
      <c r="L506" s="8" t="str">
        <f>IF(K506="","",VLOOKUP(K506,'PLAN SUPORTE'!$H$2:$I$4,2,0))</f>
        <v/>
      </c>
      <c r="M506" s="10"/>
      <c r="N506" s="10"/>
      <c r="O506" s="9" t="str">
        <f t="shared" si="78"/>
        <v/>
      </c>
      <c r="P506" s="10" t="str">
        <f t="shared" si="74"/>
        <v/>
      </c>
      <c r="Q506" s="6" t="str">
        <f t="shared" ca="1" si="75"/>
        <v/>
      </c>
      <c r="R506" s="8" t="str">
        <f t="shared" si="77"/>
        <v/>
      </c>
    </row>
    <row r="507" spans="1:18" ht="13">
      <c r="A507" s="8"/>
      <c r="B507" s="10"/>
      <c r="C507" s="10"/>
      <c r="D507" s="8"/>
      <c r="E507" s="8"/>
      <c r="F507" s="8" t="s">
        <v>1090</v>
      </c>
      <c r="G507" s="6" t="str">
        <f>IF(F507="","",VLOOKUP(F507,'PLAN SUPORTE'!A:B,2,0))</f>
        <v/>
      </c>
      <c r="H507" s="7"/>
      <c r="I507" s="8"/>
      <c r="J507" s="8"/>
      <c r="K507" s="8"/>
      <c r="L507" s="8" t="str">
        <f>IF(K507="","",VLOOKUP(K507,'PLAN SUPORTE'!$H$2:$I$4,2,0))</f>
        <v/>
      </c>
      <c r="M507" s="10"/>
      <c r="N507" s="10"/>
      <c r="O507" s="9" t="str">
        <f t="shared" si="78"/>
        <v/>
      </c>
      <c r="P507" s="10" t="str">
        <f t="shared" si="74"/>
        <v/>
      </c>
      <c r="Q507" s="6" t="str">
        <f t="shared" ca="1" si="75"/>
        <v/>
      </c>
      <c r="R507" s="8" t="str">
        <f t="shared" si="77"/>
        <v/>
      </c>
    </row>
    <row r="508" spans="1:18" ht="13">
      <c r="A508" s="8"/>
      <c r="B508" s="10"/>
      <c r="C508" s="10"/>
      <c r="D508" s="8"/>
      <c r="E508" s="8"/>
      <c r="F508" s="8" t="s">
        <v>1090</v>
      </c>
      <c r="G508" s="6" t="str">
        <f>IF(F508="","",VLOOKUP(F508,'PLAN SUPORTE'!A:B,2,0))</f>
        <v/>
      </c>
      <c r="H508" s="7"/>
      <c r="I508" s="8"/>
      <c r="J508" s="8"/>
      <c r="K508" s="8"/>
      <c r="L508" s="8" t="str">
        <f>IF(K508="","",VLOOKUP(K508,'PLAN SUPORTE'!$H$2:$I$4,2,0))</f>
        <v/>
      </c>
      <c r="M508" s="10"/>
      <c r="N508" s="10"/>
      <c r="O508" s="9" t="str">
        <f t="shared" si="78"/>
        <v/>
      </c>
      <c r="P508" s="10" t="str">
        <f t="shared" si="74"/>
        <v/>
      </c>
      <c r="Q508" s="6" t="str">
        <f t="shared" ca="1" si="75"/>
        <v/>
      </c>
      <c r="R508" s="8" t="str">
        <f t="shared" si="77"/>
        <v/>
      </c>
    </row>
    <row r="509" spans="1:18" ht="13">
      <c r="A509" s="8"/>
      <c r="B509" s="10"/>
      <c r="C509" s="10"/>
      <c r="D509" s="8"/>
      <c r="E509" s="8"/>
      <c r="F509" s="8" t="s">
        <v>1090</v>
      </c>
      <c r="G509" s="6" t="str">
        <f>IF(F509="","",VLOOKUP(F509,'PLAN SUPORTE'!A:B,2,0))</f>
        <v/>
      </c>
      <c r="H509" s="7"/>
      <c r="I509" s="8"/>
      <c r="J509" s="8"/>
      <c r="K509" s="8"/>
      <c r="L509" s="8" t="str">
        <f>IF(K509="","",VLOOKUP(K509,'PLAN SUPORTE'!$H$2:$I$4,2,0))</f>
        <v/>
      </c>
      <c r="M509" s="10"/>
      <c r="N509" s="10"/>
      <c r="O509" s="9" t="str">
        <f t="shared" si="78"/>
        <v/>
      </c>
      <c r="P509" s="10" t="str">
        <f t="shared" si="74"/>
        <v/>
      </c>
      <c r="Q509" s="6" t="str">
        <f t="shared" ca="1" si="75"/>
        <v/>
      </c>
      <c r="R509" s="8" t="str">
        <f t="shared" si="77"/>
        <v/>
      </c>
    </row>
    <row r="510" spans="1:18" ht="13">
      <c r="A510" s="8"/>
      <c r="B510" s="10"/>
      <c r="C510" s="10"/>
      <c r="D510" s="8"/>
      <c r="E510" s="8"/>
      <c r="F510" s="8" t="s">
        <v>1090</v>
      </c>
      <c r="G510" s="6" t="str">
        <f>IF(F510="","",VLOOKUP(F510,'PLAN SUPORTE'!A:B,2,0))</f>
        <v/>
      </c>
      <c r="H510" s="7"/>
      <c r="I510" s="8"/>
      <c r="J510" s="8"/>
      <c r="K510" s="8"/>
      <c r="L510" s="8" t="str">
        <f>IF(K510="","",VLOOKUP(K510,'PLAN SUPORTE'!$H$2:$I$4,2,0))</f>
        <v/>
      </c>
      <c r="M510" s="10"/>
      <c r="N510" s="10"/>
      <c r="O510" s="9" t="str">
        <f t="shared" si="78"/>
        <v/>
      </c>
      <c r="P510" s="10" t="str">
        <f t="shared" si="74"/>
        <v/>
      </c>
      <c r="Q510" s="6" t="str">
        <f t="shared" ca="1" si="75"/>
        <v/>
      </c>
      <c r="R510" s="8" t="str">
        <f t="shared" si="77"/>
        <v/>
      </c>
    </row>
    <row r="511" spans="1:18" ht="13">
      <c r="A511" s="8"/>
      <c r="B511" s="10"/>
      <c r="C511" s="10"/>
      <c r="D511" s="8"/>
      <c r="E511" s="8"/>
      <c r="F511" s="8" t="s">
        <v>1090</v>
      </c>
      <c r="G511" s="6" t="str">
        <f>IF(F511="","",VLOOKUP(F511,'PLAN SUPORTE'!A:B,2,0))</f>
        <v/>
      </c>
      <c r="H511" s="7"/>
      <c r="I511" s="8"/>
      <c r="J511" s="8"/>
      <c r="K511" s="8"/>
      <c r="L511" s="8" t="str">
        <f>IF(K511="","",VLOOKUP(K511,'PLAN SUPORTE'!$H$2:$I$4,2,0))</f>
        <v/>
      </c>
      <c r="M511" s="10"/>
      <c r="N511" s="10"/>
      <c r="O511" s="9" t="str">
        <f t="shared" si="78"/>
        <v/>
      </c>
      <c r="P511" s="10" t="str">
        <f t="shared" si="74"/>
        <v/>
      </c>
      <c r="Q511" s="6" t="str">
        <f t="shared" ca="1" si="75"/>
        <v/>
      </c>
      <c r="R511" s="8" t="str">
        <f t="shared" si="77"/>
        <v/>
      </c>
    </row>
    <row r="512" spans="1:18" ht="13">
      <c r="A512" s="8"/>
      <c r="B512" s="10"/>
      <c r="C512" s="10"/>
      <c r="D512" s="8"/>
      <c r="E512" s="8"/>
      <c r="F512" s="8" t="s">
        <v>1090</v>
      </c>
      <c r="G512" s="6" t="str">
        <f>IF(F512="","",VLOOKUP(F512,'PLAN SUPORTE'!A:B,2,0))</f>
        <v/>
      </c>
      <c r="H512" s="7"/>
      <c r="I512" s="8"/>
      <c r="J512" s="8"/>
      <c r="K512" s="8"/>
      <c r="L512" s="8" t="str">
        <f>IF(K512="","",VLOOKUP(K512,'PLAN SUPORTE'!$H$2:$I$4,2,0))</f>
        <v/>
      </c>
      <c r="M512" s="10"/>
      <c r="N512" s="10"/>
      <c r="O512" s="9" t="str">
        <f t="shared" si="78"/>
        <v/>
      </c>
      <c r="P512" s="10" t="str">
        <f t="shared" si="74"/>
        <v/>
      </c>
      <c r="Q512" s="6" t="str">
        <f t="shared" ca="1" si="75"/>
        <v/>
      </c>
      <c r="R512" s="8" t="str">
        <f t="shared" si="77"/>
        <v/>
      </c>
    </row>
    <row r="513" spans="1:18" ht="13">
      <c r="A513" s="8"/>
      <c r="B513" s="10"/>
      <c r="C513" s="10"/>
      <c r="D513" s="8"/>
      <c r="E513" s="8"/>
      <c r="F513" s="8" t="s">
        <v>1090</v>
      </c>
      <c r="G513" s="6" t="str">
        <f>IF(F513="","",VLOOKUP(F513,'PLAN SUPORTE'!A:B,2,0))</f>
        <v/>
      </c>
      <c r="H513" s="7"/>
      <c r="I513" s="8"/>
      <c r="J513" s="8"/>
      <c r="K513" s="8"/>
      <c r="L513" s="8" t="str">
        <f>IF(K513="","",VLOOKUP(K513,'PLAN SUPORTE'!$H$2:$I$4,2,0))</f>
        <v/>
      </c>
      <c r="M513" s="10"/>
      <c r="N513" s="10"/>
      <c r="O513" s="9" t="str">
        <f t="shared" si="78"/>
        <v/>
      </c>
      <c r="P513" s="10" t="str">
        <f t="shared" si="74"/>
        <v/>
      </c>
      <c r="Q513" s="6" t="str">
        <f t="shared" ca="1" si="75"/>
        <v/>
      </c>
      <c r="R513" s="8" t="str">
        <f t="shared" si="77"/>
        <v/>
      </c>
    </row>
    <row r="514" spans="1:18" ht="13">
      <c r="A514" s="8"/>
      <c r="B514" s="10"/>
      <c r="C514" s="10"/>
      <c r="D514" s="8"/>
      <c r="E514" s="8"/>
      <c r="F514" s="8" t="s">
        <v>1090</v>
      </c>
      <c r="G514" s="6" t="str">
        <f>IF(F514="","",VLOOKUP(F514,'PLAN SUPORTE'!A:B,2,0))</f>
        <v/>
      </c>
      <c r="H514" s="7"/>
      <c r="I514" s="8"/>
      <c r="J514" s="8"/>
      <c r="K514" s="8"/>
      <c r="L514" s="8" t="str">
        <f>IF(K514="","",VLOOKUP(K514,'PLAN SUPORTE'!$H$2:$I$4,2,0))</f>
        <v/>
      </c>
      <c r="M514" s="10"/>
      <c r="N514" s="10"/>
      <c r="O514" s="9" t="str">
        <f t="shared" si="78"/>
        <v/>
      </c>
      <c r="P514" s="10" t="str">
        <f t="shared" si="74"/>
        <v/>
      </c>
      <c r="Q514" s="6" t="str">
        <f t="shared" ca="1" si="75"/>
        <v/>
      </c>
      <c r="R514" s="8" t="str">
        <f t="shared" si="77"/>
        <v/>
      </c>
    </row>
    <row r="515" spans="1:18" ht="13">
      <c r="A515" s="8"/>
      <c r="B515" s="10"/>
      <c r="C515" s="10"/>
      <c r="D515" s="8"/>
      <c r="E515" s="8"/>
      <c r="F515" s="8" t="s">
        <v>1090</v>
      </c>
      <c r="G515" s="6" t="str">
        <f>IF(F515="","",VLOOKUP(F515,'PLAN SUPORTE'!A:B,2,0))</f>
        <v/>
      </c>
      <c r="H515" s="7"/>
      <c r="I515" s="8"/>
      <c r="J515" s="8"/>
      <c r="K515" s="8"/>
      <c r="L515" s="8" t="str">
        <f>IF(K515="","",VLOOKUP(K515,'PLAN SUPORTE'!$H$2:$I$4,2,0))</f>
        <v/>
      </c>
      <c r="M515" s="10"/>
      <c r="N515" s="10"/>
      <c r="O515" s="9" t="str">
        <f t="shared" si="78"/>
        <v/>
      </c>
      <c r="P515" s="10" t="str">
        <f t="shared" si="74"/>
        <v/>
      </c>
      <c r="Q515" s="6" t="str">
        <f t="shared" ca="1" si="75"/>
        <v/>
      </c>
      <c r="R515" s="8" t="str">
        <f t="shared" si="77"/>
        <v/>
      </c>
    </row>
    <row r="516" spans="1:18" ht="13">
      <c r="A516" s="8"/>
      <c r="B516" s="10"/>
      <c r="C516" s="10"/>
      <c r="D516" s="8"/>
      <c r="E516" s="8"/>
      <c r="F516" s="8" t="s">
        <v>1090</v>
      </c>
      <c r="G516" s="6" t="str">
        <f>IF(F516="","",VLOOKUP(F516,'PLAN SUPORTE'!A:B,2,0))</f>
        <v/>
      </c>
      <c r="H516" s="7"/>
      <c r="I516" s="8"/>
      <c r="J516" s="8"/>
      <c r="K516" s="8"/>
      <c r="L516" s="8" t="str">
        <f>IF(K516="","",VLOOKUP(K516,'PLAN SUPORTE'!$H$2:$I$4,2,0))</f>
        <v/>
      </c>
      <c r="M516" s="10"/>
      <c r="N516" s="10"/>
      <c r="O516" s="9" t="str">
        <f t="shared" si="78"/>
        <v/>
      </c>
      <c r="P516" s="10" t="str">
        <f t="shared" si="74"/>
        <v/>
      </c>
      <c r="Q516" s="6" t="str">
        <f t="shared" ca="1" si="75"/>
        <v/>
      </c>
      <c r="R516" s="8" t="str">
        <f t="shared" si="77"/>
        <v/>
      </c>
    </row>
    <row r="517" spans="1:18" ht="13">
      <c r="A517" s="8"/>
      <c r="B517" s="10"/>
      <c r="C517" s="10"/>
      <c r="D517" s="8"/>
      <c r="E517" s="8"/>
      <c r="F517" s="8" t="s">
        <v>1090</v>
      </c>
      <c r="G517" s="6" t="str">
        <f>IF(F517="","",VLOOKUP(F517,'PLAN SUPORTE'!A:B,2,0))</f>
        <v/>
      </c>
      <c r="H517" s="7"/>
      <c r="I517" s="8"/>
      <c r="J517" s="8"/>
      <c r="K517" s="8"/>
      <c r="L517" s="8" t="str">
        <f>IF(K517="","",VLOOKUP(K517,'PLAN SUPORTE'!$H$2:$I$4,2,0))</f>
        <v/>
      </c>
      <c r="M517" s="10"/>
      <c r="N517" s="10"/>
      <c r="O517" s="9" t="str">
        <f t="shared" si="78"/>
        <v/>
      </c>
      <c r="P517" s="10" t="str">
        <f t="shared" si="74"/>
        <v/>
      </c>
      <c r="Q517" s="6" t="str">
        <f t="shared" ca="1" si="75"/>
        <v/>
      </c>
      <c r="R517" s="8" t="str">
        <f t="shared" si="77"/>
        <v/>
      </c>
    </row>
    <row r="518" spans="1:18" ht="13">
      <c r="A518" s="8"/>
      <c r="B518" s="10"/>
      <c r="C518" s="10"/>
      <c r="D518" s="8"/>
      <c r="E518" s="8"/>
      <c r="F518" s="8" t="s">
        <v>1090</v>
      </c>
      <c r="G518" s="6" t="str">
        <f>IF(F518="","",VLOOKUP(F518,'PLAN SUPORTE'!A:B,2,0))</f>
        <v/>
      </c>
      <c r="H518" s="7"/>
      <c r="I518" s="8"/>
      <c r="J518" s="8"/>
      <c r="K518" s="8"/>
      <c r="L518" s="8" t="str">
        <f>IF(K518="","",VLOOKUP(K518,'PLAN SUPORTE'!$H$2:$I$4,2,0))</f>
        <v/>
      </c>
      <c r="M518" s="10"/>
      <c r="N518" s="10"/>
      <c r="O518" s="9" t="str">
        <f t="shared" si="78"/>
        <v/>
      </c>
      <c r="P518" s="10" t="str">
        <f t="shared" si="74"/>
        <v/>
      </c>
      <c r="Q518" s="6" t="str">
        <f t="shared" ca="1" si="75"/>
        <v/>
      </c>
      <c r="R518" s="8" t="str">
        <f t="shared" si="77"/>
        <v/>
      </c>
    </row>
    <row r="519" spans="1:18" ht="13">
      <c r="A519" s="8"/>
      <c r="B519" s="10"/>
      <c r="C519" s="10"/>
      <c r="D519" s="8"/>
      <c r="E519" s="8"/>
      <c r="F519" s="8" t="s">
        <v>1090</v>
      </c>
      <c r="G519" s="6" t="str">
        <f>IF(F519="","",VLOOKUP(F519,'PLAN SUPORTE'!A:B,2,0))</f>
        <v/>
      </c>
      <c r="H519" s="7"/>
      <c r="I519" s="8"/>
      <c r="J519" s="8"/>
      <c r="K519" s="8"/>
      <c r="L519" s="8" t="str">
        <f>IF(K519="","",VLOOKUP(K519,'PLAN SUPORTE'!$H$2:$I$4,2,0))</f>
        <v/>
      </c>
      <c r="M519" s="10"/>
      <c r="N519" s="10"/>
      <c r="O519" s="9" t="str">
        <f t="shared" si="78"/>
        <v/>
      </c>
      <c r="P519" s="10" t="str">
        <f t="shared" si="74"/>
        <v/>
      </c>
      <c r="Q519" s="6" t="str">
        <f t="shared" ca="1" si="75"/>
        <v/>
      </c>
      <c r="R519" s="8" t="str">
        <f t="shared" si="77"/>
        <v/>
      </c>
    </row>
    <row r="520" spans="1:18" ht="13">
      <c r="A520" s="8"/>
      <c r="B520" s="10"/>
      <c r="C520" s="10"/>
      <c r="D520" s="8"/>
      <c r="E520" s="8"/>
      <c r="F520" s="8" t="s">
        <v>1090</v>
      </c>
      <c r="G520" s="6" t="str">
        <f>IF(F520="","",VLOOKUP(F520,'PLAN SUPORTE'!A:B,2,0))</f>
        <v/>
      </c>
      <c r="H520" s="7"/>
      <c r="I520" s="8"/>
      <c r="J520" s="8"/>
      <c r="K520" s="8"/>
      <c r="L520" s="8" t="str">
        <f>IF(K520="","",VLOOKUP(K520,'PLAN SUPORTE'!$H$2:$I$4,2,0))</f>
        <v/>
      </c>
      <c r="M520" s="10"/>
      <c r="N520" s="10"/>
      <c r="O520" s="9" t="str">
        <f t="shared" si="78"/>
        <v/>
      </c>
      <c r="P520" s="10" t="str">
        <f t="shared" si="74"/>
        <v/>
      </c>
      <c r="Q520" s="6" t="str">
        <f t="shared" ca="1" si="75"/>
        <v/>
      </c>
      <c r="R520" s="8" t="str">
        <f t="shared" si="77"/>
        <v/>
      </c>
    </row>
    <row r="521" spans="1:18" ht="13">
      <c r="A521" s="8"/>
      <c r="B521" s="10"/>
      <c r="C521" s="10"/>
      <c r="D521" s="8"/>
      <c r="E521" s="8"/>
      <c r="F521" s="8" t="s">
        <v>1090</v>
      </c>
      <c r="G521" s="6" t="str">
        <f>IF(F521="","",VLOOKUP(F521,'PLAN SUPORTE'!A:B,2,0))</f>
        <v/>
      </c>
      <c r="H521" s="7"/>
      <c r="I521" s="8"/>
      <c r="J521" s="8"/>
      <c r="K521" s="8"/>
      <c r="L521" s="8" t="str">
        <f>IF(K521="","",VLOOKUP(K521,'PLAN SUPORTE'!$H$2:$I$4,2,0))</f>
        <v/>
      </c>
      <c r="M521" s="10"/>
      <c r="N521" s="10"/>
      <c r="O521" s="9" t="str">
        <f t="shared" si="78"/>
        <v/>
      </c>
      <c r="P521" s="10" t="str">
        <f t="shared" si="74"/>
        <v/>
      </c>
      <c r="Q521" s="6" t="str">
        <f t="shared" ca="1" si="75"/>
        <v/>
      </c>
      <c r="R521" s="8" t="str">
        <f t="shared" si="77"/>
        <v/>
      </c>
    </row>
    <row r="522" spans="1:18" ht="13">
      <c r="A522" s="8"/>
      <c r="B522" s="10"/>
      <c r="C522" s="10"/>
      <c r="D522" s="8"/>
      <c r="E522" s="8"/>
      <c r="F522" s="8" t="s">
        <v>1090</v>
      </c>
      <c r="G522" s="6" t="str">
        <f>IF(F522="","",VLOOKUP(F522,'PLAN SUPORTE'!A:B,2,0))</f>
        <v/>
      </c>
      <c r="H522" s="7"/>
      <c r="I522" s="8"/>
      <c r="J522" s="8"/>
      <c r="K522" s="8"/>
      <c r="L522" s="8" t="str">
        <f>IF(K522="","",VLOOKUP(K522,'PLAN SUPORTE'!$H$2:$I$4,2,0))</f>
        <v/>
      </c>
      <c r="M522" s="10"/>
      <c r="N522" s="10"/>
      <c r="O522" s="9" t="str">
        <f t="shared" si="78"/>
        <v/>
      </c>
      <c r="P522" s="10" t="str">
        <f t="shared" si="74"/>
        <v/>
      </c>
      <c r="Q522" s="6" t="str">
        <f t="shared" ca="1" si="75"/>
        <v/>
      </c>
      <c r="R522" s="8" t="str">
        <f t="shared" si="77"/>
        <v/>
      </c>
    </row>
    <row r="523" spans="1:18" ht="13">
      <c r="A523" s="8"/>
      <c r="B523" s="10"/>
      <c r="C523" s="10"/>
      <c r="D523" s="8"/>
      <c r="E523" s="8"/>
      <c r="F523" s="8" t="s">
        <v>1090</v>
      </c>
      <c r="G523" s="6" t="str">
        <f>IF(F523="","",VLOOKUP(F523,'PLAN SUPORTE'!A:B,2,0))</f>
        <v/>
      </c>
      <c r="H523" s="7"/>
      <c r="I523" s="8"/>
      <c r="J523" s="8"/>
      <c r="K523" s="8"/>
      <c r="L523" s="8" t="str">
        <f>IF(K523="","",VLOOKUP(K523,'PLAN SUPORTE'!$H$2:$I$4,2,0))</f>
        <v/>
      </c>
      <c r="M523" s="10"/>
      <c r="N523" s="10"/>
      <c r="O523" s="9" t="str">
        <f t="shared" si="78"/>
        <v/>
      </c>
      <c r="P523" s="10" t="str">
        <f t="shared" si="74"/>
        <v/>
      </c>
      <c r="Q523" s="6" t="str">
        <f t="shared" ca="1" si="75"/>
        <v/>
      </c>
      <c r="R523" s="8" t="str">
        <f t="shared" si="77"/>
        <v/>
      </c>
    </row>
    <row r="524" spans="1:18" ht="13">
      <c r="A524" s="8"/>
      <c r="B524" s="10"/>
      <c r="C524" s="10"/>
      <c r="D524" s="8"/>
      <c r="E524" s="8"/>
      <c r="F524" s="8" t="s">
        <v>1090</v>
      </c>
      <c r="G524" s="6" t="str">
        <f>IF(F524="","",VLOOKUP(F524,'PLAN SUPORTE'!A:B,2,0))</f>
        <v/>
      </c>
      <c r="H524" s="7"/>
      <c r="I524" s="8"/>
      <c r="J524" s="8"/>
      <c r="K524" s="8"/>
      <c r="L524" s="8" t="str">
        <f>IF(K524="","",VLOOKUP(K524,'PLAN SUPORTE'!$H$2:$I$4,2,0))</f>
        <v/>
      </c>
      <c r="M524" s="10"/>
      <c r="N524" s="10"/>
      <c r="O524" s="9" t="str">
        <f t="shared" si="78"/>
        <v/>
      </c>
      <c r="P524" s="10" t="str">
        <f t="shared" si="74"/>
        <v/>
      </c>
      <c r="Q524" s="6" t="str">
        <f t="shared" ca="1" si="75"/>
        <v/>
      </c>
      <c r="R524" s="8" t="str">
        <f t="shared" si="77"/>
        <v/>
      </c>
    </row>
    <row r="525" spans="1:18" ht="13">
      <c r="A525" s="8"/>
      <c r="B525" s="10"/>
      <c r="C525" s="10"/>
      <c r="D525" s="8"/>
      <c r="E525" s="8"/>
      <c r="F525" s="8" t="s">
        <v>1090</v>
      </c>
      <c r="G525" s="6" t="str">
        <f>IF(F525="","",VLOOKUP(F525,'PLAN SUPORTE'!A:B,2,0))</f>
        <v/>
      </c>
      <c r="H525" s="7"/>
      <c r="I525" s="8"/>
      <c r="J525" s="8"/>
      <c r="K525" s="8"/>
      <c r="L525" s="8" t="str">
        <f>IF(K525="","",VLOOKUP(K525,'PLAN SUPORTE'!$H$2:$I$4,2,0))</f>
        <v/>
      </c>
      <c r="M525" s="10"/>
      <c r="N525" s="10"/>
      <c r="O525" s="9" t="str">
        <f t="shared" si="78"/>
        <v/>
      </c>
      <c r="P525" s="10" t="str">
        <f t="shared" si="74"/>
        <v/>
      </c>
      <c r="Q525" s="6" t="str">
        <f t="shared" ca="1" si="75"/>
        <v/>
      </c>
      <c r="R525" s="8" t="str">
        <f t="shared" si="77"/>
        <v/>
      </c>
    </row>
    <row r="526" spans="1:18" ht="13">
      <c r="A526" s="8"/>
      <c r="B526" s="10"/>
      <c r="C526" s="10"/>
      <c r="D526" s="8"/>
      <c r="E526" s="8"/>
      <c r="F526" s="8" t="s">
        <v>1090</v>
      </c>
      <c r="G526" s="6" t="str">
        <f>IF(F526="","",VLOOKUP(F526,'PLAN SUPORTE'!A:B,2,0))</f>
        <v/>
      </c>
      <c r="H526" s="7"/>
      <c r="I526" s="8"/>
      <c r="J526" s="8"/>
      <c r="K526" s="8"/>
      <c r="L526" s="8" t="str">
        <f>IF(K526="","",VLOOKUP(K526,'PLAN SUPORTE'!$H$2:$I$4,2,0))</f>
        <v/>
      </c>
      <c r="M526" s="10"/>
      <c r="N526" s="10"/>
      <c r="O526" s="9" t="str">
        <f t="shared" si="78"/>
        <v/>
      </c>
      <c r="P526" s="10" t="str">
        <f t="shared" si="74"/>
        <v/>
      </c>
      <c r="Q526" s="6" t="str">
        <f t="shared" ca="1" si="75"/>
        <v/>
      </c>
      <c r="R526" s="8" t="str">
        <f t="shared" si="77"/>
        <v/>
      </c>
    </row>
    <row r="527" spans="1:18" ht="13">
      <c r="A527" s="8"/>
      <c r="B527" s="10"/>
      <c r="C527" s="10"/>
      <c r="D527" s="8"/>
      <c r="E527" s="8"/>
      <c r="F527" s="8" t="s">
        <v>1090</v>
      </c>
      <c r="G527" s="6" t="str">
        <f>IF(F527="","",VLOOKUP(F527,'PLAN SUPORTE'!A:B,2,0))</f>
        <v/>
      </c>
      <c r="H527" s="7"/>
      <c r="I527" s="8"/>
      <c r="J527" s="8"/>
      <c r="K527" s="8"/>
      <c r="L527" s="8" t="str">
        <f>IF(K527="","",VLOOKUP(K527,'PLAN SUPORTE'!$H$2:$I$4,2,0))</f>
        <v/>
      </c>
      <c r="M527" s="10"/>
      <c r="N527" s="10"/>
      <c r="O527" s="9" t="str">
        <f t="shared" si="78"/>
        <v/>
      </c>
      <c r="P527" s="10" t="str">
        <f t="shared" si="74"/>
        <v/>
      </c>
      <c r="Q527" s="6" t="str">
        <f t="shared" ca="1" si="75"/>
        <v/>
      </c>
      <c r="R527" s="8" t="str">
        <f t="shared" si="77"/>
        <v/>
      </c>
    </row>
    <row r="528" spans="1:18" ht="13">
      <c r="A528" s="8"/>
      <c r="B528" s="10"/>
      <c r="C528" s="10"/>
      <c r="D528" s="8"/>
      <c r="E528" s="8"/>
      <c r="F528" s="8" t="s">
        <v>1090</v>
      </c>
      <c r="G528" s="6" t="str">
        <f>IF(F528="","",VLOOKUP(F528,'PLAN SUPORTE'!A:B,2,0))</f>
        <v/>
      </c>
      <c r="H528" s="7"/>
      <c r="I528" s="8"/>
      <c r="J528" s="8"/>
      <c r="K528" s="8"/>
      <c r="L528" s="8" t="str">
        <f>IF(K528="","",VLOOKUP(K528,'PLAN SUPORTE'!$H$2:$I$4,2,0))</f>
        <v/>
      </c>
      <c r="M528" s="10"/>
      <c r="N528" s="10"/>
      <c r="O528" s="9" t="str">
        <f t="shared" si="78"/>
        <v/>
      </c>
      <c r="P528" s="10" t="str">
        <f t="shared" si="74"/>
        <v/>
      </c>
      <c r="Q528" s="6" t="str">
        <f t="shared" ca="1" si="75"/>
        <v/>
      </c>
      <c r="R528" s="8" t="str">
        <f t="shared" si="77"/>
        <v/>
      </c>
    </row>
    <row r="529" spans="1:18" ht="13">
      <c r="A529" s="8"/>
      <c r="B529" s="10"/>
      <c r="C529" s="10"/>
      <c r="D529" s="8"/>
      <c r="E529" s="8"/>
      <c r="F529" s="8" t="s">
        <v>1090</v>
      </c>
      <c r="G529" s="6" t="str">
        <f>IF(F529="","",VLOOKUP(F529,'PLAN SUPORTE'!A:B,2,0))</f>
        <v/>
      </c>
      <c r="H529" s="7"/>
      <c r="I529" s="8"/>
      <c r="J529" s="8"/>
      <c r="K529" s="8"/>
      <c r="L529" s="8" t="str">
        <f>IF(K529="","",VLOOKUP(K529,'PLAN SUPORTE'!$H$2:$I$4,2,0))</f>
        <v/>
      </c>
      <c r="M529" s="10"/>
      <c r="N529" s="10"/>
      <c r="O529" s="9" t="str">
        <f t="shared" si="78"/>
        <v/>
      </c>
      <c r="P529" s="10" t="str">
        <f t="shared" si="74"/>
        <v/>
      </c>
      <c r="Q529" s="6" t="str">
        <f t="shared" ca="1" si="75"/>
        <v/>
      </c>
      <c r="R529" s="8" t="str">
        <f t="shared" si="77"/>
        <v/>
      </c>
    </row>
    <row r="530" spans="1:18" ht="13">
      <c r="A530" s="8"/>
      <c r="B530" s="10"/>
      <c r="C530" s="10"/>
      <c r="D530" s="8"/>
      <c r="E530" s="8"/>
      <c r="F530" s="8" t="s">
        <v>1090</v>
      </c>
      <c r="G530" s="6" t="str">
        <f>IF(F530="","",VLOOKUP(F530,'PLAN SUPORTE'!A:B,2,0))</f>
        <v/>
      </c>
      <c r="H530" s="7"/>
      <c r="I530" s="8"/>
      <c r="J530" s="8"/>
      <c r="K530" s="8"/>
      <c r="L530" s="8" t="str">
        <f>IF(K530="","",VLOOKUP(K530,'PLAN SUPORTE'!$H$2:$I$4,2,0))</f>
        <v/>
      </c>
      <c r="M530" s="10"/>
      <c r="N530" s="10"/>
      <c r="O530" s="9" t="str">
        <f t="shared" si="78"/>
        <v/>
      </c>
      <c r="P530" s="10" t="str">
        <f t="shared" si="74"/>
        <v/>
      </c>
      <c r="Q530" s="6" t="str">
        <f t="shared" ca="1" si="75"/>
        <v/>
      </c>
      <c r="R530" s="8" t="str">
        <f t="shared" si="77"/>
        <v/>
      </c>
    </row>
    <row r="531" spans="1:18" ht="13">
      <c r="A531" s="8"/>
      <c r="B531" s="10"/>
      <c r="C531" s="10"/>
      <c r="D531" s="8"/>
      <c r="E531" s="8"/>
      <c r="F531" s="8" t="s">
        <v>1090</v>
      </c>
      <c r="G531" s="6" t="str">
        <f>IF(F531="","",VLOOKUP(F531,'PLAN SUPORTE'!A:B,2,0))</f>
        <v/>
      </c>
      <c r="H531" s="7"/>
      <c r="I531" s="8"/>
      <c r="J531" s="8"/>
      <c r="K531" s="8"/>
      <c r="L531" s="8" t="str">
        <f>IF(K531="","",VLOOKUP(K531,'PLAN SUPORTE'!$H$2:$I$4,2,0))</f>
        <v/>
      </c>
      <c r="M531" s="10"/>
      <c r="N531" s="10"/>
      <c r="O531" s="9" t="str">
        <f t="shared" si="78"/>
        <v/>
      </c>
      <c r="P531" s="10" t="str">
        <f t="shared" si="74"/>
        <v/>
      </c>
      <c r="Q531" s="6" t="str">
        <f t="shared" ca="1" si="75"/>
        <v/>
      </c>
      <c r="R531" s="8" t="str">
        <f t="shared" si="77"/>
        <v/>
      </c>
    </row>
    <row r="532" spans="1:18" ht="13">
      <c r="A532" s="8"/>
      <c r="B532" s="10"/>
      <c r="C532" s="10"/>
      <c r="D532" s="8"/>
      <c r="E532" s="8"/>
      <c r="F532" s="8" t="s">
        <v>1090</v>
      </c>
      <c r="G532" s="6" t="str">
        <f>IF(F532="","",VLOOKUP(F532,'PLAN SUPORTE'!A:B,2,0))</f>
        <v/>
      </c>
      <c r="H532" s="7"/>
      <c r="I532" s="8"/>
      <c r="J532" s="8"/>
      <c r="K532" s="8"/>
      <c r="L532" s="8" t="str">
        <f>IF(K532="","",VLOOKUP(K532,'PLAN SUPORTE'!$H$2:$I$4,2,0))</f>
        <v/>
      </c>
      <c r="M532" s="10"/>
      <c r="N532" s="10"/>
      <c r="O532" s="9" t="str">
        <f t="shared" si="78"/>
        <v/>
      </c>
      <c r="P532" s="10" t="str">
        <f t="shared" si="74"/>
        <v/>
      </c>
      <c r="Q532" s="6" t="str">
        <f t="shared" ca="1" si="75"/>
        <v/>
      </c>
      <c r="R532" s="8" t="str">
        <f t="shared" si="77"/>
        <v/>
      </c>
    </row>
    <row r="533" spans="1:18" ht="13">
      <c r="A533" s="8"/>
      <c r="B533" s="10"/>
      <c r="C533" s="10"/>
      <c r="D533" s="8"/>
      <c r="E533" s="8"/>
      <c r="F533" s="8" t="s">
        <v>1090</v>
      </c>
      <c r="G533" s="6" t="str">
        <f>IF(F533="","",VLOOKUP(F533,'PLAN SUPORTE'!A:B,2,0))</f>
        <v/>
      </c>
      <c r="H533" s="7"/>
      <c r="I533" s="8"/>
      <c r="J533" s="8"/>
      <c r="K533" s="8"/>
      <c r="L533" s="8" t="str">
        <f>IF(K533="","",VLOOKUP(K533,'PLAN SUPORTE'!$H$2:$I$4,2,0))</f>
        <v/>
      </c>
      <c r="M533" s="10"/>
      <c r="N533" s="10"/>
      <c r="O533" s="9" t="str">
        <f t="shared" si="78"/>
        <v/>
      </c>
      <c r="P533" s="10" t="str">
        <f t="shared" si="74"/>
        <v/>
      </c>
      <c r="Q533" s="6" t="str">
        <f t="shared" ca="1" si="75"/>
        <v/>
      </c>
      <c r="R533" s="8" t="str">
        <f t="shared" si="77"/>
        <v/>
      </c>
    </row>
    <row r="534" spans="1:18" ht="13">
      <c r="A534" s="8"/>
      <c r="B534" s="10"/>
      <c r="C534" s="10"/>
      <c r="D534" s="8"/>
      <c r="E534" s="8"/>
      <c r="F534" s="8" t="s">
        <v>1090</v>
      </c>
      <c r="G534" s="6" t="str">
        <f>IF(F534="","",VLOOKUP(F534,'PLAN SUPORTE'!A:B,2,0))</f>
        <v/>
      </c>
      <c r="H534" s="7"/>
      <c r="I534" s="8"/>
      <c r="J534" s="8"/>
      <c r="K534" s="8"/>
      <c r="L534" s="8" t="str">
        <f>IF(K534="","",VLOOKUP(K534,'PLAN SUPORTE'!$H$2:$I$4,2,0))</f>
        <v/>
      </c>
      <c r="M534" s="10"/>
      <c r="N534" s="10"/>
      <c r="O534" s="9" t="str">
        <f t="shared" si="78"/>
        <v/>
      </c>
      <c r="P534" s="10" t="str">
        <f t="shared" si="74"/>
        <v/>
      </c>
      <c r="Q534" s="6" t="str">
        <f t="shared" ca="1" si="75"/>
        <v/>
      </c>
      <c r="R534" s="8" t="str">
        <f t="shared" si="77"/>
        <v/>
      </c>
    </row>
    <row r="535" spans="1:18" ht="13">
      <c r="A535" s="8"/>
      <c r="B535" s="10"/>
      <c r="C535" s="10"/>
      <c r="D535" s="8"/>
      <c r="E535" s="8"/>
      <c r="F535" s="8" t="s">
        <v>1090</v>
      </c>
      <c r="G535" s="6" t="str">
        <f>IF(F535="","",VLOOKUP(F535,'PLAN SUPORTE'!A:B,2,0))</f>
        <v/>
      </c>
      <c r="H535" s="7"/>
      <c r="I535" s="8"/>
      <c r="J535" s="8"/>
      <c r="K535" s="8"/>
      <c r="L535" s="8" t="str">
        <f>IF(K535="","",VLOOKUP(K535,'PLAN SUPORTE'!$H$2:$I$4,2,0))</f>
        <v/>
      </c>
      <c r="M535" s="10"/>
      <c r="N535" s="10"/>
      <c r="O535" s="9" t="str">
        <f t="shared" si="78"/>
        <v/>
      </c>
      <c r="P535" s="10" t="str">
        <f t="shared" si="74"/>
        <v/>
      </c>
      <c r="Q535" s="6" t="str">
        <f t="shared" ca="1" si="75"/>
        <v/>
      </c>
      <c r="R535" s="8" t="str">
        <f t="shared" si="77"/>
        <v/>
      </c>
    </row>
    <row r="536" spans="1:18" ht="13">
      <c r="A536" s="8"/>
      <c r="B536" s="10"/>
      <c r="C536" s="10"/>
      <c r="D536" s="8"/>
      <c r="E536" s="8"/>
      <c r="F536" s="8" t="s">
        <v>1090</v>
      </c>
      <c r="G536" s="6" t="str">
        <f>IF(F536="","",VLOOKUP(F536,'PLAN SUPORTE'!A:B,2,0))</f>
        <v/>
      </c>
      <c r="H536" s="7"/>
      <c r="I536" s="8"/>
      <c r="J536" s="8"/>
      <c r="K536" s="8"/>
      <c r="L536" s="8" t="str">
        <f>IF(K536="","",VLOOKUP(K536,'PLAN SUPORTE'!$H$2:$I$4,2,0))</f>
        <v/>
      </c>
      <c r="M536" s="10"/>
      <c r="N536" s="10"/>
      <c r="O536" s="9" t="str">
        <f t="shared" si="78"/>
        <v/>
      </c>
      <c r="P536" s="10" t="str">
        <f t="shared" si="74"/>
        <v/>
      </c>
      <c r="Q536" s="6" t="str">
        <f t="shared" ca="1" si="75"/>
        <v/>
      </c>
      <c r="R536" s="8" t="str">
        <f t="shared" si="77"/>
        <v/>
      </c>
    </row>
    <row r="537" spans="1:18" ht="13">
      <c r="A537" s="8"/>
      <c r="B537" s="10"/>
      <c r="C537" s="10"/>
      <c r="D537" s="8"/>
      <c r="E537" s="8"/>
      <c r="F537" s="8" t="s">
        <v>1090</v>
      </c>
      <c r="G537" s="6" t="str">
        <f>IF(F537="","",VLOOKUP(F537,'PLAN SUPORTE'!A:B,2,0))</f>
        <v/>
      </c>
      <c r="H537" s="7"/>
      <c r="I537" s="8"/>
      <c r="J537" s="8"/>
      <c r="K537" s="8"/>
      <c r="L537" s="8" t="str">
        <f>IF(K537="","",VLOOKUP(K537,'PLAN SUPORTE'!$H$2:$I$4,2,0))</f>
        <v/>
      </c>
      <c r="M537" s="10"/>
      <c r="N537" s="10"/>
      <c r="O537" s="9" t="str">
        <f t="shared" si="78"/>
        <v/>
      </c>
      <c r="P537" s="10" t="str">
        <f t="shared" si="74"/>
        <v/>
      </c>
      <c r="Q537" s="6" t="str">
        <f t="shared" ca="1" si="75"/>
        <v/>
      </c>
      <c r="R537" s="8" t="str">
        <f t="shared" si="77"/>
        <v/>
      </c>
    </row>
    <row r="538" spans="1:18" ht="13">
      <c r="A538" s="8"/>
      <c r="B538" s="10"/>
      <c r="C538" s="10"/>
      <c r="D538" s="8"/>
      <c r="E538" s="8"/>
      <c r="F538" s="8" t="s">
        <v>1090</v>
      </c>
      <c r="G538" s="6" t="str">
        <f>IF(F538="","",VLOOKUP(F538,'PLAN SUPORTE'!A:B,2,0))</f>
        <v/>
      </c>
      <c r="H538" s="7"/>
      <c r="I538" s="8"/>
      <c r="J538" s="8"/>
      <c r="K538" s="8"/>
      <c r="L538" s="8" t="str">
        <f>IF(K538="","",VLOOKUP(K538,'PLAN SUPORTE'!$H$2:$I$4,2,0))</f>
        <v/>
      </c>
      <c r="M538" s="10"/>
      <c r="N538" s="10"/>
      <c r="O538" s="9" t="str">
        <f t="shared" si="78"/>
        <v/>
      </c>
      <c r="P538" s="10" t="str">
        <f t="shared" si="74"/>
        <v/>
      </c>
      <c r="Q538" s="6" t="str">
        <f t="shared" ca="1" si="75"/>
        <v/>
      </c>
      <c r="R538" s="8" t="str">
        <f t="shared" si="77"/>
        <v/>
      </c>
    </row>
    <row r="539" spans="1:18" ht="13">
      <c r="A539" s="8"/>
      <c r="B539" s="10"/>
      <c r="C539" s="10"/>
      <c r="D539" s="8"/>
      <c r="E539" s="8"/>
      <c r="F539" s="8" t="s">
        <v>1090</v>
      </c>
      <c r="G539" s="6" t="str">
        <f>IF(F539="","",VLOOKUP(F539,'PLAN SUPORTE'!A:B,2,0))</f>
        <v/>
      </c>
      <c r="H539" s="7"/>
      <c r="I539" s="8"/>
      <c r="J539" s="8"/>
      <c r="K539" s="8"/>
      <c r="L539" s="8" t="str">
        <f>IF(K539="","",VLOOKUP(K539,'PLAN SUPORTE'!$H$2:$I$4,2,0))</f>
        <v/>
      </c>
      <c r="M539" s="10"/>
      <c r="N539" s="10"/>
      <c r="O539" s="9" t="str">
        <f t="shared" si="78"/>
        <v/>
      </c>
      <c r="P539" s="10" t="str">
        <f t="shared" si="74"/>
        <v/>
      </c>
      <c r="Q539" s="6" t="str">
        <f t="shared" ca="1" si="75"/>
        <v/>
      </c>
      <c r="R539" s="8" t="str">
        <f t="shared" si="77"/>
        <v/>
      </c>
    </row>
    <row r="540" spans="1:18" ht="13">
      <c r="A540" s="8"/>
      <c r="B540" s="10"/>
      <c r="C540" s="10"/>
      <c r="D540" s="8"/>
      <c r="E540" s="8"/>
      <c r="F540" s="8" t="s">
        <v>1090</v>
      </c>
      <c r="G540" s="6" t="str">
        <f>IF(F540="","",VLOOKUP(F540,'PLAN SUPORTE'!A:B,2,0))</f>
        <v/>
      </c>
      <c r="H540" s="7"/>
      <c r="I540" s="8"/>
      <c r="J540" s="8"/>
      <c r="K540" s="8"/>
      <c r="L540" s="8" t="str">
        <f>IF(K540="","",VLOOKUP(K540,'PLAN SUPORTE'!$H$2:$I$4,2,0))</f>
        <v/>
      </c>
      <c r="M540" s="10"/>
      <c r="N540" s="10"/>
      <c r="O540" s="9" t="str">
        <f t="shared" si="78"/>
        <v/>
      </c>
      <c r="P540" s="10" t="str">
        <f t="shared" si="74"/>
        <v/>
      </c>
      <c r="Q540" s="6" t="str">
        <f t="shared" ca="1" si="75"/>
        <v/>
      </c>
      <c r="R540" s="8" t="str">
        <f t="shared" si="77"/>
        <v/>
      </c>
    </row>
    <row r="541" spans="1:18" ht="13">
      <c r="A541" s="8"/>
      <c r="B541" s="10"/>
      <c r="C541" s="10"/>
      <c r="D541" s="8"/>
      <c r="E541" s="8"/>
      <c r="F541" s="8" t="s">
        <v>1090</v>
      </c>
      <c r="G541" s="6" t="str">
        <f>IF(F541="","",VLOOKUP(F541,'PLAN SUPORTE'!A:B,2,0))</f>
        <v/>
      </c>
      <c r="H541" s="7"/>
      <c r="I541" s="8"/>
      <c r="J541" s="8"/>
      <c r="K541" s="8"/>
      <c r="L541" s="8" t="str">
        <f>IF(K541="","",VLOOKUP(K541,'PLAN SUPORTE'!$H$2:$I$4,2,0))</f>
        <v/>
      </c>
      <c r="M541" s="10"/>
      <c r="N541" s="10"/>
      <c r="O541" s="9" t="str">
        <f t="shared" si="78"/>
        <v/>
      </c>
      <c r="P541" s="10" t="str">
        <f t="shared" si="74"/>
        <v/>
      </c>
      <c r="Q541" s="6" t="str">
        <f t="shared" ca="1" si="75"/>
        <v/>
      </c>
      <c r="R541" s="8" t="str">
        <f t="shared" si="77"/>
        <v/>
      </c>
    </row>
    <row r="542" spans="1:18" ht="13">
      <c r="A542" s="8"/>
      <c r="B542" s="10"/>
      <c r="C542" s="10"/>
      <c r="D542" s="8"/>
      <c r="E542" s="8"/>
      <c r="F542" s="8" t="s">
        <v>1090</v>
      </c>
      <c r="G542" s="6" t="str">
        <f>IF(F542="","",VLOOKUP(F542,'PLAN SUPORTE'!A:B,2,0))</f>
        <v/>
      </c>
      <c r="H542" s="7"/>
      <c r="I542" s="8"/>
      <c r="J542" s="8"/>
      <c r="K542" s="8"/>
      <c r="L542" s="8" t="str">
        <f>IF(K542="","",VLOOKUP(K542,'PLAN SUPORTE'!$H$2:$I$4,2,0))</f>
        <v/>
      </c>
      <c r="M542" s="10"/>
      <c r="N542" s="10"/>
      <c r="O542" s="9" t="str">
        <f t="shared" si="78"/>
        <v/>
      </c>
      <c r="P542" s="10" t="str">
        <f t="shared" si="74"/>
        <v/>
      </c>
      <c r="Q542" s="6" t="str">
        <f t="shared" ca="1" si="75"/>
        <v/>
      </c>
      <c r="R542" s="8" t="str">
        <f t="shared" si="77"/>
        <v/>
      </c>
    </row>
    <row r="543" spans="1:18" ht="13">
      <c r="A543" s="8"/>
      <c r="B543" s="10"/>
      <c r="C543" s="10"/>
      <c r="D543" s="8"/>
      <c r="E543" s="8"/>
      <c r="F543" s="8" t="s">
        <v>1090</v>
      </c>
      <c r="G543" s="6" t="str">
        <f>IF(F543="","",VLOOKUP(F543,'PLAN SUPORTE'!A:B,2,0))</f>
        <v/>
      </c>
      <c r="H543" s="7"/>
      <c r="I543" s="8"/>
      <c r="J543" s="8"/>
      <c r="K543" s="8"/>
      <c r="L543" s="8" t="str">
        <f>IF(K543="","",VLOOKUP(K543,'PLAN SUPORTE'!$H$2:$I$4,2,0))</f>
        <v/>
      </c>
      <c r="M543" s="10"/>
      <c r="N543" s="10"/>
      <c r="O543" s="9" t="str">
        <f t="shared" si="78"/>
        <v/>
      </c>
      <c r="P543" s="10" t="str">
        <f t="shared" si="74"/>
        <v/>
      </c>
      <c r="Q543" s="6" t="str">
        <f t="shared" ca="1" si="75"/>
        <v/>
      </c>
      <c r="R543" s="8" t="str">
        <f t="shared" si="77"/>
        <v/>
      </c>
    </row>
    <row r="544" spans="1:18" ht="13">
      <c r="A544" s="8"/>
      <c r="B544" s="10"/>
      <c r="C544" s="10"/>
      <c r="D544" s="8"/>
      <c r="E544" s="8"/>
      <c r="F544" s="8" t="s">
        <v>1090</v>
      </c>
      <c r="G544" s="6" t="str">
        <f>IF(F544="","",VLOOKUP(F544,'PLAN SUPORTE'!A:B,2,0))</f>
        <v/>
      </c>
      <c r="H544" s="7"/>
      <c r="I544" s="8"/>
      <c r="J544" s="8"/>
      <c r="K544" s="8"/>
      <c r="L544" s="8" t="str">
        <f>IF(K544="","",VLOOKUP(K544,'PLAN SUPORTE'!$H$2:$I$4,2,0))</f>
        <v/>
      </c>
      <c r="M544" s="10"/>
      <c r="N544" s="10"/>
      <c r="O544" s="9" t="str">
        <f t="shared" si="78"/>
        <v/>
      </c>
      <c r="P544" s="10" t="str">
        <f t="shared" si="74"/>
        <v/>
      </c>
      <c r="Q544" s="6" t="str">
        <f t="shared" ca="1" si="75"/>
        <v/>
      </c>
      <c r="R544" s="8" t="str">
        <f t="shared" si="77"/>
        <v/>
      </c>
    </row>
    <row r="545" spans="1:18" ht="13">
      <c r="A545" s="8"/>
      <c r="B545" s="10"/>
      <c r="C545" s="10"/>
      <c r="D545" s="8"/>
      <c r="E545" s="8"/>
      <c r="F545" s="8" t="s">
        <v>1090</v>
      </c>
      <c r="G545" s="6" t="str">
        <f>IF(F545="","",VLOOKUP(F545,'PLAN SUPORTE'!A:B,2,0))</f>
        <v/>
      </c>
      <c r="H545" s="7"/>
      <c r="I545" s="8"/>
      <c r="J545" s="8"/>
      <c r="K545" s="8"/>
      <c r="L545" s="8" t="str">
        <f>IF(K545="","",VLOOKUP(K545,'PLAN SUPORTE'!$H$2:$I$4,2,0))</f>
        <v/>
      </c>
      <c r="M545" s="10"/>
      <c r="N545" s="10"/>
      <c r="O545" s="9" t="str">
        <f t="shared" si="78"/>
        <v/>
      </c>
      <c r="P545" s="10" t="str">
        <f t="shared" si="74"/>
        <v/>
      </c>
      <c r="Q545" s="6" t="str">
        <f t="shared" ca="1" si="75"/>
        <v/>
      </c>
      <c r="R545" s="8" t="str">
        <f t="shared" si="77"/>
        <v/>
      </c>
    </row>
    <row r="546" spans="1:18" ht="13">
      <c r="A546" s="8"/>
      <c r="B546" s="10"/>
      <c r="C546" s="10"/>
      <c r="D546" s="8"/>
      <c r="E546" s="8"/>
      <c r="F546" s="8" t="s">
        <v>1090</v>
      </c>
      <c r="G546" s="6" t="str">
        <f>IF(F546="","",VLOOKUP(F546,'PLAN SUPORTE'!A:B,2,0))</f>
        <v/>
      </c>
      <c r="H546" s="7"/>
      <c r="I546" s="8"/>
      <c r="J546" s="8"/>
      <c r="K546" s="8"/>
      <c r="L546" s="8" t="str">
        <f>IF(K546="","",VLOOKUP(K546,'PLAN SUPORTE'!$H$2:$I$4,2,0))</f>
        <v/>
      </c>
      <c r="M546" s="10"/>
      <c r="N546" s="10"/>
      <c r="O546" s="9" t="str">
        <f t="shared" si="78"/>
        <v/>
      </c>
      <c r="P546" s="10" t="str">
        <f t="shared" si="74"/>
        <v/>
      </c>
      <c r="Q546" s="6" t="str">
        <f t="shared" ca="1" si="75"/>
        <v/>
      </c>
      <c r="R546" s="8" t="str">
        <f t="shared" si="77"/>
        <v/>
      </c>
    </row>
    <row r="547" spans="1:18" ht="13">
      <c r="A547" s="8"/>
      <c r="B547" s="10"/>
      <c r="C547" s="10"/>
      <c r="D547" s="8"/>
      <c r="E547" s="8"/>
      <c r="F547" s="8" t="s">
        <v>1090</v>
      </c>
      <c r="G547" s="6" t="str">
        <f>IF(F547="","",VLOOKUP(F547,'PLAN SUPORTE'!A:B,2,0))</f>
        <v/>
      </c>
      <c r="H547" s="7"/>
      <c r="I547" s="8"/>
      <c r="J547" s="8"/>
      <c r="K547" s="8"/>
      <c r="L547" s="8" t="str">
        <f>IF(K547="","",VLOOKUP(K547,'PLAN SUPORTE'!$H$2:$I$4,2,0))</f>
        <v/>
      </c>
      <c r="M547" s="10"/>
      <c r="N547" s="10"/>
      <c r="O547" s="9" t="str">
        <f t="shared" si="78"/>
        <v/>
      </c>
      <c r="P547" s="10" t="str">
        <f t="shared" si="74"/>
        <v/>
      </c>
      <c r="Q547" s="6" t="str">
        <f t="shared" ca="1" si="75"/>
        <v/>
      </c>
      <c r="R547" s="8" t="str">
        <f t="shared" si="77"/>
        <v/>
      </c>
    </row>
    <row r="548" spans="1:18" ht="13">
      <c r="A548" s="8"/>
      <c r="B548" s="10"/>
      <c r="C548" s="10"/>
      <c r="D548" s="8"/>
      <c r="E548" s="8"/>
      <c r="F548" s="8" t="s">
        <v>1090</v>
      </c>
      <c r="G548" s="6" t="str">
        <f>IF(F548="","",VLOOKUP(F548,'PLAN SUPORTE'!A:B,2,0))</f>
        <v/>
      </c>
      <c r="H548" s="7"/>
      <c r="I548" s="8"/>
      <c r="J548" s="8"/>
      <c r="K548" s="8"/>
      <c r="L548" s="8" t="str">
        <f>IF(K548="","",VLOOKUP(K548,'PLAN SUPORTE'!$H$2:$I$4,2,0))</f>
        <v/>
      </c>
      <c r="M548" s="10"/>
      <c r="N548" s="10"/>
      <c r="O548" s="9" t="str">
        <f t="shared" si="78"/>
        <v/>
      </c>
      <c r="P548" s="10" t="str">
        <f t="shared" si="74"/>
        <v/>
      </c>
      <c r="Q548" s="6" t="str">
        <f t="shared" ca="1" si="75"/>
        <v/>
      </c>
      <c r="R548" s="8" t="str">
        <f t="shared" si="77"/>
        <v/>
      </c>
    </row>
    <row r="549" spans="1:18" ht="13">
      <c r="A549" s="8"/>
      <c r="B549" s="10"/>
      <c r="C549" s="10"/>
      <c r="D549" s="8"/>
      <c r="E549" s="8"/>
      <c r="F549" s="8" t="s">
        <v>1090</v>
      </c>
      <c r="G549" s="6" t="str">
        <f>IF(F549="","",VLOOKUP(F549,'PLAN SUPORTE'!A:B,2,0))</f>
        <v/>
      </c>
      <c r="H549" s="7"/>
      <c r="I549" s="8"/>
      <c r="J549" s="8"/>
      <c r="K549" s="8"/>
      <c r="L549" s="8" t="str">
        <f>IF(K549="","",VLOOKUP(K549,'PLAN SUPORTE'!$H$2:$I$4,2,0))</f>
        <v/>
      </c>
      <c r="M549" s="10"/>
      <c r="N549" s="10"/>
      <c r="O549" s="9" t="str">
        <f t="shared" si="78"/>
        <v/>
      </c>
      <c r="P549" s="10" t="str">
        <f t="shared" si="74"/>
        <v/>
      </c>
      <c r="Q549" s="6" t="str">
        <f t="shared" ca="1" si="75"/>
        <v/>
      </c>
      <c r="R549" s="8" t="str">
        <f t="shared" si="77"/>
        <v/>
      </c>
    </row>
    <row r="550" spans="1:18" ht="13">
      <c r="A550" s="8"/>
      <c r="B550" s="10"/>
      <c r="C550" s="10"/>
      <c r="D550" s="8"/>
      <c r="E550" s="8"/>
      <c r="F550" s="8" t="s">
        <v>1090</v>
      </c>
      <c r="G550" s="6" t="str">
        <f>IF(F550="","",VLOOKUP(F550,'PLAN SUPORTE'!A:B,2,0))</f>
        <v/>
      </c>
      <c r="H550" s="7"/>
      <c r="I550" s="8"/>
      <c r="J550" s="8"/>
      <c r="K550" s="8"/>
      <c r="L550" s="8" t="str">
        <f>IF(K550="","",VLOOKUP(K550,'PLAN SUPORTE'!$H$2:$I$4,2,0))</f>
        <v/>
      </c>
      <c r="M550" s="10"/>
      <c r="N550" s="10"/>
      <c r="O550" s="9" t="str">
        <f t="shared" si="78"/>
        <v/>
      </c>
      <c r="P550" s="10" t="str">
        <f t="shared" si="74"/>
        <v/>
      </c>
      <c r="Q550" s="6" t="str">
        <f t="shared" ca="1" si="75"/>
        <v/>
      </c>
      <c r="R550" s="8" t="str">
        <f t="shared" si="77"/>
        <v/>
      </c>
    </row>
    <row r="551" spans="1:18" ht="13">
      <c r="A551" s="8"/>
      <c r="B551" s="10"/>
      <c r="C551" s="10"/>
      <c r="D551" s="8"/>
      <c r="E551" s="8"/>
      <c r="F551" s="8" t="s">
        <v>1090</v>
      </c>
      <c r="G551" s="6" t="str">
        <f>IF(F551="","",VLOOKUP(F551,'PLAN SUPORTE'!A:B,2,0))</f>
        <v/>
      </c>
      <c r="H551" s="7"/>
      <c r="I551" s="8"/>
      <c r="J551" s="8"/>
      <c r="K551" s="8"/>
      <c r="L551" s="8" t="str">
        <f>IF(K551="","",VLOOKUP(K551,'PLAN SUPORTE'!$H$2:$I$4,2,0))</f>
        <v/>
      </c>
      <c r="M551" s="10"/>
      <c r="N551" s="10"/>
      <c r="O551" s="9" t="str">
        <f t="shared" si="78"/>
        <v/>
      </c>
      <c r="P551" s="10" t="str">
        <f t="shared" si="74"/>
        <v/>
      </c>
      <c r="Q551" s="6" t="str">
        <f t="shared" ca="1" si="75"/>
        <v/>
      </c>
      <c r="R551" s="8" t="str">
        <f t="shared" si="77"/>
        <v/>
      </c>
    </row>
    <row r="552" spans="1:18" ht="13">
      <c r="A552" s="8"/>
      <c r="B552" s="10"/>
      <c r="C552" s="10"/>
      <c r="D552" s="8"/>
      <c r="E552" s="8"/>
      <c r="F552" s="8" t="s">
        <v>1090</v>
      </c>
      <c r="G552" s="6" t="str">
        <f>IF(F552="","",VLOOKUP(F552,'PLAN SUPORTE'!A:B,2,0))</f>
        <v/>
      </c>
      <c r="H552" s="7"/>
      <c r="I552" s="8"/>
      <c r="J552" s="8"/>
      <c r="K552" s="8"/>
      <c r="L552" s="8" t="str">
        <f>IF(K552="","",VLOOKUP(K552,'PLAN SUPORTE'!$H$2:$I$4,2,0))</f>
        <v/>
      </c>
      <c r="M552" s="10"/>
      <c r="N552" s="10"/>
      <c r="O552" s="9" t="str">
        <f t="shared" si="78"/>
        <v/>
      </c>
      <c r="P552" s="10" t="str">
        <f t="shared" si="74"/>
        <v/>
      </c>
      <c r="Q552" s="6" t="str">
        <f t="shared" ca="1" si="75"/>
        <v/>
      </c>
      <c r="R552" s="8" t="str">
        <f t="shared" si="77"/>
        <v/>
      </c>
    </row>
    <row r="553" spans="1:18" ht="13">
      <c r="A553" s="8"/>
      <c r="B553" s="10"/>
      <c r="C553" s="10"/>
      <c r="D553" s="8"/>
      <c r="E553" s="8"/>
      <c r="F553" s="8" t="s">
        <v>1090</v>
      </c>
      <c r="G553" s="6" t="str">
        <f>IF(F553="","",VLOOKUP(F553,'PLAN SUPORTE'!A:B,2,0))</f>
        <v/>
      </c>
      <c r="H553" s="7"/>
      <c r="I553" s="8"/>
      <c r="J553" s="8"/>
      <c r="K553" s="8"/>
      <c r="L553" s="8" t="str">
        <f>IF(K553="","",VLOOKUP(K553,'PLAN SUPORTE'!$H$2:$I$4,2,0))</f>
        <v/>
      </c>
      <c r="M553" s="10"/>
      <c r="N553" s="10"/>
      <c r="O553" s="9" t="str">
        <f t="shared" si="78"/>
        <v/>
      </c>
      <c r="P553" s="10" t="str">
        <f t="shared" si="74"/>
        <v/>
      </c>
      <c r="Q553" s="6" t="str">
        <f t="shared" ca="1" si="75"/>
        <v/>
      </c>
      <c r="R553" s="8" t="str">
        <f t="shared" si="77"/>
        <v/>
      </c>
    </row>
    <row r="554" spans="1:18" ht="13">
      <c r="A554" s="8"/>
      <c r="B554" s="10"/>
      <c r="C554" s="10"/>
      <c r="D554" s="8"/>
      <c r="E554" s="8"/>
      <c r="F554" s="8" t="s">
        <v>1090</v>
      </c>
      <c r="G554" s="6" t="str">
        <f>IF(F554="","",VLOOKUP(F554,'PLAN SUPORTE'!A:B,2,0))</f>
        <v/>
      </c>
      <c r="H554" s="7"/>
      <c r="I554" s="8"/>
      <c r="J554" s="8"/>
      <c r="K554" s="8"/>
      <c r="L554" s="8" t="str">
        <f>IF(K554="","",VLOOKUP(K554,'PLAN SUPORTE'!$H$2:$I$4,2,0))</f>
        <v/>
      </c>
      <c r="M554" s="10"/>
      <c r="N554" s="10"/>
      <c r="O554" s="9" t="str">
        <f t="shared" si="78"/>
        <v/>
      </c>
      <c r="P554" s="10" t="str">
        <f t="shared" si="74"/>
        <v/>
      </c>
      <c r="Q554" s="6" t="str">
        <f t="shared" ca="1" si="75"/>
        <v/>
      </c>
      <c r="R554" s="8" t="str">
        <f t="shared" si="77"/>
        <v/>
      </c>
    </row>
    <row r="555" spans="1:18" ht="13">
      <c r="A555" s="8"/>
      <c r="B555" s="10"/>
      <c r="C555" s="10"/>
      <c r="D555" s="8"/>
      <c r="E555" s="8"/>
      <c r="F555" s="8" t="s">
        <v>1090</v>
      </c>
      <c r="G555" s="6" t="str">
        <f>IF(F555="","",VLOOKUP(F555,'PLAN SUPORTE'!A:B,2,0))</f>
        <v/>
      </c>
      <c r="H555" s="7"/>
      <c r="I555" s="8"/>
      <c r="J555" s="8"/>
      <c r="K555" s="8"/>
      <c r="L555" s="8" t="str">
        <f>IF(K555="","",VLOOKUP(K555,'PLAN SUPORTE'!$H$2:$I$4,2,0))</f>
        <v/>
      </c>
      <c r="M555" s="10"/>
      <c r="N555" s="10"/>
      <c r="O555" s="9" t="str">
        <f t="shared" si="78"/>
        <v/>
      </c>
      <c r="P555" s="10" t="str">
        <f t="shared" si="74"/>
        <v/>
      </c>
      <c r="Q555" s="6" t="str">
        <f t="shared" ca="1" si="75"/>
        <v/>
      </c>
      <c r="R555" s="8" t="str">
        <f t="shared" si="77"/>
        <v/>
      </c>
    </row>
    <row r="556" spans="1:18" ht="13">
      <c r="A556" s="8"/>
      <c r="B556" s="10"/>
      <c r="C556" s="10"/>
      <c r="D556" s="8"/>
      <c r="E556" s="8"/>
      <c r="F556" s="8" t="s">
        <v>1090</v>
      </c>
      <c r="G556" s="6" t="str">
        <f>IF(F556="","",VLOOKUP(F556,'PLAN SUPORTE'!A:B,2,0))</f>
        <v/>
      </c>
      <c r="H556" s="7"/>
      <c r="I556" s="8"/>
      <c r="J556" s="8"/>
      <c r="K556" s="8"/>
      <c r="L556" s="8" t="str">
        <f>IF(K556="","",VLOOKUP(K556,'PLAN SUPORTE'!$H$2:$I$4,2,0))</f>
        <v/>
      </c>
      <c r="M556" s="10"/>
      <c r="N556" s="10"/>
      <c r="O556" s="9" t="str">
        <f t="shared" si="78"/>
        <v/>
      </c>
      <c r="P556" s="10" t="str">
        <f t="shared" si="74"/>
        <v/>
      </c>
      <c r="Q556" s="6" t="str">
        <f t="shared" ca="1" si="75"/>
        <v/>
      </c>
      <c r="R556" s="8" t="str">
        <f t="shared" si="77"/>
        <v/>
      </c>
    </row>
    <row r="557" spans="1:18" ht="13">
      <c r="A557" s="8"/>
      <c r="B557" s="10"/>
      <c r="C557" s="10"/>
      <c r="D557" s="8"/>
      <c r="E557" s="8"/>
      <c r="F557" s="8" t="s">
        <v>1090</v>
      </c>
      <c r="G557" s="6" t="str">
        <f>IF(F557="","",VLOOKUP(F557,'PLAN SUPORTE'!A:B,2,0))</f>
        <v/>
      </c>
      <c r="H557" s="7"/>
      <c r="I557" s="8"/>
      <c r="J557" s="8"/>
      <c r="K557" s="8"/>
      <c r="L557" s="8" t="str">
        <f>IF(K557="","",VLOOKUP(K557,'PLAN SUPORTE'!$H$2:$I$4,2,0))</f>
        <v/>
      </c>
      <c r="M557" s="10"/>
      <c r="N557" s="10"/>
      <c r="O557" s="9" t="str">
        <f t="shared" si="78"/>
        <v/>
      </c>
      <c r="P557" s="10" t="str">
        <f t="shared" si="74"/>
        <v/>
      </c>
      <c r="Q557" s="6" t="str">
        <f t="shared" ca="1" si="75"/>
        <v/>
      </c>
      <c r="R557" s="8" t="str">
        <f t="shared" si="77"/>
        <v/>
      </c>
    </row>
    <row r="558" spans="1:18" ht="13">
      <c r="A558" s="8"/>
      <c r="B558" s="10"/>
      <c r="C558" s="10"/>
      <c r="D558" s="8"/>
      <c r="E558" s="8"/>
      <c r="F558" s="8" t="s">
        <v>1090</v>
      </c>
      <c r="G558" s="6" t="str">
        <f>IF(F558="","",VLOOKUP(F558,'PLAN SUPORTE'!A:B,2,0))</f>
        <v/>
      </c>
      <c r="H558" s="7"/>
      <c r="I558" s="8"/>
      <c r="J558" s="8"/>
      <c r="K558" s="8"/>
      <c r="L558" s="8" t="str">
        <f>IF(K558="","",VLOOKUP(K558,'PLAN SUPORTE'!$H$2:$I$4,2,0))</f>
        <v/>
      </c>
      <c r="M558" s="10"/>
      <c r="N558" s="10"/>
      <c r="O558" s="9" t="str">
        <f t="shared" si="78"/>
        <v/>
      </c>
      <c r="P558" s="10" t="str">
        <f t="shared" si="74"/>
        <v/>
      </c>
      <c r="Q558" s="6" t="str">
        <f t="shared" ca="1" si="75"/>
        <v/>
      </c>
      <c r="R558" s="8" t="str">
        <f t="shared" si="77"/>
        <v/>
      </c>
    </row>
    <row r="559" spans="1:18" ht="13">
      <c r="A559" s="8"/>
      <c r="B559" s="10"/>
      <c r="C559" s="10"/>
      <c r="D559" s="8"/>
      <c r="E559" s="8"/>
      <c r="F559" s="8" t="s">
        <v>1090</v>
      </c>
      <c r="G559" s="6" t="str">
        <f>IF(F559="","",VLOOKUP(F559,'PLAN SUPORTE'!A:B,2,0))</f>
        <v/>
      </c>
      <c r="H559" s="7"/>
      <c r="I559" s="8"/>
      <c r="J559" s="8"/>
      <c r="K559" s="8"/>
      <c r="L559" s="8" t="str">
        <f>IF(K559="","",VLOOKUP(K559,'PLAN SUPORTE'!$H$2:$I$4,2,0))</f>
        <v/>
      </c>
      <c r="M559" s="10"/>
      <c r="N559" s="10"/>
      <c r="O559" s="9" t="str">
        <f t="shared" si="78"/>
        <v/>
      </c>
      <c r="P559" s="10" t="str">
        <f t="shared" si="74"/>
        <v/>
      </c>
      <c r="Q559" s="6" t="str">
        <f t="shared" ca="1" si="75"/>
        <v/>
      </c>
      <c r="R559" s="8" t="str">
        <f t="shared" si="77"/>
        <v/>
      </c>
    </row>
    <row r="560" spans="1:18" ht="13">
      <c r="A560" s="8"/>
      <c r="B560" s="10"/>
      <c r="C560" s="10"/>
      <c r="D560" s="8"/>
      <c r="E560" s="8"/>
      <c r="F560" s="8" t="s">
        <v>1090</v>
      </c>
      <c r="G560" s="6" t="str">
        <f>IF(F560="","",VLOOKUP(F560,'PLAN SUPORTE'!A:B,2,0))</f>
        <v/>
      </c>
      <c r="H560" s="7"/>
      <c r="I560" s="8"/>
      <c r="J560" s="8"/>
      <c r="K560" s="8"/>
      <c r="L560" s="8" t="str">
        <f>IF(K560="","",VLOOKUP(K560,'PLAN SUPORTE'!$H$2:$I$4,2,0))</f>
        <v/>
      </c>
      <c r="M560" s="10"/>
      <c r="N560" s="10"/>
      <c r="O560" s="9" t="str">
        <f t="shared" si="78"/>
        <v/>
      </c>
      <c r="P560" s="10" t="str">
        <f t="shared" si="74"/>
        <v/>
      </c>
      <c r="Q560" s="6" t="str">
        <f t="shared" ca="1" si="75"/>
        <v/>
      </c>
      <c r="R560" s="8" t="str">
        <f t="shared" si="77"/>
        <v/>
      </c>
    </row>
    <row r="561" spans="1:18" ht="13">
      <c r="A561" s="8"/>
      <c r="B561" s="10"/>
      <c r="C561" s="10"/>
      <c r="D561" s="8"/>
      <c r="E561" s="8"/>
      <c r="F561" s="8" t="s">
        <v>1090</v>
      </c>
      <c r="G561" s="6" t="str">
        <f>IF(F561="","",VLOOKUP(F561,'PLAN SUPORTE'!A:B,2,0))</f>
        <v/>
      </c>
      <c r="H561" s="7"/>
      <c r="I561" s="8"/>
      <c r="J561" s="8"/>
      <c r="K561" s="8"/>
      <c r="L561" s="8" t="str">
        <f>IF(K561="","",VLOOKUP(K561,'PLAN SUPORTE'!$H$2:$I$4,2,0))</f>
        <v/>
      </c>
      <c r="M561" s="10"/>
      <c r="N561" s="10"/>
      <c r="O561" s="9" t="str">
        <f t="shared" si="78"/>
        <v/>
      </c>
      <c r="P561" s="10" t="str">
        <f t="shared" si="74"/>
        <v/>
      </c>
      <c r="Q561" s="6" t="str">
        <f t="shared" ca="1" si="75"/>
        <v/>
      </c>
      <c r="R561" s="8" t="str">
        <f t="shared" si="77"/>
        <v/>
      </c>
    </row>
    <row r="562" spans="1:18" ht="13">
      <c r="A562" s="8"/>
      <c r="B562" s="10"/>
      <c r="C562" s="10"/>
      <c r="D562" s="8"/>
      <c r="E562" s="8"/>
      <c r="F562" s="8" t="s">
        <v>1090</v>
      </c>
      <c r="G562" s="6" t="str">
        <f>IF(F562="","",VLOOKUP(F562,'PLAN SUPORTE'!A:B,2,0))</f>
        <v/>
      </c>
      <c r="H562" s="7"/>
      <c r="I562" s="8"/>
      <c r="J562" s="8"/>
      <c r="K562" s="8"/>
      <c r="L562" s="8" t="str">
        <f>IF(K562="","",VLOOKUP(K562,'PLAN SUPORTE'!$H$2:$I$4,2,0))</f>
        <v/>
      </c>
      <c r="M562" s="10"/>
      <c r="N562" s="10"/>
      <c r="O562" s="9" t="str">
        <f t="shared" si="78"/>
        <v/>
      </c>
      <c r="P562" s="10" t="str">
        <f t="shared" si="74"/>
        <v/>
      </c>
      <c r="Q562" s="6" t="str">
        <f t="shared" ca="1" si="75"/>
        <v/>
      </c>
      <c r="R562" s="8" t="str">
        <f t="shared" si="77"/>
        <v/>
      </c>
    </row>
    <row r="563" spans="1:18" ht="13">
      <c r="A563" s="8"/>
      <c r="B563" s="10"/>
      <c r="C563" s="10"/>
      <c r="D563" s="8"/>
      <c r="E563" s="8"/>
      <c r="F563" s="8" t="s">
        <v>1090</v>
      </c>
      <c r="G563" s="6" t="str">
        <f>IF(F563="","",VLOOKUP(F563,'PLAN SUPORTE'!A:B,2,0))</f>
        <v/>
      </c>
      <c r="H563" s="7"/>
      <c r="I563" s="8"/>
      <c r="J563" s="8"/>
      <c r="K563" s="8"/>
      <c r="L563" s="8" t="str">
        <f>IF(K563="","",VLOOKUP(K563,'PLAN SUPORTE'!$H$2:$I$4,2,0))</f>
        <v/>
      </c>
      <c r="M563" s="10"/>
      <c r="N563" s="10"/>
      <c r="O563" s="9" t="str">
        <f t="shared" si="78"/>
        <v/>
      </c>
      <c r="P563" s="10" t="str">
        <f t="shared" si="74"/>
        <v/>
      </c>
      <c r="Q563" s="6" t="str">
        <f t="shared" ca="1" si="75"/>
        <v/>
      </c>
      <c r="R563" s="8" t="str">
        <f t="shared" si="77"/>
        <v/>
      </c>
    </row>
    <row r="564" spans="1:18" ht="13">
      <c r="A564" s="8"/>
      <c r="B564" s="10"/>
      <c r="C564" s="10"/>
      <c r="D564" s="8"/>
      <c r="E564" s="8"/>
      <c r="F564" s="8" t="s">
        <v>1090</v>
      </c>
      <c r="G564" s="6" t="str">
        <f>IF(F564="","",VLOOKUP(F564,'PLAN SUPORTE'!A:B,2,0))</f>
        <v/>
      </c>
      <c r="H564" s="7"/>
      <c r="I564" s="8"/>
      <c r="J564" s="8"/>
      <c r="K564" s="8"/>
      <c r="L564" s="8" t="str">
        <f>IF(K564="","",VLOOKUP(K564,'PLAN SUPORTE'!$H$2:$I$4,2,0))</f>
        <v/>
      </c>
      <c r="M564" s="10"/>
      <c r="N564" s="10"/>
      <c r="O564" s="9" t="str">
        <f t="shared" si="78"/>
        <v/>
      </c>
      <c r="P564" s="10" t="str">
        <f t="shared" si="74"/>
        <v/>
      </c>
      <c r="Q564" s="6" t="str">
        <f t="shared" ca="1" si="75"/>
        <v/>
      </c>
      <c r="R564" s="8" t="str">
        <f t="shared" si="77"/>
        <v/>
      </c>
    </row>
    <row r="565" spans="1:18" ht="13">
      <c r="A565" s="8"/>
      <c r="B565" s="10"/>
      <c r="C565" s="10"/>
      <c r="D565" s="8"/>
      <c r="E565" s="8"/>
      <c r="F565" s="8" t="s">
        <v>1090</v>
      </c>
      <c r="G565" s="6" t="str">
        <f>IF(F565="","",VLOOKUP(F565,'PLAN SUPORTE'!A:B,2,0))</f>
        <v/>
      </c>
      <c r="H565" s="7"/>
      <c r="I565" s="8"/>
      <c r="J565" s="8"/>
      <c r="K565" s="8"/>
      <c r="L565" s="8" t="str">
        <f>IF(K565="","",VLOOKUP(K565,'PLAN SUPORTE'!$H$2:$I$4,2,0))</f>
        <v/>
      </c>
      <c r="M565" s="10"/>
      <c r="N565" s="10"/>
      <c r="O565" s="9" t="str">
        <f t="shared" si="78"/>
        <v/>
      </c>
      <c r="P565" s="10" t="str">
        <f t="shared" si="74"/>
        <v/>
      </c>
      <c r="Q565" s="6" t="str">
        <f t="shared" ca="1" si="75"/>
        <v/>
      </c>
      <c r="R565" s="8" t="str">
        <f t="shared" si="77"/>
        <v/>
      </c>
    </row>
    <row r="566" spans="1:18" ht="13">
      <c r="A566" s="8"/>
      <c r="B566" s="10"/>
      <c r="C566" s="10"/>
      <c r="D566" s="8"/>
      <c r="E566" s="8"/>
      <c r="F566" s="8" t="s">
        <v>1090</v>
      </c>
      <c r="G566" s="6" t="str">
        <f>IF(F566="","",VLOOKUP(F566,'PLAN SUPORTE'!A:B,2,0))</f>
        <v/>
      </c>
      <c r="H566" s="7"/>
      <c r="I566" s="8"/>
      <c r="J566" s="8"/>
      <c r="K566" s="8"/>
      <c r="L566" s="8" t="str">
        <f>IF(K566="","",VLOOKUP(K566,'PLAN SUPORTE'!$H$2:$I$4,2,0))</f>
        <v/>
      </c>
      <c r="M566" s="10"/>
      <c r="N566" s="10"/>
      <c r="O566" s="9" t="str">
        <f t="shared" si="78"/>
        <v/>
      </c>
      <c r="P566" s="10" t="str">
        <f t="shared" si="74"/>
        <v/>
      </c>
      <c r="Q566" s="6" t="str">
        <f t="shared" ca="1" si="75"/>
        <v/>
      </c>
      <c r="R566" s="8" t="str">
        <f t="shared" si="77"/>
        <v/>
      </c>
    </row>
    <row r="567" spans="1:18" ht="13">
      <c r="A567" s="8"/>
      <c r="B567" s="10"/>
      <c r="C567" s="10"/>
      <c r="D567" s="8"/>
      <c r="E567" s="8"/>
      <c r="F567" s="8" t="s">
        <v>1090</v>
      </c>
      <c r="G567" s="6" t="str">
        <f>IF(F567="","",VLOOKUP(F567,'PLAN SUPORTE'!A:B,2,0))</f>
        <v/>
      </c>
      <c r="H567" s="7"/>
      <c r="I567" s="8"/>
      <c r="J567" s="8"/>
      <c r="K567" s="8"/>
      <c r="L567" s="8" t="str">
        <f>IF(K567="","",VLOOKUP(K567,'PLAN SUPORTE'!$H$2:$I$4,2,0))</f>
        <v/>
      </c>
      <c r="M567" s="10"/>
      <c r="N567" s="10"/>
      <c r="O567" s="9" t="str">
        <f t="shared" si="78"/>
        <v/>
      </c>
      <c r="P567" s="10" t="str">
        <f t="shared" si="74"/>
        <v/>
      </c>
      <c r="Q567" s="6" t="str">
        <f t="shared" ca="1" si="75"/>
        <v/>
      </c>
      <c r="R567" s="8" t="str">
        <f t="shared" si="77"/>
        <v/>
      </c>
    </row>
    <row r="568" spans="1:18" ht="13">
      <c r="A568" s="8"/>
      <c r="B568" s="10"/>
      <c r="C568" s="10"/>
      <c r="D568" s="8"/>
      <c r="E568" s="8"/>
      <c r="F568" s="8" t="s">
        <v>1090</v>
      </c>
      <c r="G568" s="6" t="str">
        <f>IF(F568="","",VLOOKUP(F568,'PLAN SUPORTE'!A:B,2,0))</f>
        <v/>
      </c>
      <c r="H568" s="7"/>
      <c r="I568" s="8"/>
      <c r="J568" s="8"/>
      <c r="K568" s="8"/>
      <c r="L568" s="8" t="str">
        <f>IF(K568="","",VLOOKUP(K568,'PLAN SUPORTE'!$H$2:$I$4,2,0))</f>
        <v/>
      </c>
      <c r="M568" s="10"/>
      <c r="N568" s="10"/>
      <c r="O568" s="9" t="str">
        <f t="shared" si="78"/>
        <v/>
      </c>
      <c r="P568" s="10" t="str">
        <f t="shared" si="74"/>
        <v/>
      </c>
      <c r="Q568" s="6" t="str">
        <f t="shared" ca="1" si="75"/>
        <v/>
      </c>
      <c r="R568" s="8" t="str">
        <f t="shared" si="77"/>
        <v/>
      </c>
    </row>
    <row r="569" spans="1:18" ht="13">
      <c r="A569" s="8"/>
      <c r="B569" s="10"/>
      <c r="C569" s="10"/>
      <c r="D569" s="8"/>
      <c r="E569" s="8"/>
      <c r="F569" s="8" t="s">
        <v>1090</v>
      </c>
      <c r="G569" s="6" t="str">
        <f>IF(F569="","",VLOOKUP(F569,'PLAN SUPORTE'!A:B,2,0))</f>
        <v/>
      </c>
      <c r="H569" s="7"/>
      <c r="I569" s="8"/>
      <c r="J569" s="8"/>
      <c r="K569" s="8"/>
      <c r="L569" s="8" t="str">
        <f>IF(K569="","",VLOOKUP(K569,'PLAN SUPORTE'!$H$2:$I$4,2,0))</f>
        <v/>
      </c>
      <c r="M569" s="10"/>
      <c r="N569" s="10"/>
      <c r="O569" s="9" t="str">
        <f t="shared" si="78"/>
        <v/>
      </c>
      <c r="P569" s="10" t="str">
        <f t="shared" si="74"/>
        <v/>
      </c>
      <c r="Q569" s="6" t="str">
        <f t="shared" ca="1" si="75"/>
        <v/>
      </c>
      <c r="R569" s="8" t="str">
        <f t="shared" si="77"/>
        <v/>
      </c>
    </row>
    <row r="570" spans="1:18" ht="13">
      <c r="A570" s="8"/>
      <c r="B570" s="10"/>
      <c r="C570" s="10"/>
      <c r="D570" s="8"/>
      <c r="E570" s="8"/>
      <c r="F570" s="8" t="s">
        <v>1090</v>
      </c>
      <c r="G570" s="6" t="str">
        <f>IF(F570="","",VLOOKUP(F570,'PLAN SUPORTE'!A:B,2,0))</f>
        <v/>
      </c>
      <c r="H570" s="7"/>
      <c r="I570" s="8"/>
      <c r="J570" s="8"/>
      <c r="K570" s="8"/>
      <c r="L570" s="8" t="str">
        <f>IF(K570="","",VLOOKUP(K570,'PLAN SUPORTE'!$H$2:$I$4,2,0))</f>
        <v/>
      </c>
      <c r="M570" s="10"/>
      <c r="N570" s="10"/>
      <c r="O570" s="9" t="str">
        <f t="shared" si="78"/>
        <v/>
      </c>
      <c r="P570" s="10" t="str">
        <f t="shared" si="74"/>
        <v/>
      </c>
      <c r="Q570" s="6" t="str">
        <f t="shared" ca="1" si="75"/>
        <v/>
      </c>
      <c r="R570" s="8" t="str">
        <f t="shared" si="77"/>
        <v/>
      </c>
    </row>
    <row r="571" spans="1:18" ht="13">
      <c r="A571" s="8"/>
      <c r="B571" s="10"/>
      <c r="C571" s="10"/>
      <c r="D571" s="8"/>
      <c r="E571" s="8"/>
      <c r="F571" s="8" t="s">
        <v>1090</v>
      </c>
      <c r="G571" s="6" t="str">
        <f>IF(F571="","",VLOOKUP(F571,'PLAN SUPORTE'!A:B,2,0))</f>
        <v/>
      </c>
      <c r="H571" s="7"/>
      <c r="I571" s="8"/>
      <c r="J571" s="8"/>
      <c r="K571" s="8"/>
      <c r="L571" s="8" t="str">
        <f>IF(K571="","",VLOOKUP(K571,'PLAN SUPORTE'!$H$2:$I$4,2,0))</f>
        <v/>
      </c>
      <c r="M571" s="10"/>
      <c r="N571" s="10"/>
      <c r="O571" s="9" t="str">
        <f t="shared" si="78"/>
        <v/>
      </c>
      <c r="P571" s="10" t="str">
        <f t="shared" si="74"/>
        <v/>
      </c>
      <c r="Q571" s="6" t="str">
        <f t="shared" ca="1" si="75"/>
        <v/>
      </c>
      <c r="R571" s="8" t="str">
        <f t="shared" si="77"/>
        <v/>
      </c>
    </row>
    <row r="572" spans="1:18" ht="13">
      <c r="A572" s="8"/>
      <c r="B572" s="10"/>
      <c r="C572" s="10"/>
      <c r="D572" s="8"/>
      <c r="E572" s="8"/>
      <c r="F572" s="8" t="s">
        <v>1090</v>
      </c>
      <c r="G572" s="6" t="str">
        <f>IF(F572="","",VLOOKUP(F572,'PLAN SUPORTE'!A:B,2,0))</f>
        <v/>
      </c>
      <c r="H572" s="7"/>
      <c r="I572" s="8"/>
      <c r="J572" s="8"/>
      <c r="K572" s="8"/>
      <c r="L572" s="8" t="str">
        <f>IF(K572="","",VLOOKUP(K572,'PLAN SUPORTE'!$H$2:$I$4,2,0))</f>
        <v/>
      </c>
      <c r="M572" s="10"/>
      <c r="N572" s="10"/>
      <c r="O572" s="9" t="str">
        <f t="shared" si="78"/>
        <v/>
      </c>
      <c r="P572" s="10" t="str">
        <f t="shared" si="74"/>
        <v/>
      </c>
      <c r="Q572" s="6" t="str">
        <f t="shared" ca="1" si="75"/>
        <v/>
      </c>
      <c r="R572" s="8" t="str">
        <f t="shared" si="77"/>
        <v/>
      </c>
    </row>
    <row r="573" spans="1:18" ht="13">
      <c r="A573" s="8"/>
      <c r="B573" s="10"/>
      <c r="C573" s="10"/>
      <c r="D573" s="8"/>
      <c r="E573" s="8"/>
      <c r="F573" s="8" t="s">
        <v>1090</v>
      </c>
      <c r="G573" s="6" t="str">
        <f>IF(F573="","",VLOOKUP(F573,'PLAN SUPORTE'!A:B,2,0))</f>
        <v/>
      </c>
      <c r="H573" s="7"/>
      <c r="I573" s="8"/>
      <c r="J573" s="8"/>
      <c r="K573" s="8"/>
      <c r="L573" s="8" t="str">
        <f>IF(K573="","",VLOOKUP(K573,'PLAN SUPORTE'!$H$2:$I$4,2,0))</f>
        <v/>
      </c>
      <c r="M573" s="10"/>
      <c r="N573" s="10"/>
      <c r="O573" s="9" t="str">
        <f t="shared" si="78"/>
        <v/>
      </c>
      <c r="P573" s="10" t="str">
        <f t="shared" si="74"/>
        <v/>
      </c>
      <c r="Q573" s="6" t="str">
        <f t="shared" ca="1" si="75"/>
        <v/>
      </c>
      <c r="R573" s="8" t="str">
        <f t="shared" si="77"/>
        <v/>
      </c>
    </row>
    <row r="574" spans="1:18" ht="13">
      <c r="A574" s="8"/>
      <c r="B574" s="10"/>
      <c r="C574" s="10"/>
      <c r="D574" s="8"/>
      <c r="E574" s="8"/>
      <c r="F574" s="8" t="s">
        <v>1090</v>
      </c>
      <c r="G574" s="6" t="str">
        <f>IF(F574="","",VLOOKUP(F574,'PLAN SUPORTE'!A:B,2,0))</f>
        <v/>
      </c>
      <c r="H574" s="7"/>
      <c r="I574" s="8"/>
      <c r="J574" s="8"/>
      <c r="K574" s="8"/>
      <c r="L574" s="8" t="str">
        <f>IF(K574="","",VLOOKUP(K574,'PLAN SUPORTE'!$H$2:$I$4,2,0))</f>
        <v/>
      </c>
      <c r="M574" s="10"/>
      <c r="N574" s="10"/>
      <c r="O574" s="9" t="str">
        <f t="shared" si="78"/>
        <v/>
      </c>
      <c r="P574" s="10" t="str">
        <f t="shared" si="74"/>
        <v/>
      </c>
      <c r="Q574" s="6" t="str">
        <f t="shared" ca="1" si="75"/>
        <v/>
      </c>
      <c r="R574" s="8" t="str">
        <f t="shared" si="77"/>
        <v/>
      </c>
    </row>
    <row r="575" spans="1:18" ht="13">
      <c r="A575" s="8"/>
      <c r="B575" s="10"/>
      <c r="C575" s="10"/>
      <c r="D575" s="8"/>
      <c r="E575" s="8"/>
      <c r="F575" s="8" t="s">
        <v>1090</v>
      </c>
      <c r="G575" s="6" t="str">
        <f>IF(F575="","",VLOOKUP(F575,'PLAN SUPORTE'!A:B,2,0))</f>
        <v/>
      </c>
      <c r="H575" s="7"/>
      <c r="I575" s="8"/>
      <c r="J575" s="8"/>
      <c r="K575" s="8"/>
      <c r="L575" s="8" t="str">
        <f>IF(K575="","",VLOOKUP(K575,'PLAN SUPORTE'!$H$2:$I$4,2,0))</f>
        <v/>
      </c>
      <c r="M575" s="10"/>
      <c r="N575" s="10"/>
      <c r="O575" s="9" t="str">
        <f t="shared" si="78"/>
        <v/>
      </c>
      <c r="P575" s="10" t="str">
        <f t="shared" si="74"/>
        <v/>
      </c>
      <c r="Q575" s="6" t="str">
        <f t="shared" ca="1" si="75"/>
        <v/>
      </c>
      <c r="R575" s="8" t="str">
        <f t="shared" si="77"/>
        <v/>
      </c>
    </row>
    <row r="576" spans="1:18" ht="13">
      <c r="A576" s="8"/>
      <c r="B576" s="10"/>
      <c r="C576" s="10"/>
      <c r="D576" s="8"/>
      <c r="E576" s="8"/>
      <c r="F576" s="8" t="s">
        <v>1090</v>
      </c>
      <c r="G576" s="6" t="str">
        <f>IF(F576="","",VLOOKUP(F576,'PLAN SUPORTE'!A:B,2,0))</f>
        <v/>
      </c>
      <c r="H576" s="7"/>
      <c r="I576" s="8"/>
      <c r="J576" s="8"/>
      <c r="K576" s="8"/>
      <c r="L576" s="8" t="str">
        <f>IF(K576="","",VLOOKUP(K576,'PLAN SUPORTE'!$H$2:$I$4,2,0))</f>
        <v/>
      </c>
      <c r="M576" s="10"/>
      <c r="N576" s="10"/>
      <c r="O576" s="9" t="str">
        <f t="shared" si="78"/>
        <v/>
      </c>
      <c r="P576" s="10" t="str">
        <f t="shared" si="74"/>
        <v/>
      </c>
      <c r="Q576" s="6" t="str">
        <f t="shared" ca="1" si="75"/>
        <v/>
      </c>
      <c r="R576" s="8" t="str">
        <f t="shared" si="77"/>
        <v/>
      </c>
    </row>
    <row r="577" spans="1:18" ht="13">
      <c r="A577" s="8"/>
      <c r="B577" s="10"/>
      <c r="C577" s="10"/>
      <c r="D577" s="8"/>
      <c r="E577" s="8"/>
      <c r="F577" s="8" t="s">
        <v>1090</v>
      </c>
      <c r="G577" s="6" t="str">
        <f>IF(F577="","",VLOOKUP(F577,'PLAN SUPORTE'!A:B,2,0))</f>
        <v/>
      </c>
      <c r="H577" s="7"/>
      <c r="I577" s="8"/>
      <c r="J577" s="8"/>
      <c r="K577" s="8"/>
      <c r="L577" s="8" t="str">
        <f>IF(K577="","",VLOOKUP(K577,'PLAN SUPORTE'!$H$2:$I$4,2,0))</f>
        <v/>
      </c>
      <c r="M577" s="10"/>
      <c r="N577" s="10"/>
      <c r="O577" s="9" t="str">
        <f t="shared" si="78"/>
        <v/>
      </c>
      <c r="P577" s="10" t="str">
        <f t="shared" si="74"/>
        <v/>
      </c>
      <c r="Q577" s="6" t="str">
        <f t="shared" ca="1" si="75"/>
        <v/>
      </c>
      <c r="R577" s="8" t="str">
        <f t="shared" si="77"/>
        <v/>
      </c>
    </row>
    <row r="578" spans="1:18" ht="13">
      <c r="A578" s="8"/>
      <c r="B578" s="10"/>
      <c r="C578" s="10"/>
      <c r="D578" s="8"/>
      <c r="E578" s="8"/>
      <c r="F578" s="8" t="s">
        <v>1090</v>
      </c>
      <c r="G578" s="6" t="str">
        <f>IF(F578="","",VLOOKUP(F578,'PLAN SUPORTE'!A:B,2,0))</f>
        <v/>
      </c>
      <c r="H578" s="7"/>
      <c r="I578" s="8"/>
      <c r="J578" s="8"/>
      <c r="K578" s="8"/>
      <c r="L578" s="8" t="str">
        <f>IF(K578="","",VLOOKUP(K578,'PLAN SUPORTE'!$H$2:$I$4,2,0))</f>
        <v/>
      </c>
      <c r="M578" s="10"/>
      <c r="N578" s="10"/>
      <c r="O578" s="9" t="str">
        <f t="shared" si="78"/>
        <v/>
      </c>
      <c r="P578" s="10" t="str">
        <f t="shared" si="74"/>
        <v/>
      </c>
      <c r="Q578" s="6" t="str">
        <f t="shared" ca="1" si="75"/>
        <v/>
      </c>
      <c r="R578" s="8" t="str">
        <f t="shared" si="77"/>
        <v/>
      </c>
    </row>
    <row r="579" spans="1:18" ht="13">
      <c r="A579" s="8"/>
      <c r="B579" s="10"/>
      <c r="C579" s="10"/>
      <c r="D579" s="8"/>
      <c r="E579" s="8"/>
      <c r="F579" s="8" t="s">
        <v>1090</v>
      </c>
      <c r="G579" s="6" t="str">
        <f>IF(F579="","",VLOOKUP(F579,'PLAN SUPORTE'!A:B,2,0))</f>
        <v/>
      </c>
      <c r="H579" s="7"/>
      <c r="I579" s="8"/>
      <c r="J579" s="8"/>
      <c r="K579" s="8"/>
      <c r="L579" s="8" t="str">
        <f>IF(K579="","",VLOOKUP(K579,'PLAN SUPORTE'!$H$2:$I$4,2,0))</f>
        <v/>
      </c>
      <c r="M579" s="10"/>
      <c r="N579" s="10"/>
      <c r="O579" s="9" t="str">
        <f t="shared" si="78"/>
        <v/>
      </c>
      <c r="P579" s="10" t="str">
        <f t="shared" si="74"/>
        <v/>
      </c>
      <c r="Q579" s="6" t="str">
        <f t="shared" ca="1" si="75"/>
        <v/>
      </c>
      <c r="R579" s="8" t="str">
        <f t="shared" si="77"/>
        <v/>
      </c>
    </row>
    <row r="580" spans="1:18" ht="13">
      <c r="A580" s="8"/>
      <c r="B580" s="10"/>
      <c r="C580" s="10"/>
      <c r="D580" s="8"/>
      <c r="E580" s="8"/>
      <c r="F580" s="8" t="s">
        <v>1090</v>
      </c>
      <c r="G580" s="6" t="str">
        <f>IF(F580="","",VLOOKUP(F580,'PLAN SUPORTE'!A:B,2,0))</f>
        <v/>
      </c>
      <c r="H580" s="7"/>
      <c r="I580" s="8"/>
      <c r="J580" s="8"/>
      <c r="K580" s="8"/>
      <c r="L580" s="8" t="str">
        <f>IF(K580="","",VLOOKUP(K580,'PLAN SUPORTE'!$H$2:$I$4,2,0))</f>
        <v/>
      </c>
      <c r="M580" s="10"/>
      <c r="N580" s="10"/>
      <c r="O580" s="9" t="str">
        <f t="shared" si="78"/>
        <v/>
      </c>
      <c r="P580" s="10" t="str">
        <f t="shared" si="74"/>
        <v/>
      </c>
      <c r="Q580" s="6" t="str">
        <f t="shared" ca="1" si="75"/>
        <v/>
      </c>
      <c r="R580" s="8" t="str">
        <f t="shared" si="77"/>
        <v/>
      </c>
    </row>
    <row r="581" spans="1:18" ht="13">
      <c r="A581" s="8"/>
      <c r="B581" s="10"/>
      <c r="C581" s="10"/>
      <c r="D581" s="8"/>
      <c r="E581" s="8"/>
      <c r="F581" s="8" t="s">
        <v>1090</v>
      </c>
      <c r="G581" s="6" t="str">
        <f>IF(F581="","",VLOOKUP(F581,'PLAN SUPORTE'!A:B,2,0))</f>
        <v/>
      </c>
      <c r="H581" s="7"/>
      <c r="I581" s="8"/>
      <c r="J581" s="8"/>
      <c r="K581" s="8"/>
      <c r="L581" s="8" t="str">
        <f>IF(K581="","",VLOOKUP(K581,'PLAN SUPORTE'!$H$2:$I$4,2,0))</f>
        <v/>
      </c>
      <c r="M581" s="10"/>
      <c r="N581" s="10"/>
      <c r="O581" s="9" t="str">
        <f t="shared" si="78"/>
        <v/>
      </c>
      <c r="P581" s="10" t="str">
        <f t="shared" si="74"/>
        <v/>
      </c>
      <c r="Q581" s="6" t="str">
        <f t="shared" ca="1" si="75"/>
        <v/>
      </c>
      <c r="R581" s="8" t="str">
        <f t="shared" si="77"/>
        <v/>
      </c>
    </row>
    <row r="582" spans="1:18" ht="13">
      <c r="A582" s="8"/>
      <c r="B582" s="10"/>
      <c r="C582" s="10"/>
      <c r="D582" s="8"/>
      <c r="E582" s="8"/>
      <c r="F582" s="8" t="s">
        <v>1090</v>
      </c>
      <c r="G582" s="6" t="str">
        <f>IF(F582="","",VLOOKUP(F582,'PLAN SUPORTE'!A:B,2,0))</f>
        <v/>
      </c>
      <c r="H582" s="7"/>
      <c r="I582" s="8"/>
      <c r="J582" s="8"/>
      <c r="K582" s="8"/>
      <c r="L582" s="8" t="str">
        <f>IF(K582="","",VLOOKUP(K582,'PLAN SUPORTE'!$H$2:$I$4,2,0))</f>
        <v/>
      </c>
      <c r="M582" s="10"/>
      <c r="N582" s="10"/>
      <c r="O582" s="9" t="str">
        <f t="shared" si="78"/>
        <v/>
      </c>
      <c r="P582" s="10" t="str">
        <f t="shared" si="74"/>
        <v/>
      </c>
      <c r="Q582" s="6" t="str">
        <f t="shared" ca="1" si="75"/>
        <v/>
      </c>
      <c r="R582" s="8" t="str">
        <f t="shared" si="77"/>
        <v/>
      </c>
    </row>
    <row r="583" spans="1:18" ht="13">
      <c r="A583" s="8"/>
      <c r="B583" s="10"/>
      <c r="C583" s="10"/>
      <c r="D583" s="8"/>
      <c r="E583" s="8"/>
      <c r="F583" s="8" t="s">
        <v>1090</v>
      </c>
      <c r="G583" s="6" t="str">
        <f>IF(F583="","",VLOOKUP(F583,'PLAN SUPORTE'!A:B,2,0))</f>
        <v/>
      </c>
      <c r="H583" s="7"/>
      <c r="I583" s="8"/>
      <c r="J583" s="8"/>
      <c r="K583" s="8"/>
      <c r="L583" s="8" t="str">
        <f>IF(K583="","",VLOOKUP(K583,'PLAN SUPORTE'!$H$2:$I$4,2,0))</f>
        <v/>
      </c>
      <c r="M583" s="10"/>
      <c r="N583" s="10"/>
      <c r="O583" s="9" t="str">
        <f t="shared" si="78"/>
        <v/>
      </c>
      <c r="P583" s="10" t="str">
        <f t="shared" si="74"/>
        <v/>
      </c>
      <c r="Q583" s="6" t="str">
        <f t="shared" ca="1" si="75"/>
        <v/>
      </c>
      <c r="R583" s="8" t="str">
        <f t="shared" si="77"/>
        <v/>
      </c>
    </row>
    <row r="584" spans="1:18" ht="13">
      <c r="A584" s="8"/>
      <c r="B584" s="10"/>
      <c r="C584" s="10"/>
      <c r="D584" s="8"/>
      <c r="E584" s="8"/>
      <c r="F584" s="8" t="s">
        <v>1090</v>
      </c>
      <c r="G584" s="6" t="str">
        <f>IF(F584="","",VLOOKUP(F584,'PLAN SUPORTE'!A:B,2,0))</f>
        <v/>
      </c>
      <c r="H584" s="7"/>
      <c r="I584" s="8"/>
      <c r="J584" s="8"/>
      <c r="K584" s="8"/>
      <c r="L584" s="8" t="str">
        <f>IF(K584="","",VLOOKUP(K584,'PLAN SUPORTE'!$H$2:$I$4,2,0))</f>
        <v/>
      </c>
      <c r="M584" s="10"/>
      <c r="N584" s="10"/>
      <c r="O584" s="9" t="str">
        <f t="shared" si="78"/>
        <v/>
      </c>
      <c r="P584" s="10" t="str">
        <f t="shared" si="74"/>
        <v/>
      </c>
      <c r="Q584" s="6" t="str">
        <f t="shared" ca="1" si="75"/>
        <v/>
      </c>
      <c r="R584" s="8" t="str">
        <f t="shared" si="77"/>
        <v/>
      </c>
    </row>
    <row r="585" spans="1:18" ht="13">
      <c r="A585" s="8"/>
      <c r="B585" s="10"/>
      <c r="C585" s="10"/>
      <c r="D585" s="8"/>
      <c r="E585" s="8"/>
      <c r="F585" s="8" t="s">
        <v>1090</v>
      </c>
      <c r="G585" s="6" t="str">
        <f>IF(F585="","",VLOOKUP(F585,'PLAN SUPORTE'!A:B,2,0))</f>
        <v/>
      </c>
      <c r="H585" s="7"/>
      <c r="I585" s="8"/>
      <c r="J585" s="8"/>
      <c r="K585" s="8"/>
      <c r="L585" s="8" t="str">
        <f>IF(K585="","",VLOOKUP(K585,'PLAN SUPORTE'!$H$2:$I$4,2,0))</f>
        <v/>
      </c>
      <c r="M585" s="10"/>
      <c r="N585" s="10"/>
      <c r="O585" s="9" t="str">
        <f t="shared" si="78"/>
        <v/>
      </c>
      <c r="P585" s="10" t="str">
        <f t="shared" si="74"/>
        <v/>
      </c>
      <c r="Q585" s="6" t="str">
        <f t="shared" ca="1" si="75"/>
        <v/>
      </c>
      <c r="R585" s="8" t="str">
        <f t="shared" si="77"/>
        <v/>
      </c>
    </row>
    <row r="586" spans="1:18" ht="13">
      <c r="A586" s="8"/>
      <c r="B586" s="10"/>
      <c r="C586" s="10"/>
      <c r="D586" s="8"/>
      <c r="E586" s="8"/>
      <c r="F586" s="8" t="s">
        <v>1090</v>
      </c>
      <c r="G586" s="6" t="str">
        <f>IF(F586="","",VLOOKUP(F586,'PLAN SUPORTE'!A:B,2,0))</f>
        <v/>
      </c>
      <c r="H586" s="7"/>
      <c r="I586" s="8"/>
      <c r="J586" s="8"/>
      <c r="K586" s="8"/>
      <c r="L586" s="8" t="str">
        <f>IF(K586="","",VLOOKUP(K586,'PLAN SUPORTE'!$H$2:$I$4,2,0))</f>
        <v/>
      </c>
      <c r="M586" s="10"/>
      <c r="N586" s="10"/>
      <c r="O586" s="9" t="str">
        <f t="shared" si="78"/>
        <v/>
      </c>
      <c r="P586" s="10" t="str">
        <f t="shared" si="74"/>
        <v/>
      </c>
      <c r="Q586" s="6" t="str">
        <f t="shared" ca="1" si="75"/>
        <v/>
      </c>
      <c r="R586" s="8" t="str">
        <f t="shared" si="77"/>
        <v/>
      </c>
    </row>
    <row r="587" spans="1:18" ht="13">
      <c r="A587" s="8"/>
      <c r="B587" s="10"/>
      <c r="C587" s="10"/>
      <c r="D587" s="8"/>
      <c r="E587" s="8"/>
      <c r="F587" s="8" t="s">
        <v>1090</v>
      </c>
      <c r="G587" s="6" t="str">
        <f>IF(F587="","",VLOOKUP(F587,'PLAN SUPORTE'!A:B,2,0))</f>
        <v/>
      </c>
      <c r="H587" s="7"/>
      <c r="I587" s="8"/>
      <c r="J587" s="8"/>
      <c r="K587" s="8"/>
      <c r="L587" s="8" t="str">
        <f>IF(K587="","",VLOOKUP(K587,'PLAN SUPORTE'!$H$2:$I$4,2,0))</f>
        <v/>
      </c>
      <c r="M587" s="10"/>
      <c r="N587" s="10"/>
      <c r="O587" s="9" t="str">
        <f t="shared" si="78"/>
        <v/>
      </c>
      <c r="P587" s="10" t="str">
        <f t="shared" si="74"/>
        <v/>
      </c>
      <c r="Q587" s="6" t="str">
        <f t="shared" ca="1" si="75"/>
        <v/>
      </c>
      <c r="R587" s="8" t="str">
        <f t="shared" si="77"/>
        <v/>
      </c>
    </row>
    <row r="588" spans="1:18" ht="13">
      <c r="A588" s="8"/>
      <c r="B588" s="10"/>
      <c r="C588" s="10"/>
      <c r="D588" s="8"/>
      <c r="E588" s="8"/>
      <c r="F588" s="8" t="s">
        <v>1090</v>
      </c>
      <c r="G588" s="6" t="str">
        <f>IF(F588="","",VLOOKUP(F588,'PLAN SUPORTE'!A:B,2,0))</f>
        <v/>
      </c>
      <c r="H588" s="7"/>
      <c r="I588" s="8"/>
      <c r="J588" s="8"/>
      <c r="K588" s="8"/>
      <c r="L588" s="8" t="str">
        <f>IF(K588="","",VLOOKUP(K588,'PLAN SUPORTE'!$H$2:$I$4,2,0))</f>
        <v/>
      </c>
      <c r="M588" s="10"/>
      <c r="N588" s="10"/>
      <c r="O588" s="9" t="str">
        <f t="shared" si="78"/>
        <v/>
      </c>
      <c r="P588" s="10" t="str">
        <f t="shared" si="74"/>
        <v/>
      </c>
      <c r="Q588" s="6" t="str">
        <f t="shared" ca="1" si="75"/>
        <v/>
      </c>
      <c r="R588" s="8" t="str">
        <f t="shared" si="77"/>
        <v/>
      </c>
    </row>
    <row r="589" spans="1:18" ht="13">
      <c r="A589" s="8"/>
      <c r="B589" s="10"/>
      <c r="C589" s="10"/>
      <c r="D589" s="8"/>
      <c r="E589" s="8"/>
      <c r="F589" s="8" t="s">
        <v>1090</v>
      </c>
      <c r="G589" s="6" t="str">
        <f>IF(F589="","",VLOOKUP(F589,'PLAN SUPORTE'!A:B,2,0))</f>
        <v/>
      </c>
      <c r="H589" s="7"/>
      <c r="I589" s="8"/>
      <c r="J589" s="8"/>
      <c r="K589" s="8"/>
      <c r="L589" s="8" t="str">
        <f>IF(K589="","",VLOOKUP(K589,'PLAN SUPORTE'!$H$2:$I$4,2,0))</f>
        <v/>
      </c>
      <c r="M589" s="10"/>
      <c r="N589" s="10"/>
      <c r="O589" s="9" t="str">
        <f t="shared" si="78"/>
        <v/>
      </c>
      <c r="P589" s="10" t="str">
        <f t="shared" si="74"/>
        <v/>
      </c>
      <c r="Q589" s="6" t="str">
        <f t="shared" ca="1" si="75"/>
        <v/>
      </c>
      <c r="R589" s="8" t="str">
        <f t="shared" si="77"/>
        <v/>
      </c>
    </row>
    <row r="590" spans="1:18" ht="13">
      <c r="A590" s="8"/>
      <c r="B590" s="10"/>
      <c r="C590" s="10"/>
      <c r="D590" s="8"/>
      <c r="E590" s="8"/>
      <c r="F590" s="8" t="s">
        <v>1090</v>
      </c>
      <c r="G590" s="6" t="str">
        <f>IF(F590="","",VLOOKUP(F590,'PLAN SUPORTE'!A:B,2,0))</f>
        <v/>
      </c>
      <c r="H590" s="7"/>
      <c r="I590" s="8"/>
      <c r="J590" s="8"/>
      <c r="K590" s="8"/>
      <c r="L590" s="8" t="str">
        <f>IF(K590="","",VLOOKUP(K590,'PLAN SUPORTE'!$H$2:$I$4,2,0))</f>
        <v/>
      </c>
      <c r="M590" s="10"/>
      <c r="N590" s="10"/>
      <c r="O590" s="9" t="str">
        <f t="shared" si="78"/>
        <v/>
      </c>
      <c r="P590" s="10" t="str">
        <f t="shared" si="74"/>
        <v/>
      </c>
      <c r="Q590" s="6" t="str">
        <f t="shared" ca="1" si="75"/>
        <v/>
      </c>
      <c r="R590" s="8" t="str">
        <f t="shared" si="77"/>
        <v/>
      </c>
    </row>
    <row r="591" spans="1:18" ht="13">
      <c r="A591" s="8"/>
      <c r="B591" s="10"/>
      <c r="C591" s="10"/>
      <c r="D591" s="8"/>
      <c r="E591" s="8"/>
      <c r="F591" s="8" t="s">
        <v>1090</v>
      </c>
      <c r="G591" s="6" t="str">
        <f>IF(F591="","",VLOOKUP(F591,'PLAN SUPORTE'!A:B,2,0))</f>
        <v/>
      </c>
      <c r="H591" s="7"/>
      <c r="I591" s="8"/>
      <c r="J591" s="8"/>
      <c r="K591" s="8"/>
      <c r="L591" s="8" t="str">
        <f>IF(K591="","",VLOOKUP(K591,'PLAN SUPORTE'!$H$2:$I$4,2,0))</f>
        <v/>
      </c>
      <c r="M591" s="10"/>
      <c r="N591" s="10"/>
      <c r="O591" s="9" t="str">
        <f t="shared" si="78"/>
        <v/>
      </c>
      <c r="P591" s="10" t="str">
        <f t="shared" si="74"/>
        <v/>
      </c>
      <c r="Q591" s="6" t="str">
        <f t="shared" ca="1" si="75"/>
        <v/>
      </c>
      <c r="R591" s="8" t="str">
        <f t="shared" si="77"/>
        <v/>
      </c>
    </row>
    <row r="592" spans="1:18" ht="13">
      <c r="A592" s="8"/>
      <c r="B592" s="10"/>
      <c r="C592" s="10"/>
      <c r="D592" s="8"/>
      <c r="E592" s="8"/>
      <c r="F592" s="8" t="s">
        <v>1090</v>
      </c>
      <c r="G592" s="6" t="str">
        <f>IF(F592="","",VLOOKUP(F592,'PLAN SUPORTE'!A:B,2,0))</f>
        <v/>
      </c>
      <c r="H592" s="7"/>
      <c r="I592" s="8"/>
      <c r="J592" s="8"/>
      <c r="K592" s="8"/>
      <c r="L592" s="8" t="str">
        <f>IF(K592="","",VLOOKUP(K592,'PLAN SUPORTE'!$H$2:$I$4,2,0))</f>
        <v/>
      </c>
      <c r="M592" s="10"/>
      <c r="N592" s="10"/>
      <c r="O592" s="9" t="str">
        <f t="shared" si="78"/>
        <v/>
      </c>
      <c r="P592" s="10" t="str">
        <f t="shared" si="74"/>
        <v/>
      </c>
      <c r="Q592" s="6" t="str">
        <f t="shared" ca="1" si="75"/>
        <v/>
      </c>
      <c r="R592" s="8" t="str">
        <f t="shared" si="77"/>
        <v/>
      </c>
    </row>
    <row r="593" spans="1:18" ht="13">
      <c r="A593" s="8"/>
      <c r="B593" s="10"/>
      <c r="C593" s="10"/>
      <c r="D593" s="8"/>
      <c r="E593" s="8"/>
      <c r="F593" s="8" t="s">
        <v>1090</v>
      </c>
      <c r="G593" s="6" t="str">
        <f>IF(F593="","",VLOOKUP(F593,'PLAN SUPORTE'!A:B,2,0))</f>
        <v/>
      </c>
      <c r="H593" s="7"/>
      <c r="I593" s="8"/>
      <c r="J593" s="8"/>
      <c r="K593" s="8"/>
      <c r="L593" s="8" t="str">
        <f>IF(K593="","",VLOOKUP(K593,'PLAN SUPORTE'!$H$2:$I$4,2,0))</f>
        <v/>
      </c>
      <c r="M593" s="10"/>
      <c r="N593" s="10"/>
      <c r="O593" s="9" t="str">
        <f t="shared" si="78"/>
        <v/>
      </c>
      <c r="P593" s="10" t="str">
        <f t="shared" si="74"/>
        <v/>
      </c>
      <c r="Q593" s="6" t="str">
        <f t="shared" ca="1" si="75"/>
        <v/>
      </c>
      <c r="R593" s="8" t="str">
        <f t="shared" si="77"/>
        <v/>
      </c>
    </row>
    <row r="594" spans="1:18" ht="13">
      <c r="A594" s="8"/>
      <c r="B594" s="10"/>
      <c r="C594" s="10"/>
      <c r="D594" s="8"/>
      <c r="E594" s="8"/>
      <c r="F594" s="8" t="s">
        <v>1090</v>
      </c>
      <c r="G594" s="6" t="str">
        <f>IF(F594="","",VLOOKUP(F594,'PLAN SUPORTE'!A:B,2,0))</f>
        <v/>
      </c>
      <c r="H594" s="7"/>
      <c r="I594" s="8"/>
      <c r="J594" s="8"/>
      <c r="K594" s="8"/>
      <c r="L594" s="8" t="str">
        <f>IF(K594="","",VLOOKUP(K594,'PLAN SUPORTE'!$H$2:$I$4,2,0))</f>
        <v/>
      </c>
      <c r="M594" s="10"/>
      <c r="N594" s="10"/>
      <c r="O594" s="9" t="str">
        <f t="shared" si="78"/>
        <v/>
      </c>
      <c r="P594" s="10" t="str">
        <f t="shared" si="74"/>
        <v/>
      </c>
      <c r="Q594" s="6" t="str">
        <f t="shared" ca="1" si="75"/>
        <v/>
      </c>
      <c r="R594" s="8" t="str">
        <f t="shared" si="77"/>
        <v/>
      </c>
    </row>
    <row r="595" spans="1:18" ht="13">
      <c r="A595" s="8"/>
      <c r="B595" s="10"/>
      <c r="C595" s="10"/>
      <c r="D595" s="8"/>
      <c r="E595" s="8"/>
      <c r="F595" s="8" t="s">
        <v>1090</v>
      </c>
      <c r="G595" s="6" t="str">
        <f>IF(F595="","",VLOOKUP(F595,'PLAN SUPORTE'!A:B,2,0))</f>
        <v/>
      </c>
      <c r="H595" s="7"/>
      <c r="I595" s="8"/>
      <c r="J595" s="8"/>
      <c r="K595" s="8"/>
      <c r="L595" s="8" t="str">
        <f>IF(K595="","",VLOOKUP(K595,'PLAN SUPORTE'!$H$2:$I$4,2,0))</f>
        <v/>
      </c>
      <c r="M595" s="10"/>
      <c r="N595" s="10"/>
      <c r="O595" s="9" t="str">
        <f t="shared" si="78"/>
        <v/>
      </c>
      <c r="P595" s="10" t="str">
        <f t="shared" si="74"/>
        <v/>
      </c>
      <c r="Q595" s="6" t="str">
        <f t="shared" ca="1" si="75"/>
        <v/>
      </c>
      <c r="R595" s="8" t="str">
        <f t="shared" si="77"/>
        <v/>
      </c>
    </row>
    <row r="596" spans="1:18" ht="13">
      <c r="A596" s="8"/>
      <c r="B596" s="10"/>
      <c r="C596" s="10"/>
      <c r="D596" s="8"/>
      <c r="E596" s="8"/>
      <c r="F596" s="8" t="s">
        <v>1090</v>
      </c>
      <c r="G596" s="6" t="str">
        <f>IF(F596="","",VLOOKUP(F596,'PLAN SUPORTE'!A:B,2,0))</f>
        <v/>
      </c>
      <c r="H596" s="7"/>
      <c r="I596" s="8"/>
      <c r="J596" s="8"/>
      <c r="K596" s="8"/>
      <c r="L596" s="8" t="str">
        <f>IF(K596="","",VLOOKUP(K596,'PLAN SUPORTE'!$H$2:$I$4,2,0))</f>
        <v/>
      </c>
      <c r="M596" s="10"/>
      <c r="N596" s="10"/>
      <c r="O596" s="9" t="str">
        <f t="shared" si="78"/>
        <v/>
      </c>
      <c r="P596" s="10" t="str">
        <f t="shared" si="74"/>
        <v/>
      </c>
      <c r="Q596" s="6" t="str">
        <f t="shared" ca="1" si="75"/>
        <v/>
      </c>
      <c r="R596" s="8" t="str">
        <f t="shared" si="77"/>
        <v/>
      </c>
    </row>
    <row r="597" spans="1:18" ht="13">
      <c r="A597" s="8"/>
      <c r="B597" s="10"/>
      <c r="C597" s="10"/>
      <c r="D597" s="8"/>
      <c r="E597" s="8"/>
      <c r="F597" s="8" t="s">
        <v>1090</v>
      </c>
      <c r="G597" s="6" t="str">
        <f>IF(F597="","",VLOOKUP(F597,'PLAN SUPORTE'!A:B,2,0))</f>
        <v/>
      </c>
      <c r="H597" s="7"/>
      <c r="I597" s="8"/>
      <c r="J597" s="8"/>
      <c r="K597" s="8"/>
      <c r="L597" s="8" t="str">
        <f>IF(K597="","",VLOOKUP(K597,'PLAN SUPORTE'!$H$2:$I$4,2,0))</f>
        <v/>
      </c>
      <c r="M597" s="10"/>
      <c r="N597" s="10"/>
      <c r="O597" s="9" t="str">
        <f t="shared" si="78"/>
        <v/>
      </c>
      <c r="P597" s="10" t="str">
        <f t="shared" si="74"/>
        <v/>
      </c>
      <c r="Q597" s="6" t="str">
        <f t="shared" ca="1" si="75"/>
        <v/>
      </c>
      <c r="R597" s="8" t="str">
        <f t="shared" si="77"/>
        <v/>
      </c>
    </row>
    <row r="598" spans="1:18" ht="13">
      <c r="A598" s="8"/>
      <c r="B598" s="10"/>
      <c r="C598" s="10"/>
      <c r="D598" s="8"/>
      <c r="E598" s="8"/>
      <c r="F598" s="8" t="s">
        <v>1090</v>
      </c>
      <c r="G598" s="6" t="str">
        <f>IF(F598="","",VLOOKUP(F598,'PLAN SUPORTE'!A:B,2,0))</f>
        <v/>
      </c>
      <c r="H598" s="7"/>
      <c r="I598" s="8"/>
      <c r="J598" s="8"/>
      <c r="K598" s="8"/>
      <c r="L598" s="8" t="str">
        <f>IF(K598="","",VLOOKUP(K598,'PLAN SUPORTE'!$H$2:$I$4,2,0))</f>
        <v/>
      </c>
      <c r="M598" s="10"/>
      <c r="N598" s="10"/>
      <c r="O598" s="9" t="str">
        <f t="shared" si="78"/>
        <v/>
      </c>
      <c r="P598" s="10" t="str">
        <f t="shared" si="74"/>
        <v/>
      </c>
      <c r="Q598" s="6" t="str">
        <f t="shared" ca="1" si="75"/>
        <v/>
      </c>
      <c r="R598" s="8" t="str">
        <f t="shared" si="77"/>
        <v/>
      </c>
    </row>
    <row r="599" spans="1:18" ht="13">
      <c r="A599" s="8"/>
      <c r="B599" s="10"/>
      <c r="C599" s="10"/>
      <c r="D599" s="8"/>
      <c r="E599" s="8"/>
      <c r="F599" s="8" t="s">
        <v>1090</v>
      </c>
      <c r="G599" s="6" t="str">
        <f>IF(F599="","",VLOOKUP(F599,'PLAN SUPORTE'!A:B,2,0))</f>
        <v/>
      </c>
      <c r="H599" s="7"/>
      <c r="I599" s="8"/>
      <c r="J599" s="8"/>
      <c r="K599" s="8"/>
      <c r="L599" s="8" t="str">
        <f>IF(K599="","",VLOOKUP(K599,'PLAN SUPORTE'!$H$2:$I$4,2,0))</f>
        <v/>
      </c>
      <c r="M599" s="10"/>
      <c r="N599" s="10"/>
      <c r="O599" s="9" t="str">
        <f t="shared" si="78"/>
        <v/>
      </c>
      <c r="P599" s="10" t="str">
        <f t="shared" si="74"/>
        <v/>
      </c>
      <c r="Q599" s="6" t="str">
        <f t="shared" ca="1" si="75"/>
        <v/>
      </c>
      <c r="R599" s="8" t="str">
        <f t="shared" si="77"/>
        <v/>
      </c>
    </row>
    <row r="600" spans="1:18" ht="13">
      <c r="A600" s="8"/>
      <c r="B600" s="10"/>
      <c r="C600" s="10"/>
      <c r="D600" s="8"/>
      <c r="E600" s="8"/>
      <c r="F600" s="8" t="s">
        <v>1090</v>
      </c>
      <c r="G600" s="6" t="str">
        <f>IF(F600="","",VLOOKUP(F600,'PLAN SUPORTE'!A:B,2,0))</f>
        <v/>
      </c>
      <c r="H600" s="7"/>
      <c r="I600" s="8"/>
      <c r="J600" s="8"/>
      <c r="K600" s="8"/>
      <c r="L600" s="8" t="str">
        <f>IF(K600="","",VLOOKUP(K600,'PLAN SUPORTE'!$H$2:$I$4,2,0))</f>
        <v/>
      </c>
      <c r="M600" s="10"/>
      <c r="N600" s="10"/>
      <c r="O600" s="9" t="str">
        <f t="shared" si="78"/>
        <v/>
      </c>
      <c r="P600" s="10" t="str">
        <f t="shared" si="74"/>
        <v/>
      </c>
      <c r="Q600" s="6" t="str">
        <f t="shared" ca="1" si="75"/>
        <v/>
      </c>
      <c r="R600" s="8" t="str">
        <f t="shared" si="77"/>
        <v/>
      </c>
    </row>
    <row r="601" spans="1:18" ht="13">
      <c r="A601" s="8"/>
      <c r="B601" s="10"/>
      <c r="C601" s="10"/>
      <c r="D601" s="8"/>
      <c r="E601" s="8"/>
      <c r="F601" s="8" t="s">
        <v>1090</v>
      </c>
      <c r="G601" s="6" t="str">
        <f>IF(F601="","",VLOOKUP(F601,'PLAN SUPORTE'!A:B,2,0))</f>
        <v/>
      </c>
      <c r="H601" s="7"/>
      <c r="I601" s="8"/>
      <c r="J601" s="8"/>
      <c r="K601" s="8"/>
      <c r="L601" s="8" t="str">
        <f>IF(K601="","",VLOOKUP(K601,'PLAN SUPORTE'!$H$2:$I$4,2,0))</f>
        <v/>
      </c>
      <c r="M601" s="10"/>
      <c r="N601" s="10"/>
      <c r="O601" s="9" t="str">
        <f t="shared" si="78"/>
        <v/>
      </c>
      <c r="P601" s="10" t="str">
        <f t="shared" si="74"/>
        <v/>
      </c>
      <c r="Q601" s="6" t="str">
        <f t="shared" ca="1" si="75"/>
        <v/>
      </c>
      <c r="R601" s="8" t="str">
        <f t="shared" si="77"/>
        <v/>
      </c>
    </row>
    <row r="602" spans="1:18" ht="13">
      <c r="A602" s="8"/>
      <c r="B602" s="10"/>
      <c r="C602" s="10"/>
      <c r="D602" s="8"/>
      <c r="E602" s="8"/>
      <c r="F602" s="8" t="s">
        <v>1090</v>
      </c>
      <c r="G602" s="6" t="str">
        <f>IF(F602="","",VLOOKUP(F602,'PLAN SUPORTE'!A:B,2,0))</f>
        <v/>
      </c>
      <c r="H602" s="7"/>
      <c r="I602" s="8"/>
      <c r="J602" s="8"/>
      <c r="K602" s="8"/>
      <c r="L602" s="8" t="str">
        <f>IF(K602="","",VLOOKUP(K602,'PLAN SUPORTE'!$H$2:$I$4,2,0))</f>
        <v/>
      </c>
      <c r="M602" s="10"/>
      <c r="N602" s="10"/>
      <c r="O602" s="9" t="str">
        <f t="shared" si="78"/>
        <v/>
      </c>
      <c r="P602" s="10" t="str">
        <f t="shared" si="74"/>
        <v/>
      </c>
      <c r="Q602" s="6" t="str">
        <f t="shared" ca="1" si="75"/>
        <v/>
      </c>
      <c r="R602" s="8" t="str">
        <f t="shared" si="77"/>
        <v/>
      </c>
    </row>
    <row r="603" spans="1:18" ht="13">
      <c r="A603" s="8"/>
      <c r="B603" s="10"/>
      <c r="C603" s="10"/>
      <c r="D603" s="8"/>
      <c r="E603" s="8"/>
      <c r="F603" s="8" t="s">
        <v>1090</v>
      </c>
      <c r="G603" s="6" t="str">
        <f>IF(F603="","",VLOOKUP(F603,'PLAN SUPORTE'!A:B,2,0))</f>
        <v/>
      </c>
      <c r="H603" s="7"/>
      <c r="I603" s="8"/>
      <c r="J603" s="8"/>
      <c r="K603" s="8"/>
      <c r="L603" s="8" t="str">
        <f>IF(K603="","",VLOOKUP(K603,'PLAN SUPORTE'!$H$2:$I$4,2,0))</f>
        <v/>
      </c>
      <c r="M603" s="10"/>
      <c r="N603" s="10"/>
      <c r="O603" s="9" t="str">
        <f t="shared" si="78"/>
        <v/>
      </c>
      <c r="P603" s="10" t="str">
        <f t="shared" si="74"/>
        <v/>
      </c>
      <c r="Q603" s="6" t="str">
        <f t="shared" ca="1" si="75"/>
        <v/>
      </c>
      <c r="R603" s="8" t="str">
        <f t="shared" si="77"/>
        <v/>
      </c>
    </row>
    <row r="604" spans="1:18" ht="13">
      <c r="A604" s="8"/>
      <c r="B604" s="10"/>
      <c r="C604" s="10"/>
      <c r="D604" s="8"/>
      <c r="E604" s="8"/>
      <c r="F604" s="8" t="s">
        <v>1090</v>
      </c>
      <c r="G604" s="6" t="str">
        <f>IF(F604="","",VLOOKUP(F604,'PLAN SUPORTE'!A:B,2,0))</f>
        <v/>
      </c>
      <c r="H604" s="7"/>
      <c r="I604" s="8"/>
      <c r="J604" s="8"/>
      <c r="K604" s="8"/>
      <c r="L604" s="8" t="str">
        <f>IF(K604="","",VLOOKUP(K604,'PLAN SUPORTE'!$H$2:$I$4,2,0))</f>
        <v/>
      </c>
      <c r="M604" s="10"/>
      <c r="N604" s="10"/>
      <c r="O604" s="9" t="str">
        <f t="shared" si="78"/>
        <v/>
      </c>
      <c r="P604" s="10" t="str">
        <f t="shared" si="74"/>
        <v/>
      </c>
      <c r="Q604" s="6" t="str">
        <f t="shared" ca="1" si="75"/>
        <v/>
      </c>
      <c r="R604" s="8" t="str">
        <f t="shared" si="77"/>
        <v/>
      </c>
    </row>
    <row r="605" spans="1:18" ht="13">
      <c r="A605" s="8"/>
      <c r="B605" s="10"/>
      <c r="C605" s="10"/>
      <c r="D605" s="8"/>
      <c r="E605" s="8"/>
      <c r="F605" s="8" t="s">
        <v>1090</v>
      </c>
      <c r="G605" s="6" t="str">
        <f>IF(F605="","",VLOOKUP(F605,'PLAN SUPORTE'!A:B,2,0))</f>
        <v/>
      </c>
      <c r="H605" s="7"/>
      <c r="I605" s="8"/>
      <c r="J605" s="8"/>
      <c r="K605" s="8"/>
      <c r="L605" s="8" t="str">
        <f>IF(K605="","",VLOOKUP(K605,'PLAN SUPORTE'!$H$2:$I$4,2,0))</f>
        <v/>
      </c>
      <c r="M605" s="10"/>
      <c r="N605" s="10"/>
      <c r="O605" s="9" t="str">
        <f t="shared" si="78"/>
        <v/>
      </c>
      <c r="P605" s="10" t="str">
        <f t="shared" si="74"/>
        <v/>
      </c>
      <c r="Q605" s="6" t="str">
        <f t="shared" ca="1" si="75"/>
        <v/>
      </c>
      <c r="R605" s="8" t="str">
        <f t="shared" si="77"/>
        <v/>
      </c>
    </row>
    <row r="606" spans="1:18" ht="13">
      <c r="A606" s="8"/>
      <c r="B606" s="10"/>
      <c r="C606" s="10"/>
      <c r="D606" s="8"/>
      <c r="E606" s="8"/>
      <c r="F606" s="8" t="s">
        <v>1090</v>
      </c>
      <c r="G606" s="6" t="str">
        <f>IF(F606="","",VLOOKUP(F606,'PLAN SUPORTE'!A:B,2,0))</f>
        <v/>
      </c>
      <c r="H606" s="7"/>
      <c r="I606" s="8"/>
      <c r="J606" s="8"/>
      <c r="K606" s="8"/>
      <c r="L606" s="8" t="str">
        <f>IF(K606="","",VLOOKUP(K606,'PLAN SUPORTE'!$H$2:$I$4,2,0))</f>
        <v/>
      </c>
      <c r="M606" s="10"/>
      <c r="N606" s="10"/>
      <c r="O606" s="9" t="str">
        <f t="shared" si="78"/>
        <v/>
      </c>
      <c r="P606" s="10" t="str">
        <f t="shared" si="74"/>
        <v/>
      </c>
      <c r="Q606" s="6" t="str">
        <f t="shared" ca="1" si="75"/>
        <v/>
      </c>
      <c r="R606" s="8" t="str">
        <f t="shared" si="77"/>
        <v/>
      </c>
    </row>
    <row r="607" spans="1:18" ht="13">
      <c r="A607" s="8"/>
      <c r="B607" s="10"/>
      <c r="C607" s="10"/>
      <c r="D607" s="8"/>
      <c r="E607" s="8"/>
      <c r="F607" s="8" t="s">
        <v>1090</v>
      </c>
      <c r="G607" s="6" t="str">
        <f>IF(F607="","",VLOOKUP(F607,'PLAN SUPORTE'!A:B,2,0))</f>
        <v/>
      </c>
      <c r="H607" s="7"/>
      <c r="I607" s="8"/>
      <c r="J607" s="8"/>
      <c r="K607" s="8"/>
      <c r="L607" s="8" t="str">
        <f>IF(K607="","",VLOOKUP(K607,'PLAN SUPORTE'!$H$2:$I$4,2,0))</f>
        <v/>
      </c>
      <c r="M607" s="10"/>
      <c r="N607" s="10"/>
      <c r="O607" s="9" t="str">
        <f t="shared" si="78"/>
        <v/>
      </c>
      <c r="P607" s="10" t="str">
        <f t="shared" si="74"/>
        <v/>
      </c>
      <c r="Q607" s="6" t="str">
        <f t="shared" ca="1" si="75"/>
        <v/>
      </c>
      <c r="R607" s="8" t="str">
        <f t="shared" si="77"/>
        <v/>
      </c>
    </row>
    <row r="608" spans="1:18" ht="13">
      <c r="A608" s="8"/>
      <c r="B608" s="10"/>
      <c r="C608" s="10"/>
      <c r="D608" s="8"/>
      <c r="E608" s="8"/>
      <c r="F608" s="8" t="s">
        <v>1090</v>
      </c>
      <c r="G608" s="6" t="str">
        <f>IF(F608="","",VLOOKUP(F608,'PLAN SUPORTE'!A:B,2,0))</f>
        <v/>
      </c>
      <c r="H608" s="7"/>
      <c r="I608" s="8"/>
      <c r="J608" s="8"/>
      <c r="K608" s="8"/>
      <c r="L608" s="8" t="str">
        <f>IF(K608="","",VLOOKUP(K608,'PLAN SUPORTE'!$H$2:$I$4,2,0))</f>
        <v/>
      </c>
      <c r="M608" s="10"/>
      <c r="N608" s="10"/>
      <c r="O608" s="9" t="str">
        <f t="shared" si="78"/>
        <v/>
      </c>
      <c r="P608" s="10" t="str">
        <f t="shared" si="74"/>
        <v/>
      </c>
      <c r="Q608" s="6" t="str">
        <f t="shared" ca="1" si="75"/>
        <v/>
      </c>
      <c r="R608" s="8" t="str">
        <f t="shared" si="77"/>
        <v/>
      </c>
    </row>
    <row r="609" spans="1:18" ht="13">
      <c r="A609" s="8"/>
      <c r="B609" s="10"/>
      <c r="C609" s="10"/>
      <c r="D609" s="8"/>
      <c r="E609" s="8"/>
      <c r="F609" s="8" t="s">
        <v>1090</v>
      </c>
      <c r="G609" s="6" t="str">
        <f>IF(F609="","",VLOOKUP(F609,'PLAN SUPORTE'!A:B,2,0))</f>
        <v/>
      </c>
      <c r="H609" s="7"/>
      <c r="I609" s="8"/>
      <c r="J609" s="8"/>
      <c r="K609" s="8"/>
      <c r="L609" s="8" t="str">
        <f>IF(K609="","",VLOOKUP(K609,'PLAN SUPORTE'!$H$2:$I$4,2,0))</f>
        <v/>
      </c>
      <c r="M609" s="10"/>
      <c r="N609" s="10"/>
      <c r="O609" s="9" t="str">
        <f t="shared" si="78"/>
        <v/>
      </c>
      <c r="P609" s="10" t="str">
        <f t="shared" si="74"/>
        <v/>
      </c>
      <c r="Q609" s="6" t="str">
        <f t="shared" ca="1" si="75"/>
        <v/>
      </c>
      <c r="R609" s="8" t="str">
        <f t="shared" si="77"/>
        <v/>
      </c>
    </row>
    <row r="610" spans="1:18" ht="13">
      <c r="A610" s="8"/>
      <c r="B610" s="10"/>
      <c r="C610" s="10"/>
      <c r="D610" s="8"/>
      <c r="E610" s="8"/>
      <c r="F610" s="8" t="s">
        <v>1090</v>
      </c>
      <c r="G610" s="6" t="str">
        <f>IF(F610="","",VLOOKUP(F610,'PLAN SUPORTE'!A:B,2,0))</f>
        <v/>
      </c>
      <c r="H610" s="7"/>
      <c r="I610" s="8"/>
      <c r="J610" s="8"/>
      <c r="K610" s="8"/>
      <c r="L610" s="8" t="str">
        <f>IF(K610="","",VLOOKUP(K610,'PLAN SUPORTE'!$H$2:$I$4,2,0))</f>
        <v/>
      </c>
      <c r="M610" s="10"/>
      <c r="N610" s="10"/>
      <c r="O610" s="9" t="str">
        <f t="shared" si="78"/>
        <v/>
      </c>
      <c r="P610" s="10" t="str">
        <f t="shared" si="74"/>
        <v/>
      </c>
      <c r="Q610" s="6" t="str">
        <f t="shared" ca="1" si="75"/>
        <v/>
      </c>
      <c r="R610" s="8" t="str">
        <f t="shared" si="77"/>
        <v/>
      </c>
    </row>
    <row r="611" spans="1:18" ht="13">
      <c r="A611" s="8"/>
      <c r="B611" s="10"/>
      <c r="C611" s="10"/>
      <c r="D611" s="8"/>
      <c r="E611" s="8"/>
      <c r="F611" s="8" t="s">
        <v>1090</v>
      </c>
      <c r="G611" s="6" t="str">
        <f>IF(F611="","",VLOOKUP(F611,'PLAN SUPORTE'!A:B,2,0))</f>
        <v/>
      </c>
      <c r="H611" s="7"/>
      <c r="I611" s="8"/>
      <c r="J611" s="8"/>
      <c r="K611" s="8"/>
      <c r="L611" s="8" t="str">
        <f>IF(K611="","",VLOOKUP(K611,'PLAN SUPORTE'!$H$2:$I$4,2,0))</f>
        <v/>
      </c>
      <c r="M611" s="10"/>
      <c r="N611" s="10"/>
      <c r="O611" s="9" t="str">
        <f t="shared" si="78"/>
        <v/>
      </c>
      <c r="P611" s="10" t="str">
        <f t="shared" si="74"/>
        <v/>
      </c>
      <c r="Q611" s="6" t="str">
        <f t="shared" ca="1" si="75"/>
        <v/>
      </c>
      <c r="R611" s="8" t="str">
        <f t="shared" si="77"/>
        <v/>
      </c>
    </row>
    <row r="612" spans="1:18" ht="13">
      <c r="A612" s="8"/>
      <c r="B612" s="10"/>
      <c r="C612" s="10"/>
      <c r="D612" s="8"/>
      <c r="E612" s="8"/>
      <c r="F612" s="8" t="s">
        <v>1090</v>
      </c>
      <c r="G612" s="6" t="str">
        <f>IF(F612="","",VLOOKUP(F612,'PLAN SUPORTE'!A:B,2,0))</f>
        <v/>
      </c>
      <c r="H612" s="7"/>
      <c r="I612" s="8"/>
      <c r="J612" s="8"/>
      <c r="K612" s="8"/>
      <c r="L612" s="8" t="str">
        <f>IF(K612="","",VLOOKUP(K612,'PLAN SUPORTE'!$H$2:$I$4,2,0))</f>
        <v/>
      </c>
      <c r="M612" s="10"/>
      <c r="N612" s="10"/>
      <c r="O612" s="9" t="str">
        <f t="shared" si="78"/>
        <v/>
      </c>
      <c r="P612" s="10" t="str">
        <f t="shared" si="74"/>
        <v/>
      </c>
      <c r="Q612" s="6" t="str">
        <f t="shared" ca="1" si="75"/>
        <v/>
      </c>
      <c r="R612" s="8" t="str">
        <f t="shared" si="77"/>
        <v/>
      </c>
    </row>
    <row r="613" spans="1:18" ht="13">
      <c r="A613" s="8"/>
      <c r="B613" s="10"/>
      <c r="C613" s="10"/>
      <c r="D613" s="8"/>
      <c r="E613" s="8"/>
      <c r="F613" s="8" t="s">
        <v>1090</v>
      </c>
      <c r="G613" s="6" t="str">
        <f>IF(F613="","",VLOOKUP(F613,'PLAN SUPORTE'!A:B,2,0))</f>
        <v/>
      </c>
      <c r="H613" s="7"/>
      <c r="I613" s="8"/>
      <c r="J613" s="8"/>
      <c r="K613" s="8"/>
      <c r="L613" s="8" t="str">
        <f>IF(K613="","",VLOOKUP(K613,'PLAN SUPORTE'!$H$2:$I$4,2,0))</f>
        <v/>
      </c>
      <c r="M613" s="10"/>
      <c r="N613" s="10"/>
      <c r="O613" s="9" t="str">
        <f t="shared" si="78"/>
        <v/>
      </c>
      <c r="P613" s="10" t="str">
        <f t="shared" si="74"/>
        <v/>
      </c>
      <c r="Q613" s="6" t="str">
        <f t="shared" ca="1" si="75"/>
        <v/>
      </c>
      <c r="R613" s="8" t="str">
        <f t="shared" si="77"/>
        <v/>
      </c>
    </row>
    <row r="614" spans="1:18" ht="13">
      <c r="A614" s="8"/>
      <c r="B614" s="10"/>
      <c r="C614" s="10"/>
      <c r="D614" s="8"/>
      <c r="E614" s="8"/>
      <c r="F614" s="8" t="s">
        <v>1090</v>
      </c>
      <c r="G614" s="6" t="str">
        <f>IF(F614="","",VLOOKUP(F614,'PLAN SUPORTE'!A:B,2,0))</f>
        <v/>
      </c>
      <c r="H614" s="7"/>
      <c r="I614" s="8"/>
      <c r="J614" s="8"/>
      <c r="K614" s="8"/>
      <c r="L614" s="8" t="str">
        <f>IF(K614="","",VLOOKUP(K614,'PLAN SUPORTE'!$H$2:$I$4,2,0))</f>
        <v/>
      </c>
      <c r="M614" s="10"/>
      <c r="N614" s="10"/>
      <c r="O614" s="9" t="str">
        <f t="shared" si="78"/>
        <v/>
      </c>
      <c r="P614" s="10" t="str">
        <f t="shared" ref="P614:P868" si="79">IF(OR(C614="",L614=""),"",C614+L614)</f>
        <v/>
      </c>
      <c r="Q614" s="6" t="str">
        <f t="shared" ref="Q614:Q868" ca="1" si="80">IF(P614="","",IF(P614-TODAY()=0,"Vence Hoje!",IF(P614-TODAY()&gt;=0,P614-TODAY()&amp;" Dia(s) para vencer","Prazo Vencido")))</f>
        <v/>
      </c>
      <c r="R614" s="8" t="str">
        <f t="shared" si="77"/>
        <v/>
      </c>
    </row>
    <row r="615" spans="1:18" ht="13">
      <c r="A615" s="8"/>
      <c r="B615" s="10"/>
      <c r="C615" s="10"/>
      <c r="D615" s="8"/>
      <c r="E615" s="8"/>
      <c r="F615" s="8" t="s">
        <v>1090</v>
      </c>
      <c r="G615" s="6" t="str">
        <f>IF(F615="","",VLOOKUP(F615,'PLAN SUPORTE'!A:B,2,0))</f>
        <v/>
      </c>
      <c r="H615" s="7"/>
      <c r="I615" s="8"/>
      <c r="J615" s="8"/>
      <c r="K615" s="8"/>
      <c r="L615" s="8" t="str">
        <f>IF(K615="","",VLOOKUP(K615,'PLAN SUPORTE'!$H$2:$I$4,2,0))</f>
        <v/>
      </c>
      <c r="M615" s="10"/>
      <c r="N615" s="10"/>
      <c r="O615" s="9" t="str">
        <f t="shared" si="78"/>
        <v/>
      </c>
      <c r="P615" s="10" t="str">
        <f t="shared" si="79"/>
        <v/>
      </c>
      <c r="Q615" s="6" t="str">
        <f t="shared" ca="1" si="80"/>
        <v/>
      </c>
      <c r="R615" s="8" t="str">
        <f t="shared" si="77"/>
        <v/>
      </c>
    </row>
    <row r="616" spans="1:18" ht="13">
      <c r="A616" s="8"/>
      <c r="B616" s="10"/>
      <c r="C616" s="10"/>
      <c r="D616" s="8"/>
      <c r="E616" s="8"/>
      <c r="F616" s="8" t="s">
        <v>1090</v>
      </c>
      <c r="G616" s="6" t="str">
        <f>IF(F616="","",VLOOKUP(F616,'PLAN SUPORTE'!A:B,2,0))</f>
        <v/>
      </c>
      <c r="H616" s="7"/>
      <c r="I616" s="8"/>
      <c r="J616" s="8"/>
      <c r="K616" s="8"/>
      <c r="L616" s="8" t="str">
        <f>IF(K616="","",VLOOKUP(K616,'PLAN SUPORTE'!$H$2:$I$4,2,0))</f>
        <v/>
      </c>
      <c r="M616" s="10"/>
      <c r="N616" s="10"/>
      <c r="O616" s="9" t="str">
        <f t="shared" si="78"/>
        <v/>
      </c>
      <c r="P616" s="10" t="str">
        <f t="shared" si="79"/>
        <v/>
      </c>
      <c r="Q616" s="6" t="str">
        <f t="shared" ca="1" si="80"/>
        <v/>
      </c>
      <c r="R616" s="8" t="str">
        <f t="shared" si="77"/>
        <v/>
      </c>
    </row>
    <row r="617" spans="1:18" ht="13">
      <c r="A617" s="8"/>
      <c r="B617" s="10"/>
      <c r="C617" s="10"/>
      <c r="D617" s="8"/>
      <c r="E617" s="8"/>
      <c r="F617" s="8" t="s">
        <v>1090</v>
      </c>
      <c r="G617" s="6" t="str">
        <f>IF(F617="","",VLOOKUP(F617,'PLAN SUPORTE'!A:B,2,0))</f>
        <v/>
      </c>
      <c r="H617" s="7"/>
      <c r="I617" s="8"/>
      <c r="J617" s="8"/>
      <c r="K617" s="8"/>
      <c r="L617" s="8" t="str">
        <f>IF(K617="","",VLOOKUP(K617,'PLAN SUPORTE'!$H$2:$I$4,2,0))</f>
        <v/>
      </c>
      <c r="M617" s="10"/>
      <c r="N617" s="10"/>
      <c r="O617" s="9" t="str">
        <f t="shared" si="78"/>
        <v/>
      </c>
      <c r="P617" s="10" t="str">
        <f t="shared" si="79"/>
        <v/>
      </c>
      <c r="Q617" s="6" t="str">
        <f t="shared" ca="1" si="80"/>
        <v/>
      </c>
      <c r="R617" s="8" t="str">
        <f t="shared" si="77"/>
        <v/>
      </c>
    </row>
    <row r="618" spans="1:18" ht="13">
      <c r="A618" s="8"/>
      <c r="B618" s="10"/>
      <c r="C618" s="10"/>
      <c r="D618" s="8"/>
      <c r="E618" s="8"/>
      <c r="F618" s="8" t="s">
        <v>1090</v>
      </c>
      <c r="G618" s="6" t="str">
        <f>IF(F618="","",VLOOKUP(F618,'PLAN SUPORTE'!A:B,2,0))</f>
        <v/>
      </c>
      <c r="H618" s="7"/>
      <c r="I618" s="8"/>
      <c r="J618" s="8"/>
      <c r="K618" s="8"/>
      <c r="L618" s="8" t="str">
        <f>IF(K618="","",VLOOKUP(K618,'PLAN SUPORTE'!$H$2:$I$4,2,0))</f>
        <v/>
      </c>
      <c r="M618" s="10"/>
      <c r="N618" s="10"/>
      <c r="O618" s="9" t="str">
        <f t="shared" si="78"/>
        <v/>
      </c>
      <c r="P618" s="10" t="str">
        <f t="shared" si="79"/>
        <v/>
      </c>
      <c r="Q618" s="6" t="str">
        <f t="shared" ca="1" si="80"/>
        <v/>
      </c>
      <c r="R618" s="8" t="str">
        <f t="shared" si="77"/>
        <v/>
      </c>
    </row>
    <row r="619" spans="1:18" ht="13">
      <c r="A619" s="8"/>
      <c r="B619" s="10"/>
      <c r="C619" s="10"/>
      <c r="D619" s="8"/>
      <c r="E619" s="8"/>
      <c r="F619" s="8" t="s">
        <v>1090</v>
      </c>
      <c r="G619" s="6" t="str">
        <f>IF(F619="","",VLOOKUP(F619,'PLAN SUPORTE'!A:B,2,0))</f>
        <v/>
      </c>
      <c r="H619" s="7"/>
      <c r="I619" s="8"/>
      <c r="J619" s="8"/>
      <c r="K619" s="8"/>
      <c r="L619" s="8" t="str">
        <f>IF(K619="","",VLOOKUP(K619,'PLAN SUPORTE'!$H$2:$I$4,2,0))</f>
        <v/>
      </c>
      <c r="M619" s="10"/>
      <c r="N619" s="10"/>
      <c r="O619" s="9" t="str">
        <f t="shared" si="78"/>
        <v/>
      </c>
      <c r="P619" s="10" t="str">
        <f t="shared" si="79"/>
        <v/>
      </c>
      <c r="Q619" s="6" t="str">
        <f t="shared" ca="1" si="80"/>
        <v/>
      </c>
      <c r="R619" s="8" t="str">
        <f t="shared" si="77"/>
        <v/>
      </c>
    </row>
    <row r="620" spans="1:18" ht="13">
      <c r="A620" s="8"/>
      <c r="B620" s="10"/>
      <c r="C620" s="10"/>
      <c r="D620" s="8"/>
      <c r="E620" s="8"/>
      <c r="F620" s="8" t="s">
        <v>1090</v>
      </c>
      <c r="G620" s="6" t="str">
        <f>IF(F620="","",VLOOKUP(F620,'PLAN SUPORTE'!A:B,2,0))</f>
        <v/>
      </c>
      <c r="H620" s="7"/>
      <c r="I620" s="8"/>
      <c r="J620" s="8"/>
      <c r="K620" s="8"/>
      <c r="L620" s="8" t="str">
        <f>IF(K620="","",VLOOKUP(K620,'PLAN SUPORTE'!$H$2:$I$4,2,0))</f>
        <v/>
      </c>
      <c r="M620" s="10"/>
      <c r="N620" s="10"/>
      <c r="O620" s="9" t="str">
        <f t="shared" si="78"/>
        <v/>
      </c>
      <c r="P620" s="10" t="str">
        <f t="shared" si="79"/>
        <v/>
      </c>
      <c r="Q620" s="6" t="str">
        <f t="shared" ca="1" si="80"/>
        <v/>
      </c>
      <c r="R620" s="8" t="str">
        <f t="shared" si="77"/>
        <v/>
      </c>
    </row>
    <row r="621" spans="1:18" ht="13">
      <c r="A621" s="8"/>
      <c r="B621" s="10"/>
      <c r="C621" s="10"/>
      <c r="D621" s="8"/>
      <c r="E621" s="8"/>
      <c r="F621" s="8" t="s">
        <v>1090</v>
      </c>
      <c r="G621" s="6" t="str">
        <f>IF(F621="","",VLOOKUP(F621,'PLAN SUPORTE'!A:B,2,0))</f>
        <v/>
      </c>
      <c r="H621" s="7"/>
      <c r="I621" s="8"/>
      <c r="J621" s="8"/>
      <c r="K621" s="8"/>
      <c r="L621" s="8" t="str">
        <f>IF(K621="","",VLOOKUP(K621,'PLAN SUPORTE'!$H$2:$I$4,2,0))</f>
        <v/>
      </c>
      <c r="M621" s="10"/>
      <c r="N621" s="10"/>
      <c r="O621" s="9" t="str">
        <f t="shared" si="78"/>
        <v/>
      </c>
      <c r="P621" s="10" t="str">
        <f t="shared" si="79"/>
        <v/>
      </c>
      <c r="Q621" s="6" t="str">
        <f t="shared" ca="1" si="80"/>
        <v/>
      </c>
      <c r="R621" s="8" t="str">
        <f t="shared" si="77"/>
        <v/>
      </c>
    </row>
    <row r="622" spans="1:18" ht="13">
      <c r="A622" s="8"/>
      <c r="B622" s="10"/>
      <c r="C622" s="10"/>
      <c r="D622" s="8"/>
      <c r="E622" s="8"/>
      <c r="F622" s="8" t="s">
        <v>1090</v>
      </c>
      <c r="G622" s="6" t="str">
        <f>IF(F622="","",VLOOKUP(F622,'PLAN SUPORTE'!A:B,2,0))</f>
        <v/>
      </c>
      <c r="H622" s="7"/>
      <c r="I622" s="8"/>
      <c r="J622" s="8"/>
      <c r="K622" s="8"/>
      <c r="L622" s="8" t="str">
        <f>IF(K622="","",VLOOKUP(K622,'PLAN SUPORTE'!$H$2:$I$4,2,0))</f>
        <v/>
      </c>
      <c r="M622" s="10"/>
      <c r="N622" s="10"/>
      <c r="O622" s="9" t="str">
        <f t="shared" si="78"/>
        <v/>
      </c>
      <c r="P622" s="10" t="str">
        <f t="shared" si="79"/>
        <v/>
      </c>
      <c r="Q622" s="6" t="str">
        <f t="shared" ca="1" si="80"/>
        <v/>
      </c>
      <c r="R622" s="8" t="str">
        <f t="shared" si="77"/>
        <v/>
      </c>
    </row>
    <row r="623" spans="1:18" ht="13">
      <c r="A623" s="8"/>
      <c r="B623" s="10"/>
      <c r="C623" s="10"/>
      <c r="D623" s="8"/>
      <c r="E623" s="8"/>
      <c r="F623" s="8" t="s">
        <v>1090</v>
      </c>
      <c r="G623" s="6" t="str">
        <f>IF(F623="","",VLOOKUP(F623,'PLAN SUPORTE'!A:B,2,0))</f>
        <v/>
      </c>
      <c r="H623" s="7"/>
      <c r="I623" s="8"/>
      <c r="J623" s="8"/>
      <c r="K623" s="8"/>
      <c r="L623" s="8" t="str">
        <f>IF(K623="","",VLOOKUP(K623,'PLAN SUPORTE'!$H$2:$I$4,2,0))</f>
        <v/>
      </c>
      <c r="M623" s="10"/>
      <c r="N623" s="10"/>
      <c r="O623" s="9" t="str">
        <f t="shared" si="78"/>
        <v/>
      </c>
      <c r="P623" s="10" t="str">
        <f t="shared" si="79"/>
        <v/>
      </c>
      <c r="Q623" s="6" t="str">
        <f t="shared" ca="1" si="80"/>
        <v/>
      </c>
      <c r="R623" s="8" t="str">
        <f t="shared" si="77"/>
        <v/>
      </c>
    </row>
    <row r="624" spans="1:18" ht="13">
      <c r="A624" s="8"/>
      <c r="B624" s="10"/>
      <c r="C624" s="10"/>
      <c r="D624" s="8"/>
      <c r="E624" s="8"/>
      <c r="F624" s="8" t="s">
        <v>1090</v>
      </c>
      <c r="G624" s="6" t="str">
        <f>IF(F624="","",VLOOKUP(F624,'PLAN SUPORTE'!A:B,2,0))</f>
        <v/>
      </c>
      <c r="H624" s="7"/>
      <c r="I624" s="8"/>
      <c r="J624" s="8"/>
      <c r="K624" s="8"/>
      <c r="L624" s="8" t="str">
        <f>IF(K624="","",VLOOKUP(K624,'PLAN SUPORTE'!$H$2:$I$4,2,0))</f>
        <v/>
      </c>
      <c r="M624" s="10"/>
      <c r="N624" s="10"/>
      <c r="O624" s="9" t="str">
        <f t="shared" si="78"/>
        <v/>
      </c>
      <c r="P624" s="10" t="str">
        <f t="shared" si="79"/>
        <v/>
      </c>
      <c r="Q624" s="6" t="str">
        <f t="shared" ca="1" si="80"/>
        <v/>
      </c>
      <c r="R624" s="8" t="str">
        <f t="shared" si="77"/>
        <v/>
      </c>
    </row>
    <row r="625" spans="1:18" ht="13">
      <c r="A625" s="8"/>
      <c r="B625" s="10"/>
      <c r="C625" s="10"/>
      <c r="D625" s="8"/>
      <c r="E625" s="8"/>
      <c r="F625" s="8" t="s">
        <v>1090</v>
      </c>
      <c r="G625" s="6" t="str">
        <f>IF(F625="","",VLOOKUP(F625,'PLAN SUPORTE'!A:B,2,0))</f>
        <v/>
      </c>
      <c r="H625" s="7"/>
      <c r="I625" s="8"/>
      <c r="J625" s="8"/>
      <c r="K625" s="8"/>
      <c r="L625" s="8" t="str">
        <f>IF(K625="","",VLOOKUP(K625,'PLAN SUPORTE'!$H$2:$I$4,2,0))</f>
        <v/>
      </c>
      <c r="M625" s="10"/>
      <c r="N625" s="10"/>
      <c r="O625" s="9" t="str">
        <f t="shared" si="78"/>
        <v/>
      </c>
      <c r="P625" s="10" t="str">
        <f t="shared" si="79"/>
        <v/>
      </c>
      <c r="Q625" s="6" t="str">
        <f t="shared" ca="1" si="80"/>
        <v/>
      </c>
      <c r="R625" s="8" t="str">
        <f t="shared" si="77"/>
        <v/>
      </c>
    </row>
    <row r="626" spans="1:18" ht="13">
      <c r="A626" s="8"/>
      <c r="B626" s="10"/>
      <c r="C626" s="10"/>
      <c r="D626" s="8"/>
      <c r="E626" s="8"/>
      <c r="F626" s="8" t="s">
        <v>1090</v>
      </c>
      <c r="G626" s="6" t="str">
        <f>IF(F626="","",VLOOKUP(F626,'PLAN SUPORTE'!A:B,2,0))</f>
        <v/>
      </c>
      <c r="H626" s="7"/>
      <c r="I626" s="8"/>
      <c r="J626" s="8"/>
      <c r="K626" s="8"/>
      <c r="L626" s="8" t="str">
        <f>IF(K626="","",VLOOKUP(K626,'PLAN SUPORTE'!$H$2:$I$4,2,0))</f>
        <v/>
      </c>
      <c r="M626" s="10"/>
      <c r="N626" s="10"/>
      <c r="O626" s="9" t="str">
        <f t="shared" si="78"/>
        <v/>
      </c>
      <c r="P626" s="10" t="str">
        <f t="shared" si="79"/>
        <v/>
      </c>
      <c r="Q626" s="6" t="str">
        <f t="shared" ca="1" si="80"/>
        <v/>
      </c>
      <c r="R626" s="8" t="str">
        <f t="shared" si="77"/>
        <v/>
      </c>
    </row>
    <row r="627" spans="1:18" ht="13">
      <c r="A627" s="8"/>
      <c r="B627" s="10"/>
      <c r="C627" s="10"/>
      <c r="D627" s="8"/>
      <c r="E627" s="8"/>
      <c r="F627" s="8" t="s">
        <v>1090</v>
      </c>
      <c r="G627" s="6" t="str">
        <f>IF(F627="","",VLOOKUP(F627,'PLAN SUPORTE'!A:B,2,0))</f>
        <v/>
      </c>
      <c r="H627" s="7"/>
      <c r="I627" s="8"/>
      <c r="J627" s="8"/>
      <c r="K627" s="8"/>
      <c r="L627" s="8" t="str">
        <f>IF(K627="","",VLOOKUP(K627,'PLAN SUPORTE'!$H$2:$I$4,2,0))</f>
        <v/>
      </c>
      <c r="M627" s="10"/>
      <c r="N627" s="10"/>
      <c r="O627" s="9" t="str">
        <f t="shared" si="78"/>
        <v/>
      </c>
      <c r="P627" s="10" t="str">
        <f t="shared" si="79"/>
        <v/>
      </c>
      <c r="Q627" s="6" t="str">
        <f t="shared" ca="1" si="80"/>
        <v/>
      </c>
      <c r="R627" s="8" t="str">
        <f t="shared" si="77"/>
        <v/>
      </c>
    </row>
    <row r="628" spans="1:18" ht="13">
      <c r="A628" s="8"/>
      <c r="B628" s="10"/>
      <c r="C628" s="10"/>
      <c r="D628" s="8"/>
      <c r="E628" s="8"/>
      <c r="F628" s="8" t="s">
        <v>1090</v>
      </c>
      <c r="G628" s="6" t="str">
        <f>IF(F628="","",VLOOKUP(F628,'PLAN SUPORTE'!A:B,2,0))</f>
        <v/>
      </c>
      <c r="H628" s="7"/>
      <c r="I628" s="8"/>
      <c r="J628" s="8"/>
      <c r="K628" s="8"/>
      <c r="L628" s="8" t="str">
        <f>IF(K628="","",VLOOKUP(K628,'PLAN SUPORTE'!$H$2:$I$4,2,0))</f>
        <v/>
      </c>
      <c r="M628" s="10"/>
      <c r="N628" s="10"/>
      <c r="O628" s="9" t="str">
        <f t="shared" si="78"/>
        <v/>
      </c>
      <c r="P628" s="10" t="str">
        <f t="shared" si="79"/>
        <v/>
      </c>
      <c r="Q628" s="6" t="str">
        <f t="shared" ca="1" si="80"/>
        <v/>
      </c>
      <c r="R628" s="8" t="str">
        <f t="shared" si="77"/>
        <v/>
      </c>
    </row>
    <row r="629" spans="1:18" ht="13">
      <c r="A629" s="8"/>
      <c r="B629" s="10"/>
      <c r="C629" s="10"/>
      <c r="D629" s="8"/>
      <c r="E629" s="8"/>
      <c r="F629" s="8" t="s">
        <v>1090</v>
      </c>
      <c r="G629" s="6" t="str">
        <f>IF(F629="","",VLOOKUP(F629,'PLAN SUPORTE'!A:B,2,0))</f>
        <v/>
      </c>
      <c r="H629" s="7"/>
      <c r="I629" s="8"/>
      <c r="J629" s="8"/>
      <c r="K629" s="8"/>
      <c r="L629" s="8" t="str">
        <f>IF(K629="","",VLOOKUP(K629,'PLAN SUPORTE'!$H$2:$I$4,2,0))</f>
        <v/>
      </c>
      <c r="M629" s="10"/>
      <c r="N629" s="10"/>
      <c r="O629" s="9" t="str">
        <f t="shared" si="78"/>
        <v/>
      </c>
      <c r="P629" s="10" t="str">
        <f t="shared" si="79"/>
        <v/>
      </c>
      <c r="Q629" s="6" t="str">
        <f t="shared" ca="1" si="80"/>
        <v/>
      </c>
      <c r="R629" s="8" t="str">
        <f t="shared" si="77"/>
        <v/>
      </c>
    </row>
    <row r="630" spans="1:18" ht="13">
      <c r="A630" s="8"/>
      <c r="B630" s="10"/>
      <c r="C630" s="10"/>
      <c r="D630" s="8"/>
      <c r="E630" s="8"/>
      <c r="F630" s="8" t="s">
        <v>1090</v>
      </c>
      <c r="G630" s="6" t="str">
        <f>IF(F630="","",VLOOKUP(F630,'PLAN SUPORTE'!A:B,2,0))</f>
        <v/>
      </c>
      <c r="H630" s="7"/>
      <c r="I630" s="8"/>
      <c r="J630" s="8"/>
      <c r="K630" s="8"/>
      <c r="L630" s="8" t="str">
        <f>IF(K630="","",VLOOKUP(K630,'PLAN SUPORTE'!$H$2:$I$4,2,0))</f>
        <v/>
      </c>
      <c r="M630" s="10"/>
      <c r="N630" s="10"/>
      <c r="O630" s="9" t="str">
        <f t="shared" si="78"/>
        <v/>
      </c>
      <c r="P630" s="10" t="str">
        <f t="shared" si="79"/>
        <v/>
      </c>
      <c r="Q630" s="6" t="str">
        <f t="shared" ca="1" si="80"/>
        <v/>
      </c>
      <c r="R630" s="8" t="str">
        <f t="shared" si="77"/>
        <v/>
      </c>
    </row>
    <row r="631" spans="1:18" ht="13">
      <c r="A631" s="8"/>
      <c r="B631" s="10"/>
      <c r="C631" s="10"/>
      <c r="D631" s="8"/>
      <c r="E631" s="8"/>
      <c r="F631" s="8" t="s">
        <v>1090</v>
      </c>
      <c r="G631" s="6" t="str">
        <f>IF(F631="","",VLOOKUP(F631,'PLAN SUPORTE'!A:B,2,0))</f>
        <v/>
      </c>
      <c r="H631" s="7"/>
      <c r="I631" s="8"/>
      <c r="J631" s="8"/>
      <c r="K631" s="8"/>
      <c r="L631" s="8" t="str">
        <f>IF(K631="","",VLOOKUP(K631,'PLAN SUPORTE'!$H$2:$I$4,2,0))</f>
        <v/>
      </c>
      <c r="M631" s="10"/>
      <c r="N631" s="10"/>
      <c r="O631" s="9" t="str">
        <f t="shared" si="78"/>
        <v/>
      </c>
      <c r="P631" s="10" t="str">
        <f t="shared" si="79"/>
        <v/>
      </c>
      <c r="Q631" s="6" t="str">
        <f t="shared" ca="1" si="80"/>
        <v/>
      </c>
      <c r="R631" s="8" t="str">
        <f t="shared" si="77"/>
        <v/>
      </c>
    </row>
    <row r="632" spans="1:18" ht="13">
      <c r="A632" s="8"/>
      <c r="B632" s="10"/>
      <c r="C632" s="10"/>
      <c r="D632" s="8"/>
      <c r="E632" s="8"/>
      <c r="F632" s="8" t="s">
        <v>1090</v>
      </c>
      <c r="G632" s="6" t="str">
        <f>IF(F632="","",VLOOKUP(F632,'PLAN SUPORTE'!A:B,2,0))</f>
        <v/>
      </c>
      <c r="H632" s="7"/>
      <c r="I632" s="8"/>
      <c r="J632" s="8"/>
      <c r="K632" s="8"/>
      <c r="L632" s="8" t="str">
        <f>IF(K632="","",VLOOKUP(K632,'PLAN SUPORTE'!$H$2:$I$4,2,0))</f>
        <v/>
      </c>
      <c r="M632" s="10"/>
      <c r="N632" s="10"/>
      <c r="O632" s="9" t="str">
        <f t="shared" si="78"/>
        <v/>
      </c>
      <c r="P632" s="10" t="str">
        <f t="shared" si="79"/>
        <v/>
      </c>
      <c r="Q632" s="6" t="str">
        <f t="shared" ca="1" si="80"/>
        <v/>
      </c>
      <c r="R632" s="8" t="str">
        <f t="shared" si="77"/>
        <v/>
      </c>
    </row>
    <row r="633" spans="1:18" ht="13">
      <c r="A633" s="8"/>
      <c r="B633" s="10"/>
      <c r="C633" s="10"/>
      <c r="D633" s="8"/>
      <c r="E633" s="8"/>
      <c r="F633" s="8" t="s">
        <v>1090</v>
      </c>
      <c r="G633" s="6" t="str">
        <f>IF(F633="","",VLOOKUP(F633,'PLAN SUPORTE'!A:B,2,0))</f>
        <v/>
      </c>
      <c r="H633" s="7"/>
      <c r="I633" s="8"/>
      <c r="J633" s="8"/>
      <c r="K633" s="8"/>
      <c r="L633" s="8" t="str">
        <f>IF(K633="","",VLOOKUP(K633,'PLAN SUPORTE'!$H$2:$I$4,2,0))</f>
        <v/>
      </c>
      <c r="M633" s="10"/>
      <c r="N633" s="10"/>
      <c r="O633" s="9" t="str">
        <f t="shared" si="78"/>
        <v/>
      </c>
      <c r="P633" s="10" t="str">
        <f t="shared" si="79"/>
        <v/>
      </c>
      <c r="Q633" s="6" t="str">
        <f t="shared" ca="1" si="80"/>
        <v/>
      </c>
      <c r="R633" s="8" t="str">
        <f t="shared" si="77"/>
        <v/>
      </c>
    </row>
    <row r="634" spans="1:18" ht="13">
      <c r="A634" s="8"/>
      <c r="B634" s="10"/>
      <c r="C634" s="10"/>
      <c r="D634" s="8"/>
      <c r="E634" s="8"/>
      <c r="F634" s="8" t="s">
        <v>1090</v>
      </c>
      <c r="G634" s="6" t="str">
        <f>IF(F634="","",VLOOKUP(F634,'PLAN SUPORTE'!A:B,2,0))</f>
        <v/>
      </c>
      <c r="H634" s="7"/>
      <c r="I634" s="8"/>
      <c r="J634" s="8"/>
      <c r="K634" s="8"/>
      <c r="L634" s="8" t="str">
        <f>IF(K634="","",VLOOKUP(K634,'PLAN SUPORTE'!$H$2:$I$4,2,0))</f>
        <v/>
      </c>
      <c r="M634" s="10"/>
      <c r="N634" s="10"/>
      <c r="O634" s="9" t="str">
        <f t="shared" si="78"/>
        <v/>
      </c>
      <c r="P634" s="10" t="str">
        <f t="shared" si="79"/>
        <v/>
      </c>
      <c r="Q634" s="6" t="str">
        <f t="shared" ca="1" si="80"/>
        <v/>
      </c>
      <c r="R634" s="8" t="str">
        <f t="shared" si="77"/>
        <v/>
      </c>
    </row>
    <row r="635" spans="1:18" ht="13">
      <c r="A635" s="8"/>
      <c r="B635" s="10"/>
      <c r="C635" s="10"/>
      <c r="D635" s="8"/>
      <c r="E635" s="8"/>
      <c r="F635" s="8" t="s">
        <v>1090</v>
      </c>
      <c r="G635" s="6" t="str">
        <f>IF(F635="","",VLOOKUP(F635,'PLAN SUPORTE'!A:B,2,0))</f>
        <v/>
      </c>
      <c r="H635" s="7"/>
      <c r="I635" s="8"/>
      <c r="J635" s="8"/>
      <c r="K635" s="8"/>
      <c r="L635" s="8" t="str">
        <f>IF(K635="","",VLOOKUP(K635,'PLAN SUPORTE'!$H$2:$I$4,2,0))</f>
        <v/>
      </c>
      <c r="M635" s="10"/>
      <c r="N635" s="10"/>
      <c r="O635" s="9" t="str">
        <f t="shared" si="78"/>
        <v/>
      </c>
      <c r="P635" s="10" t="str">
        <f t="shared" si="79"/>
        <v/>
      </c>
      <c r="Q635" s="6" t="str">
        <f t="shared" ca="1" si="80"/>
        <v/>
      </c>
      <c r="R635" s="8" t="str">
        <f t="shared" si="77"/>
        <v/>
      </c>
    </row>
    <row r="636" spans="1:18" ht="13">
      <c r="A636" s="8"/>
      <c r="B636" s="10"/>
      <c r="C636" s="10"/>
      <c r="D636" s="8"/>
      <c r="E636" s="8"/>
      <c r="F636" s="8" t="s">
        <v>1090</v>
      </c>
      <c r="G636" s="6" t="str">
        <f>IF(F636="","",VLOOKUP(F636,'PLAN SUPORTE'!A:B,2,0))</f>
        <v/>
      </c>
      <c r="H636" s="7"/>
      <c r="I636" s="8"/>
      <c r="J636" s="8"/>
      <c r="K636" s="8"/>
      <c r="L636" s="8" t="str">
        <f>IF(K636="","",VLOOKUP(K636,'PLAN SUPORTE'!$H$2:$I$4,2,0))</f>
        <v/>
      </c>
      <c r="M636" s="10"/>
      <c r="N636" s="10"/>
      <c r="O636" s="9" t="str">
        <f t="shared" si="78"/>
        <v/>
      </c>
      <c r="P636" s="10" t="str">
        <f t="shared" si="79"/>
        <v/>
      </c>
      <c r="Q636" s="6" t="str">
        <f t="shared" ca="1" si="80"/>
        <v/>
      </c>
      <c r="R636" s="8" t="str">
        <f t="shared" si="77"/>
        <v/>
      </c>
    </row>
    <row r="637" spans="1:18" ht="13">
      <c r="A637" s="8"/>
      <c r="B637" s="10"/>
      <c r="C637" s="10"/>
      <c r="D637" s="8"/>
      <c r="E637" s="8"/>
      <c r="F637" s="8" t="s">
        <v>1090</v>
      </c>
      <c r="G637" s="6" t="str">
        <f>IF(F637="","",VLOOKUP(F637,'PLAN SUPORTE'!A:B,2,0))</f>
        <v/>
      </c>
      <c r="H637" s="7"/>
      <c r="I637" s="8"/>
      <c r="J637" s="8"/>
      <c r="K637" s="8"/>
      <c r="L637" s="8" t="str">
        <f>IF(K637="","",VLOOKUP(K637,'PLAN SUPORTE'!$H$2:$I$4,2,0))</f>
        <v/>
      </c>
      <c r="M637" s="10"/>
      <c r="N637" s="10"/>
      <c r="O637" s="9" t="str">
        <f t="shared" si="78"/>
        <v/>
      </c>
      <c r="P637" s="10" t="str">
        <f t="shared" si="79"/>
        <v/>
      </c>
      <c r="Q637" s="6" t="str">
        <f t="shared" ca="1" si="80"/>
        <v/>
      </c>
      <c r="R637" s="8" t="str">
        <f t="shared" si="77"/>
        <v/>
      </c>
    </row>
    <row r="638" spans="1:18" ht="13">
      <c r="A638" s="8"/>
      <c r="B638" s="10"/>
      <c r="C638" s="10"/>
      <c r="D638" s="8"/>
      <c r="E638" s="8"/>
      <c r="F638" s="8" t="s">
        <v>1090</v>
      </c>
      <c r="G638" s="6" t="str">
        <f>IF(F638="","",VLOOKUP(F638,'PLAN SUPORTE'!A:B,2,0))</f>
        <v/>
      </c>
      <c r="H638" s="7"/>
      <c r="I638" s="8"/>
      <c r="J638" s="8"/>
      <c r="K638" s="8"/>
      <c r="L638" s="8" t="str">
        <f>IF(K638="","",VLOOKUP(K638,'PLAN SUPORTE'!$H$2:$I$4,2,0))</f>
        <v/>
      </c>
      <c r="M638" s="10"/>
      <c r="N638" s="10"/>
      <c r="O638" s="9" t="str">
        <f t="shared" si="78"/>
        <v/>
      </c>
      <c r="P638" s="10" t="str">
        <f t="shared" si="79"/>
        <v/>
      </c>
      <c r="Q638" s="6" t="str">
        <f t="shared" ca="1" si="80"/>
        <v/>
      </c>
      <c r="R638" s="8" t="str">
        <f t="shared" si="77"/>
        <v/>
      </c>
    </row>
    <row r="639" spans="1:18" ht="13">
      <c r="A639" s="8"/>
      <c r="B639" s="10"/>
      <c r="C639" s="10"/>
      <c r="D639" s="8"/>
      <c r="E639" s="8"/>
      <c r="F639" s="8" t="s">
        <v>1090</v>
      </c>
      <c r="G639" s="6" t="str">
        <f>IF(F639="","",VLOOKUP(F639,'PLAN SUPORTE'!A:B,2,0))</f>
        <v/>
      </c>
      <c r="H639" s="7"/>
      <c r="I639" s="8"/>
      <c r="J639" s="8"/>
      <c r="K639" s="8"/>
      <c r="L639" s="8" t="str">
        <f>IF(K639="","",VLOOKUP(K639,'PLAN SUPORTE'!$H$2:$I$4,2,0))</f>
        <v/>
      </c>
      <c r="M639" s="10"/>
      <c r="N639" s="10"/>
      <c r="O639" s="9" t="str">
        <f t="shared" si="78"/>
        <v/>
      </c>
      <c r="P639" s="10" t="str">
        <f t="shared" si="79"/>
        <v/>
      </c>
      <c r="Q639" s="6" t="str">
        <f t="shared" ca="1" si="80"/>
        <v/>
      </c>
      <c r="R639" s="8" t="str">
        <f t="shared" si="77"/>
        <v/>
      </c>
    </row>
    <row r="640" spans="1:18" ht="13">
      <c r="A640" s="8"/>
      <c r="B640" s="10"/>
      <c r="C640" s="10"/>
      <c r="D640" s="8"/>
      <c r="E640" s="8"/>
      <c r="F640" s="8" t="s">
        <v>1090</v>
      </c>
      <c r="G640" s="6" t="str">
        <f>IF(F640="","",VLOOKUP(F640,'PLAN SUPORTE'!A:B,2,0))</f>
        <v/>
      </c>
      <c r="H640" s="7"/>
      <c r="I640" s="8"/>
      <c r="J640" s="8"/>
      <c r="K640" s="8"/>
      <c r="L640" s="8" t="str">
        <f>IF(K640="","",VLOOKUP(K640,'PLAN SUPORTE'!$H$2:$I$4,2,0))</f>
        <v/>
      </c>
      <c r="M640" s="10"/>
      <c r="N640" s="10"/>
      <c r="O640" s="9" t="str">
        <f t="shared" si="78"/>
        <v/>
      </c>
      <c r="P640" s="10" t="str">
        <f t="shared" si="79"/>
        <v/>
      </c>
      <c r="Q640" s="6" t="str">
        <f t="shared" ca="1" si="80"/>
        <v/>
      </c>
      <c r="R640" s="8" t="str">
        <f t="shared" si="77"/>
        <v/>
      </c>
    </row>
    <row r="641" spans="1:18" ht="13">
      <c r="A641" s="8"/>
      <c r="B641" s="10"/>
      <c r="C641" s="10"/>
      <c r="D641" s="8"/>
      <c r="E641" s="8"/>
      <c r="F641" s="8" t="s">
        <v>1090</v>
      </c>
      <c r="G641" s="6" t="str">
        <f>IF(F641="","",VLOOKUP(F641,'PLAN SUPORTE'!A:B,2,0))</f>
        <v/>
      </c>
      <c r="H641" s="7"/>
      <c r="I641" s="8"/>
      <c r="J641" s="8"/>
      <c r="K641" s="8"/>
      <c r="L641" s="8" t="str">
        <f>IF(K641="","",VLOOKUP(K641,'PLAN SUPORTE'!$H$2:$I$4,2,0))</f>
        <v/>
      </c>
      <c r="M641" s="10"/>
      <c r="N641" s="10"/>
      <c r="O641" s="9" t="str">
        <f t="shared" si="78"/>
        <v/>
      </c>
      <c r="P641" s="10" t="str">
        <f t="shared" si="79"/>
        <v/>
      </c>
      <c r="Q641" s="6" t="str">
        <f t="shared" ca="1" si="80"/>
        <v/>
      </c>
      <c r="R641" s="8" t="str">
        <f t="shared" si="77"/>
        <v/>
      </c>
    </row>
    <row r="642" spans="1:18" ht="13">
      <c r="A642" s="8"/>
      <c r="B642" s="10"/>
      <c r="C642" s="10"/>
      <c r="D642" s="8"/>
      <c r="E642" s="8"/>
      <c r="F642" s="8" t="s">
        <v>1090</v>
      </c>
      <c r="G642" s="6" t="str">
        <f>IF(F642="","",VLOOKUP(F642,'PLAN SUPORTE'!A:B,2,0))</f>
        <v/>
      </c>
      <c r="H642" s="7"/>
      <c r="I642" s="8"/>
      <c r="J642" s="8"/>
      <c r="K642" s="8"/>
      <c r="L642" s="8" t="str">
        <f>IF(K642="","",VLOOKUP(K642,'PLAN SUPORTE'!$H$2:$I$4,2,0))</f>
        <v/>
      </c>
      <c r="M642" s="10"/>
      <c r="N642" s="10"/>
      <c r="O642" s="9" t="str">
        <f t="shared" si="78"/>
        <v/>
      </c>
      <c r="P642" s="10" t="str">
        <f t="shared" si="79"/>
        <v/>
      </c>
      <c r="Q642" s="6" t="str">
        <f t="shared" ca="1" si="80"/>
        <v/>
      </c>
      <c r="R642" s="8" t="str">
        <f t="shared" si="77"/>
        <v/>
      </c>
    </row>
    <row r="643" spans="1:18" ht="13">
      <c r="A643" s="8"/>
      <c r="B643" s="10"/>
      <c r="C643" s="10"/>
      <c r="D643" s="8"/>
      <c r="E643" s="8"/>
      <c r="F643" s="8" t="s">
        <v>1090</v>
      </c>
      <c r="G643" s="6" t="str">
        <f>IF(F643="","",VLOOKUP(F643,'PLAN SUPORTE'!A:B,2,0))</f>
        <v/>
      </c>
      <c r="H643" s="7"/>
      <c r="I643" s="8"/>
      <c r="J643" s="8"/>
      <c r="K643" s="8"/>
      <c r="L643" s="8" t="str">
        <f>IF(K643="","",VLOOKUP(K643,'PLAN SUPORTE'!$H$2:$I$4,2,0))</f>
        <v/>
      </c>
      <c r="M643" s="10"/>
      <c r="N643" s="10"/>
      <c r="O643" s="9" t="str">
        <f t="shared" si="78"/>
        <v/>
      </c>
      <c r="P643" s="10" t="str">
        <f t="shared" si="79"/>
        <v/>
      </c>
      <c r="Q643" s="6" t="str">
        <f t="shared" ca="1" si="80"/>
        <v/>
      </c>
      <c r="R643" s="8" t="str">
        <f t="shared" si="77"/>
        <v/>
      </c>
    </row>
    <row r="644" spans="1:18" ht="13">
      <c r="A644" s="8"/>
      <c r="B644" s="10"/>
      <c r="C644" s="10"/>
      <c r="D644" s="8"/>
      <c r="E644" s="8"/>
      <c r="F644" s="8" t="s">
        <v>1090</v>
      </c>
      <c r="G644" s="6" t="str">
        <f>IF(F644="","",VLOOKUP(F644,'PLAN SUPORTE'!A:B,2,0))</f>
        <v/>
      </c>
      <c r="H644" s="7"/>
      <c r="I644" s="8"/>
      <c r="J644" s="8"/>
      <c r="K644" s="8"/>
      <c r="L644" s="8" t="str">
        <f>IF(K644="","",VLOOKUP(K644,'PLAN SUPORTE'!$H$2:$I$4,2,0))</f>
        <v/>
      </c>
      <c r="M644" s="10"/>
      <c r="N644" s="10"/>
      <c r="O644" s="9" t="str">
        <f t="shared" si="78"/>
        <v/>
      </c>
      <c r="P644" s="10" t="str">
        <f t="shared" si="79"/>
        <v/>
      </c>
      <c r="Q644" s="6" t="str">
        <f t="shared" ca="1" si="80"/>
        <v/>
      </c>
      <c r="R644" s="8" t="str">
        <f t="shared" si="77"/>
        <v/>
      </c>
    </row>
    <row r="645" spans="1:18" ht="13">
      <c r="A645" s="8"/>
      <c r="B645" s="10"/>
      <c r="C645" s="10"/>
      <c r="D645" s="8"/>
      <c r="E645" s="8"/>
      <c r="F645" s="8" t="s">
        <v>1090</v>
      </c>
      <c r="G645" s="6" t="str">
        <f>IF(F645="","",VLOOKUP(F645,'PLAN SUPORTE'!A:B,2,0))</f>
        <v/>
      </c>
      <c r="H645" s="7"/>
      <c r="I645" s="8"/>
      <c r="J645" s="8"/>
      <c r="K645" s="8"/>
      <c r="L645" s="8" t="str">
        <f>IF(K645="","",VLOOKUP(K645,'PLAN SUPORTE'!$H$2:$I$4,2,0))</f>
        <v/>
      </c>
      <c r="M645" s="10"/>
      <c r="N645" s="10"/>
      <c r="O645" s="9" t="str">
        <f t="shared" si="78"/>
        <v/>
      </c>
      <c r="P645" s="10" t="str">
        <f t="shared" si="79"/>
        <v/>
      </c>
      <c r="Q645" s="6" t="str">
        <f t="shared" ca="1" si="80"/>
        <v/>
      </c>
      <c r="R645" s="8" t="str">
        <f t="shared" si="77"/>
        <v/>
      </c>
    </row>
    <row r="646" spans="1:18" ht="13">
      <c r="A646" s="8"/>
      <c r="B646" s="10"/>
      <c r="C646" s="10"/>
      <c r="D646" s="8"/>
      <c r="E646" s="8"/>
      <c r="F646" s="8" t="s">
        <v>1090</v>
      </c>
      <c r="G646" s="6" t="str">
        <f>IF(F646="","",VLOOKUP(F646,'PLAN SUPORTE'!A:B,2,0))</f>
        <v/>
      </c>
      <c r="H646" s="7"/>
      <c r="I646" s="8"/>
      <c r="J646" s="8"/>
      <c r="K646" s="8"/>
      <c r="L646" s="8" t="str">
        <f>IF(K646="","",VLOOKUP(K646,'PLAN SUPORTE'!$H$2:$I$4,2,0))</f>
        <v/>
      </c>
      <c r="M646" s="10"/>
      <c r="N646" s="10"/>
      <c r="O646" s="9" t="str">
        <f t="shared" si="78"/>
        <v/>
      </c>
      <c r="P646" s="10" t="str">
        <f t="shared" si="79"/>
        <v/>
      </c>
      <c r="Q646" s="6" t="str">
        <f t="shared" ca="1" si="80"/>
        <v/>
      </c>
      <c r="R646" s="8" t="str">
        <f t="shared" si="77"/>
        <v/>
      </c>
    </row>
    <row r="647" spans="1:18" ht="13">
      <c r="A647" s="8"/>
      <c r="B647" s="10"/>
      <c r="C647" s="10"/>
      <c r="D647" s="8"/>
      <c r="E647" s="8"/>
      <c r="F647" s="8" t="s">
        <v>1090</v>
      </c>
      <c r="G647" s="6" t="str">
        <f>IF(F647="","",VLOOKUP(F647,'PLAN SUPORTE'!A:B,2,0))</f>
        <v/>
      </c>
      <c r="H647" s="7"/>
      <c r="I647" s="8"/>
      <c r="J647" s="8"/>
      <c r="K647" s="8"/>
      <c r="L647" s="8" t="str">
        <f>IF(K647="","",VLOOKUP(K647,'PLAN SUPORTE'!$H$2:$I$4,2,0))</f>
        <v/>
      </c>
      <c r="M647" s="10"/>
      <c r="N647" s="10"/>
      <c r="O647" s="9" t="str">
        <f t="shared" si="78"/>
        <v/>
      </c>
      <c r="P647" s="10" t="str">
        <f t="shared" si="79"/>
        <v/>
      </c>
      <c r="Q647" s="6" t="str">
        <f t="shared" ca="1" si="80"/>
        <v/>
      </c>
      <c r="R647" s="8" t="str">
        <f t="shared" si="77"/>
        <v/>
      </c>
    </row>
    <row r="648" spans="1:18" ht="13">
      <c r="A648" s="8"/>
      <c r="B648" s="10"/>
      <c r="C648" s="10"/>
      <c r="D648" s="8"/>
      <c r="E648" s="8"/>
      <c r="F648" s="8" t="s">
        <v>1090</v>
      </c>
      <c r="G648" s="6" t="str">
        <f>IF(F648="","",VLOOKUP(F648,'PLAN SUPORTE'!A:B,2,0))</f>
        <v/>
      </c>
      <c r="H648" s="7"/>
      <c r="I648" s="8"/>
      <c r="J648" s="8"/>
      <c r="K648" s="8"/>
      <c r="L648" s="8" t="str">
        <f>IF(K648="","",VLOOKUP(K648,'PLAN SUPORTE'!$H$2:$I$4,2,0))</f>
        <v/>
      </c>
      <c r="M648" s="10"/>
      <c r="N648" s="10"/>
      <c r="O648" s="9" t="str">
        <f t="shared" si="78"/>
        <v/>
      </c>
      <c r="P648" s="10" t="str">
        <f t="shared" si="79"/>
        <v/>
      </c>
      <c r="Q648" s="6" t="str">
        <f t="shared" ca="1" si="80"/>
        <v/>
      </c>
      <c r="R648" s="8" t="str">
        <f t="shared" si="77"/>
        <v/>
      </c>
    </row>
    <row r="649" spans="1:18" ht="13">
      <c r="A649" s="8"/>
      <c r="B649" s="10"/>
      <c r="C649" s="10"/>
      <c r="D649" s="8"/>
      <c r="E649" s="8"/>
      <c r="F649" s="8" t="s">
        <v>1090</v>
      </c>
      <c r="G649" s="6" t="str">
        <f>IF(F649="","",VLOOKUP(F649,'PLAN SUPORTE'!A:B,2,0))</f>
        <v/>
      </c>
      <c r="H649" s="7"/>
      <c r="I649" s="8"/>
      <c r="J649" s="8"/>
      <c r="K649" s="8"/>
      <c r="L649" s="8" t="str">
        <f>IF(K649="","",VLOOKUP(K649,'PLAN SUPORTE'!$H$2:$I$4,2,0))</f>
        <v/>
      </c>
      <c r="M649" s="10"/>
      <c r="N649" s="10"/>
      <c r="O649" s="9" t="str">
        <f t="shared" si="78"/>
        <v/>
      </c>
      <c r="P649" s="10" t="str">
        <f t="shared" si="79"/>
        <v/>
      </c>
      <c r="Q649" s="6" t="str">
        <f t="shared" ca="1" si="80"/>
        <v/>
      </c>
      <c r="R649" s="8" t="str">
        <f t="shared" si="77"/>
        <v/>
      </c>
    </row>
    <row r="650" spans="1:18" ht="13">
      <c r="A650" s="8"/>
      <c r="B650" s="10"/>
      <c r="C650" s="10"/>
      <c r="D650" s="8"/>
      <c r="E650" s="8"/>
      <c r="F650" s="8" t="s">
        <v>1090</v>
      </c>
      <c r="G650" s="6" t="str">
        <f>IF(F650="","",VLOOKUP(F650,'PLAN SUPORTE'!A:B,2,0))</f>
        <v/>
      </c>
      <c r="H650" s="7"/>
      <c r="I650" s="8"/>
      <c r="J650" s="8"/>
      <c r="K650" s="8"/>
      <c r="L650" s="8" t="str">
        <f>IF(K650="","",VLOOKUP(K650,'PLAN SUPORTE'!$H$2:$I$4,2,0))</f>
        <v/>
      </c>
      <c r="M650" s="10"/>
      <c r="N650" s="10"/>
      <c r="O650" s="9" t="str">
        <f t="shared" si="78"/>
        <v/>
      </c>
      <c r="P650" s="10" t="str">
        <f t="shared" si="79"/>
        <v/>
      </c>
      <c r="Q650" s="6" t="str">
        <f t="shared" ca="1" si="80"/>
        <v/>
      </c>
      <c r="R650" s="8" t="str">
        <f t="shared" si="77"/>
        <v/>
      </c>
    </row>
    <row r="651" spans="1:18" ht="13">
      <c r="A651" s="8"/>
      <c r="B651" s="10"/>
      <c r="C651" s="10"/>
      <c r="D651" s="8"/>
      <c r="E651" s="8"/>
      <c r="F651" s="8" t="s">
        <v>1090</v>
      </c>
      <c r="G651" s="6" t="str">
        <f>IF(F651="","",VLOOKUP(F651,'PLAN SUPORTE'!A:B,2,0))</f>
        <v/>
      </c>
      <c r="H651" s="7"/>
      <c r="I651" s="8"/>
      <c r="J651" s="8"/>
      <c r="K651" s="8"/>
      <c r="L651" s="8" t="str">
        <f>IF(K651="","",VLOOKUP(K651,'PLAN SUPORTE'!$H$2:$I$4,2,0))</f>
        <v/>
      </c>
      <c r="M651" s="10"/>
      <c r="N651" s="10"/>
      <c r="O651" s="9" t="str">
        <f t="shared" si="78"/>
        <v/>
      </c>
      <c r="P651" s="10" t="str">
        <f t="shared" si="79"/>
        <v/>
      </c>
      <c r="Q651" s="6" t="str">
        <f t="shared" ca="1" si="80"/>
        <v/>
      </c>
      <c r="R651" s="8" t="str">
        <f t="shared" si="77"/>
        <v/>
      </c>
    </row>
    <row r="652" spans="1:18" ht="13">
      <c r="A652" s="8"/>
      <c r="B652" s="10"/>
      <c r="C652" s="10"/>
      <c r="D652" s="8"/>
      <c r="E652" s="8"/>
      <c r="F652" s="8" t="s">
        <v>1090</v>
      </c>
      <c r="G652" s="6" t="str">
        <f>IF(F652="","",VLOOKUP(F652,'PLAN SUPORTE'!A:B,2,0))</f>
        <v/>
      </c>
      <c r="H652" s="7"/>
      <c r="I652" s="8"/>
      <c r="J652" s="8"/>
      <c r="K652" s="8"/>
      <c r="L652" s="8" t="str">
        <f>IF(K652="","",VLOOKUP(K652,'PLAN SUPORTE'!$H$2:$I$4,2,0))</f>
        <v/>
      </c>
      <c r="M652" s="10"/>
      <c r="N652" s="10"/>
      <c r="O652" s="9" t="str">
        <f t="shared" si="78"/>
        <v/>
      </c>
      <c r="P652" s="10" t="str">
        <f t="shared" si="79"/>
        <v/>
      </c>
      <c r="Q652" s="6" t="str">
        <f t="shared" ca="1" si="80"/>
        <v/>
      </c>
      <c r="R652" s="8" t="str">
        <f t="shared" si="77"/>
        <v/>
      </c>
    </row>
    <row r="653" spans="1:18" ht="13">
      <c r="A653" s="8"/>
      <c r="B653" s="10"/>
      <c r="C653" s="10"/>
      <c r="D653" s="8"/>
      <c r="E653" s="8"/>
      <c r="F653" s="8" t="s">
        <v>1090</v>
      </c>
      <c r="G653" s="6" t="str">
        <f>IF(F653="","",VLOOKUP(F653,'PLAN SUPORTE'!A:B,2,0))</f>
        <v/>
      </c>
      <c r="H653" s="7"/>
      <c r="I653" s="8"/>
      <c r="J653" s="8"/>
      <c r="K653" s="8"/>
      <c r="L653" s="8" t="str">
        <f>IF(K653="","",VLOOKUP(K653,'PLAN SUPORTE'!$H$2:$I$4,2,0))</f>
        <v/>
      </c>
      <c r="M653" s="10"/>
      <c r="N653" s="10"/>
      <c r="O653" s="9" t="str">
        <f t="shared" si="78"/>
        <v/>
      </c>
      <c r="P653" s="10" t="str">
        <f t="shared" si="79"/>
        <v/>
      </c>
      <c r="Q653" s="6" t="str">
        <f t="shared" ca="1" si="80"/>
        <v/>
      </c>
      <c r="R653" s="8" t="str">
        <f t="shared" si="77"/>
        <v/>
      </c>
    </row>
    <row r="654" spans="1:18" ht="13">
      <c r="A654" s="8"/>
      <c r="B654" s="10"/>
      <c r="C654" s="10"/>
      <c r="D654" s="8"/>
      <c r="E654" s="8"/>
      <c r="F654" s="8" t="s">
        <v>1090</v>
      </c>
      <c r="G654" s="6" t="str">
        <f>IF(F654="","",VLOOKUP(F654,'PLAN SUPORTE'!A:B,2,0))</f>
        <v/>
      </c>
      <c r="H654" s="7"/>
      <c r="I654" s="8"/>
      <c r="J654" s="8"/>
      <c r="K654" s="8"/>
      <c r="L654" s="8" t="str">
        <f>IF(K654="","",VLOOKUP(K654,'PLAN SUPORTE'!$H$2:$I$4,2,0))</f>
        <v/>
      </c>
      <c r="M654" s="10"/>
      <c r="N654" s="10"/>
      <c r="O654" s="9" t="str">
        <f t="shared" si="78"/>
        <v/>
      </c>
      <c r="P654" s="10" t="str">
        <f t="shared" si="79"/>
        <v/>
      </c>
      <c r="Q654" s="6" t="str">
        <f t="shared" ca="1" si="80"/>
        <v/>
      </c>
      <c r="R654" s="8" t="str">
        <f t="shared" si="77"/>
        <v/>
      </c>
    </row>
    <row r="655" spans="1:18" ht="13">
      <c r="A655" s="8"/>
      <c r="B655" s="10"/>
      <c r="C655" s="10"/>
      <c r="D655" s="8"/>
      <c r="E655" s="8"/>
      <c r="F655" s="8" t="s">
        <v>1090</v>
      </c>
      <c r="G655" s="6" t="str">
        <f>IF(F655="","",VLOOKUP(F655,'PLAN SUPORTE'!A:B,2,0))</f>
        <v/>
      </c>
      <c r="H655" s="7"/>
      <c r="I655" s="8"/>
      <c r="J655" s="8"/>
      <c r="K655" s="8"/>
      <c r="L655" s="8" t="str">
        <f>IF(K655="","",VLOOKUP(K655,'PLAN SUPORTE'!$H$2:$I$4,2,0))</f>
        <v/>
      </c>
      <c r="M655" s="10"/>
      <c r="N655" s="10"/>
      <c r="O655" s="9" t="str">
        <f t="shared" si="78"/>
        <v/>
      </c>
      <c r="P655" s="10" t="str">
        <f t="shared" si="79"/>
        <v/>
      </c>
      <c r="Q655" s="6" t="str">
        <f t="shared" ca="1" si="80"/>
        <v/>
      </c>
      <c r="R655" s="8" t="str">
        <f t="shared" si="77"/>
        <v/>
      </c>
    </row>
    <row r="656" spans="1:18" ht="13">
      <c r="A656" s="8"/>
      <c r="B656" s="10"/>
      <c r="C656" s="10"/>
      <c r="D656" s="8"/>
      <c r="E656" s="8"/>
      <c r="F656" s="8" t="s">
        <v>1090</v>
      </c>
      <c r="G656" s="6" t="str">
        <f>IF(F656="","",VLOOKUP(F656,'PLAN SUPORTE'!A:B,2,0))</f>
        <v/>
      </c>
      <c r="H656" s="7"/>
      <c r="I656" s="8"/>
      <c r="J656" s="8"/>
      <c r="K656" s="8"/>
      <c r="L656" s="8" t="str">
        <f>IF(K656="","",VLOOKUP(K656,'PLAN SUPORTE'!$H$2:$I$4,2,0))</f>
        <v/>
      </c>
      <c r="M656" s="10"/>
      <c r="N656" s="10"/>
      <c r="O656" s="9" t="str">
        <f t="shared" si="78"/>
        <v/>
      </c>
      <c r="P656" s="10" t="str">
        <f t="shared" si="79"/>
        <v/>
      </c>
      <c r="Q656" s="6" t="str">
        <f t="shared" ca="1" si="80"/>
        <v/>
      </c>
      <c r="R656" s="8" t="str">
        <f t="shared" si="77"/>
        <v/>
      </c>
    </row>
    <row r="657" spans="1:18" ht="13">
      <c r="A657" s="8"/>
      <c r="B657" s="10"/>
      <c r="C657" s="10"/>
      <c r="D657" s="8"/>
      <c r="E657" s="8"/>
      <c r="F657" s="8" t="s">
        <v>1090</v>
      </c>
      <c r="G657" s="6" t="str">
        <f>IF(F657="","",VLOOKUP(F657,'PLAN SUPORTE'!A:B,2,0))</f>
        <v/>
      </c>
      <c r="H657" s="7"/>
      <c r="I657" s="8"/>
      <c r="J657" s="8"/>
      <c r="K657" s="8"/>
      <c r="L657" s="8" t="str">
        <f>IF(K657="","",VLOOKUP(K657,'PLAN SUPORTE'!$H$2:$I$4,2,0))</f>
        <v/>
      </c>
      <c r="M657" s="10"/>
      <c r="N657" s="10"/>
      <c r="O657" s="9" t="str">
        <f t="shared" si="78"/>
        <v/>
      </c>
      <c r="P657" s="10" t="str">
        <f t="shared" si="79"/>
        <v/>
      </c>
      <c r="Q657" s="6" t="str">
        <f t="shared" ca="1" si="80"/>
        <v/>
      </c>
      <c r="R657" s="8" t="str">
        <f t="shared" si="77"/>
        <v/>
      </c>
    </row>
    <row r="658" spans="1:18" ht="13">
      <c r="A658" s="8"/>
      <c r="B658" s="10"/>
      <c r="C658" s="10"/>
      <c r="D658" s="8"/>
      <c r="E658" s="8"/>
      <c r="F658" s="8" t="s">
        <v>1090</v>
      </c>
      <c r="G658" s="6" t="str">
        <f>IF(F658="","",VLOOKUP(F658,'PLAN SUPORTE'!A:B,2,0))</f>
        <v/>
      </c>
      <c r="H658" s="7"/>
      <c r="I658" s="8"/>
      <c r="J658" s="8"/>
      <c r="K658" s="8"/>
      <c r="L658" s="8" t="str">
        <f>IF(K658="","",VLOOKUP(K658,'PLAN SUPORTE'!$H$2:$I$4,2,0))</f>
        <v/>
      </c>
      <c r="M658" s="10"/>
      <c r="N658" s="10"/>
      <c r="O658" s="9" t="str">
        <f t="shared" si="78"/>
        <v/>
      </c>
      <c r="P658" s="10" t="str">
        <f t="shared" si="79"/>
        <v/>
      </c>
      <c r="Q658" s="6" t="str">
        <f t="shared" ca="1" si="80"/>
        <v/>
      </c>
      <c r="R658" s="8" t="str">
        <f t="shared" si="77"/>
        <v/>
      </c>
    </row>
    <row r="659" spans="1:18" ht="13">
      <c r="A659" s="8"/>
      <c r="B659" s="10"/>
      <c r="C659" s="10"/>
      <c r="D659" s="8"/>
      <c r="E659" s="8"/>
      <c r="F659" s="8" t="s">
        <v>1090</v>
      </c>
      <c r="G659" s="6" t="str">
        <f>IF(F659="","",VLOOKUP(F659,'PLAN SUPORTE'!A:B,2,0))</f>
        <v/>
      </c>
      <c r="H659" s="7"/>
      <c r="I659" s="8"/>
      <c r="J659" s="8"/>
      <c r="K659" s="8"/>
      <c r="L659" s="8" t="str">
        <f>IF(K659="","",VLOOKUP(K659,'PLAN SUPORTE'!$H$2:$I$4,2,0))</f>
        <v/>
      </c>
      <c r="M659" s="10"/>
      <c r="N659" s="10"/>
      <c r="O659" s="9" t="str">
        <f t="shared" si="78"/>
        <v/>
      </c>
      <c r="P659" s="10" t="str">
        <f t="shared" si="79"/>
        <v/>
      </c>
      <c r="Q659" s="6" t="str">
        <f t="shared" ca="1" si="80"/>
        <v/>
      </c>
      <c r="R659" s="8" t="str">
        <f t="shared" si="77"/>
        <v/>
      </c>
    </row>
    <row r="660" spans="1:18" ht="13">
      <c r="A660" s="8"/>
      <c r="B660" s="10"/>
      <c r="C660" s="10"/>
      <c r="D660" s="8"/>
      <c r="E660" s="8"/>
      <c r="F660" s="8" t="s">
        <v>1090</v>
      </c>
      <c r="G660" s="6" t="str">
        <f>IF(F660="","",VLOOKUP(F660,'PLAN SUPORTE'!A:B,2,0))</f>
        <v/>
      </c>
      <c r="H660" s="7"/>
      <c r="I660" s="8"/>
      <c r="J660" s="8"/>
      <c r="K660" s="8"/>
      <c r="L660" s="8" t="str">
        <f>IF(K660="","",VLOOKUP(K660,'PLAN SUPORTE'!$H$2:$I$4,2,0))</f>
        <v/>
      </c>
      <c r="M660" s="10"/>
      <c r="N660" s="10"/>
      <c r="O660" s="9" t="str">
        <f t="shared" si="78"/>
        <v/>
      </c>
      <c r="P660" s="10" t="str">
        <f t="shared" si="79"/>
        <v/>
      </c>
      <c r="Q660" s="6" t="str">
        <f t="shared" ca="1" si="80"/>
        <v/>
      </c>
      <c r="R660" s="8" t="str">
        <f t="shared" si="77"/>
        <v/>
      </c>
    </row>
    <row r="661" spans="1:18" ht="13">
      <c r="A661" s="8"/>
      <c r="B661" s="10"/>
      <c r="C661" s="10"/>
      <c r="D661" s="8"/>
      <c r="E661" s="8"/>
      <c r="F661" s="8" t="s">
        <v>1090</v>
      </c>
      <c r="G661" s="6" t="str">
        <f>IF(F661="","",VLOOKUP(F661,'PLAN SUPORTE'!A:B,2,0))</f>
        <v/>
      </c>
      <c r="H661" s="7"/>
      <c r="I661" s="8"/>
      <c r="J661" s="8"/>
      <c r="K661" s="8"/>
      <c r="L661" s="8" t="str">
        <f>IF(K661="","",VLOOKUP(K661,'PLAN SUPORTE'!$H$2:$I$4,2,0))</f>
        <v/>
      </c>
      <c r="M661" s="10"/>
      <c r="N661" s="10"/>
      <c r="O661" s="9" t="str">
        <f t="shared" si="78"/>
        <v/>
      </c>
      <c r="P661" s="10" t="str">
        <f t="shared" si="79"/>
        <v/>
      </c>
      <c r="Q661" s="6" t="str">
        <f t="shared" ca="1" si="80"/>
        <v/>
      </c>
      <c r="R661" s="8" t="str">
        <f t="shared" si="77"/>
        <v/>
      </c>
    </row>
    <row r="662" spans="1:18" ht="13">
      <c r="A662" s="8"/>
      <c r="B662" s="10"/>
      <c r="C662" s="10"/>
      <c r="D662" s="8"/>
      <c r="E662" s="8"/>
      <c r="F662" s="8" t="s">
        <v>1090</v>
      </c>
      <c r="G662" s="6" t="str">
        <f>IF(F662="","",VLOOKUP(F662,'PLAN SUPORTE'!A:B,2,0))</f>
        <v/>
      </c>
      <c r="H662" s="7"/>
      <c r="I662" s="8"/>
      <c r="J662" s="8"/>
      <c r="K662" s="8"/>
      <c r="L662" s="8" t="str">
        <f>IF(K662="","",VLOOKUP(K662,'PLAN SUPORTE'!$H$2:$I$4,2,0))</f>
        <v/>
      </c>
      <c r="M662" s="10"/>
      <c r="N662" s="10"/>
      <c r="O662" s="9" t="str">
        <f t="shared" si="78"/>
        <v/>
      </c>
      <c r="P662" s="10" t="str">
        <f t="shared" si="79"/>
        <v/>
      </c>
      <c r="Q662" s="6" t="str">
        <f t="shared" ca="1" si="80"/>
        <v/>
      </c>
      <c r="R662" s="8" t="str">
        <f t="shared" si="77"/>
        <v/>
      </c>
    </row>
    <row r="663" spans="1:18" ht="13">
      <c r="A663" s="8"/>
      <c r="B663" s="10"/>
      <c r="C663" s="10"/>
      <c r="D663" s="8"/>
      <c r="E663" s="8"/>
      <c r="F663" s="8" t="s">
        <v>1090</v>
      </c>
      <c r="G663" s="6" t="str">
        <f>IF(F663="","",VLOOKUP(F663,'PLAN SUPORTE'!A:B,2,0))</f>
        <v/>
      </c>
      <c r="H663" s="7"/>
      <c r="I663" s="8"/>
      <c r="J663" s="8"/>
      <c r="K663" s="8"/>
      <c r="L663" s="8" t="str">
        <f>IF(K663="","",VLOOKUP(K663,'PLAN SUPORTE'!$H$2:$I$4,2,0))</f>
        <v/>
      </c>
      <c r="M663" s="10"/>
      <c r="N663" s="10"/>
      <c r="O663" s="9" t="str">
        <f t="shared" si="78"/>
        <v/>
      </c>
      <c r="P663" s="10" t="str">
        <f t="shared" si="79"/>
        <v/>
      </c>
      <c r="Q663" s="6" t="str">
        <f t="shared" ca="1" si="80"/>
        <v/>
      </c>
      <c r="R663" s="8" t="str">
        <f t="shared" si="77"/>
        <v/>
      </c>
    </row>
    <row r="664" spans="1:18" ht="13">
      <c r="A664" s="8"/>
      <c r="B664" s="10"/>
      <c r="C664" s="10"/>
      <c r="D664" s="8"/>
      <c r="E664" s="8"/>
      <c r="F664" s="8" t="s">
        <v>1090</v>
      </c>
      <c r="G664" s="6" t="str">
        <f>IF(F664="","",VLOOKUP(F664,'PLAN SUPORTE'!A:B,2,0))</f>
        <v/>
      </c>
      <c r="H664" s="7"/>
      <c r="I664" s="8"/>
      <c r="J664" s="8"/>
      <c r="K664" s="8"/>
      <c r="L664" s="8" t="str">
        <f>IF(K664="","",VLOOKUP(K664,'PLAN SUPORTE'!$H$2:$I$4,2,0))</f>
        <v/>
      </c>
      <c r="M664" s="10"/>
      <c r="N664" s="10"/>
      <c r="O664" s="9" t="str">
        <f t="shared" si="78"/>
        <v/>
      </c>
      <c r="P664" s="10" t="str">
        <f t="shared" si="79"/>
        <v/>
      </c>
      <c r="Q664" s="6" t="str">
        <f t="shared" ca="1" si="80"/>
        <v/>
      </c>
      <c r="R664" s="8" t="str">
        <f t="shared" si="77"/>
        <v/>
      </c>
    </row>
    <row r="665" spans="1:18" ht="13">
      <c r="A665" s="8"/>
      <c r="B665" s="10"/>
      <c r="C665" s="10"/>
      <c r="D665" s="8"/>
      <c r="E665" s="8"/>
      <c r="F665" s="8" t="s">
        <v>1090</v>
      </c>
      <c r="G665" s="6" t="str">
        <f>IF(F665="","",VLOOKUP(F665,'PLAN SUPORTE'!A:B,2,0))</f>
        <v/>
      </c>
      <c r="H665" s="7"/>
      <c r="I665" s="8"/>
      <c r="J665" s="8"/>
      <c r="K665" s="8"/>
      <c r="L665" s="8" t="str">
        <f>IF(K665="","",VLOOKUP(K665,'PLAN SUPORTE'!$H$2:$I$4,2,0))</f>
        <v/>
      </c>
      <c r="M665" s="10"/>
      <c r="N665" s="10"/>
      <c r="O665" s="9" t="str">
        <f t="shared" si="78"/>
        <v/>
      </c>
      <c r="P665" s="10" t="str">
        <f t="shared" si="79"/>
        <v/>
      </c>
      <c r="Q665" s="6" t="str">
        <f t="shared" ca="1" si="80"/>
        <v/>
      </c>
      <c r="R665" s="8" t="str">
        <f t="shared" si="77"/>
        <v/>
      </c>
    </row>
    <row r="666" spans="1:18" ht="13">
      <c r="A666" s="8"/>
      <c r="B666" s="10"/>
      <c r="C666" s="10"/>
      <c r="D666" s="8"/>
      <c r="E666" s="8"/>
      <c r="F666" s="8" t="s">
        <v>1090</v>
      </c>
      <c r="G666" s="6" t="str">
        <f>IF(F666="","",VLOOKUP(F666,'PLAN SUPORTE'!A:B,2,0))</f>
        <v/>
      </c>
      <c r="H666" s="7"/>
      <c r="I666" s="8"/>
      <c r="J666" s="8"/>
      <c r="K666" s="8"/>
      <c r="L666" s="8" t="str">
        <f>IF(K666="","",VLOOKUP(K666,'PLAN SUPORTE'!$H$2:$I$4,2,0))</f>
        <v/>
      </c>
      <c r="M666" s="10"/>
      <c r="N666" s="10"/>
      <c r="O666" s="9" t="str">
        <f t="shared" si="78"/>
        <v/>
      </c>
      <c r="P666" s="10" t="str">
        <f t="shared" si="79"/>
        <v/>
      </c>
      <c r="Q666" s="6" t="str">
        <f t="shared" ca="1" si="80"/>
        <v/>
      </c>
      <c r="R666" s="8" t="str">
        <f t="shared" si="77"/>
        <v/>
      </c>
    </row>
    <row r="667" spans="1:18" ht="13">
      <c r="A667" s="8"/>
      <c r="B667" s="10"/>
      <c r="C667" s="10"/>
      <c r="D667" s="8"/>
      <c r="E667" s="8"/>
      <c r="F667" s="8" t="s">
        <v>1090</v>
      </c>
      <c r="G667" s="6" t="str">
        <f>IF(F667="","",VLOOKUP(F667,'PLAN SUPORTE'!A:B,2,0))</f>
        <v/>
      </c>
      <c r="H667" s="7"/>
      <c r="I667" s="8"/>
      <c r="J667" s="8"/>
      <c r="K667" s="8"/>
      <c r="L667" s="8" t="str">
        <f>IF(K667="","",VLOOKUP(K667,'PLAN SUPORTE'!$H$2:$I$4,2,0))</f>
        <v/>
      </c>
      <c r="M667" s="10"/>
      <c r="N667" s="10"/>
      <c r="O667" s="9" t="str">
        <f t="shared" si="78"/>
        <v/>
      </c>
      <c r="P667" s="10" t="str">
        <f t="shared" si="79"/>
        <v/>
      </c>
      <c r="Q667" s="6" t="str">
        <f t="shared" ca="1" si="80"/>
        <v/>
      </c>
      <c r="R667" s="8" t="str">
        <f t="shared" si="77"/>
        <v/>
      </c>
    </row>
    <row r="668" spans="1:18" ht="13">
      <c r="A668" s="8"/>
      <c r="B668" s="10"/>
      <c r="C668" s="10"/>
      <c r="D668" s="8"/>
      <c r="E668" s="8"/>
      <c r="F668" s="8" t="s">
        <v>1090</v>
      </c>
      <c r="G668" s="6" t="str">
        <f>IF(F668="","",VLOOKUP(F668,'PLAN SUPORTE'!A:B,2,0))</f>
        <v/>
      </c>
      <c r="H668" s="7"/>
      <c r="I668" s="8"/>
      <c r="J668" s="8"/>
      <c r="K668" s="8"/>
      <c r="L668" s="8" t="str">
        <f>IF(K668="","",VLOOKUP(K668,'PLAN SUPORTE'!$H$2:$I$4,2,0))</f>
        <v/>
      </c>
      <c r="M668" s="10"/>
      <c r="N668" s="10"/>
      <c r="O668" s="9" t="str">
        <f t="shared" si="78"/>
        <v/>
      </c>
      <c r="P668" s="10" t="str">
        <f t="shared" si="79"/>
        <v/>
      </c>
      <c r="Q668" s="6" t="str">
        <f t="shared" ca="1" si="80"/>
        <v/>
      </c>
      <c r="R668" s="8" t="str">
        <f t="shared" si="77"/>
        <v/>
      </c>
    </row>
    <row r="669" spans="1:18" ht="13">
      <c r="A669" s="8"/>
      <c r="B669" s="10"/>
      <c r="C669" s="10"/>
      <c r="D669" s="8"/>
      <c r="E669" s="8"/>
      <c r="F669" s="8" t="s">
        <v>1090</v>
      </c>
      <c r="G669" s="6" t="str">
        <f>IF(F669="","",VLOOKUP(F669,'PLAN SUPORTE'!A:B,2,0))</f>
        <v/>
      </c>
      <c r="H669" s="7"/>
      <c r="I669" s="8"/>
      <c r="J669" s="8"/>
      <c r="K669" s="8"/>
      <c r="L669" s="8" t="str">
        <f>IF(K669="","",VLOOKUP(K669,'PLAN SUPORTE'!$H$2:$I$4,2,0))</f>
        <v/>
      </c>
      <c r="M669" s="10"/>
      <c r="N669" s="10"/>
      <c r="O669" s="9" t="str">
        <f t="shared" si="78"/>
        <v/>
      </c>
      <c r="P669" s="10" t="str">
        <f t="shared" si="79"/>
        <v/>
      </c>
      <c r="Q669" s="6" t="str">
        <f t="shared" ca="1" si="80"/>
        <v/>
      </c>
      <c r="R669" s="8" t="str">
        <f t="shared" si="77"/>
        <v/>
      </c>
    </row>
    <row r="670" spans="1:18" ht="13">
      <c r="A670" s="8"/>
      <c r="B670" s="10"/>
      <c r="C670" s="10"/>
      <c r="D670" s="8"/>
      <c r="E670" s="8"/>
      <c r="F670" s="8" t="s">
        <v>1090</v>
      </c>
      <c r="G670" s="6" t="str">
        <f>IF(F670="","",VLOOKUP(F670,'PLAN SUPORTE'!A:B,2,0))</f>
        <v/>
      </c>
      <c r="H670" s="7"/>
      <c r="I670" s="8"/>
      <c r="J670" s="8"/>
      <c r="K670" s="8"/>
      <c r="L670" s="8" t="str">
        <f>IF(K670="","",VLOOKUP(K670,'PLAN SUPORTE'!$H$2:$I$4,2,0))</f>
        <v/>
      </c>
      <c r="M670" s="10"/>
      <c r="N670" s="10"/>
      <c r="O670" s="9" t="str">
        <f t="shared" si="78"/>
        <v/>
      </c>
      <c r="P670" s="10" t="str">
        <f t="shared" si="79"/>
        <v/>
      </c>
      <c r="Q670" s="6" t="str">
        <f t="shared" ca="1" si="80"/>
        <v/>
      </c>
      <c r="R670" s="8" t="str">
        <f t="shared" si="77"/>
        <v/>
      </c>
    </row>
    <row r="671" spans="1:18" ht="13">
      <c r="A671" s="8"/>
      <c r="B671" s="10"/>
      <c r="C671" s="10"/>
      <c r="D671" s="8"/>
      <c r="E671" s="8"/>
      <c r="F671" s="8" t="s">
        <v>1090</v>
      </c>
      <c r="G671" s="6" t="str">
        <f>IF(F671="","",VLOOKUP(F671,'PLAN SUPORTE'!A:B,2,0))</f>
        <v/>
      </c>
      <c r="H671" s="7"/>
      <c r="I671" s="8"/>
      <c r="J671" s="8"/>
      <c r="K671" s="8"/>
      <c r="L671" s="8" t="str">
        <f>IF(K671="","",VLOOKUP(K671,'PLAN SUPORTE'!$H$2:$I$4,2,0))</f>
        <v/>
      </c>
      <c r="M671" s="10"/>
      <c r="N671" s="10"/>
      <c r="O671" s="9" t="str">
        <f t="shared" si="78"/>
        <v/>
      </c>
      <c r="P671" s="10" t="str">
        <f t="shared" si="79"/>
        <v/>
      </c>
      <c r="Q671" s="6" t="str">
        <f t="shared" ca="1" si="80"/>
        <v/>
      </c>
      <c r="R671" s="8" t="str">
        <f t="shared" si="77"/>
        <v/>
      </c>
    </row>
    <row r="672" spans="1:18" ht="13">
      <c r="A672" s="8"/>
      <c r="B672" s="10"/>
      <c r="C672" s="10"/>
      <c r="D672" s="8"/>
      <c r="E672" s="8"/>
      <c r="F672" s="8" t="s">
        <v>1090</v>
      </c>
      <c r="G672" s="6" t="str">
        <f>IF(F672="","",VLOOKUP(F672,'PLAN SUPORTE'!A:B,2,0))</f>
        <v/>
      </c>
      <c r="H672" s="7"/>
      <c r="I672" s="8"/>
      <c r="J672" s="8"/>
      <c r="K672" s="8"/>
      <c r="L672" s="8" t="str">
        <f>IF(K672="","",VLOOKUP(K672,'PLAN SUPORTE'!$H$2:$I$4,2,0))</f>
        <v/>
      </c>
      <c r="M672" s="10"/>
      <c r="N672" s="10"/>
      <c r="O672" s="9" t="str">
        <f t="shared" si="78"/>
        <v/>
      </c>
      <c r="P672" s="10" t="str">
        <f t="shared" si="79"/>
        <v/>
      </c>
      <c r="Q672" s="6" t="str">
        <f t="shared" ca="1" si="80"/>
        <v/>
      </c>
      <c r="R672" s="8" t="str">
        <f t="shared" si="77"/>
        <v/>
      </c>
    </row>
    <row r="673" spans="1:18" ht="13">
      <c r="A673" s="8"/>
      <c r="B673" s="10"/>
      <c r="C673" s="10"/>
      <c r="D673" s="8"/>
      <c r="E673" s="8"/>
      <c r="F673" s="8" t="s">
        <v>1090</v>
      </c>
      <c r="G673" s="6" t="str">
        <f>IF(F673="","",VLOOKUP(F673,'PLAN SUPORTE'!A:B,2,0))</f>
        <v/>
      </c>
      <c r="H673" s="7"/>
      <c r="I673" s="8"/>
      <c r="J673" s="8"/>
      <c r="K673" s="8"/>
      <c r="L673" s="8" t="str">
        <f>IF(K673="","",VLOOKUP(K673,'PLAN SUPORTE'!$H$2:$I$4,2,0))</f>
        <v/>
      </c>
      <c r="M673" s="10"/>
      <c r="N673" s="10"/>
      <c r="O673" s="9" t="str">
        <f t="shared" si="78"/>
        <v/>
      </c>
      <c r="P673" s="10" t="str">
        <f t="shared" si="79"/>
        <v/>
      </c>
      <c r="Q673" s="6" t="str">
        <f t="shared" ca="1" si="80"/>
        <v/>
      </c>
      <c r="R673" s="8" t="str">
        <f t="shared" si="77"/>
        <v/>
      </c>
    </row>
    <row r="674" spans="1:18" ht="13">
      <c r="A674" s="8"/>
      <c r="B674" s="10"/>
      <c r="C674" s="10"/>
      <c r="D674" s="8"/>
      <c r="E674" s="8"/>
      <c r="F674" s="8" t="s">
        <v>1090</v>
      </c>
      <c r="G674" s="6" t="str">
        <f>IF(F674="","",VLOOKUP(F674,'PLAN SUPORTE'!A:B,2,0))</f>
        <v/>
      </c>
      <c r="H674" s="7"/>
      <c r="I674" s="8"/>
      <c r="J674" s="8"/>
      <c r="K674" s="8"/>
      <c r="L674" s="8" t="str">
        <f>IF(K674="","",VLOOKUP(K674,'PLAN SUPORTE'!$H$2:$I$4,2,0))</f>
        <v/>
      </c>
      <c r="M674" s="10"/>
      <c r="N674" s="10"/>
      <c r="O674" s="9" t="str">
        <f t="shared" si="78"/>
        <v/>
      </c>
      <c r="P674" s="10" t="str">
        <f t="shared" si="79"/>
        <v/>
      </c>
      <c r="Q674" s="6" t="str">
        <f t="shared" ca="1" si="80"/>
        <v/>
      </c>
      <c r="R674" s="8" t="str">
        <f t="shared" si="77"/>
        <v/>
      </c>
    </row>
    <row r="675" spans="1:18" ht="13">
      <c r="A675" s="8"/>
      <c r="B675" s="10"/>
      <c r="C675" s="10"/>
      <c r="D675" s="8"/>
      <c r="E675" s="8"/>
      <c r="F675" s="8" t="s">
        <v>1090</v>
      </c>
      <c r="G675" s="6" t="str">
        <f>IF(F675="","",VLOOKUP(F675,'PLAN SUPORTE'!A:B,2,0))</f>
        <v/>
      </c>
      <c r="H675" s="7"/>
      <c r="I675" s="8"/>
      <c r="J675" s="8"/>
      <c r="K675" s="8"/>
      <c r="L675" s="8" t="str">
        <f>IF(K675="","",VLOOKUP(K675,'PLAN SUPORTE'!$H$2:$I$4,2,0))</f>
        <v/>
      </c>
      <c r="M675" s="10"/>
      <c r="N675" s="10"/>
      <c r="O675" s="9" t="str">
        <f t="shared" si="78"/>
        <v/>
      </c>
      <c r="P675" s="10" t="str">
        <f t="shared" si="79"/>
        <v/>
      </c>
      <c r="Q675" s="6" t="str">
        <f t="shared" ca="1" si="80"/>
        <v/>
      </c>
      <c r="R675" s="8" t="str">
        <f t="shared" si="77"/>
        <v/>
      </c>
    </row>
    <row r="676" spans="1:18" ht="13">
      <c r="A676" s="8"/>
      <c r="B676" s="10"/>
      <c r="C676" s="10"/>
      <c r="D676" s="8"/>
      <c r="E676" s="8"/>
      <c r="F676" s="8" t="s">
        <v>1090</v>
      </c>
      <c r="G676" s="6" t="str">
        <f>IF(F676="","",VLOOKUP(F676,'PLAN SUPORTE'!A:B,2,0))</f>
        <v/>
      </c>
      <c r="H676" s="7"/>
      <c r="I676" s="8"/>
      <c r="J676" s="8"/>
      <c r="K676" s="8"/>
      <c r="L676" s="8" t="str">
        <f>IF(K676="","",VLOOKUP(K676,'PLAN SUPORTE'!$H$2:$I$4,2,0))</f>
        <v/>
      </c>
      <c r="M676" s="10"/>
      <c r="N676" s="10"/>
      <c r="O676" s="9" t="str">
        <f t="shared" si="78"/>
        <v/>
      </c>
      <c r="P676" s="10" t="str">
        <f t="shared" si="79"/>
        <v/>
      </c>
      <c r="Q676" s="6" t="str">
        <f t="shared" ca="1" si="80"/>
        <v/>
      </c>
      <c r="R676" s="8" t="str">
        <f t="shared" si="77"/>
        <v/>
      </c>
    </row>
    <row r="677" spans="1:18" ht="13">
      <c r="A677" s="8"/>
      <c r="B677" s="10"/>
      <c r="C677" s="10"/>
      <c r="D677" s="8"/>
      <c r="E677" s="8"/>
      <c r="F677" s="8" t="s">
        <v>1090</v>
      </c>
      <c r="G677" s="6" t="str">
        <f>IF(F677="","",VLOOKUP(F677,'PLAN SUPORTE'!A:B,2,0))</f>
        <v/>
      </c>
      <c r="H677" s="7"/>
      <c r="I677" s="8"/>
      <c r="J677" s="8"/>
      <c r="K677" s="8"/>
      <c r="L677" s="8" t="str">
        <f>IF(K677="","",VLOOKUP(K677,'PLAN SUPORTE'!$H$2:$I$4,2,0))</f>
        <v/>
      </c>
      <c r="M677" s="10"/>
      <c r="N677" s="10"/>
      <c r="O677" s="9" t="str">
        <f t="shared" si="78"/>
        <v/>
      </c>
      <c r="P677" s="10" t="str">
        <f t="shared" si="79"/>
        <v/>
      </c>
      <c r="Q677" s="6" t="str">
        <f t="shared" ca="1" si="80"/>
        <v/>
      </c>
      <c r="R677" s="8" t="str">
        <f t="shared" si="77"/>
        <v/>
      </c>
    </row>
    <row r="678" spans="1:18" ht="13">
      <c r="A678" s="8"/>
      <c r="B678" s="10"/>
      <c r="C678" s="10"/>
      <c r="D678" s="8"/>
      <c r="E678" s="8"/>
      <c r="F678" s="8" t="s">
        <v>1090</v>
      </c>
      <c r="G678" s="6" t="str">
        <f>IF(F678="","",VLOOKUP(F678,'PLAN SUPORTE'!A:B,2,0))</f>
        <v/>
      </c>
      <c r="H678" s="7"/>
      <c r="I678" s="8"/>
      <c r="J678" s="8"/>
      <c r="K678" s="8"/>
      <c r="L678" s="8" t="str">
        <f>IF(K678="","",VLOOKUP(K678,'PLAN SUPORTE'!$H$2:$I$4,2,0))</f>
        <v/>
      </c>
      <c r="M678" s="10"/>
      <c r="N678" s="10"/>
      <c r="O678" s="9" t="str">
        <f t="shared" si="78"/>
        <v/>
      </c>
      <c r="P678" s="10" t="str">
        <f t="shared" si="79"/>
        <v/>
      </c>
      <c r="Q678" s="6" t="str">
        <f t="shared" ca="1" si="80"/>
        <v/>
      </c>
      <c r="R678" s="8" t="str">
        <f t="shared" si="77"/>
        <v/>
      </c>
    </row>
    <row r="679" spans="1:18" ht="13">
      <c r="A679" s="8"/>
      <c r="B679" s="10"/>
      <c r="C679" s="10"/>
      <c r="D679" s="8"/>
      <c r="E679" s="8"/>
      <c r="F679" s="8" t="s">
        <v>1090</v>
      </c>
      <c r="G679" s="6" t="str">
        <f>IF(F679="","",VLOOKUP(F679,'PLAN SUPORTE'!A:B,2,0))</f>
        <v/>
      </c>
      <c r="H679" s="7"/>
      <c r="I679" s="8"/>
      <c r="J679" s="8"/>
      <c r="K679" s="8"/>
      <c r="L679" s="8" t="str">
        <f>IF(K679="","",VLOOKUP(K679,'PLAN SUPORTE'!$H$2:$I$4,2,0))</f>
        <v/>
      </c>
      <c r="M679" s="10"/>
      <c r="N679" s="10"/>
      <c r="O679" s="9" t="str">
        <f t="shared" si="78"/>
        <v/>
      </c>
      <c r="P679" s="10" t="str">
        <f t="shared" si="79"/>
        <v/>
      </c>
      <c r="Q679" s="6" t="str">
        <f t="shared" ca="1" si="80"/>
        <v/>
      </c>
      <c r="R679" s="8" t="str">
        <f t="shared" si="77"/>
        <v/>
      </c>
    </row>
    <row r="680" spans="1:18" ht="13">
      <c r="A680" s="8"/>
      <c r="B680" s="10"/>
      <c r="C680" s="10"/>
      <c r="D680" s="8"/>
      <c r="E680" s="8"/>
      <c r="F680" s="8" t="s">
        <v>1090</v>
      </c>
      <c r="G680" s="6" t="str">
        <f>IF(F680="","",VLOOKUP(F680,'PLAN SUPORTE'!A:B,2,0))</f>
        <v/>
      </c>
      <c r="H680" s="7"/>
      <c r="I680" s="8"/>
      <c r="J680" s="8"/>
      <c r="K680" s="8"/>
      <c r="L680" s="8" t="str">
        <f>IF(K680="","",VLOOKUP(K680,'PLAN SUPORTE'!$H$2:$I$4,2,0))</f>
        <v/>
      </c>
      <c r="M680" s="10"/>
      <c r="N680" s="10"/>
      <c r="O680" s="9" t="str">
        <f t="shared" si="78"/>
        <v/>
      </c>
      <c r="P680" s="10" t="str">
        <f t="shared" si="79"/>
        <v/>
      </c>
      <c r="Q680" s="6" t="str">
        <f t="shared" ca="1" si="80"/>
        <v/>
      </c>
      <c r="R680" s="8" t="str">
        <f t="shared" si="77"/>
        <v/>
      </c>
    </row>
    <row r="681" spans="1:18" ht="13">
      <c r="A681" s="8"/>
      <c r="B681" s="10"/>
      <c r="C681" s="10"/>
      <c r="D681" s="8"/>
      <c r="E681" s="8"/>
      <c r="F681" s="8" t="s">
        <v>1090</v>
      </c>
      <c r="G681" s="6" t="str">
        <f>IF(F681="","",VLOOKUP(F681,'PLAN SUPORTE'!A:B,2,0))</f>
        <v/>
      </c>
      <c r="H681" s="7"/>
      <c r="I681" s="8"/>
      <c r="J681" s="8"/>
      <c r="K681" s="8"/>
      <c r="L681" s="8" t="str">
        <f>IF(K681="","",VLOOKUP(K681,'PLAN SUPORTE'!$H$2:$I$4,2,0))</f>
        <v/>
      </c>
      <c r="M681" s="10"/>
      <c r="N681" s="10"/>
      <c r="O681" s="9" t="str">
        <f t="shared" si="78"/>
        <v/>
      </c>
      <c r="P681" s="10" t="str">
        <f t="shared" si="79"/>
        <v/>
      </c>
      <c r="Q681" s="6" t="str">
        <f t="shared" ca="1" si="80"/>
        <v/>
      </c>
      <c r="R681" s="8" t="str">
        <f t="shared" si="77"/>
        <v/>
      </c>
    </row>
    <row r="682" spans="1:18" ht="13">
      <c r="A682" s="8"/>
      <c r="B682" s="10"/>
      <c r="C682" s="10"/>
      <c r="D682" s="8"/>
      <c r="E682" s="8"/>
      <c r="F682" s="8" t="s">
        <v>1090</v>
      </c>
      <c r="G682" s="6" t="str">
        <f>IF(F682="","",VLOOKUP(F682,'PLAN SUPORTE'!A:B,2,0))</f>
        <v/>
      </c>
      <c r="H682" s="7"/>
      <c r="I682" s="8"/>
      <c r="J682" s="8"/>
      <c r="K682" s="8"/>
      <c r="L682" s="8" t="str">
        <f>IF(K682="","",VLOOKUP(K682,'PLAN SUPORTE'!$H$2:$I$4,2,0))</f>
        <v/>
      </c>
      <c r="M682" s="10"/>
      <c r="N682" s="10"/>
      <c r="O682" s="9" t="str">
        <f t="shared" si="78"/>
        <v/>
      </c>
      <c r="P682" s="10" t="str">
        <f t="shared" si="79"/>
        <v/>
      </c>
      <c r="Q682" s="6" t="str">
        <f t="shared" ca="1" si="80"/>
        <v/>
      </c>
      <c r="R682" s="8" t="str">
        <f t="shared" si="77"/>
        <v/>
      </c>
    </row>
    <row r="683" spans="1:18" ht="13">
      <c r="A683" s="8"/>
      <c r="B683" s="10"/>
      <c r="C683" s="10"/>
      <c r="D683" s="8"/>
      <c r="E683" s="8"/>
      <c r="F683" s="8" t="s">
        <v>1090</v>
      </c>
      <c r="G683" s="6" t="str">
        <f>IF(F683="","",VLOOKUP(F683,'PLAN SUPORTE'!A:B,2,0))</f>
        <v/>
      </c>
      <c r="H683" s="7"/>
      <c r="I683" s="8"/>
      <c r="J683" s="8"/>
      <c r="K683" s="8"/>
      <c r="L683" s="8" t="str">
        <f>IF(K683="","",VLOOKUP(K683,'PLAN SUPORTE'!$H$2:$I$4,2,0))</f>
        <v/>
      </c>
      <c r="M683" s="10"/>
      <c r="N683" s="10"/>
      <c r="O683" s="9" t="str">
        <f t="shared" si="78"/>
        <v/>
      </c>
      <c r="P683" s="10" t="str">
        <f t="shared" si="79"/>
        <v/>
      </c>
      <c r="Q683" s="6" t="str">
        <f t="shared" ca="1" si="80"/>
        <v/>
      </c>
      <c r="R683" s="8" t="str">
        <f t="shared" si="77"/>
        <v/>
      </c>
    </row>
    <row r="684" spans="1:18" ht="13">
      <c r="A684" s="8"/>
      <c r="B684" s="10"/>
      <c r="C684" s="10"/>
      <c r="D684" s="8"/>
      <c r="E684" s="8"/>
      <c r="F684" s="8" t="s">
        <v>1090</v>
      </c>
      <c r="G684" s="6" t="str">
        <f>IF(F684="","",VLOOKUP(F684,'PLAN SUPORTE'!A:B,2,0))</f>
        <v/>
      </c>
      <c r="H684" s="7"/>
      <c r="I684" s="8"/>
      <c r="J684" s="8"/>
      <c r="K684" s="8"/>
      <c r="L684" s="8" t="str">
        <f>IF(K684="","",VLOOKUP(K684,'PLAN SUPORTE'!$H$2:$I$4,2,0))</f>
        <v/>
      </c>
      <c r="M684" s="10"/>
      <c r="N684" s="10"/>
      <c r="O684" s="9" t="str">
        <f t="shared" si="78"/>
        <v/>
      </c>
      <c r="P684" s="10" t="str">
        <f t="shared" si="79"/>
        <v/>
      </c>
      <c r="Q684" s="6" t="str">
        <f t="shared" ca="1" si="80"/>
        <v/>
      </c>
      <c r="R684" s="8" t="str">
        <f t="shared" si="77"/>
        <v/>
      </c>
    </row>
    <row r="685" spans="1:18" ht="13">
      <c r="A685" s="8"/>
      <c r="B685" s="10"/>
      <c r="C685" s="10"/>
      <c r="D685" s="8"/>
      <c r="E685" s="8"/>
      <c r="F685" s="8" t="s">
        <v>1090</v>
      </c>
      <c r="G685" s="6" t="str">
        <f>IF(F685="","",VLOOKUP(F685,'PLAN SUPORTE'!A:B,2,0))</f>
        <v/>
      </c>
      <c r="H685" s="7"/>
      <c r="I685" s="8"/>
      <c r="J685" s="8"/>
      <c r="K685" s="8"/>
      <c r="L685" s="8" t="str">
        <f>IF(K685="","",VLOOKUP(K685,'PLAN SUPORTE'!$H$2:$I$4,2,0))</f>
        <v/>
      </c>
      <c r="M685" s="10"/>
      <c r="N685" s="10"/>
      <c r="O685" s="9" t="str">
        <f t="shared" si="78"/>
        <v/>
      </c>
      <c r="P685" s="10" t="str">
        <f t="shared" si="79"/>
        <v/>
      </c>
      <c r="Q685" s="6" t="str">
        <f t="shared" ca="1" si="80"/>
        <v/>
      </c>
      <c r="R685" s="8" t="str">
        <f t="shared" si="77"/>
        <v/>
      </c>
    </row>
    <row r="686" spans="1:18" ht="13">
      <c r="A686" s="8"/>
      <c r="B686" s="10"/>
      <c r="C686" s="10"/>
      <c r="D686" s="8"/>
      <c r="E686" s="8"/>
      <c r="F686" s="8" t="s">
        <v>1090</v>
      </c>
      <c r="G686" s="6" t="str">
        <f>IF(F686="","",VLOOKUP(F686,'PLAN SUPORTE'!A:B,2,0))</f>
        <v/>
      </c>
      <c r="H686" s="7"/>
      <c r="I686" s="8"/>
      <c r="J686" s="8"/>
      <c r="K686" s="8"/>
      <c r="L686" s="8" t="str">
        <f>IF(K686="","",VLOOKUP(K686,'PLAN SUPORTE'!$H$2:$I$4,2,0))</f>
        <v/>
      </c>
      <c r="M686" s="10"/>
      <c r="N686" s="10"/>
      <c r="O686" s="9" t="str">
        <f t="shared" si="78"/>
        <v/>
      </c>
      <c r="P686" s="10" t="str">
        <f t="shared" si="79"/>
        <v/>
      </c>
      <c r="Q686" s="6" t="str">
        <f t="shared" ca="1" si="80"/>
        <v/>
      </c>
      <c r="R686" s="8" t="str">
        <f t="shared" si="77"/>
        <v/>
      </c>
    </row>
    <row r="687" spans="1:18" ht="13">
      <c r="A687" s="8"/>
      <c r="B687" s="10"/>
      <c r="C687" s="10"/>
      <c r="D687" s="8"/>
      <c r="E687" s="8"/>
      <c r="F687" s="8" t="s">
        <v>1090</v>
      </c>
      <c r="G687" s="6" t="str">
        <f>IF(F687="","",VLOOKUP(F687,'PLAN SUPORTE'!A:B,2,0))</f>
        <v/>
      </c>
      <c r="H687" s="7"/>
      <c r="I687" s="8"/>
      <c r="J687" s="8"/>
      <c r="K687" s="8"/>
      <c r="L687" s="8" t="str">
        <f>IF(K687="","",VLOOKUP(K687,'PLAN SUPORTE'!$H$2:$I$4,2,0))</f>
        <v/>
      </c>
      <c r="M687" s="10"/>
      <c r="N687" s="10"/>
      <c r="O687" s="9" t="str">
        <f t="shared" si="78"/>
        <v/>
      </c>
      <c r="P687" s="10" t="str">
        <f t="shared" si="79"/>
        <v/>
      </c>
      <c r="Q687" s="6" t="str">
        <f t="shared" ca="1" si="80"/>
        <v/>
      </c>
      <c r="R687" s="8" t="str">
        <f t="shared" si="77"/>
        <v/>
      </c>
    </row>
    <row r="688" spans="1:18" ht="13">
      <c r="A688" s="8"/>
      <c r="B688" s="10"/>
      <c r="C688" s="10"/>
      <c r="D688" s="8"/>
      <c r="E688" s="8"/>
      <c r="F688" s="8" t="s">
        <v>1090</v>
      </c>
      <c r="G688" s="6" t="str">
        <f>IF(F688="","",VLOOKUP(F688,'PLAN SUPORTE'!A:B,2,0))</f>
        <v/>
      </c>
      <c r="H688" s="7"/>
      <c r="I688" s="8"/>
      <c r="J688" s="8"/>
      <c r="K688" s="8"/>
      <c r="L688" s="8" t="str">
        <f>IF(K688="","",VLOOKUP(K688,'PLAN SUPORTE'!$H$2:$I$4,2,0))</f>
        <v/>
      </c>
      <c r="M688" s="10"/>
      <c r="N688" s="10"/>
      <c r="O688" s="9" t="str">
        <f t="shared" si="78"/>
        <v/>
      </c>
      <c r="P688" s="10" t="str">
        <f t="shared" si="79"/>
        <v/>
      </c>
      <c r="Q688" s="6" t="str">
        <f t="shared" ca="1" si="80"/>
        <v/>
      </c>
      <c r="R688" s="8" t="str">
        <f t="shared" si="77"/>
        <v/>
      </c>
    </row>
    <row r="689" spans="1:18" ht="13">
      <c r="A689" s="8"/>
      <c r="B689" s="10"/>
      <c r="C689" s="10"/>
      <c r="D689" s="8"/>
      <c r="E689" s="8"/>
      <c r="F689" s="8" t="s">
        <v>1090</v>
      </c>
      <c r="G689" s="6" t="str">
        <f>IF(F689="","",VLOOKUP(F689,'PLAN SUPORTE'!A:B,2,0))</f>
        <v/>
      </c>
      <c r="H689" s="7"/>
      <c r="I689" s="8"/>
      <c r="J689" s="8"/>
      <c r="K689" s="8"/>
      <c r="L689" s="8" t="str">
        <f>IF(K689="","",VLOOKUP(K689,'PLAN SUPORTE'!$H$2:$I$4,2,0))</f>
        <v/>
      </c>
      <c r="M689" s="10"/>
      <c r="N689" s="10"/>
      <c r="O689" s="9" t="str">
        <f t="shared" si="78"/>
        <v/>
      </c>
      <c r="P689" s="10" t="str">
        <f t="shared" si="79"/>
        <v/>
      </c>
      <c r="Q689" s="6" t="str">
        <f t="shared" ca="1" si="80"/>
        <v/>
      </c>
      <c r="R689" s="8" t="str">
        <f t="shared" si="77"/>
        <v/>
      </c>
    </row>
    <row r="690" spans="1:18" ht="13">
      <c r="A690" s="8"/>
      <c r="B690" s="10"/>
      <c r="C690" s="10"/>
      <c r="D690" s="8"/>
      <c r="E690" s="8"/>
      <c r="F690" s="8" t="s">
        <v>1090</v>
      </c>
      <c r="G690" s="6" t="str">
        <f>IF(F690="","",VLOOKUP(F690,'PLAN SUPORTE'!A:B,2,0))</f>
        <v/>
      </c>
      <c r="H690" s="7"/>
      <c r="I690" s="8"/>
      <c r="J690" s="8"/>
      <c r="K690" s="8"/>
      <c r="L690" s="8" t="str">
        <f>IF(K690="","",VLOOKUP(K690,'PLAN SUPORTE'!$H$2:$I$4,2,0))</f>
        <v/>
      </c>
      <c r="M690" s="10"/>
      <c r="N690" s="10"/>
      <c r="O690" s="9" t="str">
        <f t="shared" si="78"/>
        <v/>
      </c>
      <c r="P690" s="10" t="str">
        <f t="shared" si="79"/>
        <v/>
      </c>
      <c r="Q690" s="6" t="str">
        <f t="shared" ca="1" si="80"/>
        <v/>
      </c>
      <c r="R690" s="8" t="str">
        <f t="shared" si="77"/>
        <v/>
      </c>
    </row>
    <row r="691" spans="1:18" ht="13">
      <c r="A691" s="8"/>
      <c r="B691" s="10"/>
      <c r="C691" s="10"/>
      <c r="D691" s="8"/>
      <c r="E691" s="8"/>
      <c r="F691" s="8" t="s">
        <v>1090</v>
      </c>
      <c r="G691" s="6" t="str">
        <f>IF(F691="","",VLOOKUP(F691,'PLAN SUPORTE'!A:B,2,0))</f>
        <v/>
      </c>
      <c r="H691" s="7"/>
      <c r="I691" s="8"/>
      <c r="J691" s="8"/>
      <c r="K691" s="8"/>
      <c r="L691" s="8" t="str">
        <f>IF(K691="","",VLOOKUP(K691,'PLAN SUPORTE'!$H$2:$I$4,2,0))</f>
        <v/>
      </c>
      <c r="M691" s="10"/>
      <c r="N691" s="10"/>
      <c r="O691" s="9" t="str">
        <f t="shared" si="78"/>
        <v/>
      </c>
      <c r="P691" s="10" t="str">
        <f t="shared" si="79"/>
        <v/>
      </c>
      <c r="Q691" s="6" t="str">
        <f t="shared" ca="1" si="80"/>
        <v/>
      </c>
      <c r="R691" s="8" t="str">
        <f t="shared" si="77"/>
        <v/>
      </c>
    </row>
    <row r="692" spans="1:18" ht="13">
      <c r="A692" s="8"/>
      <c r="B692" s="10"/>
      <c r="C692" s="10"/>
      <c r="D692" s="8"/>
      <c r="E692" s="8"/>
      <c r="F692" s="8" t="s">
        <v>1090</v>
      </c>
      <c r="G692" s="6" t="str">
        <f>IF(F692="","",VLOOKUP(F692,'PLAN SUPORTE'!A:B,2,0))</f>
        <v/>
      </c>
      <c r="H692" s="7"/>
      <c r="I692" s="8"/>
      <c r="J692" s="8"/>
      <c r="K692" s="8"/>
      <c r="L692" s="8" t="str">
        <f>IF(K692="","",VLOOKUP(K692,'PLAN SUPORTE'!$H$2:$I$4,2,0))</f>
        <v/>
      </c>
      <c r="M692" s="10"/>
      <c r="N692" s="10"/>
      <c r="O692" s="9" t="str">
        <f t="shared" si="78"/>
        <v/>
      </c>
      <c r="P692" s="10" t="str">
        <f t="shared" si="79"/>
        <v/>
      </c>
      <c r="Q692" s="6" t="str">
        <f t="shared" ca="1" si="80"/>
        <v/>
      </c>
      <c r="R692" s="8" t="str">
        <f t="shared" si="77"/>
        <v/>
      </c>
    </row>
    <row r="693" spans="1:18" ht="13">
      <c r="A693" s="8"/>
      <c r="B693" s="10"/>
      <c r="C693" s="10"/>
      <c r="D693" s="8"/>
      <c r="E693" s="8"/>
      <c r="F693" s="8" t="s">
        <v>1090</v>
      </c>
      <c r="G693" s="6" t="str">
        <f>IF(F693="","",VLOOKUP(F693,'PLAN SUPORTE'!A:B,2,0))</f>
        <v/>
      </c>
      <c r="H693" s="7"/>
      <c r="I693" s="8"/>
      <c r="J693" s="8"/>
      <c r="K693" s="8"/>
      <c r="L693" s="8" t="str">
        <f>IF(K693="","",VLOOKUP(K693,'PLAN SUPORTE'!$H$2:$I$4,2,0))</f>
        <v/>
      </c>
      <c r="M693" s="10"/>
      <c r="N693" s="10"/>
      <c r="O693" s="9" t="str">
        <f t="shared" si="78"/>
        <v/>
      </c>
      <c r="P693" s="10" t="str">
        <f t="shared" si="79"/>
        <v/>
      </c>
      <c r="Q693" s="6" t="str">
        <f t="shared" ca="1" si="80"/>
        <v/>
      </c>
      <c r="R693" s="8" t="str">
        <f t="shared" si="77"/>
        <v/>
      </c>
    </row>
    <row r="694" spans="1:18" ht="13">
      <c r="A694" s="8"/>
      <c r="B694" s="10"/>
      <c r="C694" s="10"/>
      <c r="D694" s="8"/>
      <c r="E694" s="8"/>
      <c r="F694" s="8" t="s">
        <v>1090</v>
      </c>
      <c r="G694" s="6" t="str">
        <f>IF(F694="","",VLOOKUP(F694,'PLAN SUPORTE'!A:B,2,0))</f>
        <v/>
      </c>
      <c r="H694" s="7"/>
      <c r="I694" s="8"/>
      <c r="J694" s="8"/>
      <c r="K694" s="8"/>
      <c r="L694" s="8" t="str">
        <f>IF(K694="","",VLOOKUP(K694,'PLAN SUPORTE'!$H$2:$I$4,2,0))</f>
        <v/>
      </c>
      <c r="M694" s="10"/>
      <c r="N694" s="10"/>
      <c r="O694" s="9" t="str">
        <f t="shared" si="78"/>
        <v/>
      </c>
      <c r="P694" s="10" t="str">
        <f t="shared" si="79"/>
        <v/>
      </c>
      <c r="Q694" s="6" t="str">
        <f t="shared" ca="1" si="80"/>
        <v/>
      </c>
      <c r="R694" s="8" t="str">
        <f t="shared" si="77"/>
        <v/>
      </c>
    </row>
    <row r="695" spans="1:18" ht="13">
      <c r="A695" s="8"/>
      <c r="B695" s="10"/>
      <c r="C695" s="10"/>
      <c r="D695" s="8"/>
      <c r="E695" s="8"/>
      <c r="F695" s="8" t="s">
        <v>1090</v>
      </c>
      <c r="G695" s="6" t="str">
        <f>IF(F695="","",VLOOKUP(F695,'PLAN SUPORTE'!A:B,2,0))</f>
        <v/>
      </c>
      <c r="H695" s="7"/>
      <c r="I695" s="8"/>
      <c r="J695" s="8"/>
      <c r="K695" s="8"/>
      <c r="L695" s="8" t="str">
        <f>IF(K695="","",VLOOKUP(K695,'PLAN SUPORTE'!$H$2:$I$4,2,0))</f>
        <v/>
      </c>
      <c r="M695" s="10"/>
      <c r="N695" s="10"/>
      <c r="O695" s="9" t="str">
        <f t="shared" si="78"/>
        <v/>
      </c>
      <c r="P695" s="10" t="str">
        <f t="shared" si="79"/>
        <v/>
      </c>
      <c r="Q695" s="6" t="str">
        <f t="shared" ca="1" si="80"/>
        <v/>
      </c>
      <c r="R695" s="8" t="str">
        <f t="shared" si="77"/>
        <v/>
      </c>
    </row>
    <row r="696" spans="1:18" ht="13">
      <c r="A696" s="8"/>
      <c r="B696" s="10"/>
      <c r="C696" s="10"/>
      <c r="D696" s="8"/>
      <c r="E696" s="8"/>
      <c r="F696" s="8" t="s">
        <v>1090</v>
      </c>
      <c r="G696" s="6" t="str">
        <f>IF(F696="","",VLOOKUP(F696,'PLAN SUPORTE'!A:B,2,0))</f>
        <v/>
      </c>
      <c r="H696" s="7"/>
      <c r="I696" s="8"/>
      <c r="J696" s="8"/>
      <c r="K696" s="8"/>
      <c r="L696" s="8" t="str">
        <f>IF(K696="","",VLOOKUP(K696,'PLAN SUPORTE'!$H$2:$I$4,2,0))</f>
        <v/>
      </c>
      <c r="M696" s="10"/>
      <c r="N696" s="10"/>
      <c r="O696" s="9" t="str">
        <f t="shared" si="78"/>
        <v/>
      </c>
      <c r="P696" s="10" t="str">
        <f t="shared" si="79"/>
        <v/>
      </c>
      <c r="Q696" s="6" t="str">
        <f t="shared" ca="1" si="80"/>
        <v/>
      </c>
      <c r="R696" s="8" t="str">
        <f t="shared" si="77"/>
        <v/>
      </c>
    </row>
    <row r="697" spans="1:18" ht="13">
      <c r="A697" s="8"/>
      <c r="B697" s="10"/>
      <c r="C697" s="10"/>
      <c r="D697" s="8"/>
      <c r="E697" s="8"/>
      <c r="F697" s="8" t="s">
        <v>1090</v>
      </c>
      <c r="G697" s="6" t="str">
        <f>IF(F697="","",VLOOKUP(F697,'PLAN SUPORTE'!A:B,2,0))</f>
        <v/>
      </c>
      <c r="H697" s="7"/>
      <c r="I697" s="8"/>
      <c r="J697" s="8"/>
      <c r="K697" s="8"/>
      <c r="L697" s="8" t="str">
        <f>IF(K697="","",VLOOKUP(K697,'PLAN SUPORTE'!$H$2:$I$4,2,0))</f>
        <v/>
      </c>
      <c r="M697" s="10"/>
      <c r="N697" s="10"/>
      <c r="O697" s="9" t="str">
        <f t="shared" si="78"/>
        <v/>
      </c>
      <c r="P697" s="10" t="str">
        <f t="shared" si="79"/>
        <v/>
      </c>
      <c r="Q697" s="6" t="str">
        <f t="shared" ca="1" si="80"/>
        <v/>
      </c>
      <c r="R697" s="8" t="str">
        <f t="shared" si="77"/>
        <v/>
      </c>
    </row>
    <row r="698" spans="1:18" ht="13">
      <c r="A698" s="8"/>
      <c r="B698" s="10"/>
      <c r="C698" s="10"/>
      <c r="D698" s="8"/>
      <c r="E698" s="8"/>
      <c r="F698" s="8" t="s">
        <v>1090</v>
      </c>
      <c r="G698" s="6" t="str">
        <f>IF(F698="","",VLOOKUP(F698,'PLAN SUPORTE'!A:B,2,0))</f>
        <v/>
      </c>
      <c r="H698" s="7"/>
      <c r="I698" s="8"/>
      <c r="J698" s="8"/>
      <c r="K698" s="8"/>
      <c r="L698" s="8" t="str">
        <f>IF(K698="","",VLOOKUP(K698,'PLAN SUPORTE'!$H$2:$I$4,2,0))</f>
        <v/>
      </c>
      <c r="M698" s="10"/>
      <c r="N698" s="10"/>
      <c r="O698" s="9" t="str">
        <f t="shared" si="78"/>
        <v/>
      </c>
      <c r="P698" s="10" t="str">
        <f t="shared" si="79"/>
        <v/>
      </c>
      <c r="Q698" s="6" t="str">
        <f t="shared" ca="1" si="80"/>
        <v/>
      </c>
      <c r="R698" s="8" t="str">
        <f t="shared" si="77"/>
        <v/>
      </c>
    </row>
    <row r="699" spans="1:18" ht="13">
      <c r="A699" s="8"/>
      <c r="B699" s="10"/>
      <c r="C699" s="10"/>
      <c r="D699" s="8"/>
      <c r="E699" s="8"/>
      <c r="F699" s="8" t="s">
        <v>1090</v>
      </c>
      <c r="G699" s="6" t="str">
        <f>IF(F699="","",VLOOKUP(F699,'PLAN SUPORTE'!A:B,2,0))</f>
        <v/>
      </c>
      <c r="H699" s="7"/>
      <c r="I699" s="8"/>
      <c r="J699" s="8"/>
      <c r="K699" s="8"/>
      <c r="L699" s="8" t="str">
        <f>IF(K699="","",VLOOKUP(K699,'PLAN SUPORTE'!$H$2:$I$4,2,0))</f>
        <v/>
      </c>
      <c r="M699" s="10"/>
      <c r="N699" s="10"/>
      <c r="O699" s="9" t="str">
        <f t="shared" si="78"/>
        <v/>
      </c>
      <c r="P699" s="10" t="str">
        <f t="shared" si="79"/>
        <v/>
      </c>
      <c r="Q699" s="6" t="str">
        <f t="shared" ca="1" si="80"/>
        <v/>
      </c>
      <c r="R699" s="8" t="str">
        <f t="shared" si="77"/>
        <v/>
      </c>
    </row>
    <row r="700" spans="1:18" ht="13">
      <c r="A700" s="8"/>
      <c r="B700" s="10"/>
      <c r="C700" s="10"/>
      <c r="D700" s="8"/>
      <c r="E700" s="8"/>
      <c r="F700" s="8" t="s">
        <v>1090</v>
      </c>
      <c r="G700" s="6" t="str">
        <f>IF(F700="","",VLOOKUP(F700,'PLAN SUPORTE'!A:B,2,0))</f>
        <v/>
      </c>
      <c r="H700" s="7"/>
      <c r="I700" s="8"/>
      <c r="J700" s="8"/>
      <c r="K700" s="8"/>
      <c r="L700" s="8" t="str">
        <f>IF(K700="","",VLOOKUP(K700,'PLAN SUPORTE'!$H$2:$I$4,2,0))</f>
        <v/>
      </c>
      <c r="M700" s="10"/>
      <c r="N700" s="10"/>
      <c r="O700" s="9" t="str">
        <f t="shared" si="78"/>
        <v/>
      </c>
      <c r="P700" s="10" t="str">
        <f t="shared" si="79"/>
        <v/>
      </c>
      <c r="Q700" s="6" t="str">
        <f t="shared" ca="1" si="80"/>
        <v/>
      </c>
      <c r="R700" s="8" t="str">
        <f t="shared" si="77"/>
        <v/>
      </c>
    </row>
    <row r="701" spans="1:18" ht="13">
      <c r="A701" s="8"/>
      <c r="B701" s="10"/>
      <c r="C701" s="10"/>
      <c r="D701" s="8"/>
      <c r="E701" s="8"/>
      <c r="F701" s="8" t="s">
        <v>1090</v>
      </c>
      <c r="G701" s="6" t="str">
        <f>IF(F701="","",VLOOKUP(F701,'PLAN SUPORTE'!A:B,2,0))</f>
        <v/>
      </c>
      <c r="H701" s="7"/>
      <c r="I701" s="8"/>
      <c r="J701" s="8"/>
      <c r="K701" s="8"/>
      <c r="L701" s="8" t="str">
        <f>IF(K701="","",VLOOKUP(K701,'PLAN SUPORTE'!$H$2:$I$4,2,0))</f>
        <v/>
      </c>
      <c r="M701" s="10"/>
      <c r="N701" s="10"/>
      <c r="O701" s="9" t="str">
        <f t="shared" si="78"/>
        <v/>
      </c>
      <c r="P701" s="10" t="str">
        <f t="shared" si="79"/>
        <v/>
      </c>
      <c r="Q701" s="6" t="str">
        <f t="shared" ca="1" si="80"/>
        <v/>
      </c>
      <c r="R701" s="8" t="str">
        <f t="shared" si="77"/>
        <v/>
      </c>
    </row>
    <row r="702" spans="1:18" ht="13">
      <c r="A702" s="8"/>
      <c r="B702" s="10"/>
      <c r="C702" s="10"/>
      <c r="D702" s="8"/>
      <c r="E702" s="8"/>
      <c r="F702" s="8" t="s">
        <v>1090</v>
      </c>
      <c r="G702" s="6" t="str">
        <f>IF(F702="","",VLOOKUP(F702,'PLAN SUPORTE'!A:B,2,0))</f>
        <v/>
      </c>
      <c r="H702" s="7"/>
      <c r="I702" s="8"/>
      <c r="J702" s="8"/>
      <c r="K702" s="8"/>
      <c r="L702" s="8" t="str">
        <f>IF(K702="","",VLOOKUP(K702,'PLAN SUPORTE'!$H$2:$I$4,2,0))</f>
        <v/>
      </c>
      <c r="M702" s="10"/>
      <c r="N702" s="10"/>
      <c r="O702" s="9" t="str">
        <f t="shared" si="78"/>
        <v/>
      </c>
      <c r="P702" s="10" t="str">
        <f t="shared" si="79"/>
        <v/>
      </c>
      <c r="Q702" s="6" t="str">
        <f t="shared" ca="1" si="80"/>
        <v/>
      </c>
      <c r="R702" s="8" t="str">
        <f t="shared" si="77"/>
        <v/>
      </c>
    </row>
    <row r="703" spans="1:18" ht="13">
      <c r="A703" s="8"/>
      <c r="B703" s="10"/>
      <c r="C703" s="10"/>
      <c r="D703" s="8"/>
      <c r="E703" s="8"/>
      <c r="F703" s="8" t="s">
        <v>1090</v>
      </c>
      <c r="G703" s="6" t="str">
        <f>IF(F703="","",VLOOKUP(F703,'PLAN SUPORTE'!A:B,2,0))</f>
        <v/>
      </c>
      <c r="H703" s="7"/>
      <c r="I703" s="8"/>
      <c r="J703" s="8"/>
      <c r="K703" s="8"/>
      <c r="L703" s="8" t="str">
        <f>IF(K703="","",VLOOKUP(K703,'PLAN SUPORTE'!$H$2:$I$4,2,0))</f>
        <v/>
      </c>
      <c r="M703" s="10"/>
      <c r="N703" s="10"/>
      <c r="O703" s="9" t="str">
        <f t="shared" si="78"/>
        <v/>
      </c>
      <c r="P703" s="10" t="str">
        <f t="shared" si="79"/>
        <v/>
      </c>
      <c r="Q703" s="6" t="str">
        <f t="shared" ca="1" si="80"/>
        <v/>
      </c>
      <c r="R703" s="8" t="str">
        <f t="shared" si="77"/>
        <v/>
      </c>
    </row>
    <row r="704" spans="1:18" ht="13">
      <c r="A704" s="8"/>
      <c r="B704" s="10"/>
      <c r="C704" s="10"/>
      <c r="D704" s="8"/>
      <c r="E704" s="8"/>
      <c r="F704" s="8" t="s">
        <v>1090</v>
      </c>
      <c r="G704" s="6" t="str">
        <f>IF(F704="","",VLOOKUP(F704,'PLAN SUPORTE'!A:B,2,0))</f>
        <v/>
      </c>
      <c r="H704" s="7"/>
      <c r="I704" s="8"/>
      <c r="J704" s="8"/>
      <c r="K704" s="8"/>
      <c r="L704" s="8" t="str">
        <f>IF(K704="","",VLOOKUP(K704,'PLAN SUPORTE'!$H$2:$I$4,2,0))</f>
        <v/>
      </c>
      <c r="M704" s="10"/>
      <c r="N704" s="10"/>
      <c r="O704" s="9" t="str">
        <f t="shared" si="78"/>
        <v/>
      </c>
      <c r="P704" s="10" t="str">
        <f t="shared" si="79"/>
        <v/>
      </c>
      <c r="Q704" s="6" t="str">
        <f t="shared" ca="1" si="80"/>
        <v/>
      </c>
      <c r="R704" s="8" t="str">
        <f t="shared" si="77"/>
        <v/>
      </c>
    </row>
    <row r="705" spans="1:18" ht="13">
      <c r="A705" s="8"/>
      <c r="B705" s="10"/>
      <c r="C705" s="10"/>
      <c r="D705" s="8"/>
      <c r="E705" s="8"/>
      <c r="F705" s="8" t="s">
        <v>1090</v>
      </c>
      <c r="G705" s="6" t="str">
        <f>IF(F705="","",VLOOKUP(F705,'PLAN SUPORTE'!A:B,2,0))</f>
        <v/>
      </c>
      <c r="H705" s="7"/>
      <c r="I705" s="8"/>
      <c r="J705" s="8"/>
      <c r="K705" s="8"/>
      <c r="L705" s="8" t="str">
        <f>IF(K705="","",VLOOKUP(K705,'PLAN SUPORTE'!$H$2:$I$4,2,0))</f>
        <v/>
      </c>
      <c r="M705" s="10"/>
      <c r="N705" s="10"/>
      <c r="O705" s="9" t="str">
        <f t="shared" si="78"/>
        <v/>
      </c>
      <c r="P705" s="10" t="str">
        <f t="shared" si="79"/>
        <v/>
      </c>
      <c r="Q705" s="6" t="str">
        <f t="shared" ca="1" si="80"/>
        <v/>
      </c>
      <c r="R705" s="8" t="str">
        <f t="shared" si="77"/>
        <v/>
      </c>
    </row>
    <row r="706" spans="1:18" ht="13">
      <c r="A706" s="8"/>
      <c r="B706" s="10"/>
      <c r="C706" s="10"/>
      <c r="D706" s="8"/>
      <c r="E706" s="8"/>
      <c r="F706" s="8" t="s">
        <v>1090</v>
      </c>
      <c r="G706" s="6" t="str">
        <f>IF(F706="","",VLOOKUP(F706,'PLAN SUPORTE'!A:B,2,0))</f>
        <v/>
      </c>
      <c r="H706" s="7"/>
      <c r="I706" s="8"/>
      <c r="J706" s="8"/>
      <c r="K706" s="8"/>
      <c r="L706" s="8" t="str">
        <f>IF(K706="","",VLOOKUP(K706,'PLAN SUPORTE'!$H$2:$I$4,2,0))</f>
        <v/>
      </c>
      <c r="M706" s="10"/>
      <c r="N706" s="10"/>
      <c r="O706" s="9" t="str">
        <f t="shared" si="78"/>
        <v/>
      </c>
      <c r="P706" s="10" t="str">
        <f t="shared" si="79"/>
        <v/>
      </c>
      <c r="Q706" s="6" t="str">
        <f t="shared" ca="1" si="80"/>
        <v/>
      </c>
      <c r="R706" s="8" t="str">
        <f t="shared" si="77"/>
        <v/>
      </c>
    </row>
    <row r="707" spans="1:18" ht="13">
      <c r="A707" s="8"/>
      <c r="B707" s="10"/>
      <c r="C707" s="10"/>
      <c r="D707" s="8"/>
      <c r="E707" s="8"/>
      <c r="F707" s="8" t="s">
        <v>1090</v>
      </c>
      <c r="G707" s="6" t="str">
        <f>IF(F707="","",VLOOKUP(F707,'PLAN SUPORTE'!A:B,2,0))</f>
        <v/>
      </c>
      <c r="H707" s="7"/>
      <c r="I707" s="8"/>
      <c r="J707" s="8"/>
      <c r="K707" s="8"/>
      <c r="L707" s="8" t="str">
        <f>IF(K707="","",VLOOKUP(K707,'PLAN SUPORTE'!$H$2:$I$4,2,0))</f>
        <v/>
      </c>
      <c r="M707" s="10"/>
      <c r="N707" s="10"/>
      <c r="O707" s="9" t="str">
        <f t="shared" si="78"/>
        <v/>
      </c>
      <c r="P707" s="10" t="str">
        <f t="shared" si="79"/>
        <v/>
      </c>
      <c r="Q707" s="6" t="str">
        <f t="shared" ca="1" si="80"/>
        <v/>
      </c>
      <c r="R707" s="8" t="str">
        <f t="shared" si="77"/>
        <v/>
      </c>
    </row>
    <row r="708" spans="1:18" ht="13">
      <c r="A708" s="8"/>
      <c r="B708" s="10"/>
      <c r="C708" s="10"/>
      <c r="D708" s="8"/>
      <c r="E708" s="8"/>
      <c r="F708" s="8" t="s">
        <v>1090</v>
      </c>
      <c r="G708" s="6" t="str">
        <f>IF(F708="","",VLOOKUP(F708,'PLAN SUPORTE'!A:B,2,0))</f>
        <v/>
      </c>
      <c r="H708" s="7"/>
      <c r="I708" s="8"/>
      <c r="J708" s="8"/>
      <c r="K708" s="8"/>
      <c r="L708" s="8" t="str">
        <f>IF(K708="","",VLOOKUP(K708,'PLAN SUPORTE'!$H$2:$I$4,2,0))</f>
        <v/>
      </c>
      <c r="M708" s="10"/>
      <c r="N708" s="10"/>
      <c r="O708" s="9" t="str">
        <f t="shared" si="78"/>
        <v/>
      </c>
      <c r="P708" s="10" t="str">
        <f t="shared" si="79"/>
        <v/>
      </c>
      <c r="Q708" s="6" t="str">
        <f t="shared" ca="1" si="80"/>
        <v/>
      </c>
      <c r="R708" s="8" t="str">
        <f t="shared" si="77"/>
        <v/>
      </c>
    </row>
    <row r="709" spans="1:18" ht="13">
      <c r="A709" s="8"/>
      <c r="B709" s="10"/>
      <c r="C709" s="10"/>
      <c r="D709" s="8"/>
      <c r="E709" s="8"/>
      <c r="F709" s="8" t="s">
        <v>1090</v>
      </c>
      <c r="G709" s="6" t="str">
        <f>IF(F709="","",VLOOKUP(F709,'PLAN SUPORTE'!A:B,2,0))</f>
        <v/>
      </c>
      <c r="H709" s="7"/>
      <c r="I709" s="8"/>
      <c r="J709" s="8"/>
      <c r="K709" s="8"/>
      <c r="L709" s="8" t="str">
        <f>IF(K709="","",VLOOKUP(K709,'PLAN SUPORTE'!$H$2:$I$4,2,0))</f>
        <v/>
      </c>
      <c r="M709" s="10"/>
      <c r="N709" s="10"/>
      <c r="O709" s="9" t="str">
        <f t="shared" si="78"/>
        <v/>
      </c>
      <c r="P709" s="10" t="str">
        <f t="shared" si="79"/>
        <v/>
      </c>
      <c r="Q709" s="6" t="str">
        <f t="shared" ca="1" si="80"/>
        <v/>
      </c>
      <c r="R709" s="8" t="str">
        <f t="shared" si="77"/>
        <v/>
      </c>
    </row>
    <row r="710" spans="1:18" ht="13">
      <c r="A710" s="8"/>
      <c r="B710" s="10"/>
      <c r="C710" s="10"/>
      <c r="D710" s="8"/>
      <c r="E710" s="8"/>
      <c r="F710" s="8" t="s">
        <v>1090</v>
      </c>
      <c r="G710" s="6" t="str">
        <f>IF(F710="","",VLOOKUP(F710,'PLAN SUPORTE'!A:B,2,0))</f>
        <v/>
      </c>
      <c r="H710" s="7"/>
      <c r="I710" s="8"/>
      <c r="J710" s="8"/>
      <c r="K710" s="8"/>
      <c r="L710" s="8" t="str">
        <f>IF(K710="","",VLOOKUP(K710,'PLAN SUPORTE'!$H$2:$I$4,2,0))</f>
        <v/>
      </c>
      <c r="M710" s="10"/>
      <c r="N710" s="10"/>
      <c r="O710" s="9" t="str">
        <f t="shared" si="78"/>
        <v/>
      </c>
      <c r="P710" s="10" t="str">
        <f t="shared" si="79"/>
        <v/>
      </c>
      <c r="Q710" s="6" t="str">
        <f t="shared" ca="1" si="80"/>
        <v/>
      </c>
      <c r="R710" s="8" t="str">
        <f t="shared" si="77"/>
        <v/>
      </c>
    </row>
    <row r="711" spans="1:18" ht="13">
      <c r="A711" s="8"/>
      <c r="B711" s="10"/>
      <c r="C711" s="10"/>
      <c r="D711" s="8"/>
      <c r="E711" s="8"/>
      <c r="F711" s="8" t="s">
        <v>1090</v>
      </c>
      <c r="G711" s="6" t="str">
        <f>IF(F711="","",VLOOKUP(F711,'PLAN SUPORTE'!A:B,2,0))</f>
        <v/>
      </c>
      <c r="H711" s="7"/>
      <c r="I711" s="8"/>
      <c r="J711" s="8"/>
      <c r="K711" s="8"/>
      <c r="L711" s="8" t="str">
        <f>IF(K711="","",VLOOKUP(K711,'PLAN SUPORTE'!$H$2:$I$4,2,0))</f>
        <v/>
      </c>
      <c r="M711" s="10"/>
      <c r="N711" s="10"/>
      <c r="O711" s="9" t="str">
        <f t="shared" si="78"/>
        <v/>
      </c>
      <c r="P711" s="10" t="str">
        <f t="shared" si="79"/>
        <v/>
      </c>
      <c r="Q711" s="6" t="str">
        <f t="shared" ca="1" si="80"/>
        <v/>
      </c>
      <c r="R711" s="8" t="str">
        <f t="shared" si="77"/>
        <v/>
      </c>
    </row>
    <row r="712" spans="1:18" ht="13">
      <c r="A712" s="8"/>
      <c r="B712" s="10"/>
      <c r="C712" s="10"/>
      <c r="D712" s="8"/>
      <c r="E712" s="8"/>
      <c r="F712" s="8" t="s">
        <v>1090</v>
      </c>
      <c r="G712" s="6" t="str">
        <f>IF(F712="","",VLOOKUP(F712,'PLAN SUPORTE'!A:B,2,0))</f>
        <v/>
      </c>
      <c r="H712" s="7"/>
      <c r="I712" s="8"/>
      <c r="J712" s="8"/>
      <c r="K712" s="8"/>
      <c r="L712" s="8" t="str">
        <f>IF(K712="","",VLOOKUP(K712,'PLAN SUPORTE'!$H$2:$I$4,2,0))</f>
        <v/>
      </c>
      <c r="M712" s="10"/>
      <c r="N712" s="10"/>
      <c r="O712" s="9" t="str">
        <f t="shared" si="78"/>
        <v/>
      </c>
      <c r="P712" s="10" t="str">
        <f t="shared" si="79"/>
        <v/>
      </c>
      <c r="Q712" s="6" t="str">
        <f t="shared" ca="1" si="80"/>
        <v/>
      </c>
      <c r="R712" s="8" t="str">
        <f t="shared" si="77"/>
        <v/>
      </c>
    </row>
    <row r="713" spans="1:18" ht="13">
      <c r="A713" s="8"/>
      <c r="B713" s="10"/>
      <c r="C713" s="10"/>
      <c r="D713" s="8"/>
      <c r="E713" s="8"/>
      <c r="F713" s="8" t="s">
        <v>1090</v>
      </c>
      <c r="G713" s="6" t="str">
        <f>IF(F713="","",VLOOKUP(F713,'PLAN SUPORTE'!A:B,2,0))</f>
        <v/>
      </c>
      <c r="H713" s="7"/>
      <c r="I713" s="8"/>
      <c r="J713" s="8"/>
      <c r="K713" s="8"/>
      <c r="L713" s="8" t="str">
        <f>IF(K713="","",VLOOKUP(K713,'PLAN SUPORTE'!$H$2:$I$4,2,0))</f>
        <v/>
      </c>
      <c r="M713" s="10"/>
      <c r="N713" s="10"/>
      <c r="O713" s="9" t="str">
        <f t="shared" si="78"/>
        <v/>
      </c>
      <c r="P713" s="10" t="str">
        <f t="shared" si="79"/>
        <v/>
      </c>
      <c r="Q713" s="6" t="str">
        <f t="shared" ca="1" si="80"/>
        <v/>
      </c>
      <c r="R713" s="8" t="str">
        <f t="shared" si="77"/>
        <v/>
      </c>
    </row>
    <row r="714" spans="1:18" ht="13">
      <c r="A714" s="8"/>
      <c r="B714" s="10"/>
      <c r="C714" s="10"/>
      <c r="D714" s="8"/>
      <c r="E714" s="8"/>
      <c r="F714" s="8" t="s">
        <v>1090</v>
      </c>
      <c r="G714" s="6" t="str">
        <f>IF(F714="","",VLOOKUP(F714,'PLAN SUPORTE'!A:B,2,0))</f>
        <v/>
      </c>
      <c r="H714" s="7"/>
      <c r="I714" s="8"/>
      <c r="J714" s="8"/>
      <c r="K714" s="8"/>
      <c r="L714" s="8" t="str">
        <f>IF(K714="","",VLOOKUP(K714,'PLAN SUPORTE'!$H$2:$I$4,2,0))</f>
        <v/>
      </c>
      <c r="M714" s="10"/>
      <c r="N714" s="10"/>
      <c r="O714" s="9" t="str">
        <f t="shared" si="78"/>
        <v/>
      </c>
      <c r="P714" s="10" t="str">
        <f t="shared" si="79"/>
        <v/>
      </c>
      <c r="Q714" s="6" t="str">
        <f t="shared" ca="1" si="80"/>
        <v/>
      </c>
      <c r="R714" s="8" t="str">
        <f t="shared" si="77"/>
        <v/>
      </c>
    </row>
    <row r="715" spans="1:18" ht="13">
      <c r="A715" s="8"/>
      <c r="B715" s="10"/>
      <c r="C715" s="10"/>
      <c r="D715" s="8"/>
      <c r="E715" s="8"/>
      <c r="F715" s="8" t="s">
        <v>1090</v>
      </c>
      <c r="G715" s="6" t="str">
        <f>IF(F715="","",VLOOKUP(F715,'PLAN SUPORTE'!A:B,2,0))</f>
        <v/>
      </c>
      <c r="H715" s="7"/>
      <c r="I715" s="8"/>
      <c r="J715" s="8"/>
      <c r="K715" s="8"/>
      <c r="L715" s="8" t="str">
        <f>IF(K715="","",VLOOKUP(K715,'PLAN SUPORTE'!$H$2:$I$4,2,0))</f>
        <v/>
      </c>
      <c r="M715" s="10"/>
      <c r="N715" s="10"/>
      <c r="O715" s="9" t="str">
        <f t="shared" si="78"/>
        <v/>
      </c>
      <c r="P715" s="10" t="str">
        <f t="shared" si="79"/>
        <v/>
      </c>
      <c r="Q715" s="6" t="str">
        <f t="shared" ca="1" si="80"/>
        <v/>
      </c>
      <c r="R715" s="8" t="str">
        <f t="shared" si="77"/>
        <v/>
      </c>
    </row>
    <row r="716" spans="1:18" ht="13">
      <c r="A716" s="8"/>
      <c r="B716" s="10"/>
      <c r="C716" s="10"/>
      <c r="D716" s="8"/>
      <c r="E716" s="8"/>
      <c r="F716" s="8" t="s">
        <v>1090</v>
      </c>
      <c r="G716" s="6" t="str">
        <f>IF(F716="","",VLOOKUP(F716,'PLAN SUPORTE'!A:B,2,0))</f>
        <v/>
      </c>
      <c r="H716" s="7"/>
      <c r="I716" s="8"/>
      <c r="J716" s="8"/>
      <c r="K716" s="8"/>
      <c r="L716" s="8" t="str">
        <f>IF(K716="","",VLOOKUP(K716,'PLAN SUPORTE'!$H$2:$I$4,2,0))</f>
        <v/>
      </c>
      <c r="M716" s="10"/>
      <c r="N716" s="10"/>
      <c r="O716" s="9" t="str">
        <f t="shared" si="78"/>
        <v/>
      </c>
      <c r="P716" s="10" t="str">
        <f t="shared" si="79"/>
        <v/>
      </c>
      <c r="Q716" s="6" t="str">
        <f t="shared" ca="1" si="80"/>
        <v/>
      </c>
      <c r="R716" s="8" t="str">
        <f t="shared" si="77"/>
        <v/>
      </c>
    </row>
    <row r="717" spans="1:18" ht="13">
      <c r="A717" s="8"/>
      <c r="B717" s="10"/>
      <c r="C717" s="10"/>
      <c r="D717" s="8"/>
      <c r="E717" s="8"/>
      <c r="F717" s="8" t="s">
        <v>1090</v>
      </c>
      <c r="G717" s="6" t="str">
        <f>IF(F717="","",VLOOKUP(F717,'PLAN SUPORTE'!A:B,2,0))</f>
        <v/>
      </c>
      <c r="H717" s="7"/>
      <c r="I717" s="8"/>
      <c r="J717" s="8"/>
      <c r="K717" s="8"/>
      <c r="L717" s="8" t="str">
        <f>IF(K717="","",VLOOKUP(K717,'PLAN SUPORTE'!$H$2:$I$4,2,0))</f>
        <v/>
      </c>
      <c r="M717" s="10"/>
      <c r="N717" s="10"/>
      <c r="O717" s="9" t="str">
        <f t="shared" si="78"/>
        <v/>
      </c>
      <c r="P717" s="10" t="str">
        <f t="shared" si="79"/>
        <v/>
      </c>
      <c r="Q717" s="6" t="str">
        <f t="shared" ca="1" si="80"/>
        <v/>
      </c>
      <c r="R717" s="8" t="str">
        <f t="shared" si="77"/>
        <v/>
      </c>
    </row>
    <row r="718" spans="1:18" ht="13">
      <c r="A718" s="8"/>
      <c r="B718" s="10"/>
      <c r="C718" s="10"/>
      <c r="D718" s="8"/>
      <c r="E718" s="8"/>
      <c r="F718" s="8" t="s">
        <v>1090</v>
      </c>
      <c r="G718" s="6" t="str">
        <f>IF(F718="","",VLOOKUP(F718,'PLAN SUPORTE'!A:B,2,0))</f>
        <v/>
      </c>
      <c r="H718" s="7"/>
      <c r="I718" s="8"/>
      <c r="J718" s="8"/>
      <c r="K718" s="8"/>
      <c r="L718" s="8" t="str">
        <f>IF(K718="","",VLOOKUP(K718,'PLAN SUPORTE'!$H$2:$I$4,2,0))</f>
        <v/>
      </c>
      <c r="M718" s="10"/>
      <c r="N718" s="10"/>
      <c r="O718" s="9" t="str">
        <f t="shared" si="78"/>
        <v/>
      </c>
      <c r="P718" s="10" t="str">
        <f t="shared" si="79"/>
        <v/>
      </c>
      <c r="Q718" s="6" t="str">
        <f t="shared" ca="1" si="80"/>
        <v/>
      </c>
      <c r="R718" s="8" t="str">
        <f t="shared" si="77"/>
        <v/>
      </c>
    </row>
    <row r="719" spans="1:18" ht="13">
      <c r="A719" s="8"/>
      <c r="B719" s="10"/>
      <c r="C719" s="10"/>
      <c r="D719" s="8"/>
      <c r="E719" s="8"/>
      <c r="F719" s="8" t="s">
        <v>1090</v>
      </c>
      <c r="G719" s="6" t="str">
        <f>IF(F719="","",VLOOKUP(F719,'PLAN SUPORTE'!A:B,2,0))</f>
        <v/>
      </c>
      <c r="H719" s="7"/>
      <c r="I719" s="8"/>
      <c r="J719" s="8"/>
      <c r="K719" s="8"/>
      <c r="L719" s="8" t="str">
        <f>IF(K719="","",VLOOKUP(K719,'PLAN SUPORTE'!$H$2:$I$4,2,0))</f>
        <v/>
      </c>
      <c r="M719" s="10"/>
      <c r="N719" s="10"/>
      <c r="O719" s="9" t="str">
        <f t="shared" si="78"/>
        <v/>
      </c>
      <c r="P719" s="10" t="str">
        <f t="shared" si="79"/>
        <v/>
      </c>
      <c r="Q719" s="6" t="str">
        <f t="shared" ca="1" si="80"/>
        <v/>
      </c>
      <c r="R719" s="8" t="str">
        <f t="shared" ref="R719:R973" si="81">IF(OR(C719="",M719=""),"",M719-C719)</f>
        <v/>
      </c>
    </row>
    <row r="720" spans="1:18" ht="13">
      <c r="A720" s="8"/>
      <c r="B720" s="10"/>
      <c r="C720" s="10"/>
      <c r="D720" s="8"/>
      <c r="E720" s="8"/>
      <c r="F720" s="8" t="s">
        <v>1090</v>
      </c>
      <c r="G720" s="6" t="str">
        <f>IF(F720="","",VLOOKUP(F720,'PLAN SUPORTE'!A:B,2,0))</f>
        <v/>
      </c>
      <c r="H720" s="7"/>
      <c r="I720" s="8"/>
      <c r="J720" s="8"/>
      <c r="K720" s="8"/>
      <c r="L720" s="8" t="str">
        <f>IF(K720="","",VLOOKUP(K720,'PLAN SUPORTE'!$H$2:$I$4,2,0))</f>
        <v/>
      </c>
      <c r="M720" s="10"/>
      <c r="N720" s="10"/>
      <c r="O720" s="9" t="str">
        <f t="shared" si="78"/>
        <v/>
      </c>
      <c r="P720" s="10" t="str">
        <f t="shared" si="79"/>
        <v/>
      </c>
      <c r="Q720" s="6" t="str">
        <f t="shared" ca="1" si="80"/>
        <v/>
      </c>
      <c r="R720" s="8" t="str">
        <f t="shared" si="81"/>
        <v/>
      </c>
    </row>
    <row r="721" spans="1:18" ht="13">
      <c r="A721" s="8"/>
      <c r="B721" s="10"/>
      <c r="C721" s="10"/>
      <c r="D721" s="8"/>
      <c r="E721" s="8"/>
      <c r="F721" s="8" t="s">
        <v>1090</v>
      </c>
      <c r="G721" s="6" t="str">
        <f>IF(F721="","",VLOOKUP(F721,'PLAN SUPORTE'!A:B,2,0))</f>
        <v/>
      </c>
      <c r="H721" s="7"/>
      <c r="I721" s="8"/>
      <c r="J721" s="8"/>
      <c r="K721" s="8"/>
      <c r="L721" s="8" t="str">
        <f>IF(K721="","",VLOOKUP(K721,'PLAN SUPORTE'!$H$2:$I$4,2,0))</f>
        <v/>
      </c>
      <c r="M721" s="10"/>
      <c r="N721" s="10"/>
      <c r="O721" s="9" t="str">
        <f t="shared" ref="O721:O975" si="82">IF(AND(C721="",K721=""),"",IF(R721="","Em Andamento",IF(M721&lt;=P721,"Dentro do Prazo","Fora do Prazo")))</f>
        <v/>
      </c>
      <c r="P721" s="10" t="str">
        <f t="shared" si="79"/>
        <v/>
      </c>
      <c r="Q721" s="6" t="str">
        <f t="shared" ca="1" si="80"/>
        <v/>
      </c>
      <c r="R721" s="8" t="str">
        <f t="shared" si="81"/>
        <v/>
      </c>
    </row>
    <row r="722" spans="1:18" ht="13">
      <c r="A722" s="8"/>
      <c r="B722" s="10"/>
      <c r="C722" s="10"/>
      <c r="D722" s="8"/>
      <c r="E722" s="8"/>
      <c r="F722" s="8" t="s">
        <v>1090</v>
      </c>
      <c r="G722" s="6" t="str">
        <f>IF(F722="","",VLOOKUP(F722,'PLAN SUPORTE'!A:B,2,0))</f>
        <v/>
      </c>
      <c r="H722" s="7"/>
      <c r="I722" s="8"/>
      <c r="J722" s="8"/>
      <c r="K722" s="8"/>
      <c r="L722" s="8" t="str">
        <f>IF(K722="","",VLOOKUP(K722,'PLAN SUPORTE'!$H$2:$I$4,2,0))</f>
        <v/>
      </c>
      <c r="M722" s="10"/>
      <c r="N722" s="10"/>
      <c r="O722" s="9" t="str">
        <f t="shared" si="82"/>
        <v/>
      </c>
      <c r="P722" s="10" t="str">
        <f t="shared" si="79"/>
        <v/>
      </c>
      <c r="Q722" s="6" t="str">
        <f t="shared" ca="1" si="80"/>
        <v/>
      </c>
      <c r="R722" s="8" t="str">
        <f t="shared" si="81"/>
        <v/>
      </c>
    </row>
    <row r="723" spans="1:18" ht="13">
      <c r="A723" s="8"/>
      <c r="B723" s="10"/>
      <c r="C723" s="10"/>
      <c r="D723" s="8"/>
      <c r="E723" s="8"/>
      <c r="F723" s="8" t="s">
        <v>1090</v>
      </c>
      <c r="G723" s="6" t="str">
        <f>IF(F723="","",VLOOKUP(F723,'PLAN SUPORTE'!A:B,2,0))</f>
        <v/>
      </c>
      <c r="H723" s="7"/>
      <c r="I723" s="8"/>
      <c r="J723" s="8"/>
      <c r="K723" s="8"/>
      <c r="L723" s="8" t="str">
        <f>IF(K723="","",VLOOKUP(K723,'PLAN SUPORTE'!$H$2:$I$4,2,0))</f>
        <v/>
      </c>
      <c r="M723" s="10"/>
      <c r="N723" s="10"/>
      <c r="O723" s="9" t="str">
        <f t="shared" si="82"/>
        <v/>
      </c>
      <c r="P723" s="10" t="str">
        <f t="shared" si="79"/>
        <v/>
      </c>
      <c r="Q723" s="6" t="str">
        <f t="shared" ca="1" si="80"/>
        <v/>
      </c>
      <c r="R723" s="8" t="str">
        <f t="shared" si="81"/>
        <v/>
      </c>
    </row>
    <row r="724" spans="1:18" ht="13">
      <c r="A724" s="8"/>
      <c r="B724" s="10"/>
      <c r="C724" s="10"/>
      <c r="D724" s="8"/>
      <c r="E724" s="8"/>
      <c r="F724" s="8" t="s">
        <v>1090</v>
      </c>
      <c r="G724" s="6" t="str">
        <f>IF(F724="","",VLOOKUP(F724,'PLAN SUPORTE'!A:B,2,0))</f>
        <v/>
      </c>
      <c r="H724" s="7"/>
      <c r="I724" s="8"/>
      <c r="J724" s="8"/>
      <c r="K724" s="8"/>
      <c r="L724" s="8" t="str">
        <f>IF(K724="","",VLOOKUP(K724,'PLAN SUPORTE'!$H$2:$I$4,2,0))</f>
        <v/>
      </c>
      <c r="M724" s="10"/>
      <c r="N724" s="10"/>
      <c r="O724" s="9" t="str">
        <f t="shared" si="82"/>
        <v/>
      </c>
      <c r="P724" s="10" t="str">
        <f t="shared" si="79"/>
        <v/>
      </c>
      <c r="Q724" s="6" t="str">
        <f t="shared" ca="1" si="80"/>
        <v/>
      </c>
      <c r="R724" s="8" t="str">
        <f t="shared" si="81"/>
        <v/>
      </c>
    </row>
    <row r="725" spans="1:18" ht="13">
      <c r="A725" s="8"/>
      <c r="B725" s="10"/>
      <c r="C725" s="10"/>
      <c r="D725" s="8"/>
      <c r="E725" s="8"/>
      <c r="F725" s="8" t="s">
        <v>1090</v>
      </c>
      <c r="G725" s="6" t="str">
        <f>IF(F725="","",VLOOKUP(F725,'PLAN SUPORTE'!A:B,2,0))</f>
        <v/>
      </c>
      <c r="H725" s="7"/>
      <c r="I725" s="8"/>
      <c r="J725" s="8"/>
      <c r="K725" s="8"/>
      <c r="L725" s="8" t="str">
        <f>IF(K725="","",VLOOKUP(K725,'PLAN SUPORTE'!$H$2:$I$4,2,0))</f>
        <v/>
      </c>
      <c r="M725" s="10"/>
      <c r="N725" s="10"/>
      <c r="O725" s="9" t="str">
        <f t="shared" si="82"/>
        <v/>
      </c>
      <c r="P725" s="10" t="str">
        <f t="shared" si="79"/>
        <v/>
      </c>
      <c r="Q725" s="6" t="str">
        <f t="shared" ca="1" si="80"/>
        <v/>
      </c>
      <c r="R725" s="8" t="str">
        <f t="shared" si="81"/>
        <v/>
      </c>
    </row>
    <row r="726" spans="1:18" ht="13">
      <c r="A726" s="8"/>
      <c r="B726" s="10"/>
      <c r="C726" s="10"/>
      <c r="D726" s="8"/>
      <c r="E726" s="8"/>
      <c r="F726" s="8" t="s">
        <v>1090</v>
      </c>
      <c r="G726" s="6" t="str">
        <f>IF(F726="","",VLOOKUP(F726,'PLAN SUPORTE'!A:B,2,0))</f>
        <v/>
      </c>
      <c r="H726" s="7"/>
      <c r="I726" s="8"/>
      <c r="J726" s="8"/>
      <c r="K726" s="8"/>
      <c r="L726" s="8" t="str">
        <f>IF(K726="","",VLOOKUP(K726,'PLAN SUPORTE'!$H$2:$I$4,2,0))</f>
        <v/>
      </c>
      <c r="M726" s="10"/>
      <c r="N726" s="10"/>
      <c r="O726" s="9" t="str">
        <f t="shared" si="82"/>
        <v/>
      </c>
      <c r="P726" s="10" t="str">
        <f t="shared" si="79"/>
        <v/>
      </c>
      <c r="Q726" s="6" t="str">
        <f t="shared" ca="1" si="80"/>
        <v/>
      </c>
      <c r="R726" s="8" t="str">
        <f t="shared" si="81"/>
        <v/>
      </c>
    </row>
    <row r="727" spans="1:18" ht="13">
      <c r="A727" s="8"/>
      <c r="B727" s="10"/>
      <c r="C727" s="10"/>
      <c r="D727" s="8"/>
      <c r="E727" s="8"/>
      <c r="F727" s="8" t="s">
        <v>1090</v>
      </c>
      <c r="G727" s="6" t="str">
        <f>IF(F727="","",VLOOKUP(F727,'PLAN SUPORTE'!A:B,2,0))</f>
        <v/>
      </c>
      <c r="H727" s="7"/>
      <c r="I727" s="8"/>
      <c r="J727" s="8"/>
      <c r="K727" s="8"/>
      <c r="L727" s="8" t="str">
        <f>IF(K727="","",VLOOKUP(K727,'PLAN SUPORTE'!$H$2:$I$4,2,0))</f>
        <v/>
      </c>
      <c r="M727" s="10"/>
      <c r="N727" s="10"/>
      <c r="O727" s="9" t="str">
        <f t="shared" si="82"/>
        <v/>
      </c>
      <c r="P727" s="10" t="str">
        <f t="shared" si="79"/>
        <v/>
      </c>
      <c r="Q727" s="6" t="str">
        <f t="shared" ca="1" si="80"/>
        <v/>
      </c>
      <c r="R727" s="8" t="str">
        <f t="shared" si="81"/>
        <v/>
      </c>
    </row>
    <row r="728" spans="1:18" ht="13">
      <c r="A728" s="8"/>
      <c r="B728" s="10"/>
      <c r="C728" s="10"/>
      <c r="D728" s="8"/>
      <c r="E728" s="8"/>
      <c r="F728" s="8" t="s">
        <v>1090</v>
      </c>
      <c r="G728" s="6" t="str">
        <f>IF(F728="","",VLOOKUP(F728,'PLAN SUPORTE'!A:B,2,0))</f>
        <v/>
      </c>
      <c r="H728" s="7"/>
      <c r="I728" s="8"/>
      <c r="J728" s="8"/>
      <c r="K728" s="8"/>
      <c r="L728" s="8" t="str">
        <f>IF(K728="","",VLOOKUP(K728,'PLAN SUPORTE'!$H$2:$I$4,2,0))</f>
        <v/>
      </c>
      <c r="M728" s="10"/>
      <c r="N728" s="10"/>
      <c r="O728" s="9" t="str">
        <f t="shared" si="82"/>
        <v/>
      </c>
      <c r="P728" s="10" t="str">
        <f t="shared" si="79"/>
        <v/>
      </c>
      <c r="Q728" s="6" t="str">
        <f t="shared" ca="1" si="80"/>
        <v/>
      </c>
      <c r="R728" s="8" t="str">
        <f t="shared" si="81"/>
        <v/>
      </c>
    </row>
    <row r="729" spans="1:18" ht="13">
      <c r="A729" s="8"/>
      <c r="B729" s="10"/>
      <c r="C729" s="10"/>
      <c r="D729" s="8"/>
      <c r="E729" s="8"/>
      <c r="F729" s="8" t="s">
        <v>1090</v>
      </c>
      <c r="G729" s="6" t="str">
        <f>IF(F729="","",VLOOKUP(F729,'PLAN SUPORTE'!A:B,2,0))</f>
        <v/>
      </c>
      <c r="H729" s="7"/>
      <c r="I729" s="8"/>
      <c r="J729" s="8"/>
      <c r="K729" s="8"/>
      <c r="L729" s="8" t="str">
        <f>IF(K729="","",VLOOKUP(K729,'PLAN SUPORTE'!$H$2:$I$4,2,0))</f>
        <v/>
      </c>
      <c r="M729" s="10"/>
      <c r="N729" s="10"/>
      <c r="O729" s="9" t="str">
        <f t="shared" si="82"/>
        <v/>
      </c>
      <c r="P729" s="10" t="str">
        <f t="shared" si="79"/>
        <v/>
      </c>
      <c r="Q729" s="6" t="str">
        <f t="shared" ca="1" si="80"/>
        <v/>
      </c>
      <c r="R729" s="8" t="str">
        <f t="shared" si="81"/>
        <v/>
      </c>
    </row>
    <row r="730" spans="1:18" ht="13">
      <c r="A730" s="8"/>
      <c r="B730" s="10"/>
      <c r="C730" s="10"/>
      <c r="D730" s="8"/>
      <c r="E730" s="8"/>
      <c r="F730" s="8" t="s">
        <v>1090</v>
      </c>
      <c r="G730" s="6" t="str">
        <f>IF(F730="","",VLOOKUP(F730,'PLAN SUPORTE'!A:B,2,0))</f>
        <v/>
      </c>
      <c r="H730" s="7"/>
      <c r="I730" s="8"/>
      <c r="J730" s="8"/>
      <c r="K730" s="8"/>
      <c r="L730" s="8" t="str">
        <f>IF(K730="","",VLOOKUP(K730,'PLAN SUPORTE'!$H$2:$I$4,2,0))</f>
        <v/>
      </c>
      <c r="M730" s="10"/>
      <c r="N730" s="10"/>
      <c r="O730" s="9" t="str">
        <f t="shared" si="82"/>
        <v/>
      </c>
      <c r="P730" s="10" t="str">
        <f t="shared" si="79"/>
        <v/>
      </c>
      <c r="Q730" s="6" t="str">
        <f t="shared" ca="1" si="80"/>
        <v/>
      </c>
      <c r="R730" s="8" t="str">
        <f t="shared" si="81"/>
        <v/>
      </c>
    </row>
    <row r="731" spans="1:18" ht="13">
      <c r="A731" s="8"/>
      <c r="B731" s="10"/>
      <c r="C731" s="10"/>
      <c r="D731" s="8"/>
      <c r="E731" s="8"/>
      <c r="F731" s="8" t="s">
        <v>1090</v>
      </c>
      <c r="G731" s="6" t="str">
        <f>IF(F731="","",VLOOKUP(F731,'PLAN SUPORTE'!A:B,2,0))</f>
        <v/>
      </c>
      <c r="H731" s="7"/>
      <c r="I731" s="8"/>
      <c r="J731" s="8"/>
      <c r="K731" s="8"/>
      <c r="L731" s="8" t="str">
        <f>IF(K731="","",VLOOKUP(K731,'PLAN SUPORTE'!$H$2:$I$4,2,0))</f>
        <v/>
      </c>
      <c r="M731" s="10"/>
      <c r="N731" s="10"/>
      <c r="O731" s="9" t="str">
        <f t="shared" si="82"/>
        <v/>
      </c>
      <c r="P731" s="10" t="str">
        <f t="shared" si="79"/>
        <v/>
      </c>
      <c r="Q731" s="6" t="str">
        <f t="shared" ca="1" si="80"/>
        <v/>
      </c>
      <c r="R731" s="8" t="str">
        <f t="shared" si="81"/>
        <v/>
      </c>
    </row>
    <row r="732" spans="1:18" ht="13">
      <c r="A732" s="8"/>
      <c r="B732" s="10"/>
      <c r="C732" s="10"/>
      <c r="D732" s="8"/>
      <c r="E732" s="8"/>
      <c r="F732" s="8" t="s">
        <v>1090</v>
      </c>
      <c r="G732" s="6" t="str">
        <f>IF(F732="","",VLOOKUP(F732,'PLAN SUPORTE'!A:B,2,0))</f>
        <v/>
      </c>
      <c r="H732" s="7"/>
      <c r="I732" s="8"/>
      <c r="J732" s="8"/>
      <c r="K732" s="8"/>
      <c r="L732" s="8" t="str">
        <f>IF(K732="","",VLOOKUP(K732,'PLAN SUPORTE'!$H$2:$I$4,2,0))</f>
        <v/>
      </c>
      <c r="M732" s="10"/>
      <c r="N732" s="10"/>
      <c r="O732" s="9" t="str">
        <f t="shared" si="82"/>
        <v/>
      </c>
      <c r="P732" s="10" t="str">
        <f t="shared" si="79"/>
        <v/>
      </c>
      <c r="Q732" s="6" t="str">
        <f t="shared" ca="1" si="80"/>
        <v/>
      </c>
      <c r="R732" s="8" t="str">
        <f t="shared" si="81"/>
        <v/>
      </c>
    </row>
    <row r="733" spans="1:18" ht="13">
      <c r="A733" s="8"/>
      <c r="B733" s="10"/>
      <c r="C733" s="10"/>
      <c r="D733" s="8"/>
      <c r="E733" s="8"/>
      <c r="F733" s="8" t="s">
        <v>1090</v>
      </c>
      <c r="G733" s="6" t="str">
        <f>IF(F733="","",VLOOKUP(F733,'PLAN SUPORTE'!A:B,2,0))</f>
        <v/>
      </c>
      <c r="H733" s="7"/>
      <c r="I733" s="8"/>
      <c r="J733" s="8"/>
      <c r="K733" s="8"/>
      <c r="L733" s="8" t="str">
        <f>IF(K733="","",VLOOKUP(K733,'PLAN SUPORTE'!$H$2:$I$4,2,0))</f>
        <v/>
      </c>
      <c r="M733" s="10"/>
      <c r="N733" s="10"/>
      <c r="O733" s="9" t="str">
        <f t="shared" si="82"/>
        <v/>
      </c>
      <c r="P733" s="10" t="str">
        <f t="shared" si="79"/>
        <v/>
      </c>
      <c r="Q733" s="6" t="str">
        <f t="shared" ca="1" si="80"/>
        <v/>
      </c>
      <c r="R733" s="8" t="str">
        <f t="shared" si="81"/>
        <v/>
      </c>
    </row>
    <row r="734" spans="1:18" ht="13">
      <c r="A734" s="8"/>
      <c r="B734" s="10"/>
      <c r="C734" s="10"/>
      <c r="D734" s="8"/>
      <c r="E734" s="8"/>
      <c r="F734" s="8" t="s">
        <v>1090</v>
      </c>
      <c r="G734" s="6" t="str">
        <f>IF(F734="","",VLOOKUP(F734,'PLAN SUPORTE'!A:B,2,0))</f>
        <v/>
      </c>
      <c r="H734" s="7"/>
      <c r="I734" s="8"/>
      <c r="J734" s="8"/>
      <c r="K734" s="8"/>
      <c r="L734" s="8" t="str">
        <f>IF(K734="","",VLOOKUP(K734,'PLAN SUPORTE'!$H$2:$I$4,2,0))</f>
        <v/>
      </c>
      <c r="M734" s="10"/>
      <c r="N734" s="10"/>
      <c r="O734" s="9" t="str">
        <f t="shared" si="82"/>
        <v/>
      </c>
      <c r="P734" s="10" t="str">
        <f t="shared" si="79"/>
        <v/>
      </c>
      <c r="Q734" s="6" t="str">
        <f t="shared" ca="1" si="80"/>
        <v/>
      </c>
      <c r="R734" s="8" t="str">
        <f t="shared" si="81"/>
        <v/>
      </c>
    </row>
    <row r="735" spans="1:18" ht="13">
      <c r="A735" s="8"/>
      <c r="B735" s="10"/>
      <c r="C735" s="10"/>
      <c r="D735" s="8"/>
      <c r="E735" s="8"/>
      <c r="F735" s="8" t="s">
        <v>1090</v>
      </c>
      <c r="G735" s="6" t="str">
        <f>IF(F735="","",VLOOKUP(F735,'PLAN SUPORTE'!A:B,2,0))</f>
        <v/>
      </c>
      <c r="H735" s="7"/>
      <c r="I735" s="8"/>
      <c r="J735" s="8"/>
      <c r="K735" s="8"/>
      <c r="L735" s="8" t="str">
        <f>IF(K735="","",VLOOKUP(K735,'PLAN SUPORTE'!$H$2:$I$4,2,0))</f>
        <v/>
      </c>
      <c r="M735" s="10"/>
      <c r="N735" s="10"/>
      <c r="O735" s="9" t="str">
        <f t="shared" si="82"/>
        <v/>
      </c>
      <c r="P735" s="10" t="str">
        <f t="shared" si="79"/>
        <v/>
      </c>
      <c r="Q735" s="6" t="str">
        <f t="shared" ca="1" si="80"/>
        <v/>
      </c>
      <c r="R735" s="8" t="str">
        <f t="shared" si="81"/>
        <v/>
      </c>
    </row>
    <row r="736" spans="1:18" ht="13">
      <c r="A736" s="8"/>
      <c r="B736" s="10"/>
      <c r="C736" s="10"/>
      <c r="D736" s="8"/>
      <c r="E736" s="8"/>
      <c r="F736" s="8" t="s">
        <v>1090</v>
      </c>
      <c r="G736" s="6" t="str">
        <f>IF(F736="","",VLOOKUP(F736,'PLAN SUPORTE'!A:B,2,0))</f>
        <v/>
      </c>
      <c r="H736" s="7"/>
      <c r="I736" s="8"/>
      <c r="J736" s="8"/>
      <c r="K736" s="8"/>
      <c r="L736" s="8" t="str">
        <f>IF(K736="","",VLOOKUP(K736,'PLAN SUPORTE'!$H$2:$I$4,2,0))</f>
        <v/>
      </c>
      <c r="M736" s="10"/>
      <c r="N736" s="10"/>
      <c r="O736" s="9" t="str">
        <f t="shared" si="82"/>
        <v/>
      </c>
      <c r="P736" s="10" t="str">
        <f t="shared" si="79"/>
        <v/>
      </c>
      <c r="Q736" s="6" t="str">
        <f t="shared" ca="1" si="80"/>
        <v/>
      </c>
      <c r="R736" s="8" t="str">
        <f t="shared" si="81"/>
        <v/>
      </c>
    </row>
    <row r="737" spans="1:18" ht="13">
      <c r="A737" s="8"/>
      <c r="B737" s="10"/>
      <c r="C737" s="10"/>
      <c r="D737" s="8"/>
      <c r="E737" s="8"/>
      <c r="F737" s="8" t="s">
        <v>1090</v>
      </c>
      <c r="G737" s="6" t="str">
        <f>IF(F737="","",VLOOKUP(F737,'PLAN SUPORTE'!A:B,2,0))</f>
        <v/>
      </c>
      <c r="H737" s="7"/>
      <c r="I737" s="8"/>
      <c r="J737" s="8"/>
      <c r="K737" s="8"/>
      <c r="L737" s="8" t="str">
        <f>IF(K737="","",VLOOKUP(K737,'PLAN SUPORTE'!$H$2:$I$4,2,0))</f>
        <v/>
      </c>
      <c r="M737" s="10"/>
      <c r="N737" s="10"/>
      <c r="O737" s="9" t="str">
        <f t="shared" si="82"/>
        <v/>
      </c>
      <c r="P737" s="10" t="str">
        <f t="shared" si="79"/>
        <v/>
      </c>
      <c r="Q737" s="6" t="str">
        <f t="shared" ca="1" si="80"/>
        <v/>
      </c>
      <c r="R737" s="8" t="str">
        <f t="shared" si="81"/>
        <v/>
      </c>
    </row>
    <row r="738" spans="1:18" ht="13">
      <c r="A738" s="8"/>
      <c r="B738" s="10"/>
      <c r="C738" s="10"/>
      <c r="D738" s="8"/>
      <c r="E738" s="8"/>
      <c r="F738" s="8" t="s">
        <v>1090</v>
      </c>
      <c r="G738" s="6" t="str">
        <f>IF(F738="","",VLOOKUP(F738,'PLAN SUPORTE'!A:B,2,0))</f>
        <v/>
      </c>
      <c r="H738" s="7"/>
      <c r="I738" s="8"/>
      <c r="J738" s="8"/>
      <c r="K738" s="8"/>
      <c r="L738" s="8" t="str">
        <f>IF(K738="","",VLOOKUP(K738,'PLAN SUPORTE'!$H$2:$I$4,2,0))</f>
        <v/>
      </c>
      <c r="M738" s="10"/>
      <c r="N738" s="10"/>
      <c r="O738" s="9" t="str">
        <f t="shared" si="82"/>
        <v/>
      </c>
      <c r="P738" s="10" t="str">
        <f t="shared" si="79"/>
        <v/>
      </c>
      <c r="Q738" s="6" t="str">
        <f t="shared" ca="1" si="80"/>
        <v/>
      </c>
      <c r="R738" s="8" t="str">
        <f t="shared" si="81"/>
        <v/>
      </c>
    </row>
    <row r="739" spans="1:18" ht="13">
      <c r="A739" s="8"/>
      <c r="B739" s="10"/>
      <c r="C739" s="10"/>
      <c r="D739" s="8"/>
      <c r="E739" s="8"/>
      <c r="F739" s="8" t="s">
        <v>1090</v>
      </c>
      <c r="G739" s="6" t="str">
        <f>IF(F739="","",VLOOKUP(F739,'PLAN SUPORTE'!A:B,2,0))</f>
        <v/>
      </c>
      <c r="H739" s="7"/>
      <c r="I739" s="8"/>
      <c r="J739" s="8"/>
      <c r="K739" s="8"/>
      <c r="L739" s="8" t="str">
        <f>IF(K739="","",VLOOKUP(K739,'PLAN SUPORTE'!$H$2:$I$4,2,0))</f>
        <v/>
      </c>
      <c r="M739" s="10"/>
      <c r="N739" s="10"/>
      <c r="O739" s="9" t="str">
        <f t="shared" si="82"/>
        <v/>
      </c>
      <c r="P739" s="10" t="str">
        <f t="shared" si="79"/>
        <v/>
      </c>
      <c r="Q739" s="6" t="str">
        <f t="shared" ca="1" si="80"/>
        <v/>
      </c>
      <c r="R739" s="8" t="str">
        <f t="shared" si="81"/>
        <v/>
      </c>
    </row>
    <row r="740" spans="1:18" ht="13">
      <c r="A740" s="8"/>
      <c r="B740" s="10"/>
      <c r="C740" s="10"/>
      <c r="D740" s="8"/>
      <c r="E740" s="8"/>
      <c r="F740" s="8" t="s">
        <v>1090</v>
      </c>
      <c r="G740" s="6" t="str">
        <f>IF(F740="","",VLOOKUP(F740,'PLAN SUPORTE'!A:B,2,0))</f>
        <v/>
      </c>
      <c r="H740" s="7"/>
      <c r="I740" s="8"/>
      <c r="J740" s="8"/>
      <c r="K740" s="8"/>
      <c r="L740" s="8" t="str">
        <f>IF(K740="","",VLOOKUP(K740,'PLAN SUPORTE'!$H$2:$I$4,2,0))</f>
        <v/>
      </c>
      <c r="M740" s="10"/>
      <c r="N740" s="10"/>
      <c r="O740" s="9" t="str">
        <f t="shared" si="82"/>
        <v/>
      </c>
      <c r="P740" s="10" t="str">
        <f t="shared" si="79"/>
        <v/>
      </c>
      <c r="Q740" s="6" t="str">
        <f t="shared" ca="1" si="80"/>
        <v/>
      </c>
      <c r="R740" s="8" t="str">
        <f t="shared" si="81"/>
        <v/>
      </c>
    </row>
    <row r="741" spans="1:18" ht="13">
      <c r="A741" s="8"/>
      <c r="B741" s="10"/>
      <c r="C741" s="10"/>
      <c r="D741" s="8"/>
      <c r="E741" s="8"/>
      <c r="F741" s="8" t="s">
        <v>1090</v>
      </c>
      <c r="G741" s="6" t="str">
        <f>IF(F741="","",VLOOKUP(F741,'PLAN SUPORTE'!A:B,2,0))</f>
        <v/>
      </c>
      <c r="H741" s="7"/>
      <c r="I741" s="8"/>
      <c r="J741" s="8"/>
      <c r="K741" s="8"/>
      <c r="L741" s="8" t="str">
        <f>IF(K741="","",VLOOKUP(K741,'PLAN SUPORTE'!$H$2:$I$4,2,0))</f>
        <v/>
      </c>
      <c r="M741" s="10"/>
      <c r="N741" s="10"/>
      <c r="O741" s="9" t="str">
        <f t="shared" si="82"/>
        <v/>
      </c>
      <c r="P741" s="10" t="str">
        <f t="shared" si="79"/>
        <v/>
      </c>
      <c r="Q741" s="6" t="str">
        <f t="shared" ca="1" si="80"/>
        <v/>
      </c>
      <c r="R741" s="8" t="str">
        <f t="shared" si="81"/>
        <v/>
      </c>
    </row>
    <row r="742" spans="1:18" ht="13">
      <c r="A742" s="8"/>
      <c r="B742" s="10"/>
      <c r="C742" s="10"/>
      <c r="D742" s="8"/>
      <c r="E742" s="8"/>
      <c r="F742" s="8" t="s">
        <v>1090</v>
      </c>
      <c r="G742" s="6" t="str">
        <f>IF(F742="","",VLOOKUP(F742,'PLAN SUPORTE'!A:B,2,0))</f>
        <v/>
      </c>
      <c r="H742" s="7"/>
      <c r="I742" s="8"/>
      <c r="J742" s="8"/>
      <c r="K742" s="8"/>
      <c r="L742" s="8" t="str">
        <f>IF(K742="","",VLOOKUP(K742,'PLAN SUPORTE'!$H$2:$I$4,2,0))</f>
        <v/>
      </c>
      <c r="M742" s="10"/>
      <c r="N742" s="10"/>
      <c r="O742" s="9" t="str">
        <f t="shared" si="82"/>
        <v/>
      </c>
      <c r="P742" s="10" t="str">
        <f t="shared" si="79"/>
        <v/>
      </c>
      <c r="Q742" s="6" t="str">
        <f t="shared" ca="1" si="80"/>
        <v/>
      </c>
      <c r="R742" s="8" t="str">
        <f t="shared" si="81"/>
        <v/>
      </c>
    </row>
    <row r="743" spans="1:18" ht="13">
      <c r="A743" s="8"/>
      <c r="B743" s="10"/>
      <c r="C743" s="10"/>
      <c r="D743" s="8"/>
      <c r="E743" s="8"/>
      <c r="F743" s="8" t="s">
        <v>1090</v>
      </c>
      <c r="G743" s="6" t="str">
        <f>IF(F743="","",VLOOKUP(F743,'PLAN SUPORTE'!A:B,2,0))</f>
        <v/>
      </c>
      <c r="H743" s="7"/>
      <c r="I743" s="8"/>
      <c r="J743" s="8"/>
      <c r="K743" s="8"/>
      <c r="L743" s="8" t="str">
        <f>IF(K743="","",VLOOKUP(K743,'PLAN SUPORTE'!$H$2:$I$4,2,0))</f>
        <v/>
      </c>
      <c r="M743" s="10"/>
      <c r="N743" s="10"/>
      <c r="O743" s="9" t="str">
        <f t="shared" si="82"/>
        <v/>
      </c>
      <c r="P743" s="10" t="str">
        <f t="shared" si="79"/>
        <v/>
      </c>
      <c r="Q743" s="6" t="str">
        <f t="shared" ca="1" si="80"/>
        <v/>
      </c>
      <c r="R743" s="8" t="str">
        <f t="shared" si="81"/>
        <v/>
      </c>
    </row>
    <row r="744" spans="1:18" ht="13">
      <c r="A744" s="8"/>
      <c r="B744" s="10"/>
      <c r="C744" s="10"/>
      <c r="D744" s="8"/>
      <c r="E744" s="8"/>
      <c r="F744" s="8" t="s">
        <v>1090</v>
      </c>
      <c r="G744" s="6" t="str">
        <f>IF(F744="","",VLOOKUP(F744,'PLAN SUPORTE'!A:B,2,0))</f>
        <v/>
      </c>
      <c r="H744" s="7"/>
      <c r="I744" s="8"/>
      <c r="J744" s="8"/>
      <c r="K744" s="8"/>
      <c r="L744" s="8" t="str">
        <f>IF(K744="","",VLOOKUP(K744,'PLAN SUPORTE'!$H$2:$I$4,2,0))</f>
        <v/>
      </c>
      <c r="M744" s="10"/>
      <c r="N744" s="10"/>
      <c r="O744" s="9" t="str">
        <f t="shared" si="82"/>
        <v/>
      </c>
      <c r="P744" s="10" t="str">
        <f t="shared" si="79"/>
        <v/>
      </c>
      <c r="Q744" s="6" t="str">
        <f t="shared" ca="1" si="80"/>
        <v/>
      </c>
      <c r="R744" s="8" t="str">
        <f t="shared" si="81"/>
        <v/>
      </c>
    </row>
    <row r="745" spans="1:18" ht="13">
      <c r="A745" s="8"/>
      <c r="B745" s="10"/>
      <c r="C745" s="10"/>
      <c r="D745" s="8"/>
      <c r="E745" s="8"/>
      <c r="F745" s="8" t="s">
        <v>1090</v>
      </c>
      <c r="G745" s="6" t="str">
        <f>IF(F745="","",VLOOKUP(F745,'PLAN SUPORTE'!A:B,2,0))</f>
        <v/>
      </c>
      <c r="H745" s="7"/>
      <c r="I745" s="8"/>
      <c r="J745" s="8"/>
      <c r="K745" s="8"/>
      <c r="L745" s="8" t="str">
        <f>IF(K745="","",VLOOKUP(K745,'PLAN SUPORTE'!$H$2:$I$4,2,0))</f>
        <v/>
      </c>
      <c r="M745" s="10"/>
      <c r="N745" s="10"/>
      <c r="O745" s="9" t="str">
        <f t="shared" si="82"/>
        <v/>
      </c>
      <c r="P745" s="10" t="str">
        <f t="shared" si="79"/>
        <v/>
      </c>
      <c r="Q745" s="6" t="str">
        <f t="shared" ca="1" si="80"/>
        <v/>
      </c>
      <c r="R745" s="8" t="str">
        <f t="shared" si="81"/>
        <v/>
      </c>
    </row>
    <row r="746" spans="1:18" ht="13">
      <c r="A746" s="8"/>
      <c r="B746" s="10"/>
      <c r="C746" s="10"/>
      <c r="D746" s="8"/>
      <c r="E746" s="8"/>
      <c r="F746" s="8" t="s">
        <v>1090</v>
      </c>
      <c r="G746" s="6" t="str">
        <f>IF(F746="","",VLOOKUP(F746,'PLAN SUPORTE'!A:B,2,0))</f>
        <v/>
      </c>
      <c r="H746" s="7"/>
      <c r="I746" s="8"/>
      <c r="J746" s="8"/>
      <c r="K746" s="8"/>
      <c r="L746" s="8" t="str">
        <f>IF(K746="","",VLOOKUP(K746,'PLAN SUPORTE'!$H$2:$I$4,2,0))</f>
        <v/>
      </c>
      <c r="M746" s="10"/>
      <c r="N746" s="10"/>
      <c r="O746" s="9" t="str">
        <f t="shared" si="82"/>
        <v/>
      </c>
      <c r="P746" s="10" t="str">
        <f t="shared" si="79"/>
        <v/>
      </c>
      <c r="Q746" s="6" t="str">
        <f t="shared" ca="1" si="80"/>
        <v/>
      </c>
      <c r="R746" s="8" t="str">
        <f t="shared" si="81"/>
        <v/>
      </c>
    </row>
    <row r="747" spans="1:18" ht="13">
      <c r="A747" s="8"/>
      <c r="B747" s="10"/>
      <c r="C747" s="10"/>
      <c r="D747" s="8"/>
      <c r="E747" s="8"/>
      <c r="F747" s="8" t="s">
        <v>1090</v>
      </c>
      <c r="G747" s="6" t="str">
        <f>IF(F747="","",VLOOKUP(F747,'PLAN SUPORTE'!A:B,2,0))</f>
        <v/>
      </c>
      <c r="H747" s="7"/>
      <c r="I747" s="8"/>
      <c r="J747" s="8"/>
      <c r="K747" s="8"/>
      <c r="L747" s="8" t="str">
        <f>IF(K747="","",VLOOKUP(K747,'PLAN SUPORTE'!$H$2:$I$4,2,0))</f>
        <v/>
      </c>
      <c r="M747" s="10"/>
      <c r="N747" s="10"/>
      <c r="O747" s="9" t="str">
        <f t="shared" si="82"/>
        <v/>
      </c>
      <c r="P747" s="10" t="str">
        <f t="shared" si="79"/>
        <v/>
      </c>
      <c r="Q747" s="6" t="str">
        <f t="shared" ca="1" si="80"/>
        <v/>
      </c>
      <c r="R747" s="8" t="str">
        <f t="shared" si="81"/>
        <v/>
      </c>
    </row>
    <row r="748" spans="1:18" ht="13">
      <c r="A748" s="8"/>
      <c r="B748" s="10"/>
      <c r="C748" s="10"/>
      <c r="D748" s="8"/>
      <c r="E748" s="8"/>
      <c r="F748" s="8" t="s">
        <v>1090</v>
      </c>
      <c r="G748" s="6" t="str">
        <f>IF(F748="","",VLOOKUP(F748,'PLAN SUPORTE'!A:B,2,0))</f>
        <v/>
      </c>
      <c r="H748" s="7"/>
      <c r="I748" s="8"/>
      <c r="J748" s="8"/>
      <c r="K748" s="8"/>
      <c r="L748" s="8" t="str">
        <f>IF(K748="","",VLOOKUP(K748,'PLAN SUPORTE'!$H$2:$I$4,2,0))</f>
        <v/>
      </c>
      <c r="M748" s="10"/>
      <c r="N748" s="10"/>
      <c r="O748" s="9" t="str">
        <f t="shared" si="82"/>
        <v/>
      </c>
      <c r="P748" s="10" t="str">
        <f t="shared" si="79"/>
        <v/>
      </c>
      <c r="Q748" s="6" t="str">
        <f t="shared" ca="1" si="80"/>
        <v/>
      </c>
      <c r="R748" s="8" t="str">
        <f t="shared" si="81"/>
        <v/>
      </c>
    </row>
    <row r="749" spans="1:18" ht="13">
      <c r="A749" s="8"/>
      <c r="B749" s="10"/>
      <c r="C749" s="10"/>
      <c r="D749" s="8"/>
      <c r="E749" s="8"/>
      <c r="F749" s="8" t="s">
        <v>1090</v>
      </c>
      <c r="G749" s="6" t="str">
        <f>IF(F749="","",VLOOKUP(F749,'PLAN SUPORTE'!A:B,2,0))</f>
        <v/>
      </c>
      <c r="H749" s="7"/>
      <c r="I749" s="8"/>
      <c r="J749" s="8"/>
      <c r="K749" s="8"/>
      <c r="L749" s="8" t="str">
        <f>IF(K749="","",VLOOKUP(K749,'PLAN SUPORTE'!$H$2:$I$4,2,0))</f>
        <v/>
      </c>
      <c r="M749" s="10"/>
      <c r="N749" s="10"/>
      <c r="O749" s="9" t="str">
        <f t="shared" si="82"/>
        <v/>
      </c>
      <c r="P749" s="10" t="str">
        <f t="shared" si="79"/>
        <v/>
      </c>
      <c r="Q749" s="6" t="str">
        <f t="shared" ca="1" si="80"/>
        <v/>
      </c>
      <c r="R749" s="8" t="str">
        <f t="shared" si="81"/>
        <v/>
      </c>
    </row>
    <row r="750" spans="1:18" ht="13">
      <c r="A750" s="8"/>
      <c r="B750" s="10"/>
      <c r="C750" s="10"/>
      <c r="D750" s="8"/>
      <c r="E750" s="8"/>
      <c r="F750" s="8" t="s">
        <v>1090</v>
      </c>
      <c r="G750" s="6" t="str">
        <f>IF(F750="","",VLOOKUP(F750,'PLAN SUPORTE'!A:B,2,0))</f>
        <v/>
      </c>
      <c r="H750" s="7"/>
      <c r="I750" s="8"/>
      <c r="J750" s="8"/>
      <c r="K750" s="8"/>
      <c r="L750" s="8" t="str">
        <f>IF(K750="","",VLOOKUP(K750,'PLAN SUPORTE'!$H$2:$I$4,2,0))</f>
        <v/>
      </c>
      <c r="M750" s="10"/>
      <c r="N750" s="10"/>
      <c r="O750" s="9" t="str">
        <f t="shared" si="82"/>
        <v/>
      </c>
      <c r="P750" s="10" t="str">
        <f t="shared" si="79"/>
        <v/>
      </c>
      <c r="Q750" s="6" t="str">
        <f t="shared" ca="1" si="80"/>
        <v/>
      </c>
      <c r="R750" s="8" t="str">
        <f t="shared" si="81"/>
        <v/>
      </c>
    </row>
    <row r="751" spans="1:18" ht="13">
      <c r="A751" s="8"/>
      <c r="B751" s="10"/>
      <c r="C751" s="10"/>
      <c r="D751" s="8"/>
      <c r="E751" s="8"/>
      <c r="F751" s="8" t="s">
        <v>1090</v>
      </c>
      <c r="G751" s="6" t="str">
        <f>IF(F751="","",VLOOKUP(F751,'PLAN SUPORTE'!A:B,2,0))</f>
        <v/>
      </c>
      <c r="H751" s="7"/>
      <c r="I751" s="8"/>
      <c r="J751" s="8"/>
      <c r="K751" s="8"/>
      <c r="L751" s="8" t="str">
        <f>IF(K751="","",VLOOKUP(K751,'PLAN SUPORTE'!$H$2:$I$4,2,0))</f>
        <v/>
      </c>
      <c r="M751" s="10"/>
      <c r="N751" s="10"/>
      <c r="O751" s="9" t="str">
        <f t="shared" si="82"/>
        <v/>
      </c>
      <c r="P751" s="10" t="str">
        <f t="shared" si="79"/>
        <v/>
      </c>
      <c r="Q751" s="6" t="str">
        <f t="shared" ca="1" si="80"/>
        <v/>
      </c>
      <c r="R751" s="8" t="str">
        <f t="shared" si="81"/>
        <v/>
      </c>
    </row>
    <row r="752" spans="1:18" ht="13">
      <c r="A752" s="8"/>
      <c r="B752" s="10"/>
      <c r="C752" s="10"/>
      <c r="D752" s="8"/>
      <c r="E752" s="8"/>
      <c r="F752" s="8" t="s">
        <v>1090</v>
      </c>
      <c r="G752" s="6" t="str">
        <f>IF(F752="","",VLOOKUP(F752,'PLAN SUPORTE'!A:B,2,0))</f>
        <v/>
      </c>
      <c r="H752" s="7"/>
      <c r="I752" s="8"/>
      <c r="J752" s="8"/>
      <c r="K752" s="8"/>
      <c r="L752" s="8" t="str">
        <f>IF(K752="","",VLOOKUP(K752,'PLAN SUPORTE'!$H$2:$I$4,2,0))</f>
        <v/>
      </c>
      <c r="M752" s="10"/>
      <c r="N752" s="10"/>
      <c r="O752" s="9" t="str">
        <f t="shared" si="82"/>
        <v/>
      </c>
      <c r="P752" s="10" t="str">
        <f t="shared" si="79"/>
        <v/>
      </c>
      <c r="Q752" s="6" t="str">
        <f t="shared" ca="1" si="80"/>
        <v/>
      </c>
      <c r="R752" s="8" t="str">
        <f t="shared" si="81"/>
        <v/>
      </c>
    </row>
    <row r="753" spans="1:18" ht="13">
      <c r="A753" s="8"/>
      <c r="B753" s="10"/>
      <c r="C753" s="10"/>
      <c r="D753" s="8"/>
      <c r="E753" s="8"/>
      <c r="F753" s="8" t="s">
        <v>1090</v>
      </c>
      <c r="G753" s="6" t="str">
        <f>IF(F753="","",VLOOKUP(F753,'PLAN SUPORTE'!A:B,2,0))</f>
        <v/>
      </c>
      <c r="H753" s="7"/>
      <c r="I753" s="8"/>
      <c r="J753" s="8"/>
      <c r="K753" s="8"/>
      <c r="L753" s="8" t="str">
        <f>IF(K753="","",VLOOKUP(K753,'PLAN SUPORTE'!$H$2:$I$4,2,0))</f>
        <v/>
      </c>
      <c r="M753" s="10"/>
      <c r="N753" s="10"/>
      <c r="O753" s="9" t="str">
        <f t="shared" si="82"/>
        <v/>
      </c>
      <c r="P753" s="10" t="str">
        <f t="shared" si="79"/>
        <v/>
      </c>
      <c r="Q753" s="6" t="str">
        <f t="shared" ca="1" si="80"/>
        <v/>
      </c>
      <c r="R753" s="8" t="str">
        <f t="shared" si="81"/>
        <v/>
      </c>
    </row>
    <row r="754" spans="1:18" ht="13">
      <c r="A754" s="8"/>
      <c r="B754" s="10"/>
      <c r="C754" s="10"/>
      <c r="D754" s="8"/>
      <c r="E754" s="8"/>
      <c r="F754" s="8" t="s">
        <v>1090</v>
      </c>
      <c r="G754" s="6" t="str">
        <f>IF(F754="","",VLOOKUP(F754,'PLAN SUPORTE'!A:B,2,0))</f>
        <v/>
      </c>
      <c r="H754" s="7"/>
      <c r="I754" s="8"/>
      <c r="J754" s="8"/>
      <c r="K754" s="8"/>
      <c r="L754" s="8" t="str">
        <f>IF(K754="","",VLOOKUP(K754,'PLAN SUPORTE'!$H$2:$I$4,2,0))</f>
        <v/>
      </c>
      <c r="M754" s="10"/>
      <c r="N754" s="10"/>
      <c r="O754" s="9" t="str">
        <f t="shared" si="82"/>
        <v/>
      </c>
      <c r="P754" s="10" t="str">
        <f t="shared" si="79"/>
        <v/>
      </c>
      <c r="Q754" s="6" t="str">
        <f t="shared" ca="1" si="80"/>
        <v/>
      </c>
      <c r="R754" s="8" t="str">
        <f t="shared" si="81"/>
        <v/>
      </c>
    </row>
    <row r="755" spans="1:18" ht="13">
      <c r="A755" s="8"/>
      <c r="B755" s="10"/>
      <c r="C755" s="10"/>
      <c r="D755" s="8"/>
      <c r="E755" s="8"/>
      <c r="F755" s="8" t="s">
        <v>1090</v>
      </c>
      <c r="G755" s="6" t="str">
        <f>IF(F755="","",VLOOKUP(F755,'PLAN SUPORTE'!A:B,2,0))</f>
        <v/>
      </c>
      <c r="H755" s="7"/>
      <c r="I755" s="8"/>
      <c r="J755" s="8"/>
      <c r="K755" s="8"/>
      <c r="L755" s="8" t="str">
        <f>IF(K755="","",VLOOKUP(K755,'PLAN SUPORTE'!$H$2:$I$4,2,0))</f>
        <v/>
      </c>
      <c r="M755" s="10"/>
      <c r="N755" s="10"/>
      <c r="O755" s="9" t="str">
        <f t="shared" si="82"/>
        <v/>
      </c>
      <c r="P755" s="10" t="str">
        <f t="shared" si="79"/>
        <v/>
      </c>
      <c r="Q755" s="6" t="str">
        <f t="shared" ca="1" si="80"/>
        <v/>
      </c>
      <c r="R755" s="8" t="str">
        <f t="shared" si="81"/>
        <v/>
      </c>
    </row>
    <row r="756" spans="1:18" ht="13">
      <c r="A756" s="8"/>
      <c r="B756" s="10"/>
      <c r="C756" s="10"/>
      <c r="D756" s="8"/>
      <c r="E756" s="8"/>
      <c r="F756" s="8" t="s">
        <v>1090</v>
      </c>
      <c r="G756" s="6" t="str">
        <f>IF(F756="","",VLOOKUP(F756,'PLAN SUPORTE'!A:B,2,0))</f>
        <v/>
      </c>
      <c r="H756" s="7"/>
      <c r="I756" s="8"/>
      <c r="J756" s="8"/>
      <c r="K756" s="8"/>
      <c r="L756" s="8" t="str">
        <f>IF(K756="","",VLOOKUP(K756,'PLAN SUPORTE'!$H$2:$I$4,2,0))</f>
        <v/>
      </c>
      <c r="M756" s="10"/>
      <c r="N756" s="10"/>
      <c r="O756" s="9" t="str">
        <f t="shared" si="82"/>
        <v/>
      </c>
      <c r="P756" s="10" t="str">
        <f t="shared" si="79"/>
        <v/>
      </c>
      <c r="Q756" s="6" t="str">
        <f t="shared" ca="1" si="80"/>
        <v/>
      </c>
      <c r="R756" s="8" t="str">
        <f t="shared" si="81"/>
        <v/>
      </c>
    </row>
    <row r="757" spans="1:18" ht="13">
      <c r="A757" s="8"/>
      <c r="B757" s="10"/>
      <c r="C757" s="10"/>
      <c r="D757" s="8"/>
      <c r="E757" s="8"/>
      <c r="F757" s="8" t="s">
        <v>1090</v>
      </c>
      <c r="G757" s="6" t="str">
        <f>IF(F757="","",VLOOKUP(F757,'PLAN SUPORTE'!A:B,2,0))</f>
        <v/>
      </c>
      <c r="H757" s="7"/>
      <c r="I757" s="8"/>
      <c r="J757" s="8"/>
      <c r="K757" s="8"/>
      <c r="L757" s="8" t="str">
        <f>IF(K757="","",VLOOKUP(K757,'PLAN SUPORTE'!$H$2:$I$4,2,0))</f>
        <v/>
      </c>
      <c r="M757" s="10"/>
      <c r="N757" s="10"/>
      <c r="O757" s="9" t="str">
        <f t="shared" si="82"/>
        <v/>
      </c>
      <c r="P757" s="10" t="str">
        <f t="shared" si="79"/>
        <v/>
      </c>
      <c r="Q757" s="6" t="str">
        <f t="shared" ca="1" si="80"/>
        <v/>
      </c>
      <c r="R757" s="8" t="str">
        <f t="shared" si="81"/>
        <v/>
      </c>
    </row>
    <row r="758" spans="1:18" ht="13">
      <c r="A758" s="8"/>
      <c r="B758" s="10"/>
      <c r="C758" s="10"/>
      <c r="D758" s="8"/>
      <c r="E758" s="8"/>
      <c r="F758" s="8" t="s">
        <v>1090</v>
      </c>
      <c r="G758" s="6" t="str">
        <f>IF(F758="","",VLOOKUP(F758,'PLAN SUPORTE'!A:B,2,0))</f>
        <v/>
      </c>
      <c r="H758" s="7"/>
      <c r="I758" s="8"/>
      <c r="J758" s="8"/>
      <c r="K758" s="8"/>
      <c r="L758" s="8" t="str">
        <f>IF(K758="","",VLOOKUP(K758,'PLAN SUPORTE'!$H$2:$I$4,2,0))</f>
        <v/>
      </c>
      <c r="M758" s="10"/>
      <c r="N758" s="10"/>
      <c r="O758" s="9" t="str">
        <f t="shared" si="82"/>
        <v/>
      </c>
      <c r="P758" s="10" t="str">
        <f t="shared" si="79"/>
        <v/>
      </c>
      <c r="Q758" s="6" t="str">
        <f t="shared" ca="1" si="80"/>
        <v/>
      </c>
      <c r="R758" s="8" t="str">
        <f t="shared" si="81"/>
        <v/>
      </c>
    </row>
    <row r="759" spans="1:18" ht="13">
      <c r="A759" s="8"/>
      <c r="B759" s="10"/>
      <c r="C759" s="10"/>
      <c r="D759" s="8"/>
      <c r="E759" s="8"/>
      <c r="F759" s="8" t="s">
        <v>1090</v>
      </c>
      <c r="G759" s="6" t="str">
        <f>IF(F759="","",VLOOKUP(F759,'PLAN SUPORTE'!A:B,2,0))</f>
        <v/>
      </c>
      <c r="H759" s="7"/>
      <c r="I759" s="8"/>
      <c r="J759" s="8"/>
      <c r="K759" s="8"/>
      <c r="L759" s="8" t="str">
        <f>IF(K759="","",VLOOKUP(K759,'PLAN SUPORTE'!$H$2:$I$4,2,0))</f>
        <v/>
      </c>
      <c r="M759" s="10"/>
      <c r="N759" s="10"/>
      <c r="O759" s="9" t="str">
        <f t="shared" si="82"/>
        <v/>
      </c>
      <c r="P759" s="10" t="str">
        <f t="shared" si="79"/>
        <v/>
      </c>
      <c r="Q759" s="6" t="str">
        <f t="shared" ca="1" si="80"/>
        <v/>
      </c>
      <c r="R759" s="8" t="str">
        <f t="shared" si="81"/>
        <v/>
      </c>
    </row>
    <row r="760" spans="1:18" ht="13">
      <c r="A760" s="8"/>
      <c r="B760" s="10"/>
      <c r="C760" s="10"/>
      <c r="D760" s="8"/>
      <c r="E760" s="8"/>
      <c r="F760" s="8" t="s">
        <v>1090</v>
      </c>
      <c r="G760" s="6" t="str">
        <f>IF(F760="","",VLOOKUP(F760,'PLAN SUPORTE'!A:B,2,0))</f>
        <v/>
      </c>
      <c r="H760" s="7"/>
      <c r="I760" s="8"/>
      <c r="J760" s="8"/>
      <c r="K760" s="8"/>
      <c r="L760" s="8" t="str">
        <f>IF(K760="","",VLOOKUP(K760,'PLAN SUPORTE'!$H$2:$I$4,2,0))</f>
        <v/>
      </c>
      <c r="M760" s="10"/>
      <c r="N760" s="10"/>
      <c r="O760" s="9" t="str">
        <f t="shared" si="82"/>
        <v/>
      </c>
      <c r="P760" s="10" t="str">
        <f t="shared" si="79"/>
        <v/>
      </c>
      <c r="Q760" s="6" t="str">
        <f t="shared" ca="1" si="80"/>
        <v/>
      </c>
      <c r="R760" s="8" t="str">
        <f t="shared" si="81"/>
        <v/>
      </c>
    </row>
    <row r="761" spans="1:18" ht="13">
      <c r="A761" s="8"/>
      <c r="B761" s="10"/>
      <c r="C761" s="10"/>
      <c r="D761" s="8"/>
      <c r="E761" s="8"/>
      <c r="F761" s="8" t="s">
        <v>1090</v>
      </c>
      <c r="G761" s="6" t="str">
        <f>IF(F761="","",VLOOKUP(F761,'PLAN SUPORTE'!A:B,2,0))</f>
        <v/>
      </c>
      <c r="H761" s="7"/>
      <c r="I761" s="8"/>
      <c r="J761" s="8"/>
      <c r="K761" s="8"/>
      <c r="L761" s="8" t="str">
        <f>IF(K761="","",VLOOKUP(K761,'PLAN SUPORTE'!$H$2:$I$4,2,0))</f>
        <v/>
      </c>
      <c r="M761" s="10"/>
      <c r="N761" s="10"/>
      <c r="O761" s="9" t="str">
        <f t="shared" si="82"/>
        <v/>
      </c>
      <c r="P761" s="10" t="str">
        <f t="shared" si="79"/>
        <v/>
      </c>
      <c r="Q761" s="6" t="str">
        <f t="shared" ca="1" si="80"/>
        <v/>
      </c>
      <c r="R761" s="8" t="str">
        <f t="shared" si="81"/>
        <v/>
      </c>
    </row>
    <row r="762" spans="1:18" ht="13">
      <c r="A762" s="8"/>
      <c r="B762" s="10"/>
      <c r="C762" s="10"/>
      <c r="D762" s="8"/>
      <c r="E762" s="8"/>
      <c r="F762" s="8" t="s">
        <v>1090</v>
      </c>
      <c r="G762" s="6" t="str">
        <f>IF(F762="","",VLOOKUP(F762,'PLAN SUPORTE'!A:B,2,0))</f>
        <v/>
      </c>
      <c r="H762" s="7"/>
      <c r="I762" s="8"/>
      <c r="J762" s="8"/>
      <c r="K762" s="8"/>
      <c r="L762" s="8" t="str">
        <f>IF(K762="","",VLOOKUP(K762,'PLAN SUPORTE'!$H$2:$I$4,2,0))</f>
        <v/>
      </c>
      <c r="M762" s="10"/>
      <c r="N762" s="10"/>
      <c r="O762" s="9" t="str">
        <f t="shared" si="82"/>
        <v/>
      </c>
      <c r="P762" s="10" t="str">
        <f t="shared" si="79"/>
        <v/>
      </c>
      <c r="Q762" s="6" t="str">
        <f t="shared" ca="1" si="80"/>
        <v/>
      </c>
      <c r="R762" s="8" t="str">
        <f t="shared" si="81"/>
        <v/>
      </c>
    </row>
    <row r="763" spans="1:18" ht="13">
      <c r="A763" s="8"/>
      <c r="B763" s="10"/>
      <c r="C763" s="10"/>
      <c r="D763" s="8"/>
      <c r="E763" s="8"/>
      <c r="F763" s="8" t="s">
        <v>1090</v>
      </c>
      <c r="G763" s="6" t="str">
        <f>IF(F763="","",VLOOKUP(F763,'PLAN SUPORTE'!A:B,2,0))</f>
        <v/>
      </c>
      <c r="H763" s="7"/>
      <c r="I763" s="8"/>
      <c r="J763" s="8"/>
      <c r="K763" s="8"/>
      <c r="L763" s="8" t="str">
        <f>IF(K763="","",VLOOKUP(K763,'PLAN SUPORTE'!$H$2:$I$4,2,0))</f>
        <v/>
      </c>
      <c r="M763" s="10"/>
      <c r="N763" s="10"/>
      <c r="O763" s="9" t="str">
        <f t="shared" si="82"/>
        <v/>
      </c>
      <c r="P763" s="10" t="str">
        <f t="shared" si="79"/>
        <v/>
      </c>
      <c r="Q763" s="6" t="str">
        <f t="shared" ca="1" si="80"/>
        <v/>
      </c>
      <c r="R763" s="8" t="str">
        <f t="shared" si="81"/>
        <v/>
      </c>
    </row>
    <row r="764" spans="1:18" ht="13">
      <c r="A764" s="8"/>
      <c r="B764" s="10"/>
      <c r="C764" s="10"/>
      <c r="D764" s="8"/>
      <c r="E764" s="8"/>
      <c r="F764" s="8" t="s">
        <v>1090</v>
      </c>
      <c r="G764" s="6" t="str">
        <f>IF(F764="","",VLOOKUP(F764,'PLAN SUPORTE'!A:B,2,0))</f>
        <v/>
      </c>
      <c r="H764" s="7"/>
      <c r="I764" s="8"/>
      <c r="J764" s="8"/>
      <c r="K764" s="8"/>
      <c r="L764" s="8" t="str">
        <f>IF(K764="","",VLOOKUP(K764,'PLAN SUPORTE'!$H$2:$I$4,2,0))</f>
        <v/>
      </c>
      <c r="M764" s="10"/>
      <c r="N764" s="10"/>
      <c r="O764" s="9" t="str">
        <f t="shared" si="82"/>
        <v/>
      </c>
      <c r="P764" s="10" t="str">
        <f t="shared" si="79"/>
        <v/>
      </c>
      <c r="Q764" s="6" t="str">
        <f t="shared" ca="1" si="80"/>
        <v/>
      </c>
      <c r="R764" s="8" t="str">
        <f t="shared" si="81"/>
        <v/>
      </c>
    </row>
    <row r="765" spans="1:18" ht="13">
      <c r="A765" s="8"/>
      <c r="B765" s="10"/>
      <c r="C765" s="10"/>
      <c r="D765" s="8"/>
      <c r="E765" s="8"/>
      <c r="F765" s="8" t="s">
        <v>1090</v>
      </c>
      <c r="G765" s="6" t="str">
        <f>IF(F765="","",VLOOKUP(F765,'PLAN SUPORTE'!A:B,2,0))</f>
        <v/>
      </c>
      <c r="H765" s="7"/>
      <c r="I765" s="8"/>
      <c r="J765" s="8"/>
      <c r="K765" s="8"/>
      <c r="L765" s="8" t="str">
        <f>IF(K765="","",VLOOKUP(K765,'PLAN SUPORTE'!$H$2:$I$4,2,0))</f>
        <v/>
      </c>
      <c r="M765" s="10"/>
      <c r="N765" s="10"/>
      <c r="O765" s="9" t="str">
        <f t="shared" si="82"/>
        <v/>
      </c>
      <c r="P765" s="10" t="str">
        <f t="shared" si="79"/>
        <v/>
      </c>
      <c r="Q765" s="6" t="str">
        <f t="shared" ca="1" si="80"/>
        <v/>
      </c>
      <c r="R765" s="8" t="str">
        <f t="shared" si="81"/>
        <v/>
      </c>
    </row>
    <row r="766" spans="1:18" ht="13">
      <c r="A766" s="8"/>
      <c r="B766" s="10"/>
      <c r="C766" s="10"/>
      <c r="D766" s="8"/>
      <c r="E766" s="8"/>
      <c r="F766" s="8" t="s">
        <v>1090</v>
      </c>
      <c r="G766" s="6" t="str">
        <f>IF(F766="","",VLOOKUP(F766,'PLAN SUPORTE'!A:B,2,0))</f>
        <v/>
      </c>
      <c r="H766" s="7"/>
      <c r="I766" s="8"/>
      <c r="J766" s="8"/>
      <c r="K766" s="8"/>
      <c r="L766" s="8" t="str">
        <f>IF(K766="","",VLOOKUP(K766,'PLAN SUPORTE'!$H$2:$I$4,2,0))</f>
        <v/>
      </c>
      <c r="M766" s="10"/>
      <c r="N766" s="10"/>
      <c r="O766" s="9" t="str">
        <f t="shared" si="82"/>
        <v/>
      </c>
      <c r="P766" s="10" t="str">
        <f t="shared" si="79"/>
        <v/>
      </c>
      <c r="Q766" s="6" t="str">
        <f t="shared" ca="1" si="80"/>
        <v/>
      </c>
      <c r="R766" s="8" t="str">
        <f t="shared" si="81"/>
        <v/>
      </c>
    </row>
    <row r="767" spans="1:18" ht="13">
      <c r="A767" s="8"/>
      <c r="B767" s="10"/>
      <c r="C767" s="10"/>
      <c r="D767" s="8"/>
      <c r="E767" s="8"/>
      <c r="F767" s="8" t="s">
        <v>1090</v>
      </c>
      <c r="G767" s="6" t="str">
        <f>IF(F767="","",VLOOKUP(F767,'PLAN SUPORTE'!A:B,2,0))</f>
        <v/>
      </c>
      <c r="H767" s="7"/>
      <c r="I767" s="8"/>
      <c r="J767" s="8"/>
      <c r="K767" s="8"/>
      <c r="L767" s="8" t="str">
        <f>IF(K767="","",VLOOKUP(K767,'PLAN SUPORTE'!$H$2:$I$4,2,0))</f>
        <v/>
      </c>
      <c r="M767" s="10"/>
      <c r="N767" s="10"/>
      <c r="O767" s="9" t="str">
        <f t="shared" si="82"/>
        <v/>
      </c>
      <c r="P767" s="10" t="str">
        <f t="shared" si="79"/>
        <v/>
      </c>
      <c r="Q767" s="6" t="str">
        <f t="shared" ca="1" si="80"/>
        <v/>
      </c>
      <c r="R767" s="8" t="str">
        <f t="shared" si="81"/>
        <v/>
      </c>
    </row>
    <row r="768" spans="1:18" ht="13">
      <c r="A768" s="8"/>
      <c r="B768" s="10"/>
      <c r="C768" s="10"/>
      <c r="D768" s="8"/>
      <c r="E768" s="8"/>
      <c r="F768" s="8" t="s">
        <v>1090</v>
      </c>
      <c r="G768" s="6" t="str">
        <f>IF(F768="","",VLOOKUP(F768,'PLAN SUPORTE'!A:B,2,0))</f>
        <v/>
      </c>
      <c r="H768" s="7"/>
      <c r="I768" s="8"/>
      <c r="J768" s="8"/>
      <c r="K768" s="8"/>
      <c r="L768" s="8" t="str">
        <f>IF(K768="","",VLOOKUP(K768,'PLAN SUPORTE'!$H$2:$I$4,2,0))</f>
        <v/>
      </c>
      <c r="M768" s="10"/>
      <c r="N768" s="10"/>
      <c r="O768" s="9" t="str">
        <f t="shared" si="82"/>
        <v/>
      </c>
      <c r="P768" s="10" t="str">
        <f t="shared" si="79"/>
        <v/>
      </c>
      <c r="Q768" s="6" t="str">
        <f t="shared" ca="1" si="80"/>
        <v/>
      </c>
      <c r="R768" s="8" t="str">
        <f t="shared" si="81"/>
        <v/>
      </c>
    </row>
    <row r="769" spans="1:18" ht="13">
      <c r="A769" s="8"/>
      <c r="B769" s="10"/>
      <c r="C769" s="10"/>
      <c r="D769" s="8"/>
      <c r="E769" s="8"/>
      <c r="F769" s="8" t="s">
        <v>1090</v>
      </c>
      <c r="G769" s="6" t="str">
        <f>IF(F769="","",VLOOKUP(F769,'PLAN SUPORTE'!A:B,2,0))</f>
        <v/>
      </c>
      <c r="H769" s="7"/>
      <c r="I769" s="8"/>
      <c r="J769" s="8"/>
      <c r="K769" s="8"/>
      <c r="L769" s="8" t="str">
        <f>IF(K769="","",VLOOKUP(K769,'PLAN SUPORTE'!$H$2:$I$4,2,0))</f>
        <v/>
      </c>
      <c r="M769" s="10"/>
      <c r="N769" s="10"/>
      <c r="O769" s="9" t="str">
        <f t="shared" si="82"/>
        <v/>
      </c>
      <c r="P769" s="10" t="str">
        <f t="shared" si="79"/>
        <v/>
      </c>
      <c r="Q769" s="6" t="str">
        <f t="shared" ca="1" si="80"/>
        <v/>
      </c>
      <c r="R769" s="8" t="str">
        <f t="shared" si="81"/>
        <v/>
      </c>
    </row>
    <row r="770" spans="1:18" ht="13">
      <c r="A770" s="8"/>
      <c r="B770" s="10"/>
      <c r="C770" s="10"/>
      <c r="D770" s="8"/>
      <c r="E770" s="8"/>
      <c r="F770" s="8" t="s">
        <v>1090</v>
      </c>
      <c r="G770" s="6" t="str">
        <f>IF(F770="","",VLOOKUP(F770,'PLAN SUPORTE'!A:B,2,0))</f>
        <v/>
      </c>
      <c r="H770" s="7"/>
      <c r="I770" s="8"/>
      <c r="J770" s="8"/>
      <c r="K770" s="8"/>
      <c r="L770" s="8" t="str">
        <f>IF(K770="","",VLOOKUP(K770,'PLAN SUPORTE'!$H$2:$I$4,2,0))</f>
        <v/>
      </c>
      <c r="M770" s="10"/>
      <c r="N770" s="10"/>
      <c r="O770" s="9" t="str">
        <f t="shared" si="82"/>
        <v/>
      </c>
      <c r="P770" s="10" t="str">
        <f t="shared" si="79"/>
        <v/>
      </c>
      <c r="Q770" s="6" t="str">
        <f t="shared" ca="1" si="80"/>
        <v/>
      </c>
      <c r="R770" s="8" t="str">
        <f t="shared" si="81"/>
        <v/>
      </c>
    </row>
    <row r="771" spans="1:18" ht="13">
      <c r="A771" s="8"/>
      <c r="B771" s="10"/>
      <c r="C771" s="10"/>
      <c r="D771" s="8"/>
      <c r="E771" s="8"/>
      <c r="F771" s="8" t="s">
        <v>1090</v>
      </c>
      <c r="G771" s="6" t="str">
        <f>IF(F771="","",VLOOKUP(F771,'PLAN SUPORTE'!A:B,2,0))</f>
        <v/>
      </c>
      <c r="H771" s="7"/>
      <c r="I771" s="8"/>
      <c r="J771" s="8"/>
      <c r="K771" s="8"/>
      <c r="L771" s="8" t="str">
        <f>IF(K771="","",VLOOKUP(K771,'PLAN SUPORTE'!$H$2:$I$4,2,0))</f>
        <v/>
      </c>
      <c r="M771" s="10"/>
      <c r="N771" s="10"/>
      <c r="O771" s="9" t="str">
        <f t="shared" si="82"/>
        <v/>
      </c>
      <c r="P771" s="10" t="str">
        <f t="shared" si="79"/>
        <v/>
      </c>
      <c r="Q771" s="6" t="str">
        <f t="shared" ca="1" si="80"/>
        <v/>
      </c>
      <c r="R771" s="8" t="str">
        <f t="shared" si="81"/>
        <v/>
      </c>
    </row>
    <row r="772" spans="1:18" ht="13">
      <c r="A772" s="8"/>
      <c r="B772" s="10"/>
      <c r="C772" s="10"/>
      <c r="D772" s="8"/>
      <c r="E772" s="8"/>
      <c r="F772" s="8" t="s">
        <v>1090</v>
      </c>
      <c r="G772" s="6" t="str">
        <f>IF(F772="","",VLOOKUP(F772,'PLAN SUPORTE'!A:B,2,0))</f>
        <v/>
      </c>
      <c r="H772" s="7"/>
      <c r="I772" s="8"/>
      <c r="J772" s="8"/>
      <c r="K772" s="8"/>
      <c r="L772" s="8" t="str">
        <f>IF(K772="","",VLOOKUP(K772,'PLAN SUPORTE'!$H$2:$I$4,2,0))</f>
        <v/>
      </c>
      <c r="M772" s="10"/>
      <c r="N772" s="10"/>
      <c r="O772" s="9" t="str">
        <f t="shared" si="82"/>
        <v/>
      </c>
      <c r="P772" s="10" t="str">
        <f t="shared" si="79"/>
        <v/>
      </c>
      <c r="Q772" s="6" t="str">
        <f t="shared" ca="1" si="80"/>
        <v/>
      </c>
      <c r="R772" s="8" t="str">
        <f t="shared" si="81"/>
        <v/>
      </c>
    </row>
    <row r="773" spans="1:18" ht="13">
      <c r="A773" s="8"/>
      <c r="B773" s="10"/>
      <c r="C773" s="10"/>
      <c r="D773" s="8"/>
      <c r="E773" s="8"/>
      <c r="F773" s="8" t="s">
        <v>1090</v>
      </c>
      <c r="G773" s="6" t="str">
        <f>IF(F773="","",VLOOKUP(F773,'PLAN SUPORTE'!A:B,2,0))</f>
        <v/>
      </c>
      <c r="H773" s="7"/>
      <c r="I773" s="8"/>
      <c r="J773" s="8"/>
      <c r="K773" s="8"/>
      <c r="L773" s="8" t="str">
        <f>IF(K773="","",VLOOKUP(K773,'PLAN SUPORTE'!$H$2:$I$4,2,0))</f>
        <v/>
      </c>
      <c r="M773" s="10"/>
      <c r="N773" s="10"/>
      <c r="O773" s="9" t="str">
        <f t="shared" si="82"/>
        <v/>
      </c>
      <c r="P773" s="10" t="str">
        <f t="shared" si="79"/>
        <v/>
      </c>
      <c r="Q773" s="6" t="str">
        <f t="shared" ca="1" si="80"/>
        <v/>
      </c>
      <c r="R773" s="8" t="str">
        <f t="shared" si="81"/>
        <v/>
      </c>
    </row>
    <row r="774" spans="1:18" ht="13">
      <c r="A774" s="8"/>
      <c r="B774" s="10"/>
      <c r="C774" s="10"/>
      <c r="D774" s="8"/>
      <c r="E774" s="8"/>
      <c r="F774" s="8" t="s">
        <v>1090</v>
      </c>
      <c r="G774" s="6" t="str">
        <f>IF(F774="","",VLOOKUP(F774,'PLAN SUPORTE'!A:B,2,0))</f>
        <v/>
      </c>
      <c r="H774" s="7"/>
      <c r="I774" s="8"/>
      <c r="J774" s="8"/>
      <c r="K774" s="8"/>
      <c r="L774" s="8" t="str">
        <f>IF(K774="","",VLOOKUP(K774,'PLAN SUPORTE'!$H$2:$I$4,2,0))</f>
        <v/>
      </c>
      <c r="M774" s="10"/>
      <c r="N774" s="10"/>
      <c r="O774" s="9" t="str">
        <f t="shared" si="82"/>
        <v/>
      </c>
      <c r="P774" s="10" t="str">
        <f t="shared" si="79"/>
        <v/>
      </c>
      <c r="Q774" s="6" t="str">
        <f t="shared" ca="1" si="80"/>
        <v/>
      </c>
      <c r="R774" s="8" t="str">
        <f t="shared" si="81"/>
        <v/>
      </c>
    </row>
    <row r="775" spans="1:18" ht="13">
      <c r="A775" s="8"/>
      <c r="B775" s="10"/>
      <c r="C775" s="10"/>
      <c r="D775" s="8"/>
      <c r="E775" s="8"/>
      <c r="F775" s="8" t="s">
        <v>1090</v>
      </c>
      <c r="G775" s="6" t="str">
        <f>IF(F775="","",VLOOKUP(F775,'PLAN SUPORTE'!A:B,2,0))</f>
        <v/>
      </c>
      <c r="H775" s="7"/>
      <c r="I775" s="8"/>
      <c r="J775" s="8"/>
      <c r="K775" s="8"/>
      <c r="L775" s="8" t="str">
        <f>IF(K775="","",VLOOKUP(K775,'PLAN SUPORTE'!$H$2:$I$4,2,0))</f>
        <v/>
      </c>
      <c r="M775" s="10"/>
      <c r="N775" s="10"/>
      <c r="O775" s="9" t="str">
        <f t="shared" si="82"/>
        <v/>
      </c>
      <c r="P775" s="10" t="str">
        <f t="shared" si="79"/>
        <v/>
      </c>
      <c r="Q775" s="6" t="str">
        <f t="shared" ca="1" si="80"/>
        <v/>
      </c>
      <c r="R775" s="8" t="str">
        <f t="shared" si="81"/>
        <v/>
      </c>
    </row>
    <row r="776" spans="1:18" ht="13">
      <c r="A776" s="8"/>
      <c r="B776" s="10"/>
      <c r="C776" s="10"/>
      <c r="D776" s="8"/>
      <c r="E776" s="8"/>
      <c r="F776" s="8" t="s">
        <v>1090</v>
      </c>
      <c r="G776" s="6" t="str">
        <f>IF(F776="","",VLOOKUP(F776,'PLAN SUPORTE'!A:B,2,0))</f>
        <v/>
      </c>
      <c r="H776" s="7"/>
      <c r="I776" s="8"/>
      <c r="J776" s="8"/>
      <c r="K776" s="8"/>
      <c r="L776" s="8" t="str">
        <f>IF(K776="","",VLOOKUP(K776,'PLAN SUPORTE'!$H$2:$I$4,2,0))</f>
        <v/>
      </c>
      <c r="M776" s="10"/>
      <c r="N776" s="10"/>
      <c r="O776" s="9" t="str">
        <f t="shared" si="82"/>
        <v/>
      </c>
      <c r="P776" s="10" t="str">
        <f t="shared" si="79"/>
        <v/>
      </c>
      <c r="Q776" s="6" t="str">
        <f t="shared" ca="1" si="80"/>
        <v/>
      </c>
      <c r="R776" s="8" t="str">
        <f t="shared" si="81"/>
        <v/>
      </c>
    </row>
    <row r="777" spans="1:18" ht="13">
      <c r="A777" s="8"/>
      <c r="B777" s="10"/>
      <c r="C777" s="10"/>
      <c r="D777" s="8"/>
      <c r="E777" s="8"/>
      <c r="F777" s="8" t="s">
        <v>1090</v>
      </c>
      <c r="G777" s="6" t="str">
        <f>IF(F777="","",VLOOKUP(F777,'PLAN SUPORTE'!A:B,2,0))</f>
        <v/>
      </c>
      <c r="H777" s="7"/>
      <c r="I777" s="8"/>
      <c r="J777" s="8"/>
      <c r="K777" s="8"/>
      <c r="L777" s="8" t="str">
        <f>IF(K777="","",VLOOKUP(K777,'PLAN SUPORTE'!$H$2:$I$4,2,0))</f>
        <v/>
      </c>
      <c r="M777" s="10"/>
      <c r="N777" s="10"/>
      <c r="O777" s="9" t="str">
        <f t="shared" si="82"/>
        <v/>
      </c>
      <c r="P777" s="10" t="str">
        <f t="shared" si="79"/>
        <v/>
      </c>
      <c r="Q777" s="6" t="str">
        <f t="shared" ca="1" si="80"/>
        <v/>
      </c>
      <c r="R777" s="8" t="str">
        <f t="shared" si="81"/>
        <v/>
      </c>
    </row>
    <row r="778" spans="1:18" ht="13">
      <c r="A778" s="8"/>
      <c r="B778" s="10"/>
      <c r="C778" s="10"/>
      <c r="D778" s="8"/>
      <c r="E778" s="8"/>
      <c r="F778" s="8" t="s">
        <v>1090</v>
      </c>
      <c r="G778" s="6" t="str">
        <f>IF(F778="","",VLOOKUP(F778,'PLAN SUPORTE'!A:B,2,0))</f>
        <v/>
      </c>
      <c r="H778" s="7"/>
      <c r="I778" s="8"/>
      <c r="J778" s="8"/>
      <c r="K778" s="8"/>
      <c r="L778" s="8" t="str">
        <f>IF(K778="","",VLOOKUP(K778,'PLAN SUPORTE'!$H$2:$I$4,2,0))</f>
        <v/>
      </c>
      <c r="M778" s="10"/>
      <c r="N778" s="10"/>
      <c r="O778" s="9" t="str">
        <f t="shared" si="82"/>
        <v/>
      </c>
      <c r="P778" s="10" t="str">
        <f t="shared" si="79"/>
        <v/>
      </c>
      <c r="Q778" s="6" t="str">
        <f t="shared" ca="1" si="80"/>
        <v/>
      </c>
      <c r="R778" s="8" t="str">
        <f t="shared" si="81"/>
        <v/>
      </c>
    </row>
    <row r="779" spans="1:18" ht="13">
      <c r="A779" s="8"/>
      <c r="B779" s="10"/>
      <c r="C779" s="10"/>
      <c r="D779" s="8"/>
      <c r="E779" s="8"/>
      <c r="F779" s="8" t="s">
        <v>1090</v>
      </c>
      <c r="G779" s="6" t="str">
        <f>IF(F779="","",VLOOKUP(F779,'PLAN SUPORTE'!A:B,2,0))</f>
        <v/>
      </c>
      <c r="H779" s="7"/>
      <c r="I779" s="8"/>
      <c r="J779" s="8"/>
      <c r="K779" s="8"/>
      <c r="L779" s="8" t="str">
        <f>IF(K779="","",VLOOKUP(K779,'PLAN SUPORTE'!$H$2:$I$4,2,0))</f>
        <v/>
      </c>
      <c r="M779" s="10"/>
      <c r="N779" s="10"/>
      <c r="O779" s="9" t="str">
        <f t="shared" si="82"/>
        <v/>
      </c>
      <c r="P779" s="10" t="str">
        <f t="shared" si="79"/>
        <v/>
      </c>
      <c r="Q779" s="6" t="str">
        <f t="shared" ca="1" si="80"/>
        <v/>
      </c>
      <c r="R779" s="8" t="str">
        <f t="shared" si="81"/>
        <v/>
      </c>
    </row>
    <row r="780" spans="1:18" ht="13">
      <c r="A780" s="8"/>
      <c r="B780" s="10"/>
      <c r="C780" s="10"/>
      <c r="D780" s="8"/>
      <c r="E780" s="8"/>
      <c r="F780" s="8" t="s">
        <v>1090</v>
      </c>
      <c r="G780" s="6" t="str">
        <f>IF(F780="","",VLOOKUP(F780,'PLAN SUPORTE'!A:B,2,0))</f>
        <v/>
      </c>
      <c r="H780" s="7"/>
      <c r="I780" s="8"/>
      <c r="J780" s="8"/>
      <c r="K780" s="8"/>
      <c r="L780" s="8" t="str">
        <f>IF(K780="","",VLOOKUP(K780,'PLAN SUPORTE'!$H$2:$I$4,2,0))</f>
        <v/>
      </c>
      <c r="M780" s="10"/>
      <c r="N780" s="10"/>
      <c r="O780" s="9" t="str">
        <f t="shared" si="82"/>
        <v/>
      </c>
      <c r="P780" s="10" t="str">
        <f t="shared" si="79"/>
        <v/>
      </c>
      <c r="Q780" s="6" t="str">
        <f t="shared" ca="1" si="80"/>
        <v/>
      </c>
      <c r="R780" s="8" t="str">
        <f t="shared" si="81"/>
        <v/>
      </c>
    </row>
    <row r="781" spans="1:18" ht="13">
      <c r="A781" s="8"/>
      <c r="B781" s="10"/>
      <c r="C781" s="10"/>
      <c r="D781" s="8"/>
      <c r="E781" s="8"/>
      <c r="F781" s="8" t="s">
        <v>1090</v>
      </c>
      <c r="G781" s="6" t="str">
        <f>IF(F781="","",VLOOKUP(F781,'PLAN SUPORTE'!A:B,2,0))</f>
        <v/>
      </c>
      <c r="H781" s="7"/>
      <c r="I781" s="8"/>
      <c r="J781" s="8"/>
      <c r="K781" s="8"/>
      <c r="L781" s="8" t="str">
        <f>IF(K781="","",VLOOKUP(K781,'PLAN SUPORTE'!$H$2:$I$4,2,0))</f>
        <v/>
      </c>
      <c r="M781" s="10"/>
      <c r="N781" s="10"/>
      <c r="O781" s="9" t="str">
        <f t="shared" si="82"/>
        <v/>
      </c>
      <c r="P781" s="10" t="str">
        <f t="shared" si="79"/>
        <v/>
      </c>
      <c r="Q781" s="6" t="str">
        <f t="shared" ca="1" si="80"/>
        <v/>
      </c>
      <c r="R781" s="8" t="str">
        <f t="shared" si="81"/>
        <v/>
      </c>
    </row>
    <row r="782" spans="1:18" ht="13">
      <c r="A782" s="8"/>
      <c r="B782" s="10"/>
      <c r="C782" s="10"/>
      <c r="D782" s="8"/>
      <c r="E782" s="8"/>
      <c r="F782" s="8" t="s">
        <v>1090</v>
      </c>
      <c r="G782" s="6" t="str">
        <f>IF(F782="","",VLOOKUP(F782,'PLAN SUPORTE'!A:B,2,0))</f>
        <v/>
      </c>
      <c r="H782" s="7"/>
      <c r="I782" s="8"/>
      <c r="J782" s="8"/>
      <c r="K782" s="8"/>
      <c r="L782" s="8" t="str">
        <f>IF(K782="","",VLOOKUP(K782,'PLAN SUPORTE'!$H$2:$I$4,2,0))</f>
        <v/>
      </c>
      <c r="M782" s="10"/>
      <c r="N782" s="10"/>
      <c r="O782" s="9" t="str">
        <f t="shared" si="82"/>
        <v/>
      </c>
      <c r="P782" s="10" t="str">
        <f t="shared" si="79"/>
        <v/>
      </c>
      <c r="Q782" s="6" t="str">
        <f t="shared" ca="1" si="80"/>
        <v/>
      </c>
      <c r="R782" s="8" t="str">
        <f t="shared" si="81"/>
        <v/>
      </c>
    </row>
    <row r="783" spans="1:18" ht="13">
      <c r="A783" s="8"/>
      <c r="B783" s="10"/>
      <c r="C783" s="10"/>
      <c r="D783" s="8"/>
      <c r="E783" s="8"/>
      <c r="F783" s="8" t="s">
        <v>1090</v>
      </c>
      <c r="G783" s="6" t="str">
        <f>IF(F783="","",VLOOKUP(F783,'PLAN SUPORTE'!A:B,2,0))</f>
        <v/>
      </c>
      <c r="H783" s="7"/>
      <c r="I783" s="8"/>
      <c r="J783" s="8"/>
      <c r="K783" s="8"/>
      <c r="L783" s="8" t="str">
        <f>IF(K783="","",VLOOKUP(K783,'PLAN SUPORTE'!$H$2:$I$4,2,0))</f>
        <v/>
      </c>
      <c r="M783" s="10"/>
      <c r="N783" s="10"/>
      <c r="O783" s="9" t="str">
        <f t="shared" si="82"/>
        <v/>
      </c>
      <c r="P783" s="10" t="str">
        <f t="shared" si="79"/>
        <v/>
      </c>
      <c r="Q783" s="6" t="str">
        <f t="shared" ca="1" si="80"/>
        <v/>
      </c>
      <c r="R783" s="8" t="str">
        <f t="shared" si="81"/>
        <v/>
      </c>
    </row>
    <row r="784" spans="1:18" ht="13">
      <c r="A784" s="8"/>
      <c r="B784" s="10"/>
      <c r="C784" s="10"/>
      <c r="D784" s="8"/>
      <c r="E784" s="8"/>
      <c r="F784" s="8" t="s">
        <v>1090</v>
      </c>
      <c r="G784" s="6" t="str">
        <f>IF(F784="","",VLOOKUP(F784,'PLAN SUPORTE'!A:B,2,0))</f>
        <v/>
      </c>
      <c r="H784" s="7"/>
      <c r="I784" s="8"/>
      <c r="J784" s="8"/>
      <c r="K784" s="8"/>
      <c r="L784" s="8" t="str">
        <f>IF(K784="","",VLOOKUP(K784,'PLAN SUPORTE'!$H$2:$I$4,2,0))</f>
        <v/>
      </c>
      <c r="M784" s="10"/>
      <c r="N784" s="10"/>
      <c r="O784" s="9" t="str">
        <f t="shared" si="82"/>
        <v/>
      </c>
      <c r="P784" s="10" t="str">
        <f t="shared" si="79"/>
        <v/>
      </c>
      <c r="Q784" s="6" t="str">
        <f t="shared" ca="1" si="80"/>
        <v/>
      </c>
      <c r="R784" s="8" t="str">
        <f t="shared" si="81"/>
        <v/>
      </c>
    </row>
    <row r="785" spans="1:18" ht="13">
      <c r="A785" s="8"/>
      <c r="B785" s="10"/>
      <c r="C785" s="10"/>
      <c r="D785" s="8"/>
      <c r="E785" s="8"/>
      <c r="F785" s="8" t="s">
        <v>1090</v>
      </c>
      <c r="G785" s="6" t="str">
        <f>IF(F785="","",VLOOKUP(F785,'PLAN SUPORTE'!A:B,2,0))</f>
        <v/>
      </c>
      <c r="H785" s="7"/>
      <c r="I785" s="8"/>
      <c r="J785" s="8"/>
      <c r="K785" s="8"/>
      <c r="L785" s="8" t="str">
        <f>IF(K785="","",VLOOKUP(K785,'PLAN SUPORTE'!$H$2:$I$4,2,0))</f>
        <v/>
      </c>
      <c r="M785" s="10"/>
      <c r="N785" s="10"/>
      <c r="O785" s="9" t="str">
        <f t="shared" si="82"/>
        <v/>
      </c>
      <c r="P785" s="10" t="str">
        <f t="shared" si="79"/>
        <v/>
      </c>
      <c r="Q785" s="6" t="str">
        <f t="shared" ca="1" si="80"/>
        <v/>
      </c>
      <c r="R785" s="8" t="str">
        <f t="shared" si="81"/>
        <v/>
      </c>
    </row>
    <row r="786" spans="1:18" ht="13">
      <c r="A786" s="8"/>
      <c r="B786" s="10"/>
      <c r="C786" s="10"/>
      <c r="D786" s="8"/>
      <c r="E786" s="8"/>
      <c r="F786" s="8" t="s">
        <v>1090</v>
      </c>
      <c r="G786" s="6" t="str">
        <f>IF(F786="","",VLOOKUP(F786,'PLAN SUPORTE'!A:B,2,0))</f>
        <v/>
      </c>
      <c r="H786" s="7"/>
      <c r="I786" s="8"/>
      <c r="J786" s="8"/>
      <c r="K786" s="8"/>
      <c r="L786" s="8" t="str">
        <f>IF(K786="","",VLOOKUP(K786,'PLAN SUPORTE'!$H$2:$I$4,2,0))</f>
        <v/>
      </c>
      <c r="M786" s="10"/>
      <c r="N786" s="10"/>
      <c r="O786" s="9" t="str">
        <f t="shared" si="82"/>
        <v/>
      </c>
      <c r="P786" s="10" t="str">
        <f t="shared" si="79"/>
        <v/>
      </c>
      <c r="Q786" s="6" t="str">
        <f t="shared" ca="1" si="80"/>
        <v/>
      </c>
      <c r="R786" s="8" t="str">
        <f t="shared" si="81"/>
        <v/>
      </c>
    </row>
    <row r="787" spans="1:18" ht="13">
      <c r="A787" s="8"/>
      <c r="B787" s="10"/>
      <c r="C787" s="10"/>
      <c r="D787" s="8"/>
      <c r="E787" s="8"/>
      <c r="F787" s="8" t="s">
        <v>1090</v>
      </c>
      <c r="G787" s="6" t="str">
        <f>IF(F787="","",VLOOKUP(F787,'PLAN SUPORTE'!A:B,2,0))</f>
        <v/>
      </c>
      <c r="H787" s="7"/>
      <c r="I787" s="8"/>
      <c r="J787" s="8"/>
      <c r="K787" s="8"/>
      <c r="L787" s="8" t="str">
        <f>IF(K787="","",VLOOKUP(K787,'PLAN SUPORTE'!$H$2:$I$4,2,0))</f>
        <v/>
      </c>
      <c r="M787" s="10"/>
      <c r="N787" s="10"/>
      <c r="O787" s="9" t="str">
        <f t="shared" si="82"/>
        <v/>
      </c>
      <c r="P787" s="10" t="str">
        <f t="shared" si="79"/>
        <v/>
      </c>
      <c r="Q787" s="6" t="str">
        <f t="shared" ca="1" si="80"/>
        <v/>
      </c>
      <c r="R787" s="8" t="str">
        <f t="shared" si="81"/>
        <v/>
      </c>
    </row>
    <row r="788" spans="1:18" ht="13">
      <c r="A788" s="8"/>
      <c r="B788" s="10"/>
      <c r="C788" s="10"/>
      <c r="D788" s="8"/>
      <c r="E788" s="8"/>
      <c r="F788" s="8" t="s">
        <v>1090</v>
      </c>
      <c r="G788" s="6" t="str">
        <f>IF(F788="","",VLOOKUP(F788,'PLAN SUPORTE'!A:B,2,0))</f>
        <v/>
      </c>
      <c r="H788" s="7"/>
      <c r="I788" s="8"/>
      <c r="J788" s="8"/>
      <c r="K788" s="8"/>
      <c r="L788" s="8" t="str">
        <f>IF(K788="","",VLOOKUP(K788,'PLAN SUPORTE'!$H$2:$I$4,2,0))</f>
        <v/>
      </c>
      <c r="M788" s="10"/>
      <c r="N788" s="10"/>
      <c r="O788" s="9" t="str">
        <f t="shared" si="82"/>
        <v/>
      </c>
      <c r="P788" s="10" t="str">
        <f t="shared" si="79"/>
        <v/>
      </c>
      <c r="Q788" s="6" t="str">
        <f t="shared" ca="1" si="80"/>
        <v/>
      </c>
      <c r="R788" s="8" t="str">
        <f t="shared" si="81"/>
        <v/>
      </c>
    </row>
    <row r="789" spans="1:18" ht="13">
      <c r="A789" s="8"/>
      <c r="B789" s="10"/>
      <c r="C789" s="10"/>
      <c r="D789" s="8"/>
      <c r="E789" s="8"/>
      <c r="F789" s="8" t="s">
        <v>1090</v>
      </c>
      <c r="G789" s="6" t="str">
        <f>IF(F789="","",VLOOKUP(F789,'PLAN SUPORTE'!A:B,2,0))</f>
        <v/>
      </c>
      <c r="H789" s="7"/>
      <c r="I789" s="8"/>
      <c r="J789" s="8"/>
      <c r="K789" s="8"/>
      <c r="L789" s="8" t="str">
        <f>IF(K789="","",VLOOKUP(K789,'PLAN SUPORTE'!$H$2:$I$4,2,0))</f>
        <v/>
      </c>
      <c r="M789" s="10"/>
      <c r="N789" s="10"/>
      <c r="O789" s="9" t="str">
        <f t="shared" si="82"/>
        <v/>
      </c>
      <c r="P789" s="10" t="str">
        <f t="shared" si="79"/>
        <v/>
      </c>
      <c r="Q789" s="6" t="str">
        <f t="shared" ca="1" si="80"/>
        <v/>
      </c>
      <c r="R789" s="8" t="str">
        <f t="shared" si="81"/>
        <v/>
      </c>
    </row>
    <row r="790" spans="1:18" ht="13">
      <c r="A790" s="8"/>
      <c r="B790" s="10"/>
      <c r="C790" s="10"/>
      <c r="D790" s="8"/>
      <c r="E790" s="8"/>
      <c r="F790" s="8" t="s">
        <v>1090</v>
      </c>
      <c r="G790" s="6" t="str">
        <f>IF(F790="","",VLOOKUP(F790,'PLAN SUPORTE'!A:B,2,0))</f>
        <v/>
      </c>
      <c r="H790" s="7"/>
      <c r="I790" s="8"/>
      <c r="J790" s="8"/>
      <c r="K790" s="8"/>
      <c r="L790" s="8" t="str">
        <f>IF(K790="","",VLOOKUP(K790,'PLAN SUPORTE'!$H$2:$I$4,2,0))</f>
        <v/>
      </c>
      <c r="M790" s="10"/>
      <c r="N790" s="10"/>
      <c r="O790" s="9" t="str">
        <f t="shared" si="82"/>
        <v/>
      </c>
      <c r="P790" s="10" t="str">
        <f t="shared" si="79"/>
        <v/>
      </c>
      <c r="Q790" s="6" t="str">
        <f t="shared" ca="1" si="80"/>
        <v/>
      </c>
      <c r="R790" s="8" t="str">
        <f t="shared" si="81"/>
        <v/>
      </c>
    </row>
    <row r="791" spans="1:18" ht="13">
      <c r="A791" s="8"/>
      <c r="B791" s="10"/>
      <c r="C791" s="10"/>
      <c r="D791" s="8"/>
      <c r="E791" s="8"/>
      <c r="F791" s="8" t="s">
        <v>1090</v>
      </c>
      <c r="G791" s="6" t="str">
        <f>IF(F791="","",VLOOKUP(F791,'PLAN SUPORTE'!A:B,2,0))</f>
        <v/>
      </c>
      <c r="H791" s="7"/>
      <c r="I791" s="8"/>
      <c r="J791" s="8"/>
      <c r="K791" s="8"/>
      <c r="L791" s="8" t="str">
        <f>IF(K791="","",VLOOKUP(K791,'PLAN SUPORTE'!$H$2:$I$4,2,0))</f>
        <v/>
      </c>
      <c r="M791" s="10"/>
      <c r="N791" s="10"/>
      <c r="O791" s="9" t="str">
        <f t="shared" si="82"/>
        <v/>
      </c>
      <c r="P791" s="10" t="str">
        <f t="shared" si="79"/>
        <v/>
      </c>
      <c r="Q791" s="6" t="str">
        <f t="shared" ca="1" si="80"/>
        <v/>
      </c>
      <c r="R791" s="8" t="str">
        <f t="shared" si="81"/>
        <v/>
      </c>
    </row>
    <row r="792" spans="1:18" ht="13">
      <c r="A792" s="8"/>
      <c r="B792" s="10"/>
      <c r="C792" s="10"/>
      <c r="D792" s="8"/>
      <c r="E792" s="8"/>
      <c r="F792" s="8" t="s">
        <v>1090</v>
      </c>
      <c r="G792" s="6" t="str">
        <f>IF(F792="","",VLOOKUP(F792,'PLAN SUPORTE'!A:B,2,0))</f>
        <v/>
      </c>
      <c r="H792" s="7"/>
      <c r="I792" s="8"/>
      <c r="J792" s="8"/>
      <c r="K792" s="8"/>
      <c r="L792" s="8" t="str">
        <f>IF(K792="","",VLOOKUP(K792,'PLAN SUPORTE'!$H$2:$I$4,2,0))</f>
        <v/>
      </c>
      <c r="M792" s="10"/>
      <c r="N792" s="10"/>
      <c r="O792" s="9" t="str">
        <f t="shared" si="82"/>
        <v/>
      </c>
      <c r="P792" s="10" t="str">
        <f t="shared" si="79"/>
        <v/>
      </c>
      <c r="Q792" s="6" t="str">
        <f t="shared" ca="1" si="80"/>
        <v/>
      </c>
      <c r="R792" s="8" t="str">
        <f t="shared" si="81"/>
        <v/>
      </c>
    </row>
    <row r="793" spans="1:18" ht="13">
      <c r="A793" s="8"/>
      <c r="B793" s="10"/>
      <c r="C793" s="10"/>
      <c r="D793" s="8"/>
      <c r="E793" s="8"/>
      <c r="F793" s="8" t="s">
        <v>1090</v>
      </c>
      <c r="G793" s="6" t="str">
        <f>IF(F793="","",VLOOKUP(F793,'PLAN SUPORTE'!A:B,2,0))</f>
        <v/>
      </c>
      <c r="H793" s="7"/>
      <c r="I793" s="8"/>
      <c r="J793" s="8"/>
      <c r="K793" s="8"/>
      <c r="L793" s="8" t="str">
        <f>IF(K793="","",VLOOKUP(K793,'PLAN SUPORTE'!$H$2:$I$4,2,0))</f>
        <v/>
      </c>
      <c r="M793" s="10"/>
      <c r="N793" s="10"/>
      <c r="O793" s="9" t="str">
        <f t="shared" si="82"/>
        <v/>
      </c>
      <c r="P793" s="10" t="str">
        <f t="shared" si="79"/>
        <v/>
      </c>
      <c r="Q793" s="6" t="str">
        <f t="shared" ca="1" si="80"/>
        <v/>
      </c>
      <c r="R793" s="8" t="str">
        <f t="shared" si="81"/>
        <v/>
      </c>
    </row>
    <row r="794" spans="1:18" ht="13">
      <c r="A794" s="8"/>
      <c r="B794" s="10"/>
      <c r="C794" s="10"/>
      <c r="D794" s="8"/>
      <c r="E794" s="8"/>
      <c r="F794" s="8" t="s">
        <v>1090</v>
      </c>
      <c r="G794" s="6" t="str">
        <f>IF(F794="","",VLOOKUP(F794,'PLAN SUPORTE'!A:B,2,0))</f>
        <v/>
      </c>
      <c r="H794" s="7"/>
      <c r="I794" s="8"/>
      <c r="J794" s="8"/>
      <c r="K794" s="8"/>
      <c r="L794" s="8" t="str">
        <f>IF(K794="","",VLOOKUP(K794,'PLAN SUPORTE'!$H$2:$I$4,2,0))</f>
        <v/>
      </c>
      <c r="M794" s="10"/>
      <c r="N794" s="10"/>
      <c r="O794" s="9" t="str">
        <f t="shared" si="82"/>
        <v/>
      </c>
      <c r="P794" s="10" t="str">
        <f t="shared" si="79"/>
        <v/>
      </c>
      <c r="Q794" s="6" t="str">
        <f t="shared" ca="1" si="80"/>
        <v/>
      </c>
      <c r="R794" s="8" t="str">
        <f t="shared" si="81"/>
        <v/>
      </c>
    </row>
    <row r="795" spans="1:18" ht="13">
      <c r="A795" s="8"/>
      <c r="B795" s="10"/>
      <c r="C795" s="10"/>
      <c r="D795" s="8"/>
      <c r="E795" s="8"/>
      <c r="F795" s="8" t="s">
        <v>1090</v>
      </c>
      <c r="G795" s="6" t="str">
        <f>IF(F795="","",VLOOKUP(F795,'PLAN SUPORTE'!A:B,2,0))</f>
        <v/>
      </c>
      <c r="H795" s="7"/>
      <c r="I795" s="8"/>
      <c r="J795" s="8"/>
      <c r="K795" s="8"/>
      <c r="L795" s="8" t="str">
        <f>IF(K795="","",VLOOKUP(K795,'PLAN SUPORTE'!$H$2:$I$4,2,0))</f>
        <v/>
      </c>
      <c r="M795" s="10"/>
      <c r="N795" s="10"/>
      <c r="O795" s="9" t="str">
        <f t="shared" si="82"/>
        <v/>
      </c>
      <c r="P795" s="10" t="str">
        <f t="shared" si="79"/>
        <v/>
      </c>
      <c r="Q795" s="6" t="str">
        <f t="shared" ca="1" si="80"/>
        <v/>
      </c>
      <c r="R795" s="8" t="str">
        <f t="shared" si="81"/>
        <v/>
      </c>
    </row>
    <row r="796" spans="1:18" ht="13">
      <c r="A796" s="8"/>
      <c r="B796" s="10"/>
      <c r="C796" s="10"/>
      <c r="D796" s="8"/>
      <c r="E796" s="8"/>
      <c r="F796" s="8" t="s">
        <v>1090</v>
      </c>
      <c r="G796" s="6" t="str">
        <f>IF(F796="","",VLOOKUP(F796,'PLAN SUPORTE'!A:B,2,0))</f>
        <v/>
      </c>
      <c r="H796" s="7"/>
      <c r="I796" s="8"/>
      <c r="J796" s="8"/>
      <c r="K796" s="8"/>
      <c r="L796" s="8" t="str">
        <f>IF(K796="","",VLOOKUP(K796,'PLAN SUPORTE'!$H$2:$I$4,2,0))</f>
        <v/>
      </c>
      <c r="M796" s="10"/>
      <c r="N796" s="10"/>
      <c r="O796" s="9" t="str">
        <f t="shared" si="82"/>
        <v/>
      </c>
      <c r="P796" s="10" t="str">
        <f t="shared" si="79"/>
        <v/>
      </c>
      <c r="Q796" s="6" t="str">
        <f t="shared" ca="1" si="80"/>
        <v/>
      </c>
      <c r="R796" s="8" t="str">
        <f t="shared" si="81"/>
        <v/>
      </c>
    </row>
    <row r="797" spans="1:18" ht="13">
      <c r="A797" s="8"/>
      <c r="B797" s="10"/>
      <c r="C797" s="10"/>
      <c r="D797" s="8"/>
      <c r="E797" s="8"/>
      <c r="F797" s="8" t="s">
        <v>1090</v>
      </c>
      <c r="G797" s="6" t="str">
        <f>IF(F797="","",VLOOKUP(F797,'PLAN SUPORTE'!A:B,2,0))</f>
        <v/>
      </c>
      <c r="H797" s="7"/>
      <c r="I797" s="8"/>
      <c r="J797" s="8"/>
      <c r="K797" s="8"/>
      <c r="L797" s="8" t="str">
        <f>IF(K797="","",VLOOKUP(K797,'PLAN SUPORTE'!$H$2:$I$4,2,0))</f>
        <v/>
      </c>
      <c r="M797" s="10"/>
      <c r="N797" s="10"/>
      <c r="O797" s="9" t="str">
        <f t="shared" si="82"/>
        <v/>
      </c>
      <c r="P797" s="10" t="str">
        <f t="shared" si="79"/>
        <v/>
      </c>
      <c r="Q797" s="6" t="str">
        <f t="shared" ca="1" si="80"/>
        <v/>
      </c>
      <c r="R797" s="8" t="str">
        <f t="shared" si="81"/>
        <v/>
      </c>
    </row>
    <row r="798" spans="1:18" ht="13">
      <c r="A798" s="8"/>
      <c r="B798" s="10"/>
      <c r="C798" s="10"/>
      <c r="D798" s="8"/>
      <c r="E798" s="8"/>
      <c r="F798" s="8" t="s">
        <v>1090</v>
      </c>
      <c r="G798" s="6" t="str">
        <f>IF(F798="","",VLOOKUP(F798,'PLAN SUPORTE'!A:B,2,0))</f>
        <v/>
      </c>
      <c r="H798" s="7"/>
      <c r="I798" s="8"/>
      <c r="J798" s="8"/>
      <c r="K798" s="8"/>
      <c r="L798" s="8" t="str">
        <f>IF(K798="","",VLOOKUP(K798,'PLAN SUPORTE'!$H$2:$I$4,2,0))</f>
        <v/>
      </c>
      <c r="M798" s="10"/>
      <c r="N798" s="10"/>
      <c r="O798" s="9" t="str">
        <f t="shared" si="82"/>
        <v/>
      </c>
      <c r="P798" s="10" t="str">
        <f t="shared" si="79"/>
        <v/>
      </c>
      <c r="Q798" s="6" t="str">
        <f t="shared" ca="1" si="80"/>
        <v/>
      </c>
      <c r="R798" s="8" t="str">
        <f t="shared" si="81"/>
        <v/>
      </c>
    </row>
    <row r="799" spans="1:18" ht="13">
      <c r="A799" s="8"/>
      <c r="B799" s="10"/>
      <c r="C799" s="10"/>
      <c r="D799" s="8"/>
      <c r="E799" s="8"/>
      <c r="F799" s="8" t="s">
        <v>1090</v>
      </c>
      <c r="G799" s="6" t="str">
        <f>IF(F799="","",VLOOKUP(F799,'PLAN SUPORTE'!A:B,2,0))</f>
        <v/>
      </c>
      <c r="H799" s="7"/>
      <c r="I799" s="8"/>
      <c r="J799" s="8"/>
      <c r="K799" s="8"/>
      <c r="L799" s="8" t="str">
        <f>IF(K799="","",VLOOKUP(K799,'PLAN SUPORTE'!$H$2:$I$4,2,0))</f>
        <v/>
      </c>
      <c r="M799" s="10"/>
      <c r="N799" s="10"/>
      <c r="O799" s="9" t="str">
        <f t="shared" si="82"/>
        <v/>
      </c>
      <c r="P799" s="10" t="str">
        <f t="shared" si="79"/>
        <v/>
      </c>
      <c r="Q799" s="6" t="str">
        <f t="shared" ca="1" si="80"/>
        <v/>
      </c>
      <c r="R799" s="8" t="str">
        <f t="shared" si="81"/>
        <v/>
      </c>
    </row>
    <row r="800" spans="1:18" ht="13">
      <c r="A800" s="8"/>
      <c r="B800" s="10"/>
      <c r="C800" s="10"/>
      <c r="D800" s="8"/>
      <c r="E800" s="8"/>
      <c r="F800" s="8" t="s">
        <v>1090</v>
      </c>
      <c r="G800" s="6" t="str">
        <f>IF(F800="","",VLOOKUP(F800,'PLAN SUPORTE'!A:B,2,0))</f>
        <v/>
      </c>
      <c r="H800" s="7"/>
      <c r="I800" s="8"/>
      <c r="J800" s="8"/>
      <c r="K800" s="8"/>
      <c r="L800" s="8" t="str">
        <f>IF(K800="","",VLOOKUP(K800,'PLAN SUPORTE'!$H$2:$I$4,2,0))</f>
        <v/>
      </c>
      <c r="M800" s="10"/>
      <c r="N800" s="10"/>
      <c r="O800" s="9" t="str">
        <f t="shared" si="82"/>
        <v/>
      </c>
      <c r="P800" s="10" t="str">
        <f t="shared" si="79"/>
        <v/>
      </c>
      <c r="Q800" s="6" t="str">
        <f t="shared" ca="1" si="80"/>
        <v/>
      </c>
      <c r="R800" s="8" t="str">
        <f t="shared" si="81"/>
        <v/>
      </c>
    </row>
    <row r="801" spans="1:18" ht="13">
      <c r="A801" s="8"/>
      <c r="B801" s="10"/>
      <c r="C801" s="10"/>
      <c r="D801" s="8"/>
      <c r="E801" s="8"/>
      <c r="F801" s="8" t="s">
        <v>1090</v>
      </c>
      <c r="G801" s="6" t="str">
        <f>IF(F801="","",VLOOKUP(F801,'PLAN SUPORTE'!A:B,2,0))</f>
        <v/>
      </c>
      <c r="H801" s="7"/>
      <c r="I801" s="8"/>
      <c r="J801" s="8"/>
      <c r="K801" s="8"/>
      <c r="L801" s="8" t="str">
        <f>IF(K801="","",VLOOKUP(K801,'PLAN SUPORTE'!$H$2:$I$4,2,0))</f>
        <v/>
      </c>
      <c r="M801" s="10"/>
      <c r="N801" s="10"/>
      <c r="O801" s="9" t="str">
        <f t="shared" si="82"/>
        <v/>
      </c>
      <c r="P801" s="10" t="str">
        <f t="shared" si="79"/>
        <v/>
      </c>
      <c r="Q801" s="6" t="str">
        <f t="shared" ca="1" si="80"/>
        <v/>
      </c>
      <c r="R801" s="8" t="str">
        <f t="shared" si="81"/>
        <v/>
      </c>
    </row>
    <row r="802" spans="1:18" ht="13">
      <c r="A802" s="8"/>
      <c r="B802" s="10"/>
      <c r="C802" s="10"/>
      <c r="D802" s="8"/>
      <c r="E802" s="8"/>
      <c r="F802" s="8" t="s">
        <v>1090</v>
      </c>
      <c r="G802" s="6" t="str">
        <f>IF(F802="","",VLOOKUP(F802,'PLAN SUPORTE'!A:B,2,0))</f>
        <v/>
      </c>
      <c r="H802" s="7"/>
      <c r="I802" s="8"/>
      <c r="J802" s="8"/>
      <c r="K802" s="8"/>
      <c r="L802" s="8" t="str">
        <f>IF(K802="","",VLOOKUP(K802,'PLAN SUPORTE'!$H$2:$I$4,2,0))</f>
        <v/>
      </c>
      <c r="M802" s="10"/>
      <c r="N802" s="10"/>
      <c r="O802" s="9" t="str">
        <f t="shared" si="82"/>
        <v/>
      </c>
      <c r="P802" s="10" t="str">
        <f t="shared" si="79"/>
        <v/>
      </c>
      <c r="Q802" s="6" t="str">
        <f t="shared" ca="1" si="80"/>
        <v/>
      </c>
      <c r="R802" s="8" t="str">
        <f t="shared" si="81"/>
        <v/>
      </c>
    </row>
    <row r="803" spans="1:18" ht="13">
      <c r="A803" s="8"/>
      <c r="B803" s="10"/>
      <c r="C803" s="10"/>
      <c r="D803" s="8"/>
      <c r="E803" s="8"/>
      <c r="F803" s="8" t="s">
        <v>1090</v>
      </c>
      <c r="G803" s="6" t="str">
        <f>IF(F803="","",VLOOKUP(F803,'PLAN SUPORTE'!A:B,2,0))</f>
        <v/>
      </c>
      <c r="H803" s="7"/>
      <c r="I803" s="8"/>
      <c r="J803" s="8"/>
      <c r="K803" s="8"/>
      <c r="L803" s="8" t="str">
        <f>IF(K803="","",VLOOKUP(K803,'PLAN SUPORTE'!$H$2:$I$4,2,0))</f>
        <v/>
      </c>
      <c r="M803" s="10"/>
      <c r="N803" s="10"/>
      <c r="O803" s="9" t="str">
        <f t="shared" si="82"/>
        <v/>
      </c>
      <c r="P803" s="10" t="str">
        <f t="shared" si="79"/>
        <v/>
      </c>
      <c r="Q803" s="6" t="str">
        <f t="shared" ca="1" si="80"/>
        <v/>
      </c>
      <c r="R803" s="8" t="str">
        <f t="shared" si="81"/>
        <v/>
      </c>
    </row>
    <row r="804" spans="1:18" ht="13">
      <c r="A804" s="8"/>
      <c r="B804" s="10"/>
      <c r="C804" s="10"/>
      <c r="D804" s="8"/>
      <c r="E804" s="8"/>
      <c r="F804" s="8" t="s">
        <v>1090</v>
      </c>
      <c r="G804" s="6" t="str">
        <f>IF(F804="","",VLOOKUP(F804,'PLAN SUPORTE'!A:B,2,0))</f>
        <v/>
      </c>
      <c r="H804" s="7"/>
      <c r="I804" s="8"/>
      <c r="J804" s="8"/>
      <c r="K804" s="8"/>
      <c r="L804" s="8" t="str">
        <f>IF(K804="","",VLOOKUP(K804,'PLAN SUPORTE'!$H$2:$I$4,2,0))</f>
        <v/>
      </c>
      <c r="M804" s="10"/>
      <c r="N804" s="10"/>
      <c r="O804" s="9" t="str">
        <f t="shared" si="82"/>
        <v/>
      </c>
      <c r="P804" s="10" t="str">
        <f t="shared" si="79"/>
        <v/>
      </c>
      <c r="Q804" s="6" t="str">
        <f t="shared" ca="1" si="80"/>
        <v/>
      </c>
      <c r="R804" s="8" t="str">
        <f t="shared" si="81"/>
        <v/>
      </c>
    </row>
    <row r="805" spans="1:18" ht="13">
      <c r="A805" s="8"/>
      <c r="B805" s="10"/>
      <c r="C805" s="10"/>
      <c r="D805" s="8"/>
      <c r="E805" s="8"/>
      <c r="F805" s="8" t="s">
        <v>1090</v>
      </c>
      <c r="G805" s="6" t="str">
        <f>IF(F805="","",VLOOKUP(F805,'PLAN SUPORTE'!A:B,2,0))</f>
        <v/>
      </c>
      <c r="H805" s="7"/>
      <c r="I805" s="8"/>
      <c r="J805" s="8"/>
      <c r="K805" s="8"/>
      <c r="L805" s="8" t="str">
        <f>IF(K805="","",VLOOKUP(K805,'PLAN SUPORTE'!$H$2:$I$4,2,0))</f>
        <v/>
      </c>
      <c r="M805" s="10"/>
      <c r="N805" s="10"/>
      <c r="O805" s="9" t="str">
        <f t="shared" si="82"/>
        <v/>
      </c>
      <c r="P805" s="10" t="str">
        <f t="shared" si="79"/>
        <v/>
      </c>
      <c r="Q805" s="6" t="str">
        <f t="shared" ca="1" si="80"/>
        <v/>
      </c>
      <c r="R805" s="8" t="str">
        <f t="shared" si="81"/>
        <v/>
      </c>
    </row>
    <row r="806" spans="1:18" ht="13">
      <c r="A806" s="8"/>
      <c r="B806" s="10"/>
      <c r="C806" s="10"/>
      <c r="D806" s="8"/>
      <c r="E806" s="8"/>
      <c r="F806" s="8" t="s">
        <v>1090</v>
      </c>
      <c r="G806" s="6" t="str">
        <f>IF(F806="","",VLOOKUP(F806,'PLAN SUPORTE'!A:B,2,0))</f>
        <v/>
      </c>
      <c r="H806" s="7"/>
      <c r="I806" s="8"/>
      <c r="J806" s="8"/>
      <c r="K806" s="8"/>
      <c r="L806" s="8" t="str">
        <f>IF(K806="","",VLOOKUP(K806,'PLAN SUPORTE'!$H$2:$I$4,2,0))</f>
        <v/>
      </c>
      <c r="M806" s="10"/>
      <c r="N806" s="10"/>
      <c r="O806" s="9" t="str">
        <f t="shared" si="82"/>
        <v/>
      </c>
      <c r="P806" s="10" t="str">
        <f t="shared" si="79"/>
        <v/>
      </c>
      <c r="Q806" s="6" t="str">
        <f t="shared" ca="1" si="80"/>
        <v/>
      </c>
      <c r="R806" s="8" t="str">
        <f t="shared" si="81"/>
        <v/>
      </c>
    </row>
    <row r="807" spans="1:18" ht="13">
      <c r="A807" s="8"/>
      <c r="B807" s="10"/>
      <c r="C807" s="10"/>
      <c r="D807" s="8"/>
      <c r="E807" s="8"/>
      <c r="F807" s="8" t="s">
        <v>1090</v>
      </c>
      <c r="G807" s="6" t="str">
        <f>IF(F807="","",VLOOKUP(F807,'PLAN SUPORTE'!A:B,2,0))</f>
        <v/>
      </c>
      <c r="H807" s="7"/>
      <c r="I807" s="8"/>
      <c r="J807" s="8"/>
      <c r="K807" s="8"/>
      <c r="L807" s="8" t="str">
        <f>IF(K807="","",VLOOKUP(K807,'PLAN SUPORTE'!$H$2:$I$4,2,0))</f>
        <v/>
      </c>
      <c r="M807" s="10"/>
      <c r="N807" s="10"/>
      <c r="O807" s="9" t="str">
        <f t="shared" si="82"/>
        <v/>
      </c>
      <c r="P807" s="10" t="str">
        <f t="shared" si="79"/>
        <v/>
      </c>
      <c r="Q807" s="6" t="str">
        <f t="shared" ca="1" si="80"/>
        <v/>
      </c>
      <c r="R807" s="8" t="str">
        <f t="shared" si="81"/>
        <v/>
      </c>
    </row>
    <row r="808" spans="1:18" ht="13">
      <c r="A808" s="8"/>
      <c r="B808" s="10"/>
      <c r="C808" s="10"/>
      <c r="D808" s="8"/>
      <c r="E808" s="8"/>
      <c r="F808" s="8" t="s">
        <v>1090</v>
      </c>
      <c r="G808" s="6" t="str">
        <f>IF(F808="","",VLOOKUP(F808,'PLAN SUPORTE'!A:B,2,0))</f>
        <v/>
      </c>
      <c r="H808" s="7"/>
      <c r="I808" s="8"/>
      <c r="J808" s="8"/>
      <c r="K808" s="8"/>
      <c r="L808" s="8" t="str">
        <f>IF(K808="","",VLOOKUP(K808,'PLAN SUPORTE'!$H$2:$I$4,2,0))</f>
        <v/>
      </c>
      <c r="M808" s="10"/>
      <c r="N808" s="10"/>
      <c r="O808" s="9" t="str">
        <f t="shared" si="82"/>
        <v/>
      </c>
      <c r="P808" s="10" t="str">
        <f t="shared" si="79"/>
        <v/>
      </c>
      <c r="Q808" s="6" t="str">
        <f t="shared" ca="1" si="80"/>
        <v/>
      </c>
      <c r="R808" s="8" t="str">
        <f t="shared" si="81"/>
        <v/>
      </c>
    </row>
    <row r="809" spans="1:18" ht="13">
      <c r="A809" s="8"/>
      <c r="B809" s="10"/>
      <c r="C809" s="10"/>
      <c r="D809" s="8"/>
      <c r="E809" s="8"/>
      <c r="F809" s="8" t="s">
        <v>1090</v>
      </c>
      <c r="G809" s="6" t="str">
        <f>IF(F809="","",VLOOKUP(F809,'PLAN SUPORTE'!A:B,2,0))</f>
        <v/>
      </c>
      <c r="H809" s="7"/>
      <c r="I809" s="8"/>
      <c r="J809" s="8"/>
      <c r="K809" s="8"/>
      <c r="L809" s="8" t="str">
        <f>IF(K809="","",VLOOKUP(K809,'PLAN SUPORTE'!$H$2:$I$4,2,0))</f>
        <v/>
      </c>
      <c r="M809" s="10"/>
      <c r="N809" s="10"/>
      <c r="O809" s="9" t="str">
        <f t="shared" si="82"/>
        <v/>
      </c>
      <c r="P809" s="10" t="str">
        <f t="shared" si="79"/>
        <v/>
      </c>
      <c r="Q809" s="6" t="str">
        <f t="shared" ca="1" si="80"/>
        <v/>
      </c>
      <c r="R809" s="8" t="str">
        <f t="shared" si="81"/>
        <v/>
      </c>
    </row>
    <row r="810" spans="1:18" ht="13">
      <c r="A810" s="8"/>
      <c r="B810" s="10"/>
      <c r="C810" s="10"/>
      <c r="D810" s="8"/>
      <c r="E810" s="8"/>
      <c r="F810" s="8" t="s">
        <v>1090</v>
      </c>
      <c r="G810" s="6" t="str">
        <f>IF(F810="","",VLOOKUP(F810,'PLAN SUPORTE'!A:B,2,0))</f>
        <v/>
      </c>
      <c r="H810" s="7"/>
      <c r="I810" s="8"/>
      <c r="J810" s="8"/>
      <c r="K810" s="8"/>
      <c r="L810" s="8" t="str">
        <f>IF(K810="","",VLOOKUP(K810,'PLAN SUPORTE'!$H$2:$I$4,2,0))</f>
        <v/>
      </c>
      <c r="M810" s="10"/>
      <c r="N810" s="10"/>
      <c r="O810" s="9" t="str">
        <f t="shared" si="82"/>
        <v/>
      </c>
      <c r="P810" s="10" t="str">
        <f t="shared" si="79"/>
        <v/>
      </c>
      <c r="Q810" s="6" t="str">
        <f t="shared" ca="1" si="80"/>
        <v/>
      </c>
      <c r="R810" s="8" t="str">
        <f t="shared" si="81"/>
        <v/>
      </c>
    </row>
    <row r="811" spans="1:18" ht="13">
      <c r="A811" s="8"/>
      <c r="B811" s="10"/>
      <c r="C811" s="10"/>
      <c r="D811" s="8"/>
      <c r="E811" s="8"/>
      <c r="F811" s="8" t="s">
        <v>1090</v>
      </c>
      <c r="G811" s="6" t="str">
        <f>IF(F811="","",VLOOKUP(F811,'PLAN SUPORTE'!A:B,2,0))</f>
        <v/>
      </c>
      <c r="H811" s="7"/>
      <c r="I811" s="8"/>
      <c r="J811" s="8"/>
      <c r="K811" s="8"/>
      <c r="L811" s="8" t="str">
        <f>IF(K811="","",VLOOKUP(K811,'PLAN SUPORTE'!$H$2:$I$4,2,0))</f>
        <v/>
      </c>
      <c r="M811" s="10"/>
      <c r="N811" s="10"/>
      <c r="O811" s="9" t="str">
        <f t="shared" si="82"/>
        <v/>
      </c>
      <c r="P811" s="10" t="str">
        <f t="shared" si="79"/>
        <v/>
      </c>
      <c r="Q811" s="6" t="str">
        <f t="shared" ca="1" si="80"/>
        <v/>
      </c>
      <c r="R811" s="8" t="str">
        <f t="shared" si="81"/>
        <v/>
      </c>
    </row>
    <row r="812" spans="1:18" ht="13">
      <c r="A812" s="8"/>
      <c r="B812" s="10"/>
      <c r="C812" s="10"/>
      <c r="D812" s="8"/>
      <c r="E812" s="8"/>
      <c r="F812" s="8" t="s">
        <v>1090</v>
      </c>
      <c r="G812" s="6" t="str">
        <f>IF(F812="","",VLOOKUP(F812,'PLAN SUPORTE'!A:B,2,0))</f>
        <v/>
      </c>
      <c r="H812" s="7"/>
      <c r="I812" s="8"/>
      <c r="J812" s="8"/>
      <c r="K812" s="8"/>
      <c r="L812" s="8" t="str">
        <f>IF(K812="","",VLOOKUP(K812,'PLAN SUPORTE'!$H$2:$I$4,2,0))</f>
        <v/>
      </c>
      <c r="M812" s="10"/>
      <c r="N812" s="10"/>
      <c r="O812" s="9" t="str">
        <f t="shared" si="82"/>
        <v/>
      </c>
      <c r="P812" s="10" t="str">
        <f t="shared" si="79"/>
        <v/>
      </c>
      <c r="Q812" s="6" t="str">
        <f t="shared" ca="1" si="80"/>
        <v/>
      </c>
      <c r="R812" s="8" t="str">
        <f t="shared" si="81"/>
        <v/>
      </c>
    </row>
    <row r="813" spans="1:18" ht="13">
      <c r="A813" s="8"/>
      <c r="B813" s="10"/>
      <c r="C813" s="10"/>
      <c r="D813" s="8"/>
      <c r="E813" s="8"/>
      <c r="F813" s="8" t="s">
        <v>1090</v>
      </c>
      <c r="G813" s="6" t="str">
        <f>IF(F813="","",VLOOKUP(F813,'PLAN SUPORTE'!A:B,2,0))</f>
        <v/>
      </c>
      <c r="H813" s="7"/>
      <c r="I813" s="8"/>
      <c r="J813" s="8"/>
      <c r="K813" s="8"/>
      <c r="L813" s="8" t="str">
        <f>IF(K813="","",VLOOKUP(K813,'PLAN SUPORTE'!$H$2:$I$4,2,0))</f>
        <v/>
      </c>
      <c r="M813" s="10"/>
      <c r="N813" s="10"/>
      <c r="O813" s="9" t="str">
        <f t="shared" si="82"/>
        <v/>
      </c>
      <c r="P813" s="10" t="str">
        <f t="shared" si="79"/>
        <v/>
      </c>
      <c r="Q813" s="6" t="str">
        <f t="shared" ca="1" si="80"/>
        <v/>
      </c>
      <c r="R813" s="8" t="str">
        <f t="shared" si="81"/>
        <v/>
      </c>
    </row>
    <row r="814" spans="1:18" ht="13">
      <c r="A814" s="8"/>
      <c r="B814" s="10"/>
      <c r="C814" s="10"/>
      <c r="D814" s="8"/>
      <c r="E814" s="8"/>
      <c r="F814" s="8" t="s">
        <v>1090</v>
      </c>
      <c r="G814" s="6" t="str">
        <f>IF(F814="","",VLOOKUP(F814,'PLAN SUPORTE'!A:B,2,0))</f>
        <v/>
      </c>
      <c r="H814" s="7"/>
      <c r="I814" s="8"/>
      <c r="J814" s="8"/>
      <c r="K814" s="8"/>
      <c r="L814" s="8" t="str">
        <f>IF(K814="","",VLOOKUP(K814,'PLAN SUPORTE'!$H$2:$I$4,2,0))</f>
        <v/>
      </c>
      <c r="M814" s="10"/>
      <c r="N814" s="10"/>
      <c r="O814" s="9" t="str">
        <f t="shared" si="82"/>
        <v/>
      </c>
      <c r="P814" s="10" t="str">
        <f t="shared" si="79"/>
        <v/>
      </c>
      <c r="Q814" s="6" t="str">
        <f t="shared" ca="1" si="80"/>
        <v/>
      </c>
      <c r="R814" s="8" t="str">
        <f t="shared" si="81"/>
        <v/>
      </c>
    </row>
    <row r="815" spans="1:18" ht="13">
      <c r="A815" s="8"/>
      <c r="B815" s="10"/>
      <c r="C815" s="10"/>
      <c r="D815" s="8"/>
      <c r="E815" s="8"/>
      <c r="F815" s="8" t="s">
        <v>1090</v>
      </c>
      <c r="G815" s="6" t="str">
        <f>IF(F815="","",VLOOKUP(F815,'PLAN SUPORTE'!A:B,2,0))</f>
        <v/>
      </c>
      <c r="H815" s="7"/>
      <c r="I815" s="8"/>
      <c r="J815" s="8"/>
      <c r="K815" s="8"/>
      <c r="L815" s="8" t="str">
        <f>IF(K815="","",VLOOKUP(K815,'PLAN SUPORTE'!$H$2:$I$4,2,0))</f>
        <v/>
      </c>
      <c r="M815" s="10"/>
      <c r="N815" s="10"/>
      <c r="O815" s="9" t="str">
        <f t="shared" si="82"/>
        <v/>
      </c>
      <c r="P815" s="10" t="str">
        <f t="shared" si="79"/>
        <v/>
      </c>
      <c r="Q815" s="6" t="str">
        <f t="shared" ca="1" si="80"/>
        <v/>
      </c>
      <c r="R815" s="8" t="str">
        <f t="shared" si="81"/>
        <v/>
      </c>
    </row>
    <row r="816" spans="1:18" ht="13">
      <c r="A816" s="8"/>
      <c r="B816" s="10"/>
      <c r="C816" s="10"/>
      <c r="D816" s="8"/>
      <c r="E816" s="8"/>
      <c r="F816" s="8" t="s">
        <v>1090</v>
      </c>
      <c r="G816" s="6" t="str">
        <f>IF(F816="","",VLOOKUP(F816,'PLAN SUPORTE'!A:B,2,0))</f>
        <v/>
      </c>
      <c r="H816" s="7"/>
      <c r="I816" s="8"/>
      <c r="J816" s="8"/>
      <c r="K816" s="8"/>
      <c r="L816" s="8" t="str">
        <f>IF(K816="","",VLOOKUP(K816,'PLAN SUPORTE'!$H$2:$I$4,2,0))</f>
        <v/>
      </c>
      <c r="M816" s="10"/>
      <c r="N816" s="10"/>
      <c r="O816" s="9" t="str">
        <f t="shared" si="82"/>
        <v/>
      </c>
      <c r="P816" s="10" t="str">
        <f t="shared" si="79"/>
        <v/>
      </c>
      <c r="Q816" s="6" t="str">
        <f t="shared" ca="1" si="80"/>
        <v/>
      </c>
      <c r="R816" s="8" t="str">
        <f t="shared" si="81"/>
        <v/>
      </c>
    </row>
    <row r="817" spans="1:18" ht="13">
      <c r="A817" s="8"/>
      <c r="B817" s="10"/>
      <c r="C817" s="10"/>
      <c r="D817" s="8"/>
      <c r="E817" s="8"/>
      <c r="F817" s="8" t="s">
        <v>1090</v>
      </c>
      <c r="G817" s="6" t="str">
        <f>IF(F817="","",VLOOKUP(F817,'PLAN SUPORTE'!A:B,2,0))</f>
        <v/>
      </c>
      <c r="H817" s="7"/>
      <c r="I817" s="8"/>
      <c r="J817" s="8"/>
      <c r="K817" s="8"/>
      <c r="L817" s="8" t="str">
        <f>IF(K817="","",VLOOKUP(K817,'PLAN SUPORTE'!$H$2:$I$4,2,0))</f>
        <v/>
      </c>
      <c r="M817" s="10"/>
      <c r="N817" s="10"/>
      <c r="O817" s="9" t="str">
        <f t="shared" si="82"/>
        <v/>
      </c>
      <c r="P817" s="10" t="str">
        <f t="shared" si="79"/>
        <v/>
      </c>
      <c r="Q817" s="6" t="str">
        <f t="shared" ca="1" si="80"/>
        <v/>
      </c>
      <c r="R817" s="8" t="str">
        <f t="shared" si="81"/>
        <v/>
      </c>
    </row>
    <row r="818" spans="1:18" ht="13">
      <c r="A818" s="8"/>
      <c r="B818" s="10"/>
      <c r="C818" s="10"/>
      <c r="D818" s="8"/>
      <c r="E818" s="8"/>
      <c r="F818" s="8" t="s">
        <v>1090</v>
      </c>
      <c r="G818" s="6" t="str">
        <f>IF(F818="","",VLOOKUP(F818,'PLAN SUPORTE'!A:B,2,0))</f>
        <v/>
      </c>
      <c r="H818" s="7"/>
      <c r="I818" s="8"/>
      <c r="J818" s="8"/>
      <c r="K818" s="8"/>
      <c r="L818" s="8" t="str">
        <f>IF(K818="","",VLOOKUP(K818,'PLAN SUPORTE'!$H$2:$I$4,2,0))</f>
        <v/>
      </c>
      <c r="M818" s="10"/>
      <c r="N818" s="10"/>
      <c r="O818" s="9" t="str">
        <f t="shared" si="82"/>
        <v/>
      </c>
      <c r="P818" s="10" t="str">
        <f t="shared" si="79"/>
        <v/>
      </c>
      <c r="Q818" s="6" t="str">
        <f t="shared" ca="1" si="80"/>
        <v/>
      </c>
      <c r="R818" s="8" t="str">
        <f t="shared" si="81"/>
        <v/>
      </c>
    </row>
    <row r="819" spans="1:18" ht="13">
      <c r="A819" s="8"/>
      <c r="B819" s="10"/>
      <c r="C819" s="10"/>
      <c r="D819" s="8"/>
      <c r="E819" s="8"/>
      <c r="F819" s="8" t="s">
        <v>1090</v>
      </c>
      <c r="G819" s="6" t="str">
        <f>IF(F819="","",VLOOKUP(F819,'PLAN SUPORTE'!A:B,2,0))</f>
        <v/>
      </c>
      <c r="H819" s="7"/>
      <c r="I819" s="8"/>
      <c r="J819" s="8"/>
      <c r="K819" s="8"/>
      <c r="L819" s="8" t="str">
        <f>IF(K819="","",VLOOKUP(K819,'PLAN SUPORTE'!$H$2:$I$4,2,0))</f>
        <v/>
      </c>
      <c r="M819" s="10"/>
      <c r="N819" s="10"/>
      <c r="O819" s="9" t="str">
        <f t="shared" si="82"/>
        <v/>
      </c>
      <c r="P819" s="10" t="str">
        <f t="shared" si="79"/>
        <v/>
      </c>
      <c r="Q819" s="6" t="str">
        <f t="shared" ca="1" si="80"/>
        <v/>
      </c>
      <c r="R819" s="8" t="str">
        <f t="shared" si="81"/>
        <v/>
      </c>
    </row>
    <row r="820" spans="1:18" ht="13">
      <c r="A820" s="8"/>
      <c r="B820" s="10"/>
      <c r="C820" s="10"/>
      <c r="D820" s="8"/>
      <c r="E820" s="8"/>
      <c r="F820" s="8" t="s">
        <v>1090</v>
      </c>
      <c r="G820" s="6" t="str">
        <f>IF(F820="","",VLOOKUP(F820,'PLAN SUPORTE'!A:B,2,0))</f>
        <v/>
      </c>
      <c r="H820" s="7"/>
      <c r="I820" s="8"/>
      <c r="J820" s="8"/>
      <c r="K820" s="8"/>
      <c r="L820" s="8" t="str">
        <f>IF(K820="","",VLOOKUP(K820,'PLAN SUPORTE'!$H$2:$I$4,2,0))</f>
        <v/>
      </c>
      <c r="M820" s="10"/>
      <c r="N820" s="10"/>
      <c r="O820" s="9" t="str">
        <f t="shared" si="82"/>
        <v/>
      </c>
      <c r="P820" s="10" t="str">
        <f t="shared" si="79"/>
        <v/>
      </c>
      <c r="Q820" s="6" t="str">
        <f t="shared" ca="1" si="80"/>
        <v/>
      </c>
      <c r="R820" s="8" t="str">
        <f t="shared" si="81"/>
        <v/>
      </c>
    </row>
    <row r="821" spans="1:18" ht="13">
      <c r="A821" s="8"/>
      <c r="B821" s="10"/>
      <c r="C821" s="10"/>
      <c r="D821" s="8"/>
      <c r="E821" s="8"/>
      <c r="F821" s="8" t="s">
        <v>1090</v>
      </c>
      <c r="G821" s="6" t="str">
        <f>IF(F821="","",VLOOKUP(F821,'PLAN SUPORTE'!A:B,2,0))</f>
        <v/>
      </c>
      <c r="H821" s="7"/>
      <c r="I821" s="8"/>
      <c r="J821" s="8"/>
      <c r="K821" s="8"/>
      <c r="L821" s="8" t="str">
        <f>IF(K821="","",VLOOKUP(K821,'PLAN SUPORTE'!$H$2:$I$4,2,0))</f>
        <v/>
      </c>
      <c r="M821" s="10"/>
      <c r="N821" s="10"/>
      <c r="O821" s="9" t="str">
        <f t="shared" si="82"/>
        <v/>
      </c>
      <c r="P821" s="10" t="str">
        <f t="shared" si="79"/>
        <v/>
      </c>
      <c r="Q821" s="6" t="str">
        <f t="shared" ca="1" si="80"/>
        <v/>
      </c>
      <c r="R821" s="8" t="str">
        <f t="shared" si="81"/>
        <v/>
      </c>
    </row>
    <row r="822" spans="1:18" ht="13">
      <c r="A822" s="8"/>
      <c r="B822" s="10"/>
      <c r="C822" s="10"/>
      <c r="D822" s="8"/>
      <c r="E822" s="8"/>
      <c r="F822" s="8" t="s">
        <v>1090</v>
      </c>
      <c r="G822" s="6" t="str">
        <f>IF(F822="","",VLOOKUP(F822,'PLAN SUPORTE'!A:B,2,0))</f>
        <v/>
      </c>
      <c r="H822" s="7"/>
      <c r="I822" s="8"/>
      <c r="J822" s="8"/>
      <c r="K822" s="8"/>
      <c r="L822" s="8" t="str">
        <f>IF(K822="","",VLOOKUP(K822,'PLAN SUPORTE'!$H$2:$I$4,2,0))</f>
        <v/>
      </c>
      <c r="M822" s="10"/>
      <c r="N822" s="10"/>
      <c r="O822" s="9" t="str">
        <f t="shared" si="82"/>
        <v/>
      </c>
      <c r="P822" s="10" t="str">
        <f t="shared" si="79"/>
        <v/>
      </c>
      <c r="Q822" s="6" t="str">
        <f t="shared" ca="1" si="80"/>
        <v/>
      </c>
      <c r="R822" s="8" t="str">
        <f t="shared" si="81"/>
        <v/>
      </c>
    </row>
    <row r="823" spans="1:18" ht="13">
      <c r="A823" s="8"/>
      <c r="B823" s="10"/>
      <c r="C823" s="10"/>
      <c r="D823" s="8"/>
      <c r="E823" s="8"/>
      <c r="F823" s="8" t="s">
        <v>1090</v>
      </c>
      <c r="G823" s="6" t="str">
        <f>IF(F823="","",VLOOKUP(F823,'PLAN SUPORTE'!A:B,2,0))</f>
        <v/>
      </c>
      <c r="H823" s="7"/>
      <c r="I823" s="8"/>
      <c r="J823" s="8"/>
      <c r="K823" s="8"/>
      <c r="L823" s="8" t="str">
        <f>IF(K823="","",VLOOKUP(K823,'PLAN SUPORTE'!$H$2:$I$4,2,0))</f>
        <v/>
      </c>
      <c r="M823" s="10"/>
      <c r="N823" s="10"/>
      <c r="O823" s="9" t="str">
        <f t="shared" si="82"/>
        <v/>
      </c>
      <c r="P823" s="10" t="str">
        <f t="shared" si="79"/>
        <v/>
      </c>
      <c r="Q823" s="6" t="str">
        <f t="shared" ca="1" si="80"/>
        <v/>
      </c>
      <c r="R823" s="8" t="str">
        <f t="shared" si="81"/>
        <v/>
      </c>
    </row>
    <row r="824" spans="1:18" ht="13">
      <c r="A824" s="8"/>
      <c r="B824" s="10"/>
      <c r="C824" s="10"/>
      <c r="D824" s="8"/>
      <c r="E824" s="8"/>
      <c r="F824" s="8" t="s">
        <v>1090</v>
      </c>
      <c r="G824" s="6" t="str">
        <f>IF(F824="","",VLOOKUP(F824,'PLAN SUPORTE'!A:B,2,0))</f>
        <v/>
      </c>
      <c r="H824" s="7"/>
      <c r="I824" s="8"/>
      <c r="J824" s="8"/>
      <c r="K824" s="8"/>
      <c r="L824" s="8" t="str">
        <f>IF(K824="","",VLOOKUP(K824,'PLAN SUPORTE'!$H$2:$I$4,2,0))</f>
        <v/>
      </c>
      <c r="M824" s="10"/>
      <c r="N824" s="10"/>
      <c r="O824" s="9" t="str">
        <f t="shared" si="82"/>
        <v/>
      </c>
      <c r="P824" s="10" t="str">
        <f t="shared" si="79"/>
        <v/>
      </c>
      <c r="Q824" s="6" t="str">
        <f t="shared" ca="1" si="80"/>
        <v/>
      </c>
      <c r="R824" s="8" t="str">
        <f t="shared" si="81"/>
        <v/>
      </c>
    </row>
    <row r="825" spans="1:18" ht="13">
      <c r="A825" s="8"/>
      <c r="B825" s="10"/>
      <c r="C825" s="10"/>
      <c r="D825" s="8"/>
      <c r="E825" s="8"/>
      <c r="F825" s="8" t="s">
        <v>1090</v>
      </c>
      <c r="G825" s="6" t="str">
        <f>IF(F825="","",VLOOKUP(F825,'PLAN SUPORTE'!A:B,2,0))</f>
        <v/>
      </c>
      <c r="H825" s="7"/>
      <c r="I825" s="8"/>
      <c r="J825" s="8"/>
      <c r="K825" s="8"/>
      <c r="L825" s="8" t="str">
        <f>IF(K825="","",VLOOKUP(K825,'PLAN SUPORTE'!$H$2:$I$4,2,0))</f>
        <v/>
      </c>
      <c r="M825" s="10"/>
      <c r="N825" s="10"/>
      <c r="O825" s="9" t="str">
        <f t="shared" si="82"/>
        <v/>
      </c>
      <c r="P825" s="10" t="str">
        <f t="shared" si="79"/>
        <v/>
      </c>
      <c r="Q825" s="6" t="str">
        <f t="shared" ca="1" si="80"/>
        <v/>
      </c>
      <c r="R825" s="8" t="str">
        <f t="shared" si="81"/>
        <v/>
      </c>
    </row>
    <row r="826" spans="1:18" ht="13">
      <c r="A826" s="8"/>
      <c r="B826" s="10"/>
      <c r="C826" s="10"/>
      <c r="D826" s="8"/>
      <c r="E826" s="8"/>
      <c r="F826" s="8" t="s">
        <v>1090</v>
      </c>
      <c r="G826" s="6" t="str">
        <f>IF(F826="","",VLOOKUP(F826,'PLAN SUPORTE'!A:B,2,0))</f>
        <v/>
      </c>
      <c r="H826" s="7"/>
      <c r="I826" s="8"/>
      <c r="J826" s="8"/>
      <c r="K826" s="8"/>
      <c r="L826" s="8" t="str">
        <f>IF(K826="","",VLOOKUP(K826,'PLAN SUPORTE'!$H$2:$I$4,2,0))</f>
        <v/>
      </c>
      <c r="M826" s="10"/>
      <c r="N826" s="10"/>
      <c r="O826" s="9" t="str">
        <f t="shared" si="82"/>
        <v/>
      </c>
      <c r="P826" s="10" t="str">
        <f t="shared" si="79"/>
        <v/>
      </c>
      <c r="Q826" s="6" t="str">
        <f t="shared" ca="1" si="80"/>
        <v/>
      </c>
      <c r="R826" s="8" t="str">
        <f t="shared" si="81"/>
        <v/>
      </c>
    </row>
    <row r="827" spans="1:18" ht="13">
      <c r="A827" s="8"/>
      <c r="B827" s="10"/>
      <c r="C827" s="10"/>
      <c r="D827" s="8"/>
      <c r="E827" s="8"/>
      <c r="F827" s="8" t="s">
        <v>1090</v>
      </c>
      <c r="G827" s="6" t="str">
        <f>IF(F827="","",VLOOKUP(F827,'PLAN SUPORTE'!A:B,2,0))</f>
        <v/>
      </c>
      <c r="H827" s="7"/>
      <c r="I827" s="8"/>
      <c r="J827" s="8"/>
      <c r="K827" s="8"/>
      <c r="L827" s="8" t="str">
        <f>IF(K827="","",VLOOKUP(K827,'PLAN SUPORTE'!$H$2:$I$4,2,0))</f>
        <v/>
      </c>
      <c r="M827" s="10"/>
      <c r="N827" s="10"/>
      <c r="O827" s="9" t="str">
        <f t="shared" si="82"/>
        <v/>
      </c>
      <c r="P827" s="10" t="str">
        <f t="shared" si="79"/>
        <v/>
      </c>
      <c r="Q827" s="6" t="str">
        <f t="shared" ca="1" si="80"/>
        <v/>
      </c>
      <c r="R827" s="8" t="str">
        <f t="shared" si="81"/>
        <v/>
      </c>
    </row>
    <row r="828" spans="1:18" ht="13">
      <c r="A828" s="8"/>
      <c r="B828" s="10"/>
      <c r="C828" s="10"/>
      <c r="D828" s="8"/>
      <c r="E828" s="8"/>
      <c r="F828" s="8" t="s">
        <v>1090</v>
      </c>
      <c r="G828" s="6" t="str">
        <f>IF(F828="","",VLOOKUP(F828,'PLAN SUPORTE'!A:B,2,0))</f>
        <v/>
      </c>
      <c r="H828" s="7"/>
      <c r="I828" s="8"/>
      <c r="J828" s="8"/>
      <c r="K828" s="8"/>
      <c r="L828" s="8" t="str">
        <f>IF(K828="","",VLOOKUP(K828,'PLAN SUPORTE'!$H$2:$I$4,2,0))</f>
        <v/>
      </c>
      <c r="M828" s="10"/>
      <c r="N828" s="10"/>
      <c r="O828" s="9" t="str">
        <f t="shared" si="82"/>
        <v/>
      </c>
      <c r="P828" s="10" t="str">
        <f t="shared" si="79"/>
        <v/>
      </c>
      <c r="Q828" s="6" t="str">
        <f t="shared" ca="1" si="80"/>
        <v/>
      </c>
      <c r="R828" s="8" t="str">
        <f t="shared" si="81"/>
        <v/>
      </c>
    </row>
    <row r="829" spans="1:18" ht="13">
      <c r="A829" s="8"/>
      <c r="B829" s="10"/>
      <c r="C829" s="10"/>
      <c r="D829" s="8"/>
      <c r="E829" s="8"/>
      <c r="F829" s="8" t="s">
        <v>1090</v>
      </c>
      <c r="G829" s="6" t="str">
        <f>IF(F829="","",VLOOKUP(F829,'PLAN SUPORTE'!A:B,2,0))</f>
        <v/>
      </c>
      <c r="H829" s="7"/>
      <c r="I829" s="8"/>
      <c r="J829" s="8"/>
      <c r="K829" s="8"/>
      <c r="L829" s="8" t="str">
        <f>IF(K829="","",VLOOKUP(K829,'PLAN SUPORTE'!$H$2:$I$4,2,0))</f>
        <v/>
      </c>
      <c r="M829" s="10"/>
      <c r="N829" s="10"/>
      <c r="O829" s="9" t="str">
        <f t="shared" si="82"/>
        <v/>
      </c>
      <c r="P829" s="10" t="str">
        <f t="shared" si="79"/>
        <v/>
      </c>
      <c r="Q829" s="6" t="str">
        <f t="shared" ca="1" si="80"/>
        <v/>
      </c>
      <c r="R829" s="8" t="str">
        <f t="shared" si="81"/>
        <v/>
      </c>
    </row>
    <row r="830" spans="1:18" ht="13">
      <c r="A830" s="8"/>
      <c r="B830" s="10"/>
      <c r="C830" s="10"/>
      <c r="D830" s="8"/>
      <c r="E830" s="8"/>
      <c r="F830" s="8" t="s">
        <v>1090</v>
      </c>
      <c r="G830" s="6" t="str">
        <f>IF(F830="","",VLOOKUP(F830,'PLAN SUPORTE'!A:B,2,0))</f>
        <v/>
      </c>
      <c r="H830" s="7"/>
      <c r="I830" s="8"/>
      <c r="J830" s="8"/>
      <c r="K830" s="8"/>
      <c r="L830" s="8" t="str">
        <f>IF(K830="","",VLOOKUP(K830,'PLAN SUPORTE'!$H$2:$I$4,2,0))</f>
        <v/>
      </c>
      <c r="M830" s="10"/>
      <c r="N830" s="10"/>
      <c r="O830" s="9" t="str">
        <f t="shared" si="82"/>
        <v/>
      </c>
      <c r="P830" s="10" t="str">
        <f t="shared" si="79"/>
        <v/>
      </c>
      <c r="Q830" s="6" t="str">
        <f t="shared" ca="1" si="80"/>
        <v/>
      </c>
      <c r="R830" s="8" t="str">
        <f t="shared" si="81"/>
        <v/>
      </c>
    </row>
    <row r="831" spans="1:18" ht="13">
      <c r="A831" s="8"/>
      <c r="B831" s="10"/>
      <c r="C831" s="10"/>
      <c r="D831" s="8"/>
      <c r="E831" s="8"/>
      <c r="F831" s="8" t="s">
        <v>1090</v>
      </c>
      <c r="G831" s="6" t="str">
        <f>IF(F831="","",VLOOKUP(F831,'PLAN SUPORTE'!A:B,2,0))</f>
        <v/>
      </c>
      <c r="H831" s="7"/>
      <c r="I831" s="8"/>
      <c r="J831" s="8"/>
      <c r="K831" s="8"/>
      <c r="L831" s="8" t="str">
        <f>IF(K831="","",VLOOKUP(K831,'PLAN SUPORTE'!$H$2:$I$4,2,0))</f>
        <v/>
      </c>
      <c r="M831" s="10"/>
      <c r="N831" s="10"/>
      <c r="O831" s="9" t="str">
        <f t="shared" si="82"/>
        <v/>
      </c>
      <c r="P831" s="10" t="str">
        <f t="shared" si="79"/>
        <v/>
      </c>
      <c r="Q831" s="6" t="str">
        <f t="shared" ca="1" si="80"/>
        <v/>
      </c>
      <c r="R831" s="8" t="str">
        <f t="shared" si="81"/>
        <v/>
      </c>
    </row>
    <row r="832" spans="1:18" ht="13">
      <c r="A832" s="8"/>
      <c r="B832" s="10"/>
      <c r="C832" s="10"/>
      <c r="D832" s="8"/>
      <c r="E832" s="8"/>
      <c r="F832" s="8" t="s">
        <v>1090</v>
      </c>
      <c r="G832" s="6" t="str">
        <f>IF(F832="","",VLOOKUP(F832,'PLAN SUPORTE'!A:B,2,0))</f>
        <v/>
      </c>
      <c r="H832" s="7"/>
      <c r="I832" s="8"/>
      <c r="J832" s="8"/>
      <c r="K832" s="8"/>
      <c r="L832" s="8" t="str">
        <f>IF(K832="","",VLOOKUP(K832,'PLAN SUPORTE'!$H$2:$I$4,2,0))</f>
        <v/>
      </c>
      <c r="M832" s="10"/>
      <c r="N832" s="10"/>
      <c r="O832" s="9" t="str">
        <f t="shared" si="82"/>
        <v/>
      </c>
      <c r="P832" s="10" t="str">
        <f t="shared" si="79"/>
        <v/>
      </c>
      <c r="Q832" s="6" t="str">
        <f t="shared" ca="1" si="80"/>
        <v/>
      </c>
      <c r="R832" s="8" t="str">
        <f t="shared" si="81"/>
        <v/>
      </c>
    </row>
    <row r="833" spans="1:18" ht="13">
      <c r="A833" s="8"/>
      <c r="B833" s="10"/>
      <c r="C833" s="10"/>
      <c r="D833" s="8"/>
      <c r="E833" s="8"/>
      <c r="F833" s="8" t="s">
        <v>1090</v>
      </c>
      <c r="G833" s="6" t="str">
        <f>IF(F833="","",VLOOKUP(F833,'PLAN SUPORTE'!A:B,2,0))</f>
        <v/>
      </c>
      <c r="H833" s="7"/>
      <c r="I833" s="8"/>
      <c r="J833" s="8"/>
      <c r="K833" s="8"/>
      <c r="L833" s="8" t="str">
        <f>IF(K833="","",VLOOKUP(K833,'PLAN SUPORTE'!$H$2:$I$4,2,0))</f>
        <v/>
      </c>
      <c r="M833" s="10"/>
      <c r="N833" s="10"/>
      <c r="O833" s="9" t="str">
        <f t="shared" si="82"/>
        <v/>
      </c>
      <c r="P833" s="10" t="str">
        <f t="shared" si="79"/>
        <v/>
      </c>
      <c r="Q833" s="6" t="str">
        <f t="shared" ca="1" si="80"/>
        <v/>
      </c>
      <c r="R833" s="8" t="str">
        <f t="shared" si="81"/>
        <v/>
      </c>
    </row>
    <row r="834" spans="1:18" ht="13">
      <c r="A834" s="8"/>
      <c r="B834" s="10"/>
      <c r="C834" s="10"/>
      <c r="D834" s="8"/>
      <c r="E834" s="8"/>
      <c r="F834" s="8" t="s">
        <v>1090</v>
      </c>
      <c r="G834" s="6" t="str">
        <f>IF(F834="","",VLOOKUP(F834,'PLAN SUPORTE'!A:B,2,0))</f>
        <v/>
      </c>
      <c r="H834" s="7"/>
      <c r="I834" s="8"/>
      <c r="J834" s="8"/>
      <c r="K834" s="8"/>
      <c r="L834" s="8" t="str">
        <f>IF(K834="","",VLOOKUP(K834,'PLAN SUPORTE'!$H$2:$I$4,2,0))</f>
        <v/>
      </c>
      <c r="M834" s="10"/>
      <c r="N834" s="10"/>
      <c r="O834" s="9" t="str">
        <f t="shared" si="82"/>
        <v/>
      </c>
      <c r="P834" s="10" t="str">
        <f t="shared" si="79"/>
        <v/>
      </c>
      <c r="Q834" s="6" t="str">
        <f t="shared" ca="1" si="80"/>
        <v/>
      </c>
      <c r="R834" s="8" t="str">
        <f t="shared" si="81"/>
        <v/>
      </c>
    </row>
    <row r="835" spans="1:18" ht="13">
      <c r="A835" s="8"/>
      <c r="B835" s="10"/>
      <c r="C835" s="10"/>
      <c r="D835" s="8"/>
      <c r="E835" s="8"/>
      <c r="F835" s="8" t="s">
        <v>1090</v>
      </c>
      <c r="G835" s="6" t="str">
        <f>IF(F835="","",VLOOKUP(F835,'PLAN SUPORTE'!A:B,2,0))</f>
        <v/>
      </c>
      <c r="H835" s="7"/>
      <c r="I835" s="8"/>
      <c r="J835" s="8"/>
      <c r="K835" s="8"/>
      <c r="L835" s="8" t="str">
        <f>IF(K835="","",VLOOKUP(K835,'PLAN SUPORTE'!$H$2:$I$4,2,0))</f>
        <v/>
      </c>
      <c r="M835" s="10"/>
      <c r="N835" s="10"/>
      <c r="O835" s="9" t="str">
        <f t="shared" si="82"/>
        <v/>
      </c>
      <c r="P835" s="10" t="str">
        <f t="shared" si="79"/>
        <v/>
      </c>
      <c r="Q835" s="6" t="str">
        <f t="shared" ca="1" si="80"/>
        <v/>
      </c>
      <c r="R835" s="8" t="str">
        <f t="shared" si="81"/>
        <v/>
      </c>
    </row>
    <row r="836" spans="1:18" ht="13">
      <c r="A836" s="8"/>
      <c r="B836" s="10"/>
      <c r="C836" s="10"/>
      <c r="D836" s="8"/>
      <c r="E836" s="8"/>
      <c r="F836" s="8" t="s">
        <v>1090</v>
      </c>
      <c r="G836" s="6" t="str">
        <f>IF(F836="","",VLOOKUP(F836,'PLAN SUPORTE'!A:B,2,0))</f>
        <v/>
      </c>
      <c r="H836" s="7"/>
      <c r="I836" s="8"/>
      <c r="J836" s="8"/>
      <c r="K836" s="8"/>
      <c r="L836" s="8" t="str">
        <f>IF(K836="","",VLOOKUP(K836,'PLAN SUPORTE'!$H$2:$I$4,2,0))</f>
        <v/>
      </c>
      <c r="M836" s="10"/>
      <c r="N836" s="10"/>
      <c r="O836" s="9" t="str">
        <f t="shared" si="82"/>
        <v/>
      </c>
      <c r="P836" s="10" t="str">
        <f t="shared" si="79"/>
        <v/>
      </c>
      <c r="Q836" s="6" t="str">
        <f t="shared" ca="1" si="80"/>
        <v/>
      </c>
      <c r="R836" s="8" t="str">
        <f t="shared" si="81"/>
        <v/>
      </c>
    </row>
    <row r="837" spans="1:18" ht="13">
      <c r="A837" s="8"/>
      <c r="B837" s="10"/>
      <c r="C837" s="10"/>
      <c r="D837" s="8"/>
      <c r="E837" s="8"/>
      <c r="F837" s="8" t="s">
        <v>1090</v>
      </c>
      <c r="G837" s="6" t="str">
        <f>IF(F837="","",VLOOKUP(F837,'PLAN SUPORTE'!A:B,2,0))</f>
        <v/>
      </c>
      <c r="H837" s="7"/>
      <c r="I837" s="8"/>
      <c r="J837" s="8"/>
      <c r="K837" s="8"/>
      <c r="L837" s="8" t="str">
        <f>IF(K837="","",VLOOKUP(K837,'PLAN SUPORTE'!$H$2:$I$4,2,0))</f>
        <v/>
      </c>
      <c r="M837" s="10"/>
      <c r="N837" s="10"/>
      <c r="O837" s="9" t="str">
        <f t="shared" si="82"/>
        <v/>
      </c>
      <c r="P837" s="10" t="str">
        <f t="shared" si="79"/>
        <v/>
      </c>
      <c r="Q837" s="6" t="str">
        <f t="shared" ca="1" si="80"/>
        <v/>
      </c>
      <c r="R837" s="8" t="str">
        <f t="shared" si="81"/>
        <v/>
      </c>
    </row>
    <row r="838" spans="1:18" ht="13">
      <c r="A838" s="8"/>
      <c r="B838" s="10"/>
      <c r="C838" s="10"/>
      <c r="D838" s="8"/>
      <c r="E838" s="8"/>
      <c r="F838" s="8" t="s">
        <v>1090</v>
      </c>
      <c r="G838" s="6" t="str">
        <f>IF(F838="","",VLOOKUP(F838,'PLAN SUPORTE'!A:B,2,0))</f>
        <v/>
      </c>
      <c r="H838" s="7"/>
      <c r="I838" s="8"/>
      <c r="J838" s="8"/>
      <c r="K838" s="8"/>
      <c r="L838" s="8" t="str">
        <f>IF(K838="","",VLOOKUP(K838,'PLAN SUPORTE'!$H$2:$I$4,2,0))</f>
        <v/>
      </c>
      <c r="M838" s="10"/>
      <c r="N838" s="10"/>
      <c r="O838" s="9" t="str">
        <f t="shared" si="82"/>
        <v/>
      </c>
      <c r="P838" s="10" t="str">
        <f t="shared" si="79"/>
        <v/>
      </c>
      <c r="Q838" s="6" t="str">
        <f t="shared" ca="1" si="80"/>
        <v/>
      </c>
      <c r="R838" s="8" t="str">
        <f t="shared" si="81"/>
        <v/>
      </c>
    </row>
    <row r="839" spans="1:18" ht="13">
      <c r="A839" s="8"/>
      <c r="B839" s="10"/>
      <c r="C839" s="10"/>
      <c r="D839" s="8"/>
      <c r="E839" s="8"/>
      <c r="F839" s="8" t="s">
        <v>1090</v>
      </c>
      <c r="G839" s="6" t="str">
        <f>IF(F839="","",VLOOKUP(F839,'PLAN SUPORTE'!A:B,2,0))</f>
        <v/>
      </c>
      <c r="H839" s="7"/>
      <c r="I839" s="8"/>
      <c r="J839" s="8"/>
      <c r="K839" s="8"/>
      <c r="L839" s="8" t="str">
        <f>IF(K839="","",VLOOKUP(K839,'PLAN SUPORTE'!$H$2:$I$4,2,0))</f>
        <v/>
      </c>
      <c r="M839" s="10"/>
      <c r="N839" s="10"/>
      <c r="O839" s="9" t="str">
        <f t="shared" si="82"/>
        <v/>
      </c>
      <c r="P839" s="10" t="str">
        <f t="shared" si="79"/>
        <v/>
      </c>
      <c r="Q839" s="6" t="str">
        <f t="shared" ca="1" si="80"/>
        <v/>
      </c>
      <c r="R839" s="8" t="str">
        <f t="shared" si="81"/>
        <v/>
      </c>
    </row>
    <row r="840" spans="1:18" ht="13">
      <c r="A840" s="8"/>
      <c r="B840" s="10"/>
      <c r="C840" s="10"/>
      <c r="D840" s="8"/>
      <c r="E840" s="8"/>
      <c r="F840" s="8" t="s">
        <v>1090</v>
      </c>
      <c r="G840" s="6" t="str">
        <f>IF(F840="","",VLOOKUP(F840,'PLAN SUPORTE'!A:B,2,0))</f>
        <v/>
      </c>
      <c r="H840" s="7"/>
      <c r="I840" s="8"/>
      <c r="J840" s="8"/>
      <c r="K840" s="8"/>
      <c r="L840" s="8" t="str">
        <f>IF(K840="","",VLOOKUP(K840,'PLAN SUPORTE'!$H$2:$I$4,2,0))</f>
        <v/>
      </c>
      <c r="M840" s="10"/>
      <c r="N840" s="10"/>
      <c r="O840" s="9" t="str">
        <f t="shared" si="82"/>
        <v/>
      </c>
      <c r="P840" s="10" t="str">
        <f t="shared" si="79"/>
        <v/>
      </c>
      <c r="Q840" s="6" t="str">
        <f t="shared" ca="1" si="80"/>
        <v/>
      </c>
      <c r="R840" s="8" t="str">
        <f t="shared" si="81"/>
        <v/>
      </c>
    </row>
    <row r="841" spans="1:18" ht="13">
      <c r="A841" s="8"/>
      <c r="B841" s="10"/>
      <c r="C841" s="10"/>
      <c r="D841" s="8"/>
      <c r="E841" s="8"/>
      <c r="F841" s="8" t="s">
        <v>1090</v>
      </c>
      <c r="G841" s="6" t="str">
        <f>IF(F841="","",VLOOKUP(F841,'PLAN SUPORTE'!A:B,2,0))</f>
        <v/>
      </c>
      <c r="H841" s="7"/>
      <c r="I841" s="8"/>
      <c r="J841" s="8"/>
      <c r="K841" s="8"/>
      <c r="L841" s="8" t="str">
        <f>IF(K841="","",VLOOKUP(K841,'PLAN SUPORTE'!$H$2:$I$4,2,0))</f>
        <v/>
      </c>
      <c r="M841" s="10"/>
      <c r="N841" s="10"/>
      <c r="O841" s="9" t="str">
        <f t="shared" si="82"/>
        <v/>
      </c>
      <c r="P841" s="10" t="str">
        <f t="shared" si="79"/>
        <v/>
      </c>
      <c r="Q841" s="6" t="str">
        <f t="shared" ca="1" si="80"/>
        <v/>
      </c>
      <c r="R841" s="8" t="str">
        <f t="shared" si="81"/>
        <v/>
      </c>
    </row>
    <row r="842" spans="1:18" ht="13">
      <c r="A842" s="8"/>
      <c r="B842" s="10"/>
      <c r="C842" s="10"/>
      <c r="D842" s="8"/>
      <c r="E842" s="8"/>
      <c r="F842" s="8" t="s">
        <v>1090</v>
      </c>
      <c r="G842" s="6" t="str">
        <f>IF(F842="","",VLOOKUP(F842,'PLAN SUPORTE'!A:B,2,0))</f>
        <v/>
      </c>
      <c r="H842" s="7"/>
      <c r="I842" s="8"/>
      <c r="J842" s="8"/>
      <c r="K842" s="8"/>
      <c r="L842" s="8" t="str">
        <f>IF(K842="","",VLOOKUP(K842,'PLAN SUPORTE'!$H$2:$I$4,2,0))</f>
        <v/>
      </c>
      <c r="M842" s="10"/>
      <c r="N842" s="10"/>
      <c r="O842" s="9" t="str">
        <f t="shared" si="82"/>
        <v/>
      </c>
      <c r="P842" s="10" t="str">
        <f t="shared" si="79"/>
        <v/>
      </c>
      <c r="Q842" s="6" t="str">
        <f t="shared" ca="1" si="80"/>
        <v/>
      </c>
      <c r="R842" s="8" t="str">
        <f t="shared" si="81"/>
        <v/>
      </c>
    </row>
    <row r="843" spans="1:18" ht="13">
      <c r="A843" s="8"/>
      <c r="B843" s="10"/>
      <c r="C843" s="10"/>
      <c r="D843" s="8"/>
      <c r="E843" s="8"/>
      <c r="F843" s="8" t="s">
        <v>1090</v>
      </c>
      <c r="G843" s="6" t="str">
        <f>IF(F843="","",VLOOKUP(F843,'PLAN SUPORTE'!A:B,2,0))</f>
        <v/>
      </c>
      <c r="H843" s="7"/>
      <c r="I843" s="8"/>
      <c r="J843" s="8"/>
      <c r="K843" s="8"/>
      <c r="L843" s="8" t="str">
        <f>IF(K843="","",VLOOKUP(K843,'PLAN SUPORTE'!$H$2:$I$4,2,0))</f>
        <v/>
      </c>
      <c r="M843" s="10"/>
      <c r="N843" s="10"/>
      <c r="O843" s="9" t="str">
        <f t="shared" si="82"/>
        <v/>
      </c>
      <c r="P843" s="10" t="str">
        <f t="shared" si="79"/>
        <v/>
      </c>
      <c r="Q843" s="6" t="str">
        <f t="shared" ca="1" si="80"/>
        <v/>
      </c>
      <c r="R843" s="8" t="str">
        <f t="shared" si="81"/>
        <v/>
      </c>
    </row>
    <row r="844" spans="1:18" ht="13">
      <c r="A844" s="8"/>
      <c r="B844" s="10"/>
      <c r="C844" s="10"/>
      <c r="D844" s="8"/>
      <c r="E844" s="8"/>
      <c r="F844" s="8" t="s">
        <v>1090</v>
      </c>
      <c r="G844" s="6" t="str">
        <f>IF(F844="","",VLOOKUP(F844,'PLAN SUPORTE'!A:B,2,0))</f>
        <v/>
      </c>
      <c r="H844" s="7"/>
      <c r="I844" s="8"/>
      <c r="J844" s="8"/>
      <c r="K844" s="8"/>
      <c r="L844" s="8" t="str">
        <f>IF(K844="","",VLOOKUP(K844,'PLAN SUPORTE'!$H$2:$I$4,2,0))</f>
        <v/>
      </c>
      <c r="M844" s="10"/>
      <c r="N844" s="10"/>
      <c r="O844" s="9" t="str">
        <f t="shared" si="82"/>
        <v/>
      </c>
      <c r="P844" s="10" t="str">
        <f t="shared" si="79"/>
        <v/>
      </c>
      <c r="Q844" s="6" t="str">
        <f t="shared" ca="1" si="80"/>
        <v/>
      </c>
      <c r="R844" s="8" t="str">
        <f t="shared" si="81"/>
        <v/>
      </c>
    </row>
    <row r="845" spans="1:18" ht="13">
      <c r="A845" s="8"/>
      <c r="B845" s="10"/>
      <c r="C845" s="10"/>
      <c r="D845" s="8"/>
      <c r="E845" s="8"/>
      <c r="F845" s="8" t="s">
        <v>1090</v>
      </c>
      <c r="G845" s="6" t="str">
        <f>IF(F845="","",VLOOKUP(F845,'PLAN SUPORTE'!A:B,2,0))</f>
        <v/>
      </c>
      <c r="H845" s="7"/>
      <c r="I845" s="8"/>
      <c r="J845" s="8"/>
      <c r="K845" s="8"/>
      <c r="L845" s="8" t="str">
        <f>IF(K845="","",VLOOKUP(K845,'PLAN SUPORTE'!$H$2:$I$4,2,0))</f>
        <v/>
      </c>
      <c r="M845" s="10"/>
      <c r="N845" s="10"/>
      <c r="O845" s="9" t="str">
        <f t="shared" si="82"/>
        <v/>
      </c>
      <c r="P845" s="10" t="str">
        <f t="shared" si="79"/>
        <v/>
      </c>
      <c r="Q845" s="6" t="str">
        <f t="shared" ca="1" si="80"/>
        <v/>
      </c>
      <c r="R845" s="8" t="str">
        <f t="shared" si="81"/>
        <v/>
      </c>
    </row>
    <row r="846" spans="1:18" ht="13">
      <c r="A846" s="8"/>
      <c r="B846" s="10"/>
      <c r="C846" s="10"/>
      <c r="D846" s="8"/>
      <c r="E846" s="8"/>
      <c r="F846" s="8" t="s">
        <v>1090</v>
      </c>
      <c r="G846" s="6" t="str">
        <f>IF(F846="","",VLOOKUP(F846,'PLAN SUPORTE'!A:B,2,0))</f>
        <v/>
      </c>
      <c r="H846" s="7"/>
      <c r="I846" s="8"/>
      <c r="J846" s="8"/>
      <c r="K846" s="8"/>
      <c r="L846" s="8" t="str">
        <f>IF(K846="","",VLOOKUP(K846,'PLAN SUPORTE'!$H$2:$I$4,2,0))</f>
        <v/>
      </c>
      <c r="M846" s="10"/>
      <c r="N846" s="10"/>
      <c r="O846" s="9" t="str">
        <f t="shared" si="82"/>
        <v/>
      </c>
      <c r="P846" s="10" t="str">
        <f t="shared" si="79"/>
        <v/>
      </c>
      <c r="Q846" s="6" t="str">
        <f t="shared" ca="1" si="80"/>
        <v/>
      </c>
      <c r="R846" s="8" t="str">
        <f t="shared" si="81"/>
        <v/>
      </c>
    </row>
    <row r="847" spans="1:18" ht="13">
      <c r="A847" s="8"/>
      <c r="B847" s="10"/>
      <c r="C847" s="10"/>
      <c r="D847" s="8"/>
      <c r="E847" s="8"/>
      <c r="F847" s="8" t="s">
        <v>1090</v>
      </c>
      <c r="G847" s="6" t="str">
        <f>IF(F847="","",VLOOKUP(F847,'PLAN SUPORTE'!A:B,2,0))</f>
        <v/>
      </c>
      <c r="H847" s="7"/>
      <c r="I847" s="8"/>
      <c r="J847" s="8"/>
      <c r="K847" s="8"/>
      <c r="L847" s="8" t="str">
        <f>IF(K847="","",VLOOKUP(K847,'PLAN SUPORTE'!$H$2:$I$4,2,0))</f>
        <v/>
      </c>
      <c r="M847" s="10"/>
      <c r="N847" s="10"/>
      <c r="O847" s="9" t="str">
        <f t="shared" si="82"/>
        <v/>
      </c>
      <c r="P847" s="10" t="str">
        <f t="shared" si="79"/>
        <v/>
      </c>
      <c r="Q847" s="6" t="str">
        <f t="shared" ca="1" si="80"/>
        <v/>
      </c>
      <c r="R847" s="8" t="str">
        <f t="shared" si="81"/>
        <v/>
      </c>
    </row>
    <row r="848" spans="1:18" ht="13">
      <c r="A848" s="8"/>
      <c r="B848" s="10"/>
      <c r="C848" s="10"/>
      <c r="D848" s="8"/>
      <c r="E848" s="8"/>
      <c r="F848" s="8" t="s">
        <v>1090</v>
      </c>
      <c r="G848" s="6" t="str">
        <f>IF(F848="","",VLOOKUP(F848,'PLAN SUPORTE'!A:B,2,0))</f>
        <v/>
      </c>
      <c r="H848" s="7"/>
      <c r="I848" s="8"/>
      <c r="J848" s="8"/>
      <c r="K848" s="8"/>
      <c r="L848" s="8" t="str">
        <f>IF(K848="","",VLOOKUP(K848,'PLAN SUPORTE'!$H$2:$I$4,2,0))</f>
        <v/>
      </c>
      <c r="M848" s="10"/>
      <c r="N848" s="10"/>
      <c r="O848" s="9" t="str">
        <f t="shared" si="82"/>
        <v/>
      </c>
      <c r="P848" s="10" t="str">
        <f t="shared" si="79"/>
        <v/>
      </c>
      <c r="Q848" s="6" t="str">
        <f t="shared" ca="1" si="80"/>
        <v/>
      </c>
      <c r="R848" s="8" t="str">
        <f t="shared" si="81"/>
        <v/>
      </c>
    </row>
    <row r="849" spans="1:18" ht="13">
      <c r="A849" s="8"/>
      <c r="B849" s="10"/>
      <c r="C849" s="10"/>
      <c r="D849" s="8"/>
      <c r="E849" s="8"/>
      <c r="F849" s="8" t="s">
        <v>1090</v>
      </c>
      <c r="G849" s="6" t="str">
        <f>IF(F849="","",VLOOKUP(F849,'PLAN SUPORTE'!A:B,2,0))</f>
        <v/>
      </c>
      <c r="H849" s="7"/>
      <c r="I849" s="8"/>
      <c r="J849" s="8"/>
      <c r="K849" s="8"/>
      <c r="L849" s="8" t="str">
        <f>IF(K849="","",VLOOKUP(K849,'PLAN SUPORTE'!$H$2:$I$4,2,0))</f>
        <v/>
      </c>
      <c r="M849" s="10"/>
      <c r="N849" s="10"/>
      <c r="O849" s="9" t="str">
        <f t="shared" si="82"/>
        <v/>
      </c>
      <c r="P849" s="10" t="str">
        <f t="shared" si="79"/>
        <v/>
      </c>
      <c r="Q849" s="6" t="str">
        <f t="shared" ca="1" si="80"/>
        <v/>
      </c>
      <c r="R849" s="8" t="str">
        <f t="shared" si="81"/>
        <v/>
      </c>
    </row>
    <row r="850" spans="1:18" ht="13">
      <c r="A850" s="8"/>
      <c r="B850" s="10"/>
      <c r="C850" s="10"/>
      <c r="D850" s="8"/>
      <c r="E850" s="8"/>
      <c r="F850" s="8" t="s">
        <v>1090</v>
      </c>
      <c r="G850" s="6" t="str">
        <f>IF(F850="","",VLOOKUP(F850,'PLAN SUPORTE'!A:B,2,0))</f>
        <v/>
      </c>
      <c r="H850" s="7"/>
      <c r="I850" s="8"/>
      <c r="J850" s="8"/>
      <c r="K850" s="8"/>
      <c r="L850" s="8" t="str">
        <f>IF(K850="","",VLOOKUP(K850,'PLAN SUPORTE'!$H$2:$I$4,2,0))</f>
        <v/>
      </c>
      <c r="M850" s="10"/>
      <c r="N850" s="10"/>
      <c r="O850" s="9" t="str">
        <f t="shared" si="82"/>
        <v/>
      </c>
      <c r="P850" s="10" t="str">
        <f t="shared" si="79"/>
        <v/>
      </c>
      <c r="Q850" s="6" t="str">
        <f t="shared" ca="1" si="80"/>
        <v/>
      </c>
      <c r="R850" s="8" t="str">
        <f t="shared" si="81"/>
        <v/>
      </c>
    </row>
    <row r="851" spans="1:18" ht="13">
      <c r="A851" s="8"/>
      <c r="B851" s="10"/>
      <c r="C851" s="10"/>
      <c r="D851" s="8"/>
      <c r="E851" s="8"/>
      <c r="F851" s="8" t="s">
        <v>1090</v>
      </c>
      <c r="G851" s="6" t="str">
        <f>IF(F851="","",VLOOKUP(F851,'PLAN SUPORTE'!A:B,2,0))</f>
        <v/>
      </c>
      <c r="H851" s="7"/>
      <c r="I851" s="8"/>
      <c r="J851" s="8"/>
      <c r="K851" s="8"/>
      <c r="L851" s="8" t="str">
        <f>IF(K851="","",VLOOKUP(K851,'PLAN SUPORTE'!$H$2:$I$4,2,0))</f>
        <v/>
      </c>
      <c r="M851" s="10"/>
      <c r="N851" s="10"/>
      <c r="O851" s="9" t="str">
        <f t="shared" si="82"/>
        <v/>
      </c>
      <c r="P851" s="10" t="str">
        <f t="shared" si="79"/>
        <v/>
      </c>
      <c r="Q851" s="6" t="str">
        <f t="shared" ca="1" si="80"/>
        <v/>
      </c>
      <c r="R851" s="8" t="str">
        <f t="shared" si="81"/>
        <v/>
      </c>
    </row>
    <row r="852" spans="1:18" ht="13">
      <c r="A852" s="8"/>
      <c r="B852" s="10"/>
      <c r="C852" s="10"/>
      <c r="D852" s="8"/>
      <c r="E852" s="8"/>
      <c r="F852" s="8" t="s">
        <v>1090</v>
      </c>
      <c r="G852" s="6" t="str">
        <f>IF(F852="","",VLOOKUP(F852,'PLAN SUPORTE'!A:B,2,0))</f>
        <v/>
      </c>
      <c r="H852" s="7"/>
      <c r="I852" s="8"/>
      <c r="J852" s="8"/>
      <c r="K852" s="8"/>
      <c r="L852" s="8" t="str">
        <f>IF(K852="","",VLOOKUP(K852,'PLAN SUPORTE'!$H$2:$I$4,2,0))</f>
        <v/>
      </c>
      <c r="M852" s="10"/>
      <c r="N852" s="10"/>
      <c r="O852" s="9" t="str">
        <f t="shared" si="82"/>
        <v/>
      </c>
      <c r="P852" s="10" t="str">
        <f t="shared" si="79"/>
        <v/>
      </c>
      <c r="Q852" s="6" t="str">
        <f t="shared" ca="1" si="80"/>
        <v/>
      </c>
      <c r="R852" s="8" t="str">
        <f t="shared" si="81"/>
        <v/>
      </c>
    </row>
    <row r="853" spans="1:18" ht="13">
      <c r="A853" s="8"/>
      <c r="B853" s="10"/>
      <c r="C853" s="10"/>
      <c r="D853" s="8"/>
      <c r="E853" s="8"/>
      <c r="F853" s="8" t="s">
        <v>1090</v>
      </c>
      <c r="G853" s="6" t="str">
        <f>IF(F853="","",VLOOKUP(F853,'PLAN SUPORTE'!A:B,2,0))</f>
        <v/>
      </c>
      <c r="H853" s="7"/>
      <c r="I853" s="8"/>
      <c r="J853" s="8"/>
      <c r="K853" s="8"/>
      <c r="L853" s="8" t="str">
        <f>IF(K853="","",VLOOKUP(K853,'PLAN SUPORTE'!$H$2:$I$4,2,0))</f>
        <v/>
      </c>
      <c r="M853" s="10"/>
      <c r="N853" s="10"/>
      <c r="O853" s="9" t="str">
        <f t="shared" si="82"/>
        <v/>
      </c>
      <c r="P853" s="10" t="str">
        <f t="shared" si="79"/>
        <v/>
      </c>
      <c r="Q853" s="6" t="str">
        <f t="shared" ca="1" si="80"/>
        <v/>
      </c>
      <c r="R853" s="8" t="str">
        <f t="shared" si="81"/>
        <v/>
      </c>
    </row>
    <row r="854" spans="1:18" ht="13">
      <c r="A854" s="8"/>
      <c r="B854" s="10"/>
      <c r="C854" s="10"/>
      <c r="D854" s="8"/>
      <c r="E854" s="8"/>
      <c r="F854" s="8" t="s">
        <v>1090</v>
      </c>
      <c r="G854" s="6" t="str">
        <f>IF(F854="","",VLOOKUP(F854,'PLAN SUPORTE'!A:B,2,0))</f>
        <v/>
      </c>
      <c r="H854" s="7"/>
      <c r="I854" s="8"/>
      <c r="J854" s="8"/>
      <c r="K854" s="8"/>
      <c r="L854" s="8" t="str">
        <f>IF(K854="","",VLOOKUP(K854,'PLAN SUPORTE'!$H$2:$I$4,2,0))</f>
        <v/>
      </c>
      <c r="M854" s="10"/>
      <c r="N854" s="10"/>
      <c r="O854" s="9" t="str">
        <f t="shared" si="82"/>
        <v/>
      </c>
      <c r="P854" s="10" t="str">
        <f t="shared" si="79"/>
        <v/>
      </c>
      <c r="Q854" s="6" t="str">
        <f t="shared" ca="1" si="80"/>
        <v/>
      </c>
      <c r="R854" s="8" t="str">
        <f t="shared" si="81"/>
        <v/>
      </c>
    </row>
    <row r="855" spans="1:18" ht="13">
      <c r="A855" s="8"/>
      <c r="B855" s="10"/>
      <c r="C855" s="10"/>
      <c r="D855" s="8"/>
      <c r="E855" s="8"/>
      <c r="F855" s="8" t="s">
        <v>1090</v>
      </c>
      <c r="G855" s="6" t="str">
        <f>IF(F855="","",VLOOKUP(F855,'PLAN SUPORTE'!A:B,2,0))</f>
        <v/>
      </c>
      <c r="H855" s="7"/>
      <c r="I855" s="8"/>
      <c r="J855" s="8"/>
      <c r="K855" s="8"/>
      <c r="L855" s="8" t="str">
        <f>IF(K855="","",VLOOKUP(K855,'PLAN SUPORTE'!$H$2:$I$4,2,0))</f>
        <v/>
      </c>
      <c r="M855" s="10"/>
      <c r="N855" s="10"/>
      <c r="O855" s="9" t="str">
        <f t="shared" si="82"/>
        <v/>
      </c>
      <c r="P855" s="10" t="str">
        <f t="shared" si="79"/>
        <v/>
      </c>
      <c r="Q855" s="6" t="str">
        <f t="shared" ca="1" si="80"/>
        <v/>
      </c>
      <c r="R855" s="8" t="str">
        <f t="shared" si="81"/>
        <v/>
      </c>
    </row>
    <row r="856" spans="1:18" ht="13">
      <c r="A856" s="8"/>
      <c r="B856" s="10"/>
      <c r="C856" s="10"/>
      <c r="D856" s="8"/>
      <c r="E856" s="8"/>
      <c r="F856" s="8" t="s">
        <v>1090</v>
      </c>
      <c r="G856" s="6" t="str">
        <f>IF(F856="","",VLOOKUP(F856,'PLAN SUPORTE'!A:B,2,0))</f>
        <v/>
      </c>
      <c r="H856" s="7"/>
      <c r="I856" s="8"/>
      <c r="J856" s="8"/>
      <c r="K856" s="8"/>
      <c r="L856" s="8" t="str">
        <f>IF(K856="","",VLOOKUP(K856,'PLAN SUPORTE'!$H$2:$I$4,2,0))</f>
        <v/>
      </c>
      <c r="M856" s="10"/>
      <c r="N856" s="10"/>
      <c r="O856" s="9" t="str">
        <f t="shared" si="82"/>
        <v/>
      </c>
      <c r="P856" s="10" t="str">
        <f t="shared" si="79"/>
        <v/>
      </c>
      <c r="Q856" s="6" t="str">
        <f t="shared" ca="1" si="80"/>
        <v/>
      </c>
      <c r="R856" s="8" t="str">
        <f t="shared" si="81"/>
        <v/>
      </c>
    </row>
    <row r="857" spans="1:18" ht="13">
      <c r="A857" s="8"/>
      <c r="B857" s="10"/>
      <c r="C857" s="10"/>
      <c r="D857" s="8"/>
      <c r="E857" s="8"/>
      <c r="F857" s="8" t="s">
        <v>1090</v>
      </c>
      <c r="G857" s="6" t="str">
        <f>IF(F857="","",VLOOKUP(F857,'PLAN SUPORTE'!A:B,2,0))</f>
        <v/>
      </c>
      <c r="H857" s="7"/>
      <c r="I857" s="8"/>
      <c r="J857" s="8"/>
      <c r="K857" s="8"/>
      <c r="L857" s="8" t="str">
        <f>IF(K857="","",VLOOKUP(K857,'PLAN SUPORTE'!$H$2:$I$4,2,0))</f>
        <v/>
      </c>
      <c r="M857" s="10"/>
      <c r="N857" s="10"/>
      <c r="O857" s="9" t="str">
        <f t="shared" si="82"/>
        <v/>
      </c>
      <c r="P857" s="10" t="str">
        <f t="shared" si="79"/>
        <v/>
      </c>
      <c r="Q857" s="6" t="str">
        <f t="shared" ca="1" si="80"/>
        <v/>
      </c>
      <c r="R857" s="8" t="str">
        <f t="shared" si="81"/>
        <v/>
      </c>
    </row>
    <row r="858" spans="1:18" ht="13">
      <c r="A858" s="8"/>
      <c r="B858" s="10"/>
      <c r="C858" s="10"/>
      <c r="D858" s="8"/>
      <c r="E858" s="8"/>
      <c r="F858" s="8" t="s">
        <v>1090</v>
      </c>
      <c r="G858" s="6" t="str">
        <f>IF(F858="","",VLOOKUP(F858,'PLAN SUPORTE'!A:B,2,0))</f>
        <v/>
      </c>
      <c r="H858" s="7"/>
      <c r="I858" s="8"/>
      <c r="J858" s="8"/>
      <c r="K858" s="8"/>
      <c r="L858" s="8" t="str">
        <f>IF(K858="","",VLOOKUP(K858,'PLAN SUPORTE'!$H$2:$I$4,2,0))</f>
        <v/>
      </c>
      <c r="M858" s="10"/>
      <c r="N858" s="10"/>
      <c r="O858" s="9" t="str">
        <f t="shared" si="82"/>
        <v/>
      </c>
      <c r="P858" s="10" t="str">
        <f t="shared" si="79"/>
        <v/>
      </c>
      <c r="Q858" s="6" t="str">
        <f t="shared" ca="1" si="80"/>
        <v/>
      </c>
      <c r="R858" s="8" t="str">
        <f t="shared" si="81"/>
        <v/>
      </c>
    </row>
    <row r="859" spans="1:18" ht="13">
      <c r="A859" s="8"/>
      <c r="B859" s="10"/>
      <c r="C859" s="10"/>
      <c r="D859" s="8"/>
      <c r="E859" s="8"/>
      <c r="F859" s="8" t="s">
        <v>1090</v>
      </c>
      <c r="G859" s="6" t="str">
        <f>IF(F859="","",VLOOKUP(F859,'PLAN SUPORTE'!A:B,2,0))</f>
        <v/>
      </c>
      <c r="H859" s="7"/>
      <c r="I859" s="8"/>
      <c r="J859" s="8"/>
      <c r="K859" s="8"/>
      <c r="L859" s="8" t="str">
        <f>IF(K859="","",VLOOKUP(K859,'PLAN SUPORTE'!$H$2:$I$4,2,0))</f>
        <v/>
      </c>
      <c r="M859" s="10"/>
      <c r="N859" s="10"/>
      <c r="O859" s="9" t="str">
        <f t="shared" si="82"/>
        <v/>
      </c>
      <c r="P859" s="10" t="str">
        <f t="shared" si="79"/>
        <v/>
      </c>
      <c r="Q859" s="6" t="str">
        <f t="shared" ca="1" si="80"/>
        <v/>
      </c>
      <c r="R859" s="8" t="str">
        <f t="shared" si="81"/>
        <v/>
      </c>
    </row>
    <row r="860" spans="1:18" ht="13">
      <c r="A860" s="8"/>
      <c r="B860" s="10"/>
      <c r="C860" s="10"/>
      <c r="D860" s="8"/>
      <c r="E860" s="8"/>
      <c r="F860" s="8" t="s">
        <v>1090</v>
      </c>
      <c r="G860" s="6" t="str">
        <f>IF(F860="","",VLOOKUP(F860,'PLAN SUPORTE'!A:B,2,0))</f>
        <v/>
      </c>
      <c r="H860" s="7"/>
      <c r="I860" s="8"/>
      <c r="J860" s="8"/>
      <c r="K860" s="8"/>
      <c r="L860" s="8" t="str">
        <f>IF(K860="","",VLOOKUP(K860,'PLAN SUPORTE'!$H$2:$I$4,2,0))</f>
        <v/>
      </c>
      <c r="M860" s="10"/>
      <c r="N860" s="10"/>
      <c r="O860" s="9" t="str">
        <f t="shared" si="82"/>
        <v/>
      </c>
      <c r="P860" s="10" t="str">
        <f t="shared" si="79"/>
        <v/>
      </c>
      <c r="Q860" s="6" t="str">
        <f t="shared" ca="1" si="80"/>
        <v/>
      </c>
      <c r="R860" s="8" t="str">
        <f t="shared" si="81"/>
        <v/>
      </c>
    </row>
    <row r="861" spans="1:18" ht="13">
      <c r="A861" s="8"/>
      <c r="B861" s="10"/>
      <c r="C861" s="10"/>
      <c r="D861" s="8"/>
      <c r="E861" s="8"/>
      <c r="F861" s="8" t="s">
        <v>1090</v>
      </c>
      <c r="G861" s="6" t="str">
        <f>IF(F861="","",VLOOKUP(F861,'PLAN SUPORTE'!A:B,2,0))</f>
        <v/>
      </c>
      <c r="H861" s="7"/>
      <c r="I861" s="8"/>
      <c r="J861" s="8"/>
      <c r="K861" s="8"/>
      <c r="L861" s="8" t="str">
        <f>IF(K861="","",VLOOKUP(K861,'PLAN SUPORTE'!$H$2:$I$4,2,0))</f>
        <v/>
      </c>
      <c r="M861" s="10"/>
      <c r="N861" s="10"/>
      <c r="O861" s="9" t="str">
        <f t="shared" si="82"/>
        <v/>
      </c>
      <c r="P861" s="10" t="str">
        <f t="shared" si="79"/>
        <v/>
      </c>
      <c r="Q861" s="6" t="str">
        <f t="shared" ca="1" si="80"/>
        <v/>
      </c>
      <c r="R861" s="8" t="str">
        <f t="shared" si="81"/>
        <v/>
      </c>
    </row>
    <row r="862" spans="1:18" ht="13">
      <c r="A862" s="8"/>
      <c r="B862" s="10"/>
      <c r="C862" s="10"/>
      <c r="D862" s="8"/>
      <c r="E862" s="8"/>
      <c r="F862" s="8" t="s">
        <v>1090</v>
      </c>
      <c r="G862" s="6" t="str">
        <f>IF(F862="","",VLOOKUP(F862,'PLAN SUPORTE'!A:B,2,0))</f>
        <v/>
      </c>
      <c r="H862" s="7"/>
      <c r="I862" s="8"/>
      <c r="J862" s="8"/>
      <c r="K862" s="8"/>
      <c r="L862" s="8" t="str">
        <f>IF(K862="","",VLOOKUP(K862,'PLAN SUPORTE'!$H$2:$I$4,2,0))</f>
        <v/>
      </c>
      <c r="M862" s="10"/>
      <c r="N862" s="10"/>
      <c r="O862" s="9" t="str">
        <f t="shared" si="82"/>
        <v/>
      </c>
      <c r="P862" s="10" t="str">
        <f t="shared" si="79"/>
        <v/>
      </c>
      <c r="Q862" s="6" t="str">
        <f t="shared" ca="1" si="80"/>
        <v/>
      </c>
      <c r="R862" s="8" t="str">
        <f t="shared" si="81"/>
        <v/>
      </c>
    </row>
    <row r="863" spans="1:18" ht="13">
      <c r="A863" s="8"/>
      <c r="B863" s="10"/>
      <c r="C863" s="10"/>
      <c r="D863" s="8"/>
      <c r="E863" s="8"/>
      <c r="F863" s="8" t="s">
        <v>1090</v>
      </c>
      <c r="G863" s="6" t="str">
        <f>IF(F863="","",VLOOKUP(F863,'PLAN SUPORTE'!A:B,2,0))</f>
        <v/>
      </c>
      <c r="H863" s="7"/>
      <c r="I863" s="8"/>
      <c r="J863" s="8"/>
      <c r="K863" s="8"/>
      <c r="L863" s="8" t="str">
        <f>IF(K863="","",VLOOKUP(K863,'PLAN SUPORTE'!$H$2:$I$4,2,0))</f>
        <v/>
      </c>
      <c r="M863" s="10"/>
      <c r="N863" s="10"/>
      <c r="O863" s="9" t="str">
        <f t="shared" si="82"/>
        <v/>
      </c>
      <c r="P863" s="10" t="str">
        <f t="shared" si="79"/>
        <v/>
      </c>
      <c r="Q863" s="6" t="str">
        <f t="shared" ca="1" si="80"/>
        <v/>
      </c>
      <c r="R863" s="8" t="str">
        <f t="shared" si="81"/>
        <v/>
      </c>
    </row>
    <row r="864" spans="1:18" ht="13">
      <c r="A864" s="8"/>
      <c r="B864" s="10"/>
      <c r="C864" s="10"/>
      <c r="D864" s="8"/>
      <c r="E864" s="8"/>
      <c r="F864" s="8" t="s">
        <v>1090</v>
      </c>
      <c r="G864" s="6" t="str">
        <f>IF(F864="","",VLOOKUP(F864,'PLAN SUPORTE'!A:B,2,0))</f>
        <v/>
      </c>
      <c r="H864" s="7"/>
      <c r="I864" s="8"/>
      <c r="J864" s="8"/>
      <c r="K864" s="8"/>
      <c r="L864" s="8" t="str">
        <f>IF(K864="","",VLOOKUP(K864,'PLAN SUPORTE'!$H$2:$I$4,2,0))</f>
        <v/>
      </c>
      <c r="M864" s="10"/>
      <c r="N864" s="10"/>
      <c r="O864" s="9" t="str">
        <f t="shared" si="82"/>
        <v/>
      </c>
      <c r="P864" s="10" t="str">
        <f t="shared" si="79"/>
        <v/>
      </c>
      <c r="Q864" s="6" t="str">
        <f t="shared" ca="1" si="80"/>
        <v/>
      </c>
      <c r="R864" s="8" t="str">
        <f t="shared" si="81"/>
        <v/>
      </c>
    </row>
    <row r="865" spans="1:18" ht="13">
      <c r="A865" s="8"/>
      <c r="B865" s="10"/>
      <c r="C865" s="10"/>
      <c r="D865" s="8"/>
      <c r="E865" s="8"/>
      <c r="F865" s="8" t="s">
        <v>1090</v>
      </c>
      <c r="G865" s="6" t="str">
        <f>IF(F865="","",VLOOKUP(F865,'PLAN SUPORTE'!A:B,2,0))</f>
        <v/>
      </c>
      <c r="H865" s="7"/>
      <c r="I865" s="8"/>
      <c r="J865" s="8"/>
      <c r="K865" s="8"/>
      <c r="L865" s="8" t="str">
        <f>IF(K865="","",VLOOKUP(K865,'PLAN SUPORTE'!$H$2:$I$4,2,0))</f>
        <v/>
      </c>
      <c r="M865" s="10"/>
      <c r="N865" s="10"/>
      <c r="O865" s="9" t="str">
        <f t="shared" si="82"/>
        <v/>
      </c>
      <c r="P865" s="10" t="str">
        <f t="shared" si="79"/>
        <v/>
      </c>
      <c r="Q865" s="6" t="str">
        <f t="shared" ca="1" si="80"/>
        <v/>
      </c>
      <c r="R865" s="8" t="str">
        <f t="shared" si="81"/>
        <v/>
      </c>
    </row>
    <row r="866" spans="1:18" ht="13">
      <c r="A866" s="8"/>
      <c r="B866" s="10"/>
      <c r="C866" s="10"/>
      <c r="D866" s="8"/>
      <c r="E866" s="8"/>
      <c r="F866" s="8" t="s">
        <v>1090</v>
      </c>
      <c r="G866" s="6" t="str">
        <f>IF(F866="","",VLOOKUP(F866,'PLAN SUPORTE'!A:B,2,0))</f>
        <v/>
      </c>
      <c r="H866" s="7"/>
      <c r="I866" s="8"/>
      <c r="J866" s="8"/>
      <c r="K866" s="8"/>
      <c r="L866" s="8" t="str">
        <f>IF(K866="","",VLOOKUP(K866,'PLAN SUPORTE'!$H$2:$I$4,2,0))</f>
        <v/>
      </c>
      <c r="M866" s="10"/>
      <c r="N866" s="10"/>
      <c r="O866" s="9" t="str">
        <f t="shared" si="82"/>
        <v/>
      </c>
      <c r="P866" s="10" t="str">
        <f t="shared" si="79"/>
        <v/>
      </c>
      <c r="Q866" s="6" t="str">
        <f t="shared" ca="1" si="80"/>
        <v/>
      </c>
      <c r="R866" s="8" t="str">
        <f t="shared" si="81"/>
        <v/>
      </c>
    </row>
    <row r="867" spans="1:18" ht="13">
      <c r="A867" s="8"/>
      <c r="B867" s="10"/>
      <c r="C867" s="10"/>
      <c r="D867" s="8"/>
      <c r="E867" s="8"/>
      <c r="F867" s="8" t="s">
        <v>1090</v>
      </c>
      <c r="G867" s="6" t="str">
        <f>IF(F867="","",VLOOKUP(F867,'PLAN SUPORTE'!A:B,2,0))</f>
        <v/>
      </c>
      <c r="H867" s="7"/>
      <c r="I867" s="8"/>
      <c r="J867" s="8"/>
      <c r="K867" s="8"/>
      <c r="L867" s="8" t="str">
        <f>IF(K867="","",VLOOKUP(K867,'PLAN SUPORTE'!$H$2:$I$4,2,0))</f>
        <v/>
      </c>
      <c r="M867" s="10"/>
      <c r="N867" s="10"/>
      <c r="O867" s="9" t="str">
        <f t="shared" si="82"/>
        <v/>
      </c>
      <c r="P867" s="10" t="str">
        <f t="shared" si="79"/>
        <v/>
      </c>
      <c r="Q867" s="6" t="str">
        <f t="shared" ca="1" si="80"/>
        <v/>
      </c>
      <c r="R867" s="8" t="str">
        <f t="shared" si="81"/>
        <v/>
      </c>
    </row>
    <row r="868" spans="1:18" ht="13">
      <c r="A868" s="8"/>
      <c r="B868" s="10"/>
      <c r="C868" s="10"/>
      <c r="D868" s="8"/>
      <c r="E868" s="8"/>
      <c r="F868" s="8" t="s">
        <v>1090</v>
      </c>
      <c r="G868" s="6" t="str">
        <f>IF(F868="","",VLOOKUP(F868,'PLAN SUPORTE'!A:B,2,0))</f>
        <v/>
      </c>
      <c r="H868" s="7"/>
      <c r="I868" s="8"/>
      <c r="J868" s="8"/>
      <c r="K868" s="8"/>
      <c r="L868" s="8" t="str">
        <f>IF(K868="","",VLOOKUP(K868,'PLAN SUPORTE'!$H$2:$I$4,2,0))</f>
        <v/>
      </c>
      <c r="M868" s="10"/>
      <c r="N868" s="10"/>
      <c r="O868" s="9" t="str">
        <f t="shared" si="82"/>
        <v/>
      </c>
      <c r="P868" s="10" t="str">
        <f t="shared" si="79"/>
        <v/>
      </c>
      <c r="Q868" s="6" t="str">
        <f t="shared" ca="1" si="80"/>
        <v/>
      </c>
      <c r="R868" s="8" t="str">
        <f t="shared" si="81"/>
        <v/>
      </c>
    </row>
    <row r="869" spans="1:18" ht="13">
      <c r="A869" s="8"/>
      <c r="B869" s="10"/>
      <c r="C869" s="10"/>
      <c r="D869" s="8"/>
      <c r="E869" s="8"/>
      <c r="F869" s="8" t="s">
        <v>1090</v>
      </c>
      <c r="G869" s="6" t="str">
        <f>IF(F869="","",VLOOKUP(F869,'PLAN SUPORTE'!A:B,2,0))</f>
        <v/>
      </c>
      <c r="H869" s="7"/>
      <c r="I869" s="8"/>
      <c r="J869" s="8"/>
      <c r="K869" s="8"/>
      <c r="L869" s="8" t="str">
        <f>IF(K869="","",VLOOKUP(K869,'PLAN SUPORTE'!$H$2:$I$4,2,0))</f>
        <v/>
      </c>
      <c r="M869" s="10"/>
      <c r="N869" s="10"/>
      <c r="O869" s="9" t="str">
        <f t="shared" si="82"/>
        <v/>
      </c>
      <c r="P869" s="10" t="str">
        <f t="shared" ref="P869:P1039" si="83">IF(OR(C869="",L869=""),"",C869+L869)</f>
        <v/>
      </c>
      <c r="Q869" s="6" t="str">
        <f t="shared" ref="Q869:Q1039" ca="1" si="84">IF(P869="","",IF(P869-TODAY()=0,"Vence Hoje!",IF(P869-TODAY()&gt;=0,P869-TODAY()&amp;" Dia(s) para vencer","Prazo Vencido")))</f>
        <v/>
      </c>
      <c r="R869" s="8" t="str">
        <f t="shared" si="81"/>
        <v/>
      </c>
    </row>
    <row r="870" spans="1:18" ht="13">
      <c r="A870" s="8"/>
      <c r="B870" s="10"/>
      <c r="C870" s="10"/>
      <c r="D870" s="8"/>
      <c r="E870" s="8"/>
      <c r="F870" s="8" t="s">
        <v>1090</v>
      </c>
      <c r="G870" s="6" t="str">
        <f>IF(F870="","",VLOOKUP(F870,'PLAN SUPORTE'!A:B,2,0))</f>
        <v/>
      </c>
      <c r="H870" s="7"/>
      <c r="I870" s="8"/>
      <c r="J870" s="8"/>
      <c r="K870" s="8"/>
      <c r="L870" s="8" t="str">
        <f>IF(K870="","",VLOOKUP(K870,'PLAN SUPORTE'!$H$2:$I$4,2,0))</f>
        <v/>
      </c>
      <c r="M870" s="10"/>
      <c r="N870" s="10"/>
      <c r="O870" s="9" t="str">
        <f t="shared" si="82"/>
        <v/>
      </c>
      <c r="P870" s="10" t="str">
        <f t="shared" si="83"/>
        <v/>
      </c>
      <c r="Q870" s="6" t="str">
        <f t="shared" ca="1" si="84"/>
        <v/>
      </c>
      <c r="R870" s="8" t="str">
        <f t="shared" si="81"/>
        <v/>
      </c>
    </row>
    <row r="871" spans="1:18" ht="13">
      <c r="A871" s="8"/>
      <c r="B871" s="10"/>
      <c r="C871" s="10"/>
      <c r="D871" s="8"/>
      <c r="E871" s="8"/>
      <c r="F871" s="8" t="s">
        <v>1090</v>
      </c>
      <c r="G871" s="6" t="str">
        <f>IF(F871="","",VLOOKUP(F871,'PLAN SUPORTE'!A:B,2,0))</f>
        <v/>
      </c>
      <c r="H871" s="7"/>
      <c r="I871" s="8"/>
      <c r="J871" s="8"/>
      <c r="K871" s="8"/>
      <c r="L871" s="8" t="str">
        <f>IF(K871="","",VLOOKUP(K871,'PLAN SUPORTE'!$H$2:$I$4,2,0))</f>
        <v/>
      </c>
      <c r="M871" s="10"/>
      <c r="N871" s="10"/>
      <c r="O871" s="9" t="str">
        <f t="shared" si="82"/>
        <v/>
      </c>
      <c r="P871" s="10" t="str">
        <f t="shared" si="83"/>
        <v/>
      </c>
      <c r="Q871" s="6" t="str">
        <f t="shared" ca="1" si="84"/>
        <v/>
      </c>
      <c r="R871" s="8" t="str">
        <f t="shared" si="81"/>
        <v/>
      </c>
    </row>
    <row r="872" spans="1:18" ht="13">
      <c r="A872" s="8"/>
      <c r="B872" s="10"/>
      <c r="C872" s="10"/>
      <c r="D872" s="8"/>
      <c r="E872" s="8"/>
      <c r="F872" s="8" t="s">
        <v>1090</v>
      </c>
      <c r="G872" s="6" t="str">
        <f>IF(F872="","",VLOOKUP(F872,'PLAN SUPORTE'!A:B,2,0))</f>
        <v/>
      </c>
      <c r="H872" s="7"/>
      <c r="I872" s="8"/>
      <c r="J872" s="8"/>
      <c r="K872" s="8"/>
      <c r="L872" s="8" t="str">
        <f>IF(K872="","",VLOOKUP(K872,'PLAN SUPORTE'!$H$2:$I$4,2,0))</f>
        <v/>
      </c>
      <c r="M872" s="10"/>
      <c r="N872" s="10"/>
      <c r="O872" s="9" t="str">
        <f t="shared" si="82"/>
        <v/>
      </c>
      <c r="P872" s="10" t="str">
        <f t="shared" si="83"/>
        <v/>
      </c>
      <c r="Q872" s="6" t="str">
        <f t="shared" ca="1" si="84"/>
        <v/>
      </c>
      <c r="R872" s="8" t="str">
        <f t="shared" si="81"/>
        <v/>
      </c>
    </row>
    <row r="873" spans="1:18" ht="13">
      <c r="A873" s="8"/>
      <c r="B873" s="10"/>
      <c r="C873" s="10"/>
      <c r="D873" s="8"/>
      <c r="E873" s="8"/>
      <c r="F873" s="8" t="s">
        <v>1090</v>
      </c>
      <c r="G873" s="6" t="str">
        <f>IF(F873="","",VLOOKUP(F873,'PLAN SUPORTE'!A:B,2,0))</f>
        <v/>
      </c>
      <c r="H873" s="7"/>
      <c r="I873" s="8"/>
      <c r="J873" s="8"/>
      <c r="K873" s="8"/>
      <c r="L873" s="8" t="str">
        <f>IF(K873="","",VLOOKUP(K873,'PLAN SUPORTE'!$H$2:$I$4,2,0))</f>
        <v/>
      </c>
      <c r="M873" s="10"/>
      <c r="N873" s="10"/>
      <c r="O873" s="9" t="str">
        <f t="shared" si="82"/>
        <v/>
      </c>
      <c r="P873" s="10" t="str">
        <f t="shared" si="83"/>
        <v/>
      </c>
      <c r="Q873" s="6" t="str">
        <f t="shared" ca="1" si="84"/>
        <v/>
      </c>
      <c r="R873" s="8" t="str">
        <f t="shared" si="81"/>
        <v/>
      </c>
    </row>
    <row r="874" spans="1:18" ht="13">
      <c r="A874" s="8"/>
      <c r="B874" s="10"/>
      <c r="C874" s="10"/>
      <c r="D874" s="8"/>
      <c r="E874" s="8"/>
      <c r="F874" s="8" t="s">
        <v>1090</v>
      </c>
      <c r="G874" s="6" t="str">
        <f>IF(F874="","",VLOOKUP(F874,'PLAN SUPORTE'!A:B,2,0))</f>
        <v/>
      </c>
      <c r="H874" s="7"/>
      <c r="I874" s="8"/>
      <c r="J874" s="8"/>
      <c r="K874" s="8"/>
      <c r="L874" s="8" t="str">
        <f>IF(K874="","",VLOOKUP(K874,'PLAN SUPORTE'!$H$2:$I$4,2,0))</f>
        <v/>
      </c>
      <c r="M874" s="10"/>
      <c r="N874" s="10"/>
      <c r="O874" s="9" t="str">
        <f t="shared" si="82"/>
        <v/>
      </c>
      <c r="P874" s="10" t="str">
        <f t="shared" si="83"/>
        <v/>
      </c>
      <c r="Q874" s="6" t="str">
        <f t="shared" ca="1" si="84"/>
        <v/>
      </c>
      <c r="R874" s="8" t="str">
        <f t="shared" si="81"/>
        <v/>
      </c>
    </row>
    <row r="875" spans="1:18" ht="13">
      <c r="A875" s="8"/>
      <c r="B875" s="10"/>
      <c r="C875" s="10"/>
      <c r="D875" s="8"/>
      <c r="E875" s="8"/>
      <c r="F875" s="8" t="s">
        <v>1090</v>
      </c>
      <c r="G875" s="6" t="str">
        <f>IF(F875="","",VLOOKUP(F875,'PLAN SUPORTE'!A:B,2,0))</f>
        <v/>
      </c>
      <c r="H875" s="7"/>
      <c r="I875" s="8"/>
      <c r="J875" s="8"/>
      <c r="K875" s="8"/>
      <c r="L875" s="8" t="str">
        <f>IF(K875="","",VLOOKUP(K875,'PLAN SUPORTE'!$H$2:$I$4,2,0))</f>
        <v/>
      </c>
      <c r="M875" s="10"/>
      <c r="N875" s="10"/>
      <c r="O875" s="9" t="str">
        <f t="shared" si="82"/>
        <v/>
      </c>
      <c r="P875" s="10" t="str">
        <f t="shared" si="83"/>
        <v/>
      </c>
      <c r="Q875" s="6" t="str">
        <f t="shared" ca="1" si="84"/>
        <v/>
      </c>
      <c r="R875" s="8" t="str">
        <f t="shared" si="81"/>
        <v/>
      </c>
    </row>
    <row r="876" spans="1:18" ht="13">
      <c r="A876" s="8"/>
      <c r="B876" s="10"/>
      <c r="C876" s="10"/>
      <c r="D876" s="8"/>
      <c r="E876" s="8"/>
      <c r="F876" s="8" t="s">
        <v>1090</v>
      </c>
      <c r="G876" s="6" t="str">
        <f>IF(F876="","",VLOOKUP(F876,'PLAN SUPORTE'!A:B,2,0))</f>
        <v/>
      </c>
      <c r="H876" s="7"/>
      <c r="I876" s="8"/>
      <c r="J876" s="8"/>
      <c r="K876" s="8"/>
      <c r="L876" s="8" t="str">
        <f>IF(K876="","",VLOOKUP(K876,'PLAN SUPORTE'!$H$2:$I$4,2,0))</f>
        <v/>
      </c>
      <c r="M876" s="10"/>
      <c r="N876" s="10"/>
      <c r="O876" s="9" t="str">
        <f t="shared" si="82"/>
        <v/>
      </c>
      <c r="P876" s="10" t="str">
        <f t="shared" si="83"/>
        <v/>
      </c>
      <c r="Q876" s="6" t="str">
        <f t="shared" ca="1" si="84"/>
        <v/>
      </c>
      <c r="R876" s="8" t="str">
        <f t="shared" si="81"/>
        <v/>
      </c>
    </row>
    <row r="877" spans="1:18" ht="13">
      <c r="A877" s="8"/>
      <c r="B877" s="10"/>
      <c r="C877" s="10"/>
      <c r="D877" s="8"/>
      <c r="E877" s="8"/>
      <c r="F877" s="8" t="s">
        <v>1090</v>
      </c>
      <c r="G877" s="6" t="str">
        <f>IF(F877="","",VLOOKUP(F877,'PLAN SUPORTE'!A:B,2,0))</f>
        <v/>
      </c>
      <c r="H877" s="7"/>
      <c r="I877" s="8"/>
      <c r="J877" s="8"/>
      <c r="K877" s="8"/>
      <c r="L877" s="8" t="str">
        <f>IF(K877="","",VLOOKUP(K877,'PLAN SUPORTE'!$H$2:$I$4,2,0))</f>
        <v/>
      </c>
      <c r="M877" s="10"/>
      <c r="N877" s="10"/>
      <c r="O877" s="9" t="str">
        <f t="shared" si="82"/>
        <v/>
      </c>
      <c r="P877" s="10" t="str">
        <f t="shared" si="83"/>
        <v/>
      </c>
      <c r="Q877" s="6" t="str">
        <f t="shared" ca="1" si="84"/>
        <v/>
      </c>
      <c r="R877" s="8" t="str">
        <f t="shared" si="81"/>
        <v/>
      </c>
    </row>
    <row r="878" spans="1:18" ht="13">
      <c r="A878" s="8"/>
      <c r="B878" s="10"/>
      <c r="C878" s="10"/>
      <c r="D878" s="8"/>
      <c r="E878" s="8"/>
      <c r="F878" s="8" t="s">
        <v>1090</v>
      </c>
      <c r="G878" s="6" t="str">
        <f>IF(F878="","",VLOOKUP(F878,'PLAN SUPORTE'!A:B,2,0))</f>
        <v/>
      </c>
      <c r="H878" s="7"/>
      <c r="I878" s="8"/>
      <c r="J878" s="8"/>
      <c r="K878" s="8"/>
      <c r="L878" s="8" t="str">
        <f>IF(K878="","",VLOOKUP(K878,'PLAN SUPORTE'!$H$2:$I$4,2,0))</f>
        <v/>
      </c>
      <c r="M878" s="10"/>
      <c r="N878" s="10"/>
      <c r="O878" s="9" t="str">
        <f t="shared" si="82"/>
        <v/>
      </c>
      <c r="P878" s="10" t="str">
        <f t="shared" si="83"/>
        <v/>
      </c>
      <c r="Q878" s="6" t="str">
        <f t="shared" ca="1" si="84"/>
        <v/>
      </c>
      <c r="R878" s="8" t="str">
        <f t="shared" si="81"/>
        <v/>
      </c>
    </row>
    <row r="879" spans="1:18" ht="13">
      <c r="A879" s="8"/>
      <c r="B879" s="10"/>
      <c r="C879" s="10"/>
      <c r="D879" s="8"/>
      <c r="E879" s="8"/>
      <c r="F879" s="8" t="s">
        <v>1090</v>
      </c>
      <c r="G879" s="6" t="str">
        <f>IF(F879="","",VLOOKUP(F879,'PLAN SUPORTE'!A:B,2,0))</f>
        <v/>
      </c>
      <c r="H879" s="7"/>
      <c r="I879" s="8"/>
      <c r="J879" s="8"/>
      <c r="K879" s="8"/>
      <c r="L879" s="8" t="str">
        <f>IF(K879="","",VLOOKUP(K879,'PLAN SUPORTE'!$H$2:$I$4,2,0))</f>
        <v/>
      </c>
      <c r="M879" s="10"/>
      <c r="N879" s="10"/>
      <c r="O879" s="9" t="str">
        <f t="shared" si="82"/>
        <v/>
      </c>
      <c r="P879" s="10" t="str">
        <f t="shared" si="83"/>
        <v/>
      </c>
      <c r="Q879" s="6" t="str">
        <f t="shared" ca="1" si="84"/>
        <v/>
      </c>
      <c r="R879" s="8" t="str">
        <f t="shared" si="81"/>
        <v/>
      </c>
    </row>
    <row r="880" spans="1:18" ht="13">
      <c r="A880" s="8"/>
      <c r="B880" s="10"/>
      <c r="C880" s="10"/>
      <c r="D880" s="8"/>
      <c r="E880" s="8"/>
      <c r="F880" s="8" t="s">
        <v>1090</v>
      </c>
      <c r="G880" s="6" t="str">
        <f>IF(F880="","",VLOOKUP(F880,'PLAN SUPORTE'!A:B,2,0))</f>
        <v/>
      </c>
      <c r="H880" s="7"/>
      <c r="I880" s="8"/>
      <c r="J880" s="8"/>
      <c r="K880" s="8"/>
      <c r="L880" s="8" t="str">
        <f>IF(K880="","",VLOOKUP(K880,'PLAN SUPORTE'!$H$2:$I$4,2,0))</f>
        <v/>
      </c>
      <c r="M880" s="10"/>
      <c r="N880" s="10"/>
      <c r="O880" s="9" t="str">
        <f t="shared" si="82"/>
        <v/>
      </c>
      <c r="P880" s="10" t="str">
        <f t="shared" si="83"/>
        <v/>
      </c>
      <c r="Q880" s="6" t="str">
        <f t="shared" ca="1" si="84"/>
        <v/>
      </c>
      <c r="R880" s="8" t="str">
        <f t="shared" si="81"/>
        <v/>
      </c>
    </row>
    <row r="881" spans="1:18" ht="13">
      <c r="A881" s="8"/>
      <c r="B881" s="10"/>
      <c r="C881" s="10"/>
      <c r="D881" s="8"/>
      <c r="E881" s="8"/>
      <c r="F881" s="8" t="s">
        <v>1090</v>
      </c>
      <c r="G881" s="6" t="str">
        <f>IF(F881="","",VLOOKUP(F881,'PLAN SUPORTE'!A:B,2,0))</f>
        <v/>
      </c>
      <c r="H881" s="7"/>
      <c r="I881" s="8"/>
      <c r="J881" s="8"/>
      <c r="K881" s="8"/>
      <c r="L881" s="8" t="str">
        <f>IF(K881="","",VLOOKUP(K881,'PLAN SUPORTE'!$H$2:$I$4,2,0))</f>
        <v/>
      </c>
      <c r="M881" s="10"/>
      <c r="N881" s="10"/>
      <c r="O881" s="9" t="str">
        <f t="shared" si="82"/>
        <v/>
      </c>
      <c r="P881" s="10" t="str">
        <f t="shared" si="83"/>
        <v/>
      </c>
      <c r="Q881" s="6" t="str">
        <f t="shared" ca="1" si="84"/>
        <v/>
      </c>
      <c r="R881" s="8" t="str">
        <f t="shared" si="81"/>
        <v/>
      </c>
    </row>
    <row r="882" spans="1:18" ht="13">
      <c r="A882" s="8"/>
      <c r="B882" s="10"/>
      <c r="C882" s="10"/>
      <c r="D882" s="8"/>
      <c r="E882" s="8"/>
      <c r="F882" s="8" t="s">
        <v>1090</v>
      </c>
      <c r="G882" s="6" t="str">
        <f>IF(F882="","",VLOOKUP(F882,'PLAN SUPORTE'!A:B,2,0))</f>
        <v/>
      </c>
      <c r="H882" s="7"/>
      <c r="I882" s="8"/>
      <c r="J882" s="8"/>
      <c r="K882" s="8"/>
      <c r="L882" s="8" t="str">
        <f>IF(K882="","",VLOOKUP(K882,'PLAN SUPORTE'!$H$2:$I$4,2,0))</f>
        <v/>
      </c>
      <c r="M882" s="10"/>
      <c r="N882" s="10"/>
      <c r="O882" s="9" t="str">
        <f t="shared" si="82"/>
        <v/>
      </c>
      <c r="P882" s="10" t="str">
        <f t="shared" si="83"/>
        <v/>
      </c>
      <c r="Q882" s="6" t="str">
        <f t="shared" ca="1" si="84"/>
        <v/>
      </c>
      <c r="R882" s="8" t="str">
        <f t="shared" si="81"/>
        <v/>
      </c>
    </row>
    <row r="883" spans="1:18" ht="13">
      <c r="A883" s="8"/>
      <c r="B883" s="10"/>
      <c r="C883" s="10"/>
      <c r="D883" s="8"/>
      <c r="E883" s="8"/>
      <c r="F883" s="8" t="s">
        <v>1090</v>
      </c>
      <c r="G883" s="6" t="str">
        <f>IF(F883="","",VLOOKUP(F883,'PLAN SUPORTE'!A:B,2,0))</f>
        <v/>
      </c>
      <c r="H883" s="7"/>
      <c r="I883" s="8"/>
      <c r="J883" s="8"/>
      <c r="K883" s="8"/>
      <c r="L883" s="8" t="str">
        <f>IF(K883="","",VLOOKUP(K883,'PLAN SUPORTE'!$H$2:$I$4,2,0))</f>
        <v/>
      </c>
      <c r="M883" s="10"/>
      <c r="N883" s="10"/>
      <c r="O883" s="9" t="str">
        <f t="shared" si="82"/>
        <v/>
      </c>
      <c r="P883" s="10" t="str">
        <f t="shared" si="83"/>
        <v/>
      </c>
      <c r="Q883" s="6" t="str">
        <f t="shared" ca="1" si="84"/>
        <v/>
      </c>
      <c r="R883" s="8" t="str">
        <f t="shared" si="81"/>
        <v/>
      </c>
    </row>
    <row r="884" spans="1:18" ht="13">
      <c r="A884" s="8"/>
      <c r="B884" s="10"/>
      <c r="C884" s="10"/>
      <c r="D884" s="8"/>
      <c r="E884" s="8"/>
      <c r="F884" s="8" t="s">
        <v>1090</v>
      </c>
      <c r="G884" s="6" t="str">
        <f>IF(F884="","",VLOOKUP(F884,'PLAN SUPORTE'!A:B,2,0))</f>
        <v/>
      </c>
      <c r="H884" s="7"/>
      <c r="I884" s="8"/>
      <c r="J884" s="8"/>
      <c r="K884" s="8"/>
      <c r="L884" s="8" t="str">
        <f>IF(K884="","",VLOOKUP(K884,'PLAN SUPORTE'!$H$2:$I$4,2,0))</f>
        <v/>
      </c>
      <c r="M884" s="10"/>
      <c r="N884" s="10"/>
      <c r="O884" s="9" t="str">
        <f t="shared" si="82"/>
        <v/>
      </c>
      <c r="P884" s="10" t="str">
        <f t="shared" si="83"/>
        <v/>
      </c>
      <c r="Q884" s="6" t="str">
        <f t="shared" ca="1" si="84"/>
        <v/>
      </c>
      <c r="R884" s="8" t="str">
        <f t="shared" si="81"/>
        <v/>
      </c>
    </row>
    <row r="885" spans="1:18" ht="13">
      <c r="A885" s="8"/>
      <c r="B885" s="10"/>
      <c r="C885" s="10"/>
      <c r="D885" s="8"/>
      <c r="E885" s="8"/>
      <c r="F885" s="8" t="s">
        <v>1090</v>
      </c>
      <c r="G885" s="6" t="str">
        <f>IF(F885="","",VLOOKUP(F885,'PLAN SUPORTE'!A:B,2,0))</f>
        <v/>
      </c>
      <c r="H885" s="7"/>
      <c r="I885" s="8"/>
      <c r="J885" s="8"/>
      <c r="K885" s="8"/>
      <c r="L885" s="8" t="str">
        <f>IF(K885="","",VLOOKUP(K885,'PLAN SUPORTE'!$H$2:$I$4,2,0))</f>
        <v/>
      </c>
      <c r="M885" s="10"/>
      <c r="N885" s="10"/>
      <c r="O885" s="9" t="str">
        <f t="shared" si="82"/>
        <v/>
      </c>
      <c r="P885" s="10" t="str">
        <f t="shared" si="83"/>
        <v/>
      </c>
      <c r="Q885" s="6" t="str">
        <f t="shared" ca="1" si="84"/>
        <v/>
      </c>
      <c r="R885" s="8" t="str">
        <f t="shared" si="81"/>
        <v/>
      </c>
    </row>
    <row r="886" spans="1:18" ht="13">
      <c r="A886" s="8"/>
      <c r="B886" s="10"/>
      <c r="C886" s="10"/>
      <c r="D886" s="8"/>
      <c r="E886" s="8"/>
      <c r="F886" s="8" t="s">
        <v>1090</v>
      </c>
      <c r="G886" s="6" t="str">
        <f>IF(F886="","",VLOOKUP(F886,'PLAN SUPORTE'!A:B,2,0))</f>
        <v/>
      </c>
      <c r="H886" s="7"/>
      <c r="I886" s="8"/>
      <c r="J886" s="8"/>
      <c r="K886" s="8"/>
      <c r="L886" s="8" t="str">
        <f>IF(K886="","",VLOOKUP(K886,'PLAN SUPORTE'!$H$2:$I$4,2,0))</f>
        <v/>
      </c>
      <c r="M886" s="10"/>
      <c r="N886" s="10"/>
      <c r="O886" s="9" t="str">
        <f t="shared" si="82"/>
        <v/>
      </c>
      <c r="P886" s="10" t="str">
        <f t="shared" si="83"/>
        <v/>
      </c>
      <c r="Q886" s="6" t="str">
        <f t="shared" ca="1" si="84"/>
        <v/>
      </c>
      <c r="R886" s="8" t="str">
        <f t="shared" si="81"/>
        <v/>
      </c>
    </row>
    <row r="887" spans="1:18" ht="13">
      <c r="A887" s="8"/>
      <c r="B887" s="10"/>
      <c r="C887" s="10"/>
      <c r="D887" s="8"/>
      <c r="E887" s="8"/>
      <c r="F887" s="8" t="s">
        <v>1090</v>
      </c>
      <c r="G887" s="6" t="str">
        <f>IF(F887="","",VLOOKUP(F887,'PLAN SUPORTE'!A:B,2,0))</f>
        <v/>
      </c>
      <c r="H887" s="7"/>
      <c r="I887" s="8"/>
      <c r="J887" s="8"/>
      <c r="K887" s="8"/>
      <c r="L887" s="8" t="str">
        <f>IF(K887="","",VLOOKUP(K887,'PLAN SUPORTE'!$H$2:$I$4,2,0))</f>
        <v/>
      </c>
      <c r="M887" s="10"/>
      <c r="N887" s="10"/>
      <c r="O887" s="9" t="str">
        <f t="shared" si="82"/>
        <v/>
      </c>
      <c r="P887" s="10" t="str">
        <f t="shared" si="83"/>
        <v/>
      </c>
      <c r="Q887" s="6" t="str">
        <f t="shared" ca="1" si="84"/>
        <v/>
      </c>
      <c r="R887" s="8" t="str">
        <f t="shared" si="81"/>
        <v/>
      </c>
    </row>
    <row r="888" spans="1:18" ht="13">
      <c r="A888" s="8"/>
      <c r="B888" s="10"/>
      <c r="C888" s="10"/>
      <c r="D888" s="8"/>
      <c r="E888" s="8"/>
      <c r="F888" s="8" t="s">
        <v>1090</v>
      </c>
      <c r="G888" s="6" t="str">
        <f>IF(F888="","",VLOOKUP(F888,'PLAN SUPORTE'!A:B,2,0))</f>
        <v/>
      </c>
      <c r="H888" s="7"/>
      <c r="I888" s="8"/>
      <c r="J888" s="8"/>
      <c r="K888" s="8"/>
      <c r="L888" s="8" t="str">
        <f>IF(K888="","",VLOOKUP(K888,'PLAN SUPORTE'!$H$2:$I$4,2,0))</f>
        <v/>
      </c>
      <c r="M888" s="10"/>
      <c r="N888" s="10"/>
      <c r="O888" s="9" t="str">
        <f t="shared" si="82"/>
        <v/>
      </c>
      <c r="P888" s="10" t="str">
        <f t="shared" si="83"/>
        <v/>
      </c>
      <c r="Q888" s="6" t="str">
        <f t="shared" ca="1" si="84"/>
        <v/>
      </c>
      <c r="R888" s="8" t="str">
        <f t="shared" si="81"/>
        <v/>
      </c>
    </row>
    <row r="889" spans="1:18" ht="13">
      <c r="A889" s="8"/>
      <c r="B889" s="10"/>
      <c r="C889" s="10"/>
      <c r="D889" s="8"/>
      <c r="E889" s="8"/>
      <c r="F889" s="8" t="s">
        <v>1090</v>
      </c>
      <c r="G889" s="6" t="str">
        <f>IF(F889="","",VLOOKUP(F889,'PLAN SUPORTE'!A:B,2,0))</f>
        <v/>
      </c>
      <c r="H889" s="7"/>
      <c r="I889" s="8"/>
      <c r="J889" s="8"/>
      <c r="K889" s="8"/>
      <c r="L889" s="8" t="str">
        <f>IF(K889="","",VLOOKUP(K889,'PLAN SUPORTE'!$H$2:$I$4,2,0))</f>
        <v/>
      </c>
      <c r="M889" s="10"/>
      <c r="N889" s="10"/>
      <c r="O889" s="9" t="str">
        <f t="shared" si="82"/>
        <v/>
      </c>
      <c r="P889" s="10" t="str">
        <f t="shared" si="83"/>
        <v/>
      </c>
      <c r="Q889" s="6" t="str">
        <f t="shared" ca="1" si="84"/>
        <v/>
      </c>
      <c r="R889" s="8" t="str">
        <f t="shared" si="81"/>
        <v/>
      </c>
    </row>
    <row r="890" spans="1:18" ht="13">
      <c r="A890" s="8"/>
      <c r="B890" s="10"/>
      <c r="C890" s="10"/>
      <c r="D890" s="8"/>
      <c r="E890" s="8"/>
      <c r="F890" s="8" t="s">
        <v>1090</v>
      </c>
      <c r="G890" s="6" t="str">
        <f>IF(F890="","",VLOOKUP(F890,'PLAN SUPORTE'!A:B,2,0))</f>
        <v/>
      </c>
      <c r="H890" s="7"/>
      <c r="I890" s="8"/>
      <c r="J890" s="8"/>
      <c r="K890" s="8"/>
      <c r="L890" s="8" t="str">
        <f>IF(K890="","",VLOOKUP(K890,'PLAN SUPORTE'!$H$2:$I$4,2,0))</f>
        <v/>
      </c>
      <c r="M890" s="10"/>
      <c r="N890" s="10"/>
      <c r="O890" s="9" t="str">
        <f t="shared" si="82"/>
        <v/>
      </c>
      <c r="P890" s="10" t="str">
        <f t="shared" si="83"/>
        <v/>
      </c>
      <c r="Q890" s="6" t="str">
        <f t="shared" ca="1" si="84"/>
        <v/>
      </c>
      <c r="R890" s="8" t="str">
        <f t="shared" si="81"/>
        <v/>
      </c>
    </row>
    <row r="891" spans="1:18" ht="13">
      <c r="A891" s="8"/>
      <c r="B891" s="10"/>
      <c r="C891" s="10"/>
      <c r="D891" s="8"/>
      <c r="E891" s="8"/>
      <c r="F891" s="8" t="s">
        <v>1090</v>
      </c>
      <c r="G891" s="6" t="str">
        <f>IF(F891="","",VLOOKUP(F891,'PLAN SUPORTE'!A:B,2,0))</f>
        <v/>
      </c>
      <c r="H891" s="7"/>
      <c r="I891" s="8"/>
      <c r="J891" s="8"/>
      <c r="K891" s="8"/>
      <c r="L891" s="8" t="str">
        <f>IF(K891="","",VLOOKUP(K891,'PLAN SUPORTE'!$H$2:$I$4,2,0))</f>
        <v/>
      </c>
      <c r="M891" s="10"/>
      <c r="N891" s="10"/>
      <c r="O891" s="9" t="str">
        <f t="shared" si="82"/>
        <v/>
      </c>
      <c r="P891" s="10" t="str">
        <f t="shared" si="83"/>
        <v/>
      </c>
      <c r="Q891" s="6" t="str">
        <f t="shared" ca="1" si="84"/>
        <v/>
      </c>
      <c r="R891" s="8" t="str">
        <f t="shared" si="81"/>
        <v/>
      </c>
    </row>
    <row r="892" spans="1:18" ht="13">
      <c r="A892" s="8"/>
      <c r="B892" s="10"/>
      <c r="C892" s="10"/>
      <c r="D892" s="8"/>
      <c r="E892" s="8"/>
      <c r="F892" s="8" t="s">
        <v>1090</v>
      </c>
      <c r="G892" s="6" t="str">
        <f>IF(F892="","",VLOOKUP(F892,'PLAN SUPORTE'!A:B,2,0))</f>
        <v/>
      </c>
      <c r="H892" s="7"/>
      <c r="I892" s="8"/>
      <c r="J892" s="8"/>
      <c r="K892" s="8"/>
      <c r="L892" s="8" t="str">
        <f>IF(K892="","",VLOOKUP(K892,'PLAN SUPORTE'!$H$2:$I$4,2,0))</f>
        <v/>
      </c>
      <c r="M892" s="10"/>
      <c r="N892" s="10"/>
      <c r="O892" s="9" t="str">
        <f t="shared" si="82"/>
        <v/>
      </c>
      <c r="P892" s="10" t="str">
        <f t="shared" si="83"/>
        <v/>
      </c>
      <c r="Q892" s="6" t="str">
        <f t="shared" ca="1" si="84"/>
        <v/>
      </c>
      <c r="R892" s="8" t="str">
        <f t="shared" si="81"/>
        <v/>
      </c>
    </row>
    <row r="893" spans="1:18" ht="13">
      <c r="A893" s="8"/>
      <c r="B893" s="10"/>
      <c r="C893" s="10"/>
      <c r="D893" s="8"/>
      <c r="E893" s="8"/>
      <c r="F893" s="8" t="s">
        <v>1090</v>
      </c>
      <c r="G893" s="6" t="str">
        <f>IF(F893="","",VLOOKUP(F893,'PLAN SUPORTE'!A:B,2,0))</f>
        <v/>
      </c>
      <c r="H893" s="7"/>
      <c r="I893" s="8"/>
      <c r="J893" s="8"/>
      <c r="K893" s="8"/>
      <c r="L893" s="8" t="str">
        <f>IF(K893="","",VLOOKUP(K893,'PLAN SUPORTE'!$H$2:$I$4,2,0))</f>
        <v/>
      </c>
      <c r="M893" s="10"/>
      <c r="N893" s="10"/>
      <c r="O893" s="9" t="str">
        <f t="shared" si="82"/>
        <v/>
      </c>
      <c r="P893" s="10" t="str">
        <f t="shared" si="83"/>
        <v/>
      </c>
      <c r="Q893" s="6" t="str">
        <f t="shared" ca="1" si="84"/>
        <v/>
      </c>
      <c r="R893" s="8" t="str">
        <f t="shared" si="81"/>
        <v/>
      </c>
    </row>
    <row r="894" spans="1:18" ht="13">
      <c r="A894" s="8"/>
      <c r="B894" s="10"/>
      <c r="C894" s="10"/>
      <c r="D894" s="8"/>
      <c r="E894" s="8"/>
      <c r="F894" s="8" t="s">
        <v>1090</v>
      </c>
      <c r="G894" s="6" t="str">
        <f>IF(F894="","",VLOOKUP(F894,'PLAN SUPORTE'!A:B,2,0))</f>
        <v/>
      </c>
      <c r="H894" s="7"/>
      <c r="I894" s="8"/>
      <c r="J894" s="8"/>
      <c r="K894" s="8"/>
      <c r="L894" s="8" t="str">
        <f>IF(K894="","",VLOOKUP(K894,'PLAN SUPORTE'!$H$2:$I$4,2,0))</f>
        <v/>
      </c>
      <c r="M894" s="10"/>
      <c r="N894" s="10"/>
      <c r="O894" s="9" t="str">
        <f t="shared" si="82"/>
        <v/>
      </c>
      <c r="P894" s="10" t="str">
        <f t="shared" si="83"/>
        <v/>
      </c>
      <c r="Q894" s="6" t="str">
        <f t="shared" ca="1" si="84"/>
        <v/>
      </c>
      <c r="R894" s="8" t="str">
        <f t="shared" si="81"/>
        <v/>
      </c>
    </row>
    <row r="895" spans="1:18" ht="13">
      <c r="A895" s="8"/>
      <c r="B895" s="10"/>
      <c r="C895" s="10"/>
      <c r="D895" s="8"/>
      <c r="E895" s="8"/>
      <c r="F895" s="8" t="s">
        <v>1090</v>
      </c>
      <c r="G895" s="6" t="str">
        <f>IF(F895="","",VLOOKUP(F895,'PLAN SUPORTE'!A:B,2,0))</f>
        <v/>
      </c>
      <c r="H895" s="7"/>
      <c r="I895" s="8"/>
      <c r="J895" s="8"/>
      <c r="K895" s="8"/>
      <c r="L895" s="8" t="str">
        <f>IF(K895="","",VLOOKUP(K895,'PLAN SUPORTE'!$H$2:$I$4,2,0))</f>
        <v/>
      </c>
      <c r="M895" s="10"/>
      <c r="N895" s="10"/>
      <c r="O895" s="9" t="str">
        <f t="shared" si="82"/>
        <v/>
      </c>
      <c r="P895" s="10" t="str">
        <f t="shared" si="83"/>
        <v/>
      </c>
      <c r="Q895" s="6" t="str">
        <f t="shared" ca="1" si="84"/>
        <v/>
      </c>
      <c r="R895" s="8" t="str">
        <f t="shared" si="81"/>
        <v/>
      </c>
    </row>
    <row r="896" spans="1:18" ht="13">
      <c r="A896" s="8"/>
      <c r="B896" s="10"/>
      <c r="C896" s="10"/>
      <c r="D896" s="8"/>
      <c r="E896" s="8"/>
      <c r="F896" s="8" t="s">
        <v>1090</v>
      </c>
      <c r="G896" s="6" t="str">
        <f>IF(F896="","",VLOOKUP(F896,'PLAN SUPORTE'!A:B,2,0))</f>
        <v/>
      </c>
      <c r="H896" s="7"/>
      <c r="I896" s="8"/>
      <c r="J896" s="8"/>
      <c r="K896" s="8"/>
      <c r="L896" s="8" t="str">
        <f>IF(K896="","",VLOOKUP(K896,'PLAN SUPORTE'!$H$2:$I$4,2,0))</f>
        <v/>
      </c>
      <c r="M896" s="10"/>
      <c r="N896" s="10"/>
      <c r="O896" s="9" t="str">
        <f t="shared" si="82"/>
        <v/>
      </c>
      <c r="P896" s="10" t="str">
        <f t="shared" si="83"/>
        <v/>
      </c>
      <c r="Q896" s="6" t="str">
        <f t="shared" ca="1" si="84"/>
        <v/>
      </c>
      <c r="R896" s="8" t="str">
        <f t="shared" si="81"/>
        <v/>
      </c>
    </row>
    <row r="897" spans="1:18" ht="13">
      <c r="A897" s="8"/>
      <c r="B897" s="10"/>
      <c r="C897" s="10"/>
      <c r="D897" s="8"/>
      <c r="E897" s="8"/>
      <c r="F897" s="8" t="s">
        <v>1090</v>
      </c>
      <c r="G897" s="6" t="str">
        <f>IF(F897="","",VLOOKUP(F897,'PLAN SUPORTE'!A:B,2,0))</f>
        <v/>
      </c>
      <c r="H897" s="7"/>
      <c r="I897" s="8"/>
      <c r="J897" s="8"/>
      <c r="K897" s="8"/>
      <c r="L897" s="8" t="str">
        <f>IF(K897="","",VLOOKUP(K897,'PLAN SUPORTE'!$H$2:$I$4,2,0))</f>
        <v/>
      </c>
      <c r="M897" s="10"/>
      <c r="N897" s="10"/>
      <c r="O897" s="9" t="str">
        <f t="shared" si="82"/>
        <v/>
      </c>
      <c r="P897" s="10" t="str">
        <f t="shared" si="83"/>
        <v/>
      </c>
      <c r="Q897" s="6" t="str">
        <f t="shared" ca="1" si="84"/>
        <v/>
      </c>
      <c r="R897" s="8" t="str">
        <f t="shared" si="81"/>
        <v/>
      </c>
    </row>
    <row r="898" spans="1:18" ht="13">
      <c r="A898" s="8"/>
      <c r="B898" s="10"/>
      <c r="C898" s="10"/>
      <c r="D898" s="8"/>
      <c r="E898" s="8"/>
      <c r="F898" s="8" t="s">
        <v>1090</v>
      </c>
      <c r="G898" s="6" t="str">
        <f>IF(F898="","",VLOOKUP(F898,'PLAN SUPORTE'!A:B,2,0))</f>
        <v/>
      </c>
      <c r="H898" s="7"/>
      <c r="I898" s="8"/>
      <c r="J898" s="8"/>
      <c r="K898" s="8"/>
      <c r="L898" s="8" t="str">
        <f>IF(K898="","",VLOOKUP(K898,'PLAN SUPORTE'!$H$2:$I$4,2,0))</f>
        <v/>
      </c>
      <c r="M898" s="10"/>
      <c r="N898" s="10"/>
      <c r="O898" s="9" t="str">
        <f t="shared" si="82"/>
        <v/>
      </c>
      <c r="P898" s="10" t="str">
        <f t="shared" si="83"/>
        <v/>
      </c>
      <c r="Q898" s="6" t="str">
        <f t="shared" ca="1" si="84"/>
        <v/>
      </c>
      <c r="R898" s="8" t="str">
        <f t="shared" si="81"/>
        <v/>
      </c>
    </row>
    <row r="899" spans="1:18" ht="13">
      <c r="A899" s="8"/>
      <c r="B899" s="10"/>
      <c r="C899" s="10"/>
      <c r="D899" s="8"/>
      <c r="E899" s="8"/>
      <c r="F899" s="8" t="s">
        <v>1090</v>
      </c>
      <c r="G899" s="6" t="str">
        <f>IF(F899="","",VLOOKUP(F899,'PLAN SUPORTE'!A:B,2,0))</f>
        <v/>
      </c>
      <c r="H899" s="7"/>
      <c r="I899" s="8"/>
      <c r="J899" s="8"/>
      <c r="K899" s="8"/>
      <c r="L899" s="8" t="str">
        <f>IF(K899="","",VLOOKUP(K899,'PLAN SUPORTE'!$H$2:$I$4,2,0))</f>
        <v/>
      </c>
      <c r="M899" s="10"/>
      <c r="N899" s="10"/>
      <c r="O899" s="9" t="str">
        <f t="shared" si="82"/>
        <v/>
      </c>
      <c r="P899" s="10" t="str">
        <f t="shared" si="83"/>
        <v/>
      </c>
      <c r="Q899" s="6" t="str">
        <f t="shared" ca="1" si="84"/>
        <v/>
      </c>
      <c r="R899" s="8" t="str">
        <f t="shared" si="81"/>
        <v/>
      </c>
    </row>
    <row r="900" spans="1:18" ht="13">
      <c r="A900" s="8"/>
      <c r="B900" s="10"/>
      <c r="C900" s="10"/>
      <c r="D900" s="8"/>
      <c r="E900" s="8"/>
      <c r="F900" s="8" t="s">
        <v>1090</v>
      </c>
      <c r="G900" s="6" t="str">
        <f>IF(F900="","",VLOOKUP(F900,'PLAN SUPORTE'!A:B,2,0))</f>
        <v/>
      </c>
      <c r="H900" s="7"/>
      <c r="I900" s="8"/>
      <c r="J900" s="8"/>
      <c r="K900" s="8"/>
      <c r="L900" s="8" t="str">
        <f>IF(K900="","",VLOOKUP(K900,'PLAN SUPORTE'!$H$2:$I$4,2,0))</f>
        <v/>
      </c>
      <c r="M900" s="10"/>
      <c r="N900" s="10"/>
      <c r="O900" s="9" t="str">
        <f t="shared" si="82"/>
        <v/>
      </c>
      <c r="P900" s="10" t="str">
        <f t="shared" si="83"/>
        <v/>
      </c>
      <c r="Q900" s="6" t="str">
        <f t="shared" ca="1" si="84"/>
        <v/>
      </c>
      <c r="R900" s="8" t="str">
        <f t="shared" si="81"/>
        <v/>
      </c>
    </row>
    <row r="901" spans="1:18" ht="13">
      <c r="A901" s="8"/>
      <c r="B901" s="10"/>
      <c r="C901" s="10"/>
      <c r="D901" s="8"/>
      <c r="E901" s="8"/>
      <c r="F901" s="8" t="s">
        <v>1090</v>
      </c>
      <c r="G901" s="6" t="str">
        <f>IF(F901="","",VLOOKUP(F901,'PLAN SUPORTE'!A:B,2,0))</f>
        <v/>
      </c>
      <c r="H901" s="7"/>
      <c r="I901" s="8"/>
      <c r="J901" s="8"/>
      <c r="K901" s="8"/>
      <c r="L901" s="8" t="str">
        <f>IF(K901="","",VLOOKUP(K901,'PLAN SUPORTE'!$H$2:$I$4,2,0))</f>
        <v/>
      </c>
      <c r="M901" s="10"/>
      <c r="N901" s="10"/>
      <c r="O901" s="9" t="str">
        <f t="shared" si="82"/>
        <v/>
      </c>
      <c r="P901" s="10" t="str">
        <f t="shared" si="83"/>
        <v/>
      </c>
      <c r="Q901" s="6" t="str">
        <f t="shared" ca="1" si="84"/>
        <v/>
      </c>
      <c r="R901" s="8" t="str">
        <f t="shared" si="81"/>
        <v/>
      </c>
    </row>
    <row r="902" spans="1:18" ht="13">
      <c r="A902" s="8"/>
      <c r="B902" s="10"/>
      <c r="C902" s="10"/>
      <c r="D902" s="8"/>
      <c r="E902" s="8"/>
      <c r="F902" s="8" t="s">
        <v>1090</v>
      </c>
      <c r="G902" s="6" t="str">
        <f>IF(F902="","",VLOOKUP(F902,'PLAN SUPORTE'!A:B,2,0))</f>
        <v/>
      </c>
      <c r="H902" s="7"/>
      <c r="I902" s="8"/>
      <c r="J902" s="8"/>
      <c r="K902" s="8"/>
      <c r="L902" s="8" t="str">
        <f>IF(K902="","",VLOOKUP(K902,'PLAN SUPORTE'!$H$2:$I$4,2,0))</f>
        <v/>
      </c>
      <c r="M902" s="10"/>
      <c r="N902" s="10"/>
      <c r="O902" s="9" t="str">
        <f t="shared" si="82"/>
        <v/>
      </c>
      <c r="P902" s="10" t="str">
        <f t="shared" si="83"/>
        <v/>
      </c>
      <c r="Q902" s="6" t="str">
        <f t="shared" ca="1" si="84"/>
        <v/>
      </c>
      <c r="R902" s="8" t="str">
        <f t="shared" si="81"/>
        <v/>
      </c>
    </row>
    <row r="903" spans="1:18" ht="13">
      <c r="A903" s="8"/>
      <c r="B903" s="10"/>
      <c r="C903" s="10"/>
      <c r="D903" s="8"/>
      <c r="E903" s="8"/>
      <c r="F903" s="8" t="s">
        <v>1090</v>
      </c>
      <c r="G903" s="6" t="str">
        <f>IF(F903="","",VLOOKUP(F903,'PLAN SUPORTE'!A:B,2,0))</f>
        <v/>
      </c>
      <c r="H903" s="7"/>
      <c r="I903" s="8"/>
      <c r="J903" s="8"/>
      <c r="K903" s="8"/>
      <c r="L903" s="8" t="str">
        <f>IF(K903="","",VLOOKUP(K903,'PLAN SUPORTE'!$H$2:$I$4,2,0))</f>
        <v/>
      </c>
      <c r="M903" s="10"/>
      <c r="N903" s="10"/>
      <c r="O903" s="9" t="str">
        <f t="shared" si="82"/>
        <v/>
      </c>
      <c r="P903" s="10" t="str">
        <f t="shared" si="83"/>
        <v/>
      </c>
      <c r="Q903" s="6" t="str">
        <f t="shared" ca="1" si="84"/>
        <v/>
      </c>
      <c r="R903" s="8" t="str">
        <f t="shared" si="81"/>
        <v/>
      </c>
    </row>
    <row r="904" spans="1:18" ht="13">
      <c r="A904" s="8"/>
      <c r="B904" s="10"/>
      <c r="C904" s="10"/>
      <c r="D904" s="8"/>
      <c r="E904" s="8"/>
      <c r="F904" s="8" t="s">
        <v>1090</v>
      </c>
      <c r="G904" s="6" t="str">
        <f>IF(F904="","",VLOOKUP(F904,'PLAN SUPORTE'!A:B,2,0))</f>
        <v/>
      </c>
      <c r="H904" s="7"/>
      <c r="I904" s="8"/>
      <c r="J904" s="8"/>
      <c r="K904" s="8"/>
      <c r="L904" s="8" t="str">
        <f>IF(K904="","",VLOOKUP(K904,'PLAN SUPORTE'!$H$2:$I$4,2,0))</f>
        <v/>
      </c>
      <c r="M904" s="10"/>
      <c r="N904" s="10"/>
      <c r="O904" s="9" t="str">
        <f t="shared" si="82"/>
        <v/>
      </c>
      <c r="P904" s="10" t="str">
        <f t="shared" si="83"/>
        <v/>
      </c>
      <c r="Q904" s="6" t="str">
        <f t="shared" ca="1" si="84"/>
        <v/>
      </c>
      <c r="R904" s="8" t="str">
        <f t="shared" si="81"/>
        <v/>
      </c>
    </row>
    <row r="905" spans="1:18" ht="13">
      <c r="A905" s="8"/>
      <c r="B905" s="10"/>
      <c r="C905" s="10"/>
      <c r="D905" s="8"/>
      <c r="E905" s="8"/>
      <c r="F905" s="8" t="s">
        <v>1090</v>
      </c>
      <c r="G905" s="6" t="str">
        <f>IF(F905="","",VLOOKUP(F905,'PLAN SUPORTE'!A:B,2,0))</f>
        <v/>
      </c>
      <c r="H905" s="7"/>
      <c r="I905" s="8"/>
      <c r="J905" s="8"/>
      <c r="K905" s="8"/>
      <c r="L905" s="8" t="str">
        <f>IF(K905="","",VLOOKUP(K905,'PLAN SUPORTE'!$H$2:$I$4,2,0))</f>
        <v/>
      </c>
      <c r="M905" s="10"/>
      <c r="N905" s="10"/>
      <c r="O905" s="9" t="str">
        <f t="shared" si="82"/>
        <v/>
      </c>
      <c r="P905" s="10" t="str">
        <f t="shared" si="83"/>
        <v/>
      </c>
      <c r="Q905" s="6" t="str">
        <f t="shared" ca="1" si="84"/>
        <v/>
      </c>
      <c r="R905" s="8" t="str">
        <f t="shared" si="81"/>
        <v/>
      </c>
    </row>
    <row r="906" spans="1:18" ht="13">
      <c r="A906" s="8"/>
      <c r="B906" s="10"/>
      <c r="C906" s="10"/>
      <c r="D906" s="8"/>
      <c r="E906" s="8"/>
      <c r="F906" s="8" t="s">
        <v>1090</v>
      </c>
      <c r="G906" s="6" t="str">
        <f>IF(F906="","",VLOOKUP(F906,'PLAN SUPORTE'!A:B,2,0))</f>
        <v/>
      </c>
      <c r="H906" s="7"/>
      <c r="I906" s="8"/>
      <c r="J906" s="8"/>
      <c r="K906" s="8"/>
      <c r="L906" s="8" t="str">
        <f>IF(K906="","",VLOOKUP(K906,'PLAN SUPORTE'!$H$2:$I$4,2,0))</f>
        <v/>
      </c>
      <c r="M906" s="10"/>
      <c r="N906" s="10"/>
      <c r="O906" s="9" t="str">
        <f t="shared" si="82"/>
        <v/>
      </c>
      <c r="P906" s="10" t="str">
        <f t="shared" si="83"/>
        <v/>
      </c>
      <c r="Q906" s="6" t="str">
        <f t="shared" ca="1" si="84"/>
        <v/>
      </c>
      <c r="R906" s="8" t="str">
        <f t="shared" si="81"/>
        <v/>
      </c>
    </row>
    <row r="907" spans="1:18" ht="13">
      <c r="A907" s="8"/>
      <c r="B907" s="10"/>
      <c r="C907" s="10"/>
      <c r="D907" s="8"/>
      <c r="E907" s="8"/>
      <c r="F907" s="8" t="s">
        <v>1090</v>
      </c>
      <c r="G907" s="6" t="str">
        <f>IF(F907="","",VLOOKUP(F907,'PLAN SUPORTE'!A:B,2,0))</f>
        <v/>
      </c>
      <c r="H907" s="7"/>
      <c r="I907" s="8"/>
      <c r="J907" s="8"/>
      <c r="K907" s="8"/>
      <c r="L907" s="8" t="str">
        <f>IF(K907="","",VLOOKUP(K907,'PLAN SUPORTE'!$H$2:$I$4,2,0))</f>
        <v/>
      </c>
      <c r="M907" s="10"/>
      <c r="N907" s="10"/>
      <c r="O907" s="9" t="str">
        <f t="shared" si="82"/>
        <v/>
      </c>
      <c r="P907" s="10" t="str">
        <f t="shared" si="83"/>
        <v/>
      </c>
      <c r="Q907" s="6" t="str">
        <f t="shared" ca="1" si="84"/>
        <v/>
      </c>
      <c r="R907" s="8" t="str">
        <f t="shared" si="81"/>
        <v/>
      </c>
    </row>
    <row r="908" spans="1:18" ht="13">
      <c r="A908" s="8"/>
      <c r="B908" s="10"/>
      <c r="C908" s="10"/>
      <c r="D908" s="8"/>
      <c r="E908" s="8"/>
      <c r="F908" s="8" t="s">
        <v>1090</v>
      </c>
      <c r="G908" s="6" t="str">
        <f>IF(F908="","",VLOOKUP(F908,'PLAN SUPORTE'!A:B,2,0))</f>
        <v/>
      </c>
      <c r="H908" s="7"/>
      <c r="I908" s="8"/>
      <c r="J908" s="8"/>
      <c r="K908" s="8"/>
      <c r="L908" s="8" t="str">
        <f>IF(K908="","",VLOOKUP(K908,'PLAN SUPORTE'!$H$2:$I$4,2,0))</f>
        <v/>
      </c>
      <c r="M908" s="10"/>
      <c r="N908" s="10"/>
      <c r="O908" s="9" t="str">
        <f t="shared" si="82"/>
        <v/>
      </c>
      <c r="P908" s="10" t="str">
        <f t="shared" si="83"/>
        <v/>
      </c>
      <c r="Q908" s="6" t="str">
        <f t="shared" ca="1" si="84"/>
        <v/>
      </c>
      <c r="R908" s="8" t="str">
        <f t="shared" si="81"/>
        <v/>
      </c>
    </row>
    <row r="909" spans="1:18" ht="13">
      <c r="A909" s="8"/>
      <c r="B909" s="10"/>
      <c r="C909" s="10"/>
      <c r="D909" s="8"/>
      <c r="E909" s="8"/>
      <c r="F909" s="8" t="s">
        <v>1090</v>
      </c>
      <c r="G909" s="6" t="str">
        <f>IF(F909="","",VLOOKUP(F909,'PLAN SUPORTE'!A:B,2,0))</f>
        <v/>
      </c>
      <c r="H909" s="7"/>
      <c r="I909" s="8"/>
      <c r="J909" s="8"/>
      <c r="K909" s="8"/>
      <c r="L909" s="8" t="str">
        <f>IF(K909="","",VLOOKUP(K909,'PLAN SUPORTE'!$H$2:$I$4,2,0))</f>
        <v/>
      </c>
      <c r="M909" s="10"/>
      <c r="N909" s="10"/>
      <c r="O909" s="9" t="str">
        <f t="shared" si="82"/>
        <v/>
      </c>
      <c r="P909" s="10" t="str">
        <f t="shared" si="83"/>
        <v/>
      </c>
      <c r="Q909" s="6" t="str">
        <f t="shared" ca="1" si="84"/>
        <v/>
      </c>
      <c r="R909" s="8" t="str">
        <f t="shared" si="81"/>
        <v/>
      </c>
    </row>
    <row r="910" spans="1:18" ht="13">
      <c r="A910" s="8"/>
      <c r="B910" s="10"/>
      <c r="C910" s="10"/>
      <c r="D910" s="8"/>
      <c r="E910" s="8"/>
      <c r="F910" s="8" t="s">
        <v>1090</v>
      </c>
      <c r="G910" s="6" t="str">
        <f>IF(F910="","",VLOOKUP(F910,'PLAN SUPORTE'!A:B,2,0))</f>
        <v/>
      </c>
      <c r="H910" s="7"/>
      <c r="I910" s="8"/>
      <c r="J910" s="8"/>
      <c r="K910" s="8"/>
      <c r="L910" s="8" t="str">
        <f>IF(K910="","",VLOOKUP(K910,'PLAN SUPORTE'!$H$2:$I$4,2,0))</f>
        <v/>
      </c>
      <c r="M910" s="10"/>
      <c r="N910" s="10"/>
      <c r="O910" s="9" t="str">
        <f t="shared" si="82"/>
        <v/>
      </c>
      <c r="P910" s="10" t="str">
        <f t="shared" si="83"/>
        <v/>
      </c>
      <c r="Q910" s="6" t="str">
        <f t="shared" ca="1" si="84"/>
        <v/>
      </c>
      <c r="R910" s="8" t="str">
        <f t="shared" si="81"/>
        <v/>
      </c>
    </row>
    <row r="911" spans="1:18" ht="13">
      <c r="A911" s="8"/>
      <c r="B911" s="10"/>
      <c r="C911" s="10"/>
      <c r="D911" s="8"/>
      <c r="E911" s="8"/>
      <c r="F911" s="8" t="s">
        <v>1090</v>
      </c>
      <c r="G911" s="6" t="str">
        <f>IF(F911="","",VLOOKUP(F911,'PLAN SUPORTE'!A:B,2,0))</f>
        <v/>
      </c>
      <c r="H911" s="7"/>
      <c r="I911" s="8"/>
      <c r="J911" s="8"/>
      <c r="K911" s="8"/>
      <c r="L911" s="8" t="str">
        <f>IF(K911="","",VLOOKUP(K911,'PLAN SUPORTE'!$H$2:$I$4,2,0))</f>
        <v/>
      </c>
      <c r="M911" s="10"/>
      <c r="N911" s="10"/>
      <c r="O911" s="9" t="str">
        <f t="shared" si="82"/>
        <v/>
      </c>
      <c r="P911" s="10" t="str">
        <f t="shared" si="83"/>
        <v/>
      </c>
      <c r="Q911" s="6" t="str">
        <f t="shared" ca="1" si="84"/>
        <v/>
      </c>
      <c r="R911" s="8" t="str">
        <f t="shared" si="81"/>
        <v/>
      </c>
    </row>
    <row r="912" spans="1:18" ht="13">
      <c r="A912" s="8"/>
      <c r="B912" s="10"/>
      <c r="C912" s="10"/>
      <c r="D912" s="8"/>
      <c r="E912" s="8"/>
      <c r="F912" s="8" t="s">
        <v>1090</v>
      </c>
      <c r="G912" s="6" t="str">
        <f>IF(F912="","",VLOOKUP(F912,'PLAN SUPORTE'!A:B,2,0))</f>
        <v/>
      </c>
      <c r="H912" s="7"/>
      <c r="I912" s="8"/>
      <c r="J912" s="8"/>
      <c r="K912" s="8"/>
      <c r="L912" s="8" t="str">
        <f>IF(K912="","",VLOOKUP(K912,'PLAN SUPORTE'!$H$2:$I$4,2,0))</f>
        <v/>
      </c>
      <c r="M912" s="10"/>
      <c r="N912" s="10"/>
      <c r="O912" s="9" t="str">
        <f t="shared" si="82"/>
        <v/>
      </c>
      <c r="P912" s="10" t="str">
        <f t="shared" si="83"/>
        <v/>
      </c>
      <c r="Q912" s="6" t="str">
        <f t="shared" ca="1" si="84"/>
        <v/>
      </c>
      <c r="R912" s="8" t="str">
        <f t="shared" si="81"/>
        <v/>
      </c>
    </row>
    <row r="913" spans="1:18" ht="13">
      <c r="A913" s="8"/>
      <c r="B913" s="10"/>
      <c r="C913" s="10"/>
      <c r="D913" s="8"/>
      <c r="E913" s="8"/>
      <c r="F913" s="8" t="s">
        <v>1090</v>
      </c>
      <c r="G913" s="6" t="str">
        <f>IF(F913="","",VLOOKUP(F913,'PLAN SUPORTE'!A:B,2,0))</f>
        <v/>
      </c>
      <c r="H913" s="7"/>
      <c r="I913" s="8"/>
      <c r="J913" s="8"/>
      <c r="K913" s="8"/>
      <c r="L913" s="8" t="str">
        <f>IF(K913="","",VLOOKUP(K913,'PLAN SUPORTE'!$H$2:$I$4,2,0))</f>
        <v/>
      </c>
      <c r="M913" s="10"/>
      <c r="N913" s="10"/>
      <c r="O913" s="9" t="str">
        <f t="shared" si="82"/>
        <v/>
      </c>
      <c r="P913" s="10" t="str">
        <f t="shared" si="83"/>
        <v/>
      </c>
      <c r="Q913" s="6" t="str">
        <f t="shared" ca="1" si="84"/>
        <v/>
      </c>
      <c r="R913" s="8" t="str">
        <f t="shared" si="81"/>
        <v/>
      </c>
    </row>
    <row r="914" spans="1:18" ht="13">
      <c r="A914" s="8"/>
      <c r="B914" s="10"/>
      <c r="C914" s="10"/>
      <c r="D914" s="8"/>
      <c r="E914" s="8"/>
      <c r="F914" s="8" t="s">
        <v>1090</v>
      </c>
      <c r="G914" s="6" t="str">
        <f>IF(F914="","",VLOOKUP(F914,'PLAN SUPORTE'!A:B,2,0))</f>
        <v/>
      </c>
      <c r="H914" s="7"/>
      <c r="I914" s="8"/>
      <c r="J914" s="8"/>
      <c r="K914" s="8"/>
      <c r="L914" s="8" t="str">
        <f>IF(K914="","",VLOOKUP(K914,'PLAN SUPORTE'!$H$2:$I$4,2,0))</f>
        <v/>
      </c>
      <c r="M914" s="10"/>
      <c r="N914" s="10"/>
      <c r="O914" s="9" t="str">
        <f t="shared" si="82"/>
        <v/>
      </c>
      <c r="P914" s="10" t="str">
        <f t="shared" si="83"/>
        <v/>
      </c>
      <c r="Q914" s="6" t="str">
        <f t="shared" ca="1" si="84"/>
        <v/>
      </c>
      <c r="R914" s="8" t="str">
        <f t="shared" si="81"/>
        <v/>
      </c>
    </row>
    <row r="915" spans="1:18" ht="13">
      <c r="A915" s="8"/>
      <c r="B915" s="10"/>
      <c r="C915" s="10"/>
      <c r="D915" s="8"/>
      <c r="E915" s="8"/>
      <c r="F915" s="8" t="s">
        <v>1090</v>
      </c>
      <c r="G915" s="6" t="str">
        <f>IF(F915="","",VLOOKUP(F915,'PLAN SUPORTE'!A:B,2,0))</f>
        <v/>
      </c>
      <c r="H915" s="7"/>
      <c r="I915" s="8"/>
      <c r="J915" s="8"/>
      <c r="K915" s="8"/>
      <c r="L915" s="8" t="str">
        <f>IF(K915="","",VLOOKUP(K915,'PLAN SUPORTE'!$H$2:$I$4,2,0))</f>
        <v/>
      </c>
      <c r="M915" s="10"/>
      <c r="N915" s="10"/>
      <c r="O915" s="9" t="str">
        <f t="shared" si="82"/>
        <v/>
      </c>
      <c r="P915" s="10" t="str">
        <f t="shared" si="83"/>
        <v/>
      </c>
      <c r="Q915" s="6" t="str">
        <f t="shared" ca="1" si="84"/>
        <v/>
      </c>
      <c r="R915" s="8" t="str">
        <f t="shared" si="81"/>
        <v/>
      </c>
    </row>
    <row r="916" spans="1:18" ht="13">
      <c r="A916" s="8"/>
      <c r="B916" s="10"/>
      <c r="C916" s="10"/>
      <c r="D916" s="8"/>
      <c r="E916" s="8"/>
      <c r="F916" s="8" t="s">
        <v>1090</v>
      </c>
      <c r="G916" s="6" t="str">
        <f>IF(F916="","",VLOOKUP(F916,'PLAN SUPORTE'!A:B,2,0))</f>
        <v/>
      </c>
      <c r="H916" s="7"/>
      <c r="I916" s="8"/>
      <c r="J916" s="8"/>
      <c r="K916" s="8"/>
      <c r="L916" s="8" t="str">
        <f>IF(K916="","",VLOOKUP(K916,'PLAN SUPORTE'!$H$2:$I$4,2,0))</f>
        <v/>
      </c>
      <c r="M916" s="10"/>
      <c r="N916" s="10"/>
      <c r="O916" s="9" t="str">
        <f t="shared" si="82"/>
        <v/>
      </c>
      <c r="P916" s="10" t="str">
        <f t="shared" si="83"/>
        <v/>
      </c>
      <c r="Q916" s="6" t="str">
        <f t="shared" ca="1" si="84"/>
        <v/>
      </c>
      <c r="R916" s="8" t="str">
        <f t="shared" si="81"/>
        <v/>
      </c>
    </row>
    <row r="917" spans="1:18" ht="13">
      <c r="A917" s="8"/>
      <c r="B917" s="10"/>
      <c r="C917" s="10"/>
      <c r="D917" s="8"/>
      <c r="E917" s="8"/>
      <c r="F917" s="8" t="s">
        <v>1090</v>
      </c>
      <c r="G917" s="6" t="str">
        <f>IF(F917="","",VLOOKUP(F917,'PLAN SUPORTE'!A:B,2,0))</f>
        <v/>
      </c>
      <c r="H917" s="7"/>
      <c r="I917" s="8"/>
      <c r="J917" s="8"/>
      <c r="K917" s="8"/>
      <c r="L917" s="8" t="str">
        <f>IF(K917="","",VLOOKUP(K917,'PLAN SUPORTE'!$H$2:$I$4,2,0))</f>
        <v/>
      </c>
      <c r="M917" s="10"/>
      <c r="N917" s="10"/>
      <c r="O917" s="9" t="str">
        <f t="shared" si="82"/>
        <v/>
      </c>
      <c r="P917" s="10" t="str">
        <f t="shared" si="83"/>
        <v/>
      </c>
      <c r="Q917" s="6" t="str">
        <f t="shared" ca="1" si="84"/>
        <v/>
      </c>
      <c r="R917" s="8" t="str">
        <f t="shared" si="81"/>
        <v/>
      </c>
    </row>
    <row r="918" spans="1:18" ht="13">
      <c r="A918" s="8"/>
      <c r="B918" s="10"/>
      <c r="C918" s="10"/>
      <c r="D918" s="8"/>
      <c r="E918" s="8"/>
      <c r="F918" s="8" t="s">
        <v>1090</v>
      </c>
      <c r="G918" s="6" t="str">
        <f>IF(F918="","",VLOOKUP(F918,'PLAN SUPORTE'!A:B,2,0))</f>
        <v/>
      </c>
      <c r="H918" s="7"/>
      <c r="I918" s="8"/>
      <c r="J918" s="8"/>
      <c r="K918" s="8"/>
      <c r="L918" s="8" t="str">
        <f>IF(K918="","",VLOOKUP(K918,'PLAN SUPORTE'!$H$2:$I$4,2,0))</f>
        <v/>
      </c>
      <c r="M918" s="10"/>
      <c r="N918" s="10"/>
      <c r="O918" s="9" t="str">
        <f t="shared" si="82"/>
        <v/>
      </c>
      <c r="P918" s="10" t="str">
        <f t="shared" si="83"/>
        <v/>
      </c>
      <c r="Q918" s="6" t="str">
        <f t="shared" ca="1" si="84"/>
        <v/>
      </c>
      <c r="R918" s="8" t="str">
        <f t="shared" si="81"/>
        <v/>
      </c>
    </row>
    <row r="919" spans="1:18" ht="13">
      <c r="A919" s="8"/>
      <c r="B919" s="10"/>
      <c r="C919" s="10"/>
      <c r="D919" s="8"/>
      <c r="E919" s="8"/>
      <c r="F919" s="8" t="s">
        <v>1090</v>
      </c>
      <c r="G919" s="6" t="str">
        <f>IF(F919="","",VLOOKUP(F919,'PLAN SUPORTE'!A:B,2,0))</f>
        <v/>
      </c>
      <c r="H919" s="7"/>
      <c r="I919" s="8"/>
      <c r="J919" s="8"/>
      <c r="K919" s="8"/>
      <c r="L919" s="8" t="str">
        <f>IF(K919="","",VLOOKUP(K919,'PLAN SUPORTE'!$H$2:$I$4,2,0))</f>
        <v/>
      </c>
      <c r="M919" s="10"/>
      <c r="N919" s="10"/>
      <c r="O919" s="9" t="str">
        <f t="shared" si="82"/>
        <v/>
      </c>
      <c r="P919" s="10" t="str">
        <f t="shared" si="83"/>
        <v/>
      </c>
      <c r="Q919" s="6" t="str">
        <f t="shared" ca="1" si="84"/>
        <v/>
      </c>
      <c r="R919" s="8" t="str">
        <f t="shared" si="81"/>
        <v/>
      </c>
    </row>
    <row r="920" spans="1:18" ht="13">
      <c r="A920" s="8"/>
      <c r="B920" s="10"/>
      <c r="C920" s="10"/>
      <c r="D920" s="8"/>
      <c r="E920" s="8"/>
      <c r="F920" s="8" t="s">
        <v>1090</v>
      </c>
      <c r="G920" s="6" t="str">
        <f>IF(F920="","",VLOOKUP(F920,'PLAN SUPORTE'!A:B,2,0))</f>
        <v/>
      </c>
      <c r="H920" s="7"/>
      <c r="I920" s="8"/>
      <c r="J920" s="8"/>
      <c r="K920" s="8"/>
      <c r="L920" s="8" t="str">
        <f>IF(K920="","",VLOOKUP(K920,'PLAN SUPORTE'!$H$2:$I$4,2,0))</f>
        <v/>
      </c>
      <c r="M920" s="10"/>
      <c r="N920" s="10"/>
      <c r="O920" s="9" t="str">
        <f t="shared" si="82"/>
        <v/>
      </c>
      <c r="P920" s="10" t="str">
        <f t="shared" si="83"/>
        <v/>
      </c>
      <c r="Q920" s="6" t="str">
        <f t="shared" ca="1" si="84"/>
        <v/>
      </c>
      <c r="R920" s="8" t="str">
        <f t="shared" si="81"/>
        <v/>
      </c>
    </row>
    <row r="921" spans="1:18" ht="13">
      <c r="A921" s="8"/>
      <c r="B921" s="10"/>
      <c r="C921" s="10"/>
      <c r="D921" s="8"/>
      <c r="E921" s="8"/>
      <c r="F921" s="8" t="s">
        <v>1090</v>
      </c>
      <c r="G921" s="6" t="str">
        <f>IF(F921="","",VLOOKUP(F921,'PLAN SUPORTE'!A:B,2,0))</f>
        <v/>
      </c>
      <c r="H921" s="7"/>
      <c r="I921" s="8"/>
      <c r="J921" s="8"/>
      <c r="K921" s="8"/>
      <c r="L921" s="8" t="str">
        <f>IF(K921="","",VLOOKUP(K921,'PLAN SUPORTE'!$H$2:$I$4,2,0))</f>
        <v/>
      </c>
      <c r="M921" s="10"/>
      <c r="N921" s="10"/>
      <c r="O921" s="9" t="str">
        <f t="shared" si="82"/>
        <v/>
      </c>
      <c r="P921" s="10" t="str">
        <f t="shared" si="83"/>
        <v/>
      </c>
      <c r="Q921" s="6" t="str">
        <f t="shared" ca="1" si="84"/>
        <v/>
      </c>
      <c r="R921" s="8" t="str">
        <f t="shared" si="81"/>
        <v/>
      </c>
    </row>
    <row r="922" spans="1:18" ht="13">
      <c r="A922" s="8"/>
      <c r="B922" s="10"/>
      <c r="C922" s="10"/>
      <c r="D922" s="8"/>
      <c r="E922" s="8"/>
      <c r="F922" s="8" t="s">
        <v>1090</v>
      </c>
      <c r="G922" s="6" t="str">
        <f>IF(F922="","",VLOOKUP(F922,'PLAN SUPORTE'!A:B,2,0))</f>
        <v/>
      </c>
      <c r="H922" s="7"/>
      <c r="I922" s="8"/>
      <c r="J922" s="8"/>
      <c r="K922" s="8"/>
      <c r="L922" s="8" t="str">
        <f>IF(K922="","",VLOOKUP(K922,'PLAN SUPORTE'!$H$2:$I$4,2,0))</f>
        <v/>
      </c>
      <c r="M922" s="10"/>
      <c r="N922" s="10"/>
      <c r="O922" s="9" t="str">
        <f t="shared" si="82"/>
        <v/>
      </c>
      <c r="P922" s="10" t="str">
        <f t="shared" si="83"/>
        <v/>
      </c>
      <c r="Q922" s="6" t="str">
        <f t="shared" ca="1" si="84"/>
        <v/>
      </c>
      <c r="R922" s="8" t="str">
        <f t="shared" si="81"/>
        <v/>
      </c>
    </row>
    <row r="923" spans="1:18" ht="13">
      <c r="A923" s="8"/>
      <c r="B923" s="10"/>
      <c r="C923" s="10"/>
      <c r="D923" s="8"/>
      <c r="E923" s="8"/>
      <c r="F923" s="8" t="s">
        <v>1090</v>
      </c>
      <c r="G923" s="6" t="str">
        <f>IF(F923="","",VLOOKUP(F923,'PLAN SUPORTE'!A:B,2,0))</f>
        <v/>
      </c>
      <c r="H923" s="7"/>
      <c r="I923" s="8"/>
      <c r="J923" s="8"/>
      <c r="K923" s="8"/>
      <c r="L923" s="8" t="str">
        <f>IF(K923="","",VLOOKUP(K923,'PLAN SUPORTE'!$H$2:$I$4,2,0))</f>
        <v/>
      </c>
      <c r="M923" s="10"/>
      <c r="N923" s="10"/>
      <c r="O923" s="9" t="str">
        <f t="shared" si="82"/>
        <v/>
      </c>
      <c r="P923" s="10" t="str">
        <f t="shared" si="83"/>
        <v/>
      </c>
      <c r="Q923" s="6" t="str">
        <f t="shared" ca="1" si="84"/>
        <v/>
      </c>
      <c r="R923" s="8" t="str">
        <f t="shared" si="81"/>
        <v/>
      </c>
    </row>
    <row r="924" spans="1:18" ht="13">
      <c r="A924" s="8"/>
      <c r="B924" s="10"/>
      <c r="C924" s="10"/>
      <c r="D924" s="8"/>
      <c r="E924" s="8"/>
      <c r="F924" s="8" t="s">
        <v>1090</v>
      </c>
      <c r="G924" s="6" t="str">
        <f>IF(F924="","",VLOOKUP(F924,'PLAN SUPORTE'!A:B,2,0))</f>
        <v/>
      </c>
      <c r="H924" s="7"/>
      <c r="I924" s="8"/>
      <c r="J924" s="8"/>
      <c r="K924" s="8"/>
      <c r="L924" s="8" t="str">
        <f>IF(K924="","",VLOOKUP(K924,'PLAN SUPORTE'!$H$2:$I$4,2,0))</f>
        <v/>
      </c>
      <c r="M924" s="10"/>
      <c r="N924" s="10"/>
      <c r="O924" s="9" t="str">
        <f t="shared" si="82"/>
        <v/>
      </c>
      <c r="P924" s="10" t="str">
        <f t="shared" si="83"/>
        <v/>
      </c>
      <c r="Q924" s="6" t="str">
        <f t="shared" ca="1" si="84"/>
        <v/>
      </c>
      <c r="R924" s="8" t="str">
        <f t="shared" si="81"/>
        <v/>
      </c>
    </row>
    <row r="925" spans="1:18" ht="13">
      <c r="A925" s="8"/>
      <c r="B925" s="10"/>
      <c r="C925" s="10"/>
      <c r="D925" s="8"/>
      <c r="E925" s="8"/>
      <c r="F925" s="8" t="s">
        <v>1090</v>
      </c>
      <c r="G925" s="6" t="str">
        <f>IF(F925="","",VLOOKUP(F925,'PLAN SUPORTE'!A:B,2,0))</f>
        <v/>
      </c>
      <c r="H925" s="7"/>
      <c r="I925" s="8"/>
      <c r="J925" s="8"/>
      <c r="K925" s="8"/>
      <c r="L925" s="8" t="str">
        <f>IF(K925="","",VLOOKUP(K925,'PLAN SUPORTE'!$H$2:$I$4,2,0))</f>
        <v/>
      </c>
      <c r="M925" s="10"/>
      <c r="N925" s="10"/>
      <c r="O925" s="9" t="str">
        <f t="shared" si="82"/>
        <v/>
      </c>
      <c r="P925" s="10" t="str">
        <f t="shared" si="83"/>
        <v/>
      </c>
      <c r="Q925" s="6" t="str">
        <f t="shared" ca="1" si="84"/>
        <v/>
      </c>
      <c r="R925" s="8" t="str">
        <f t="shared" si="81"/>
        <v/>
      </c>
    </row>
    <row r="926" spans="1:18" ht="13">
      <c r="A926" s="8"/>
      <c r="B926" s="10"/>
      <c r="C926" s="10"/>
      <c r="D926" s="8"/>
      <c r="E926" s="8"/>
      <c r="F926" s="8" t="s">
        <v>1090</v>
      </c>
      <c r="G926" s="6" t="str">
        <f>IF(F926="","",VLOOKUP(F926,'PLAN SUPORTE'!A:B,2,0))</f>
        <v/>
      </c>
      <c r="H926" s="7"/>
      <c r="I926" s="8"/>
      <c r="J926" s="8"/>
      <c r="K926" s="8"/>
      <c r="L926" s="8" t="str">
        <f>IF(K926="","",VLOOKUP(K926,'PLAN SUPORTE'!$H$2:$I$4,2,0))</f>
        <v/>
      </c>
      <c r="M926" s="10"/>
      <c r="N926" s="10"/>
      <c r="O926" s="9" t="str">
        <f t="shared" si="82"/>
        <v/>
      </c>
      <c r="P926" s="10" t="str">
        <f t="shared" si="83"/>
        <v/>
      </c>
      <c r="Q926" s="6" t="str">
        <f t="shared" ca="1" si="84"/>
        <v/>
      </c>
      <c r="R926" s="8" t="str">
        <f t="shared" si="81"/>
        <v/>
      </c>
    </row>
    <row r="927" spans="1:18" ht="13">
      <c r="A927" s="8"/>
      <c r="B927" s="10"/>
      <c r="C927" s="10"/>
      <c r="D927" s="8"/>
      <c r="E927" s="8"/>
      <c r="F927" s="8" t="s">
        <v>1090</v>
      </c>
      <c r="G927" s="6" t="str">
        <f>IF(F927="","",VLOOKUP(F927,'PLAN SUPORTE'!A:B,2,0))</f>
        <v/>
      </c>
      <c r="H927" s="7"/>
      <c r="I927" s="8"/>
      <c r="J927" s="8"/>
      <c r="K927" s="8"/>
      <c r="L927" s="8" t="str">
        <f>IF(K927="","",VLOOKUP(K927,'PLAN SUPORTE'!$H$2:$I$4,2,0))</f>
        <v/>
      </c>
      <c r="M927" s="10"/>
      <c r="N927" s="10"/>
      <c r="O927" s="9" t="str">
        <f t="shared" si="82"/>
        <v/>
      </c>
      <c r="P927" s="10" t="str">
        <f t="shared" si="83"/>
        <v/>
      </c>
      <c r="Q927" s="6" t="str">
        <f t="shared" ca="1" si="84"/>
        <v/>
      </c>
      <c r="R927" s="8" t="str">
        <f t="shared" si="81"/>
        <v/>
      </c>
    </row>
    <row r="928" spans="1:18" ht="13">
      <c r="A928" s="8"/>
      <c r="B928" s="10"/>
      <c r="C928" s="10"/>
      <c r="D928" s="8"/>
      <c r="E928" s="8"/>
      <c r="F928" s="8" t="s">
        <v>1090</v>
      </c>
      <c r="G928" s="6" t="str">
        <f>IF(F928="","",VLOOKUP(F928,'PLAN SUPORTE'!A:B,2,0))</f>
        <v/>
      </c>
      <c r="H928" s="7"/>
      <c r="I928" s="8"/>
      <c r="J928" s="8"/>
      <c r="K928" s="8"/>
      <c r="L928" s="8" t="str">
        <f>IF(K928="","",VLOOKUP(K928,'PLAN SUPORTE'!$H$2:$I$4,2,0))</f>
        <v/>
      </c>
      <c r="M928" s="10"/>
      <c r="N928" s="10"/>
      <c r="O928" s="9" t="str">
        <f t="shared" si="82"/>
        <v/>
      </c>
      <c r="P928" s="10" t="str">
        <f t="shared" si="83"/>
        <v/>
      </c>
      <c r="Q928" s="6" t="str">
        <f t="shared" ca="1" si="84"/>
        <v/>
      </c>
      <c r="R928" s="8" t="str">
        <f t="shared" si="81"/>
        <v/>
      </c>
    </row>
    <row r="929" spans="1:18" ht="13">
      <c r="A929" s="8"/>
      <c r="B929" s="10"/>
      <c r="C929" s="10"/>
      <c r="D929" s="8"/>
      <c r="E929" s="8"/>
      <c r="F929" s="8" t="s">
        <v>1090</v>
      </c>
      <c r="G929" s="6" t="str">
        <f>IF(F929="","",VLOOKUP(F929,'PLAN SUPORTE'!A:B,2,0))</f>
        <v/>
      </c>
      <c r="H929" s="7"/>
      <c r="I929" s="8"/>
      <c r="J929" s="8"/>
      <c r="K929" s="8"/>
      <c r="L929" s="8" t="str">
        <f>IF(K929="","",VLOOKUP(K929,'PLAN SUPORTE'!$H$2:$I$4,2,0))</f>
        <v/>
      </c>
      <c r="M929" s="10"/>
      <c r="N929" s="10"/>
      <c r="O929" s="9" t="str">
        <f t="shared" si="82"/>
        <v/>
      </c>
      <c r="P929" s="10" t="str">
        <f t="shared" si="83"/>
        <v/>
      </c>
      <c r="Q929" s="6" t="str">
        <f t="shared" ca="1" si="84"/>
        <v/>
      </c>
      <c r="R929" s="8" t="str">
        <f t="shared" si="81"/>
        <v/>
      </c>
    </row>
    <row r="930" spans="1:18" ht="13">
      <c r="A930" s="8"/>
      <c r="B930" s="10"/>
      <c r="C930" s="10"/>
      <c r="D930" s="8"/>
      <c r="E930" s="8"/>
      <c r="F930" s="8" t="s">
        <v>1090</v>
      </c>
      <c r="G930" s="6" t="str">
        <f>IF(F930="","",VLOOKUP(F930,'PLAN SUPORTE'!A:B,2,0))</f>
        <v/>
      </c>
      <c r="H930" s="7"/>
      <c r="I930" s="8"/>
      <c r="J930" s="8"/>
      <c r="K930" s="8"/>
      <c r="L930" s="8" t="str">
        <f>IF(K930="","",VLOOKUP(K930,'PLAN SUPORTE'!$H$2:$I$4,2,0))</f>
        <v/>
      </c>
      <c r="M930" s="10"/>
      <c r="N930" s="10"/>
      <c r="O930" s="9" t="str">
        <f t="shared" si="82"/>
        <v/>
      </c>
      <c r="P930" s="10" t="str">
        <f t="shared" si="83"/>
        <v/>
      </c>
      <c r="Q930" s="6" t="str">
        <f t="shared" ca="1" si="84"/>
        <v/>
      </c>
      <c r="R930" s="8" t="str">
        <f t="shared" si="81"/>
        <v/>
      </c>
    </row>
    <row r="931" spans="1:18" ht="13">
      <c r="A931" s="8"/>
      <c r="B931" s="10"/>
      <c r="C931" s="10"/>
      <c r="D931" s="8"/>
      <c r="E931" s="8"/>
      <c r="F931" s="8" t="s">
        <v>1090</v>
      </c>
      <c r="G931" s="6" t="str">
        <f>IF(F931="","",VLOOKUP(F931,'PLAN SUPORTE'!A:B,2,0))</f>
        <v/>
      </c>
      <c r="H931" s="7"/>
      <c r="I931" s="8"/>
      <c r="J931" s="8"/>
      <c r="K931" s="8"/>
      <c r="L931" s="8" t="str">
        <f>IF(K931="","",VLOOKUP(K931,'PLAN SUPORTE'!$H$2:$I$4,2,0))</f>
        <v/>
      </c>
      <c r="M931" s="10"/>
      <c r="N931" s="10"/>
      <c r="O931" s="9" t="str">
        <f t="shared" si="82"/>
        <v/>
      </c>
      <c r="P931" s="10" t="str">
        <f t="shared" si="83"/>
        <v/>
      </c>
      <c r="Q931" s="6" t="str">
        <f t="shared" ca="1" si="84"/>
        <v/>
      </c>
      <c r="R931" s="8" t="str">
        <f t="shared" si="81"/>
        <v/>
      </c>
    </row>
    <row r="932" spans="1:18" ht="13">
      <c r="A932" s="8"/>
      <c r="B932" s="10"/>
      <c r="C932" s="10"/>
      <c r="D932" s="8"/>
      <c r="E932" s="8"/>
      <c r="F932" s="8" t="s">
        <v>1090</v>
      </c>
      <c r="G932" s="6" t="str">
        <f>IF(F932="","",VLOOKUP(F932,'PLAN SUPORTE'!A:B,2,0))</f>
        <v/>
      </c>
      <c r="H932" s="7"/>
      <c r="I932" s="8"/>
      <c r="J932" s="8"/>
      <c r="K932" s="8"/>
      <c r="L932" s="8" t="str">
        <f>IF(K932="","",VLOOKUP(K932,'PLAN SUPORTE'!$H$2:$I$4,2,0))</f>
        <v/>
      </c>
      <c r="M932" s="10"/>
      <c r="N932" s="10"/>
      <c r="O932" s="9" t="str">
        <f t="shared" si="82"/>
        <v/>
      </c>
      <c r="P932" s="10" t="str">
        <f t="shared" si="83"/>
        <v/>
      </c>
      <c r="Q932" s="6" t="str">
        <f t="shared" ca="1" si="84"/>
        <v/>
      </c>
      <c r="R932" s="8" t="str">
        <f t="shared" si="81"/>
        <v/>
      </c>
    </row>
    <row r="933" spans="1:18" ht="13">
      <c r="A933" s="8"/>
      <c r="B933" s="10"/>
      <c r="C933" s="10"/>
      <c r="D933" s="8"/>
      <c r="E933" s="8"/>
      <c r="F933" s="8" t="s">
        <v>1090</v>
      </c>
      <c r="G933" s="6" t="str">
        <f>IF(F933="","",VLOOKUP(F933,'PLAN SUPORTE'!A:B,2,0))</f>
        <v/>
      </c>
      <c r="H933" s="7"/>
      <c r="I933" s="8"/>
      <c r="J933" s="8"/>
      <c r="K933" s="8"/>
      <c r="L933" s="8" t="str">
        <f>IF(K933="","",VLOOKUP(K933,'PLAN SUPORTE'!$H$2:$I$4,2,0))</f>
        <v/>
      </c>
      <c r="M933" s="10"/>
      <c r="N933" s="10"/>
      <c r="O933" s="9" t="str">
        <f t="shared" si="82"/>
        <v/>
      </c>
      <c r="P933" s="10" t="str">
        <f t="shared" si="83"/>
        <v/>
      </c>
      <c r="Q933" s="6" t="str">
        <f t="shared" ca="1" si="84"/>
        <v/>
      </c>
      <c r="R933" s="8" t="str">
        <f t="shared" si="81"/>
        <v/>
      </c>
    </row>
    <row r="934" spans="1:18" ht="13">
      <c r="A934" s="8"/>
      <c r="B934" s="10"/>
      <c r="C934" s="10"/>
      <c r="D934" s="8"/>
      <c r="E934" s="8"/>
      <c r="F934" s="8" t="s">
        <v>1090</v>
      </c>
      <c r="G934" s="6" t="str">
        <f>IF(F934="","",VLOOKUP(F934,'PLAN SUPORTE'!A:B,2,0))</f>
        <v/>
      </c>
      <c r="H934" s="7"/>
      <c r="I934" s="8"/>
      <c r="J934" s="8"/>
      <c r="K934" s="8"/>
      <c r="L934" s="8" t="str">
        <f>IF(K934="","",VLOOKUP(K934,'PLAN SUPORTE'!$H$2:$I$4,2,0))</f>
        <v/>
      </c>
      <c r="M934" s="10"/>
      <c r="N934" s="10"/>
      <c r="O934" s="9" t="str">
        <f t="shared" si="82"/>
        <v/>
      </c>
      <c r="P934" s="10" t="str">
        <f t="shared" si="83"/>
        <v/>
      </c>
      <c r="Q934" s="6" t="str">
        <f t="shared" ca="1" si="84"/>
        <v/>
      </c>
      <c r="R934" s="8" t="str">
        <f t="shared" si="81"/>
        <v/>
      </c>
    </row>
    <row r="935" spans="1:18" ht="13">
      <c r="A935" s="8"/>
      <c r="B935" s="10"/>
      <c r="C935" s="10"/>
      <c r="D935" s="8"/>
      <c r="E935" s="8"/>
      <c r="F935" s="8" t="s">
        <v>1090</v>
      </c>
      <c r="G935" s="6" t="str">
        <f>IF(F935="","",VLOOKUP(F935,'PLAN SUPORTE'!A:B,2,0))</f>
        <v/>
      </c>
      <c r="H935" s="7"/>
      <c r="I935" s="8"/>
      <c r="J935" s="8"/>
      <c r="K935" s="8"/>
      <c r="L935" s="8" t="str">
        <f>IF(K935="","",VLOOKUP(K935,'PLAN SUPORTE'!$H$2:$I$4,2,0))</f>
        <v/>
      </c>
      <c r="M935" s="10"/>
      <c r="N935" s="10"/>
      <c r="O935" s="9" t="str">
        <f t="shared" si="82"/>
        <v/>
      </c>
      <c r="P935" s="10" t="str">
        <f t="shared" si="83"/>
        <v/>
      </c>
      <c r="Q935" s="6" t="str">
        <f t="shared" ca="1" si="84"/>
        <v/>
      </c>
      <c r="R935" s="8" t="str">
        <f t="shared" si="81"/>
        <v/>
      </c>
    </row>
    <row r="936" spans="1:18" ht="13">
      <c r="A936" s="8"/>
      <c r="B936" s="10"/>
      <c r="C936" s="10"/>
      <c r="D936" s="8"/>
      <c r="E936" s="8"/>
      <c r="F936" s="8" t="s">
        <v>1090</v>
      </c>
      <c r="G936" s="6" t="str">
        <f>IF(F936="","",VLOOKUP(F936,'PLAN SUPORTE'!A:B,2,0))</f>
        <v/>
      </c>
      <c r="H936" s="7"/>
      <c r="I936" s="8"/>
      <c r="J936" s="8"/>
      <c r="K936" s="8"/>
      <c r="L936" s="8" t="str">
        <f>IF(K936="","",VLOOKUP(K936,'PLAN SUPORTE'!$H$2:$I$4,2,0))</f>
        <v/>
      </c>
      <c r="M936" s="10"/>
      <c r="N936" s="10"/>
      <c r="O936" s="9" t="str">
        <f t="shared" si="82"/>
        <v/>
      </c>
      <c r="P936" s="10" t="str">
        <f t="shared" si="83"/>
        <v/>
      </c>
      <c r="Q936" s="6" t="str">
        <f t="shared" ca="1" si="84"/>
        <v/>
      </c>
      <c r="R936" s="8" t="str">
        <f t="shared" si="81"/>
        <v/>
      </c>
    </row>
    <row r="937" spans="1:18" ht="13">
      <c r="A937" s="8"/>
      <c r="B937" s="10"/>
      <c r="C937" s="10"/>
      <c r="D937" s="8"/>
      <c r="E937" s="8"/>
      <c r="F937" s="8" t="s">
        <v>1090</v>
      </c>
      <c r="G937" s="6" t="str">
        <f>IF(F937="","",VLOOKUP(F937,'PLAN SUPORTE'!A:B,2,0))</f>
        <v/>
      </c>
      <c r="H937" s="7"/>
      <c r="I937" s="8"/>
      <c r="J937" s="8"/>
      <c r="K937" s="8"/>
      <c r="L937" s="8" t="str">
        <f>IF(K937="","",VLOOKUP(K937,'PLAN SUPORTE'!$H$2:$I$4,2,0))</f>
        <v/>
      </c>
      <c r="M937" s="10"/>
      <c r="N937" s="10"/>
      <c r="O937" s="9" t="str">
        <f t="shared" si="82"/>
        <v/>
      </c>
      <c r="P937" s="10" t="str">
        <f t="shared" si="83"/>
        <v/>
      </c>
      <c r="Q937" s="6" t="str">
        <f t="shared" ca="1" si="84"/>
        <v/>
      </c>
      <c r="R937" s="8" t="str">
        <f t="shared" si="81"/>
        <v/>
      </c>
    </row>
    <row r="938" spans="1:18" ht="13">
      <c r="A938" s="8"/>
      <c r="B938" s="10"/>
      <c r="C938" s="10"/>
      <c r="D938" s="8"/>
      <c r="E938" s="8"/>
      <c r="F938" s="8" t="s">
        <v>1090</v>
      </c>
      <c r="G938" s="6" t="str">
        <f>IF(F938="","",VLOOKUP(F938,'PLAN SUPORTE'!A:B,2,0))</f>
        <v/>
      </c>
      <c r="H938" s="7"/>
      <c r="I938" s="8"/>
      <c r="J938" s="8"/>
      <c r="K938" s="8"/>
      <c r="L938" s="8" t="str">
        <f>IF(K938="","",VLOOKUP(K938,'PLAN SUPORTE'!$H$2:$I$4,2,0))</f>
        <v/>
      </c>
      <c r="M938" s="10"/>
      <c r="N938" s="10"/>
      <c r="O938" s="9" t="str">
        <f t="shared" si="82"/>
        <v/>
      </c>
      <c r="P938" s="10" t="str">
        <f t="shared" si="83"/>
        <v/>
      </c>
      <c r="Q938" s="6" t="str">
        <f t="shared" ca="1" si="84"/>
        <v/>
      </c>
      <c r="R938" s="8" t="str">
        <f t="shared" si="81"/>
        <v/>
      </c>
    </row>
    <row r="939" spans="1:18" ht="13">
      <c r="A939" s="8"/>
      <c r="B939" s="10"/>
      <c r="C939" s="10"/>
      <c r="D939" s="8"/>
      <c r="E939" s="8"/>
      <c r="F939" s="8" t="s">
        <v>1090</v>
      </c>
      <c r="G939" s="6" t="str">
        <f>IF(F939="","",VLOOKUP(F939,'PLAN SUPORTE'!A:B,2,0))</f>
        <v/>
      </c>
      <c r="H939" s="7"/>
      <c r="I939" s="8"/>
      <c r="J939" s="8"/>
      <c r="K939" s="8"/>
      <c r="L939" s="8" t="str">
        <f>IF(K939="","",VLOOKUP(K939,'PLAN SUPORTE'!$H$2:$I$4,2,0))</f>
        <v/>
      </c>
      <c r="M939" s="10"/>
      <c r="N939" s="10"/>
      <c r="O939" s="9" t="str">
        <f t="shared" si="82"/>
        <v/>
      </c>
      <c r="P939" s="10" t="str">
        <f t="shared" si="83"/>
        <v/>
      </c>
      <c r="Q939" s="6" t="str">
        <f t="shared" ca="1" si="84"/>
        <v/>
      </c>
      <c r="R939" s="8" t="str">
        <f t="shared" si="81"/>
        <v/>
      </c>
    </row>
    <row r="940" spans="1:18" ht="13">
      <c r="A940" s="8"/>
      <c r="B940" s="10"/>
      <c r="C940" s="10"/>
      <c r="D940" s="8"/>
      <c r="E940" s="8"/>
      <c r="F940" s="8" t="s">
        <v>1090</v>
      </c>
      <c r="G940" s="6" t="str">
        <f>IF(F940="","",VLOOKUP(F940,'PLAN SUPORTE'!A:B,2,0))</f>
        <v/>
      </c>
      <c r="H940" s="7"/>
      <c r="I940" s="8"/>
      <c r="J940" s="8"/>
      <c r="K940" s="8"/>
      <c r="L940" s="8" t="str">
        <f>IF(K940="","",VLOOKUP(K940,'PLAN SUPORTE'!$H$2:$I$4,2,0))</f>
        <v/>
      </c>
      <c r="M940" s="10"/>
      <c r="N940" s="10"/>
      <c r="O940" s="9" t="str">
        <f t="shared" si="82"/>
        <v/>
      </c>
      <c r="P940" s="10" t="str">
        <f t="shared" si="83"/>
        <v/>
      </c>
      <c r="Q940" s="6" t="str">
        <f t="shared" ca="1" si="84"/>
        <v/>
      </c>
      <c r="R940" s="8" t="str">
        <f t="shared" si="81"/>
        <v/>
      </c>
    </row>
    <row r="941" spans="1:18" ht="13">
      <c r="A941" s="8"/>
      <c r="B941" s="10"/>
      <c r="C941" s="10"/>
      <c r="D941" s="8"/>
      <c r="E941" s="8"/>
      <c r="F941" s="8" t="s">
        <v>1090</v>
      </c>
      <c r="G941" s="6" t="str">
        <f>IF(F941="","",VLOOKUP(F941,'PLAN SUPORTE'!A:B,2,0))</f>
        <v/>
      </c>
      <c r="H941" s="7"/>
      <c r="I941" s="8"/>
      <c r="J941" s="8"/>
      <c r="K941" s="8"/>
      <c r="L941" s="8" t="str">
        <f>IF(K941="","",VLOOKUP(K941,'PLAN SUPORTE'!$H$2:$I$4,2,0))</f>
        <v/>
      </c>
      <c r="M941" s="10"/>
      <c r="N941" s="10"/>
      <c r="O941" s="9" t="str">
        <f t="shared" si="82"/>
        <v/>
      </c>
      <c r="P941" s="10" t="str">
        <f t="shared" si="83"/>
        <v/>
      </c>
      <c r="Q941" s="6" t="str">
        <f t="shared" ca="1" si="84"/>
        <v/>
      </c>
      <c r="R941" s="8" t="str">
        <f t="shared" si="81"/>
        <v/>
      </c>
    </row>
    <row r="942" spans="1:18" ht="13">
      <c r="A942" s="8"/>
      <c r="B942" s="10"/>
      <c r="C942" s="10"/>
      <c r="D942" s="8"/>
      <c r="E942" s="8"/>
      <c r="F942" s="8" t="s">
        <v>1090</v>
      </c>
      <c r="G942" s="6" t="str">
        <f>IF(F942="","",VLOOKUP(F942,'PLAN SUPORTE'!A:B,2,0))</f>
        <v/>
      </c>
      <c r="H942" s="7"/>
      <c r="I942" s="8"/>
      <c r="J942" s="8"/>
      <c r="K942" s="8"/>
      <c r="L942" s="8" t="str">
        <f>IF(K942="","",VLOOKUP(K942,'PLAN SUPORTE'!$H$2:$I$4,2,0))</f>
        <v/>
      </c>
      <c r="M942" s="10"/>
      <c r="N942" s="10"/>
      <c r="O942" s="9" t="str">
        <f t="shared" si="82"/>
        <v/>
      </c>
      <c r="P942" s="10" t="str">
        <f t="shared" si="83"/>
        <v/>
      </c>
      <c r="Q942" s="6" t="str">
        <f t="shared" ca="1" si="84"/>
        <v/>
      </c>
      <c r="R942" s="8" t="str">
        <f t="shared" si="81"/>
        <v/>
      </c>
    </row>
    <row r="943" spans="1:18" ht="13">
      <c r="A943" s="8"/>
      <c r="B943" s="10"/>
      <c r="C943" s="10"/>
      <c r="D943" s="8"/>
      <c r="E943" s="8"/>
      <c r="F943" s="8" t="s">
        <v>1090</v>
      </c>
      <c r="G943" s="6" t="str">
        <f>IF(F943="","",VLOOKUP(F943,'PLAN SUPORTE'!A:B,2,0))</f>
        <v/>
      </c>
      <c r="H943" s="7"/>
      <c r="I943" s="8"/>
      <c r="J943" s="8"/>
      <c r="K943" s="8"/>
      <c r="L943" s="8" t="str">
        <f>IF(K943="","",VLOOKUP(K943,'PLAN SUPORTE'!$H$2:$I$4,2,0))</f>
        <v/>
      </c>
      <c r="M943" s="10"/>
      <c r="N943" s="10"/>
      <c r="O943" s="9" t="str">
        <f t="shared" si="82"/>
        <v/>
      </c>
      <c r="P943" s="10" t="str">
        <f t="shared" si="83"/>
        <v/>
      </c>
      <c r="Q943" s="6" t="str">
        <f t="shared" ca="1" si="84"/>
        <v/>
      </c>
      <c r="R943" s="8" t="str">
        <f t="shared" si="81"/>
        <v/>
      </c>
    </row>
    <row r="944" spans="1:18" ht="13">
      <c r="A944" s="8"/>
      <c r="B944" s="10"/>
      <c r="C944" s="10"/>
      <c r="D944" s="8"/>
      <c r="E944" s="8"/>
      <c r="F944" s="8" t="s">
        <v>1090</v>
      </c>
      <c r="G944" s="6" t="str">
        <f>IF(F944="","",VLOOKUP(F944,'PLAN SUPORTE'!A:B,2,0))</f>
        <v/>
      </c>
      <c r="H944" s="7"/>
      <c r="I944" s="8"/>
      <c r="J944" s="8"/>
      <c r="K944" s="8"/>
      <c r="L944" s="8" t="str">
        <f>IF(K944="","",VLOOKUP(K944,'PLAN SUPORTE'!$H$2:$I$4,2,0))</f>
        <v/>
      </c>
      <c r="M944" s="10"/>
      <c r="N944" s="10"/>
      <c r="O944" s="9" t="str">
        <f t="shared" si="82"/>
        <v/>
      </c>
      <c r="P944" s="10" t="str">
        <f t="shared" si="83"/>
        <v/>
      </c>
      <c r="Q944" s="6" t="str">
        <f t="shared" ca="1" si="84"/>
        <v/>
      </c>
      <c r="R944" s="8" t="str">
        <f t="shared" si="81"/>
        <v/>
      </c>
    </row>
    <row r="945" spans="1:18" ht="13">
      <c r="A945" s="8"/>
      <c r="B945" s="10"/>
      <c r="C945" s="10"/>
      <c r="D945" s="8"/>
      <c r="E945" s="8"/>
      <c r="F945" s="8" t="s">
        <v>1090</v>
      </c>
      <c r="G945" s="6" t="str">
        <f>IF(F945="","",VLOOKUP(F945,'PLAN SUPORTE'!A:B,2,0))</f>
        <v/>
      </c>
      <c r="H945" s="7"/>
      <c r="I945" s="8"/>
      <c r="J945" s="8"/>
      <c r="K945" s="8"/>
      <c r="L945" s="8" t="str">
        <f>IF(K945="","",VLOOKUP(K945,'PLAN SUPORTE'!$H$2:$I$4,2,0))</f>
        <v/>
      </c>
      <c r="M945" s="10"/>
      <c r="N945" s="10"/>
      <c r="O945" s="9" t="str">
        <f t="shared" si="82"/>
        <v/>
      </c>
      <c r="P945" s="10" t="str">
        <f t="shared" si="83"/>
        <v/>
      </c>
      <c r="Q945" s="6" t="str">
        <f t="shared" ca="1" si="84"/>
        <v/>
      </c>
      <c r="R945" s="8" t="str">
        <f t="shared" si="81"/>
        <v/>
      </c>
    </row>
    <row r="946" spans="1:18" ht="13">
      <c r="A946" s="8"/>
      <c r="B946" s="10"/>
      <c r="C946" s="10"/>
      <c r="D946" s="8"/>
      <c r="E946" s="8"/>
      <c r="F946" s="8" t="s">
        <v>1090</v>
      </c>
      <c r="G946" s="6" t="str">
        <f>IF(F946="","",VLOOKUP(F946,'PLAN SUPORTE'!A:B,2,0))</f>
        <v/>
      </c>
      <c r="H946" s="7"/>
      <c r="I946" s="8"/>
      <c r="J946" s="8"/>
      <c r="K946" s="8"/>
      <c r="L946" s="8" t="str">
        <f>IF(K946="","",VLOOKUP(K946,'PLAN SUPORTE'!$H$2:$I$4,2,0))</f>
        <v/>
      </c>
      <c r="M946" s="10"/>
      <c r="N946" s="10"/>
      <c r="O946" s="9" t="str">
        <f t="shared" si="82"/>
        <v/>
      </c>
      <c r="P946" s="10" t="str">
        <f t="shared" si="83"/>
        <v/>
      </c>
      <c r="Q946" s="6" t="str">
        <f t="shared" ca="1" si="84"/>
        <v/>
      </c>
      <c r="R946" s="8" t="str">
        <f t="shared" si="81"/>
        <v/>
      </c>
    </row>
    <row r="947" spans="1:18" ht="13">
      <c r="A947" s="8"/>
      <c r="B947" s="10"/>
      <c r="C947" s="10"/>
      <c r="D947" s="8"/>
      <c r="E947" s="8"/>
      <c r="F947" s="8" t="s">
        <v>1090</v>
      </c>
      <c r="G947" s="6" t="str">
        <f>IF(F947="","",VLOOKUP(F947,'PLAN SUPORTE'!A:B,2,0))</f>
        <v/>
      </c>
      <c r="H947" s="7"/>
      <c r="I947" s="8"/>
      <c r="J947" s="8"/>
      <c r="K947" s="8"/>
      <c r="L947" s="8" t="str">
        <f>IF(K947="","",VLOOKUP(K947,'PLAN SUPORTE'!$H$2:$I$4,2,0))</f>
        <v/>
      </c>
      <c r="M947" s="10"/>
      <c r="N947" s="10"/>
      <c r="O947" s="9" t="str">
        <f t="shared" si="82"/>
        <v/>
      </c>
      <c r="P947" s="10" t="str">
        <f t="shared" si="83"/>
        <v/>
      </c>
      <c r="Q947" s="6" t="str">
        <f t="shared" ca="1" si="84"/>
        <v/>
      </c>
      <c r="R947" s="8" t="str">
        <f t="shared" si="81"/>
        <v/>
      </c>
    </row>
    <row r="948" spans="1:18" ht="13">
      <c r="A948" s="8"/>
      <c r="B948" s="10"/>
      <c r="C948" s="10"/>
      <c r="D948" s="8"/>
      <c r="E948" s="8"/>
      <c r="F948" s="8" t="s">
        <v>1090</v>
      </c>
      <c r="G948" s="6" t="str">
        <f>IF(F948="","",VLOOKUP(F948,'PLAN SUPORTE'!A:B,2,0))</f>
        <v/>
      </c>
      <c r="H948" s="7"/>
      <c r="I948" s="8"/>
      <c r="J948" s="8"/>
      <c r="K948" s="8"/>
      <c r="L948" s="8" t="str">
        <f>IF(K948="","",VLOOKUP(K948,'PLAN SUPORTE'!$H$2:$I$4,2,0))</f>
        <v/>
      </c>
      <c r="M948" s="10"/>
      <c r="N948" s="10"/>
      <c r="O948" s="9" t="str">
        <f t="shared" si="82"/>
        <v/>
      </c>
      <c r="P948" s="10" t="str">
        <f t="shared" si="83"/>
        <v/>
      </c>
      <c r="Q948" s="6" t="str">
        <f t="shared" ca="1" si="84"/>
        <v/>
      </c>
      <c r="R948" s="8" t="str">
        <f t="shared" si="81"/>
        <v/>
      </c>
    </row>
    <row r="949" spans="1:18" ht="13">
      <c r="A949" s="8"/>
      <c r="B949" s="10"/>
      <c r="C949" s="10"/>
      <c r="D949" s="8"/>
      <c r="E949" s="8"/>
      <c r="F949" s="8" t="s">
        <v>1090</v>
      </c>
      <c r="G949" s="6" t="str">
        <f>IF(F949="","",VLOOKUP(F949,'PLAN SUPORTE'!A:B,2,0))</f>
        <v/>
      </c>
      <c r="H949" s="7"/>
      <c r="I949" s="8"/>
      <c r="J949" s="8"/>
      <c r="K949" s="8"/>
      <c r="L949" s="8" t="str">
        <f>IF(K949="","",VLOOKUP(K949,'PLAN SUPORTE'!$H$2:$I$4,2,0))</f>
        <v/>
      </c>
      <c r="M949" s="10"/>
      <c r="N949" s="10"/>
      <c r="O949" s="9" t="str">
        <f t="shared" si="82"/>
        <v/>
      </c>
      <c r="P949" s="10" t="str">
        <f t="shared" si="83"/>
        <v/>
      </c>
      <c r="Q949" s="6" t="str">
        <f t="shared" ca="1" si="84"/>
        <v/>
      </c>
      <c r="R949" s="8" t="str">
        <f t="shared" si="81"/>
        <v/>
      </c>
    </row>
    <row r="950" spans="1:18" ht="13">
      <c r="A950" s="8"/>
      <c r="B950" s="10"/>
      <c r="C950" s="10"/>
      <c r="D950" s="8"/>
      <c r="E950" s="8"/>
      <c r="F950" s="8" t="s">
        <v>1090</v>
      </c>
      <c r="G950" s="6" t="str">
        <f>IF(F950="","",VLOOKUP(F950,'PLAN SUPORTE'!A:B,2,0))</f>
        <v/>
      </c>
      <c r="H950" s="7"/>
      <c r="I950" s="8"/>
      <c r="J950" s="8"/>
      <c r="K950" s="8"/>
      <c r="L950" s="8" t="str">
        <f>IF(K950="","",VLOOKUP(K950,'PLAN SUPORTE'!$H$2:$I$4,2,0))</f>
        <v/>
      </c>
      <c r="M950" s="10"/>
      <c r="N950" s="10"/>
      <c r="O950" s="9" t="str">
        <f t="shared" si="82"/>
        <v/>
      </c>
      <c r="P950" s="10" t="str">
        <f t="shared" si="83"/>
        <v/>
      </c>
      <c r="Q950" s="6" t="str">
        <f t="shared" ca="1" si="84"/>
        <v/>
      </c>
      <c r="R950" s="8" t="str">
        <f t="shared" si="81"/>
        <v/>
      </c>
    </row>
    <row r="951" spans="1:18" ht="13">
      <c r="A951" s="8"/>
      <c r="B951" s="10"/>
      <c r="C951" s="10"/>
      <c r="D951" s="8"/>
      <c r="E951" s="8"/>
      <c r="F951" s="8" t="s">
        <v>1090</v>
      </c>
      <c r="G951" s="6" t="str">
        <f>IF(F951="","",VLOOKUP(F951,'PLAN SUPORTE'!A:B,2,0))</f>
        <v/>
      </c>
      <c r="H951" s="7"/>
      <c r="I951" s="8"/>
      <c r="J951" s="8"/>
      <c r="K951" s="8"/>
      <c r="L951" s="8" t="str">
        <f>IF(K951="","",VLOOKUP(K951,'PLAN SUPORTE'!$H$2:$I$4,2,0))</f>
        <v/>
      </c>
      <c r="M951" s="10"/>
      <c r="N951" s="10"/>
      <c r="O951" s="9" t="str">
        <f t="shared" si="82"/>
        <v/>
      </c>
      <c r="P951" s="10" t="str">
        <f t="shared" si="83"/>
        <v/>
      </c>
      <c r="Q951" s="6" t="str">
        <f t="shared" ca="1" si="84"/>
        <v/>
      </c>
      <c r="R951" s="8" t="str">
        <f t="shared" si="81"/>
        <v/>
      </c>
    </row>
    <row r="952" spans="1:18" ht="13">
      <c r="A952" s="8"/>
      <c r="B952" s="10"/>
      <c r="C952" s="10"/>
      <c r="D952" s="8"/>
      <c r="E952" s="8"/>
      <c r="F952" s="8" t="s">
        <v>1090</v>
      </c>
      <c r="G952" s="6" t="str">
        <f>IF(F952="","",VLOOKUP(F952,'PLAN SUPORTE'!A:B,2,0))</f>
        <v/>
      </c>
      <c r="H952" s="7"/>
      <c r="I952" s="8"/>
      <c r="J952" s="8"/>
      <c r="K952" s="8"/>
      <c r="L952" s="8" t="str">
        <f>IF(K952="","",VLOOKUP(K952,'PLAN SUPORTE'!$H$2:$I$4,2,0))</f>
        <v/>
      </c>
      <c r="M952" s="10"/>
      <c r="N952" s="10"/>
      <c r="O952" s="9" t="str">
        <f t="shared" si="82"/>
        <v/>
      </c>
      <c r="P952" s="10" t="str">
        <f t="shared" si="83"/>
        <v/>
      </c>
      <c r="Q952" s="6" t="str">
        <f t="shared" ca="1" si="84"/>
        <v/>
      </c>
      <c r="R952" s="8" t="str">
        <f t="shared" si="81"/>
        <v/>
      </c>
    </row>
    <row r="953" spans="1:18" ht="13">
      <c r="A953" s="8"/>
      <c r="B953" s="10"/>
      <c r="C953" s="10"/>
      <c r="D953" s="8"/>
      <c r="E953" s="8"/>
      <c r="F953" s="8" t="s">
        <v>1090</v>
      </c>
      <c r="G953" s="6" t="str">
        <f>IF(F953="","",VLOOKUP(F953,'PLAN SUPORTE'!A:B,2,0))</f>
        <v/>
      </c>
      <c r="H953" s="7"/>
      <c r="I953" s="8"/>
      <c r="J953" s="8"/>
      <c r="K953" s="8"/>
      <c r="L953" s="8" t="str">
        <f>IF(K953="","",VLOOKUP(K953,'PLAN SUPORTE'!$H$2:$I$4,2,0))</f>
        <v/>
      </c>
      <c r="M953" s="10"/>
      <c r="N953" s="10"/>
      <c r="O953" s="9" t="str">
        <f t="shared" si="82"/>
        <v/>
      </c>
      <c r="P953" s="10" t="str">
        <f t="shared" si="83"/>
        <v/>
      </c>
      <c r="Q953" s="6" t="str">
        <f t="shared" ca="1" si="84"/>
        <v/>
      </c>
      <c r="R953" s="8" t="str">
        <f t="shared" si="81"/>
        <v/>
      </c>
    </row>
    <row r="954" spans="1:18" ht="13">
      <c r="A954" s="8"/>
      <c r="B954" s="10"/>
      <c r="C954" s="10"/>
      <c r="D954" s="8"/>
      <c r="E954" s="8"/>
      <c r="F954" s="8" t="s">
        <v>1090</v>
      </c>
      <c r="G954" s="6" t="str">
        <f>IF(F954="","",VLOOKUP(F954,'PLAN SUPORTE'!A:B,2,0))</f>
        <v/>
      </c>
      <c r="H954" s="7"/>
      <c r="I954" s="8"/>
      <c r="J954" s="8"/>
      <c r="K954" s="8"/>
      <c r="L954" s="8" t="str">
        <f>IF(K954="","",VLOOKUP(K954,'PLAN SUPORTE'!$H$2:$I$4,2,0))</f>
        <v/>
      </c>
      <c r="M954" s="10"/>
      <c r="N954" s="10"/>
      <c r="O954" s="9" t="str">
        <f t="shared" si="82"/>
        <v/>
      </c>
      <c r="P954" s="10" t="str">
        <f t="shared" si="83"/>
        <v/>
      </c>
      <c r="Q954" s="6" t="str">
        <f t="shared" ca="1" si="84"/>
        <v/>
      </c>
      <c r="R954" s="8" t="str">
        <f t="shared" si="81"/>
        <v/>
      </c>
    </row>
    <row r="955" spans="1:18" ht="13">
      <c r="A955" s="8"/>
      <c r="B955" s="10"/>
      <c r="C955" s="10"/>
      <c r="D955" s="8"/>
      <c r="E955" s="8"/>
      <c r="F955" s="8" t="s">
        <v>1090</v>
      </c>
      <c r="G955" s="6" t="str">
        <f>IF(F955="","",VLOOKUP(F955,'PLAN SUPORTE'!A:B,2,0))</f>
        <v/>
      </c>
      <c r="H955" s="7"/>
      <c r="I955" s="8"/>
      <c r="J955" s="8"/>
      <c r="K955" s="8"/>
      <c r="L955" s="8" t="str">
        <f>IF(K955="","",VLOOKUP(K955,'PLAN SUPORTE'!$H$2:$I$4,2,0))</f>
        <v/>
      </c>
      <c r="M955" s="10"/>
      <c r="N955" s="10"/>
      <c r="O955" s="9" t="str">
        <f t="shared" si="82"/>
        <v/>
      </c>
      <c r="P955" s="10" t="str">
        <f t="shared" si="83"/>
        <v/>
      </c>
      <c r="Q955" s="6" t="str">
        <f t="shared" ca="1" si="84"/>
        <v/>
      </c>
      <c r="R955" s="8" t="str">
        <f t="shared" si="81"/>
        <v/>
      </c>
    </row>
    <row r="956" spans="1:18" ht="13">
      <c r="A956" s="8"/>
      <c r="B956" s="10"/>
      <c r="C956" s="10"/>
      <c r="D956" s="8"/>
      <c r="E956" s="8"/>
      <c r="F956" s="8" t="s">
        <v>1090</v>
      </c>
      <c r="G956" s="6" t="str">
        <f>IF(F956="","",VLOOKUP(F956,'PLAN SUPORTE'!A:B,2,0))</f>
        <v/>
      </c>
      <c r="H956" s="7"/>
      <c r="I956" s="8"/>
      <c r="J956" s="8"/>
      <c r="K956" s="8"/>
      <c r="L956" s="8" t="str">
        <f>IF(K956="","",VLOOKUP(K956,'PLAN SUPORTE'!$H$2:$I$4,2,0))</f>
        <v/>
      </c>
      <c r="M956" s="10"/>
      <c r="N956" s="10"/>
      <c r="O956" s="9" t="str">
        <f t="shared" si="82"/>
        <v/>
      </c>
      <c r="P956" s="10" t="str">
        <f t="shared" si="83"/>
        <v/>
      </c>
      <c r="Q956" s="6" t="str">
        <f t="shared" ca="1" si="84"/>
        <v/>
      </c>
      <c r="R956" s="8" t="str">
        <f t="shared" si="81"/>
        <v/>
      </c>
    </row>
    <row r="957" spans="1:18" ht="13">
      <c r="A957" s="8"/>
      <c r="B957" s="10"/>
      <c r="C957" s="10"/>
      <c r="D957" s="8"/>
      <c r="E957" s="8"/>
      <c r="F957" s="8" t="s">
        <v>1090</v>
      </c>
      <c r="G957" s="6" t="str">
        <f>IF(F957="","",VLOOKUP(F957,'PLAN SUPORTE'!A:B,2,0))</f>
        <v/>
      </c>
      <c r="H957" s="7"/>
      <c r="I957" s="8"/>
      <c r="J957" s="8"/>
      <c r="K957" s="8"/>
      <c r="L957" s="8" t="str">
        <f>IF(K957="","",VLOOKUP(K957,'PLAN SUPORTE'!$H$2:$I$4,2,0))</f>
        <v/>
      </c>
      <c r="M957" s="10"/>
      <c r="N957" s="10"/>
      <c r="O957" s="9" t="str">
        <f t="shared" si="82"/>
        <v/>
      </c>
      <c r="P957" s="10" t="str">
        <f t="shared" si="83"/>
        <v/>
      </c>
      <c r="Q957" s="6" t="str">
        <f t="shared" ca="1" si="84"/>
        <v/>
      </c>
      <c r="R957" s="8" t="str">
        <f t="shared" si="81"/>
        <v/>
      </c>
    </row>
    <row r="958" spans="1:18" ht="13">
      <c r="A958" s="8"/>
      <c r="B958" s="10"/>
      <c r="C958" s="10"/>
      <c r="D958" s="8"/>
      <c r="E958" s="8"/>
      <c r="F958" s="8" t="s">
        <v>1090</v>
      </c>
      <c r="G958" s="6" t="str">
        <f>IF(F958="","",VLOOKUP(F958,'PLAN SUPORTE'!A:B,2,0))</f>
        <v/>
      </c>
      <c r="H958" s="7"/>
      <c r="I958" s="8"/>
      <c r="J958" s="8"/>
      <c r="K958" s="8"/>
      <c r="L958" s="8" t="str">
        <f>IF(K958="","",VLOOKUP(K958,'PLAN SUPORTE'!$H$2:$I$4,2,0))</f>
        <v/>
      </c>
      <c r="M958" s="10"/>
      <c r="N958" s="10"/>
      <c r="O958" s="9" t="str">
        <f t="shared" si="82"/>
        <v/>
      </c>
      <c r="P958" s="10" t="str">
        <f t="shared" si="83"/>
        <v/>
      </c>
      <c r="Q958" s="6" t="str">
        <f t="shared" ca="1" si="84"/>
        <v/>
      </c>
      <c r="R958" s="8" t="str">
        <f t="shared" si="81"/>
        <v/>
      </c>
    </row>
    <row r="959" spans="1:18" ht="13">
      <c r="A959" s="8"/>
      <c r="B959" s="10"/>
      <c r="C959" s="10"/>
      <c r="D959" s="8"/>
      <c r="E959" s="8"/>
      <c r="F959" s="8" t="s">
        <v>1090</v>
      </c>
      <c r="G959" s="6" t="str">
        <f>IF(F959="","",VLOOKUP(F959,'PLAN SUPORTE'!A:B,2,0))</f>
        <v/>
      </c>
      <c r="H959" s="7"/>
      <c r="I959" s="8"/>
      <c r="J959" s="8"/>
      <c r="K959" s="8"/>
      <c r="L959" s="8" t="str">
        <f>IF(K959="","",VLOOKUP(K959,'PLAN SUPORTE'!$H$2:$I$4,2,0))</f>
        <v/>
      </c>
      <c r="M959" s="10"/>
      <c r="N959" s="10"/>
      <c r="O959" s="9" t="str">
        <f t="shared" si="82"/>
        <v/>
      </c>
      <c r="P959" s="10" t="str">
        <f t="shared" si="83"/>
        <v/>
      </c>
      <c r="Q959" s="6" t="str">
        <f t="shared" ca="1" si="84"/>
        <v/>
      </c>
      <c r="R959" s="8" t="str">
        <f t="shared" si="81"/>
        <v/>
      </c>
    </row>
    <row r="960" spans="1:18" ht="13">
      <c r="A960" s="8"/>
      <c r="B960" s="10"/>
      <c r="C960" s="10"/>
      <c r="D960" s="8"/>
      <c r="E960" s="8"/>
      <c r="F960" s="8" t="s">
        <v>1090</v>
      </c>
      <c r="G960" s="6" t="str">
        <f>IF(F960="","",VLOOKUP(F960,'PLAN SUPORTE'!A:B,2,0))</f>
        <v/>
      </c>
      <c r="H960" s="7"/>
      <c r="I960" s="8"/>
      <c r="J960" s="8"/>
      <c r="K960" s="8"/>
      <c r="L960" s="8" t="str">
        <f>IF(K960="","",VLOOKUP(K960,'PLAN SUPORTE'!$H$2:$I$4,2,0))</f>
        <v/>
      </c>
      <c r="M960" s="10"/>
      <c r="N960" s="10"/>
      <c r="O960" s="9" t="str">
        <f t="shared" si="82"/>
        <v/>
      </c>
      <c r="P960" s="10" t="str">
        <f t="shared" si="83"/>
        <v/>
      </c>
      <c r="Q960" s="6" t="str">
        <f t="shared" ca="1" si="84"/>
        <v/>
      </c>
      <c r="R960" s="8" t="str">
        <f t="shared" si="81"/>
        <v/>
      </c>
    </row>
    <row r="961" spans="1:18" ht="13">
      <c r="A961" s="8"/>
      <c r="B961" s="10"/>
      <c r="C961" s="10"/>
      <c r="D961" s="8"/>
      <c r="E961" s="8"/>
      <c r="F961" s="8" t="s">
        <v>1090</v>
      </c>
      <c r="G961" s="6" t="str">
        <f>IF(F961="","",VLOOKUP(F961,'PLAN SUPORTE'!A:B,2,0))</f>
        <v/>
      </c>
      <c r="H961" s="7"/>
      <c r="I961" s="8"/>
      <c r="J961" s="8"/>
      <c r="K961" s="8"/>
      <c r="L961" s="8" t="str">
        <f>IF(K961="","",VLOOKUP(K961,'PLAN SUPORTE'!$H$2:$I$4,2,0))</f>
        <v/>
      </c>
      <c r="M961" s="10"/>
      <c r="N961" s="10"/>
      <c r="O961" s="9" t="str">
        <f t="shared" si="82"/>
        <v/>
      </c>
      <c r="P961" s="10" t="str">
        <f t="shared" si="83"/>
        <v/>
      </c>
      <c r="Q961" s="6" t="str">
        <f t="shared" ca="1" si="84"/>
        <v/>
      </c>
      <c r="R961" s="8" t="str">
        <f t="shared" si="81"/>
        <v/>
      </c>
    </row>
    <row r="962" spans="1:18" ht="13">
      <c r="A962" s="8"/>
      <c r="B962" s="10"/>
      <c r="C962" s="10"/>
      <c r="D962" s="8"/>
      <c r="E962" s="8"/>
      <c r="F962" s="8" t="s">
        <v>1090</v>
      </c>
      <c r="G962" s="6" t="str">
        <f>IF(F962="","",VLOOKUP(F962,'PLAN SUPORTE'!A:B,2,0))</f>
        <v/>
      </c>
      <c r="H962" s="7"/>
      <c r="I962" s="8"/>
      <c r="J962" s="8"/>
      <c r="K962" s="8"/>
      <c r="L962" s="8" t="str">
        <f>IF(K962="","",VLOOKUP(K962,'PLAN SUPORTE'!$H$2:$I$4,2,0))</f>
        <v/>
      </c>
      <c r="M962" s="10"/>
      <c r="N962" s="10"/>
      <c r="O962" s="9" t="str">
        <f t="shared" si="82"/>
        <v/>
      </c>
      <c r="P962" s="10" t="str">
        <f t="shared" si="83"/>
        <v/>
      </c>
      <c r="Q962" s="6" t="str">
        <f t="shared" ca="1" si="84"/>
        <v/>
      </c>
      <c r="R962" s="8" t="str">
        <f t="shared" si="81"/>
        <v/>
      </c>
    </row>
    <row r="963" spans="1:18" ht="13">
      <c r="A963" s="8"/>
      <c r="B963" s="10"/>
      <c r="C963" s="10"/>
      <c r="D963" s="8"/>
      <c r="E963" s="8"/>
      <c r="F963" s="8" t="s">
        <v>1090</v>
      </c>
      <c r="G963" s="6" t="str">
        <f>IF(F963="","",VLOOKUP(F963,'PLAN SUPORTE'!A:B,2,0))</f>
        <v/>
      </c>
      <c r="H963" s="7"/>
      <c r="I963" s="8"/>
      <c r="J963" s="8"/>
      <c r="K963" s="8"/>
      <c r="L963" s="8" t="str">
        <f>IF(K963="","",VLOOKUP(K963,'PLAN SUPORTE'!$H$2:$I$4,2,0))</f>
        <v/>
      </c>
      <c r="M963" s="10"/>
      <c r="N963" s="10"/>
      <c r="O963" s="9" t="str">
        <f t="shared" si="82"/>
        <v/>
      </c>
      <c r="P963" s="10" t="str">
        <f t="shared" si="83"/>
        <v/>
      </c>
      <c r="Q963" s="6" t="str">
        <f t="shared" ca="1" si="84"/>
        <v/>
      </c>
      <c r="R963" s="8" t="str">
        <f t="shared" si="81"/>
        <v/>
      </c>
    </row>
    <row r="964" spans="1:18" ht="13">
      <c r="A964" s="8"/>
      <c r="B964" s="10"/>
      <c r="C964" s="10"/>
      <c r="D964" s="8"/>
      <c r="E964" s="8"/>
      <c r="F964" s="8" t="s">
        <v>1090</v>
      </c>
      <c r="G964" s="6" t="str">
        <f>IF(F964="","",VLOOKUP(F964,'PLAN SUPORTE'!A:B,2,0))</f>
        <v/>
      </c>
      <c r="H964" s="7"/>
      <c r="I964" s="8"/>
      <c r="J964" s="8"/>
      <c r="K964" s="8"/>
      <c r="L964" s="8" t="str">
        <f>IF(K964="","",VLOOKUP(K964,'PLAN SUPORTE'!$H$2:$I$4,2,0))</f>
        <v/>
      </c>
      <c r="M964" s="10"/>
      <c r="N964" s="10"/>
      <c r="O964" s="9" t="str">
        <f t="shared" si="82"/>
        <v/>
      </c>
      <c r="P964" s="10" t="str">
        <f t="shared" si="83"/>
        <v/>
      </c>
      <c r="Q964" s="6" t="str">
        <f t="shared" ca="1" si="84"/>
        <v/>
      </c>
      <c r="R964" s="8" t="str">
        <f t="shared" si="81"/>
        <v/>
      </c>
    </row>
    <row r="965" spans="1:18" ht="13">
      <c r="A965" s="8"/>
      <c r="B965" s="10"/>
      <c r="C965" s="10"/>
      <c r="D965" s="8"/>
      <c r="E965" s="8"/>
      <c r="F965" s="8" t="s">
        <v>1090</v>
      </c>
      <c r="G965" s="6" t="str">
        <f>IF(F965="","",VLOOKUP(F965,'PLAN SUPORTE'!A:B,2,0))</f>
        <v/>
      </c>
      <c r="H965" s="7"/>
      <c r="I965" s="8"/>
      <c r="J965" s="8"/>
      <c r="K965" s="8"/>
      <c r="L965" s="8" t="str">
        <f>IF(K965="","",VLOOKUP(K965,'PLAN SUPORTE'!$H$2:$I$4,2,0))</f>
        <v/>
      </c>
      <c r="M965" s="10"/>
      <c r="N965" s="10"/>
      <c r="O965" s="9" t="str">
        <f t="shared" si="82"/>
        <v/>
      </c>
      <c r="P965" s="10" t="str">
        <f t="shared" si="83"/>
        <v/>
      </c>
      <c r="Q965" s="6" t="str">
        <f t="shared" ca="1" si="84"/>
        <v/>
      </c>
      <c r="R965" s="8" t="str">
        <f t="shared" si="81"/>
        <v/>
      </c>
    </row>
    <row r="966" spans="1:18" ht="13">
      <c r="A966" s="8"/>
      <c r="B966" s="10"/>
      <c r="C966" s="10"/>
      <c r="D966" s="8"/>
      <c r="E966" s="8"/>
      <c r="F966" s="8" t="s">
        <v>1090</v>
      </c>
      <c r="G966" s="6" t="str">
        <f>IF(F966="","",VLOOKUP(F966,'PLAN SUPORTE'!A:B,2,0))</f>
        <v/>
      </c>
      <c r="H966" s="7"/>
      <c r="I966" s="8"/>
      <c r="J966" s="8"/>
      <c r="K966" s="8"/>
      <c r="L966" s="8" t="str">
        <f>IF(K966="","",VLOOKUP(K966,'PLAN SUPORTE'!$H$2:$I$4,2,0))</f>
        <v/>
      </c>
      <c r="M966" s="10"/>
      <c r="N966" s="10"/>
      <c r="O966" s="9" t="str">
        <f t="shared" si="82"/>
        <v/>
      </c>
      <c r="P966" s="10" t="str">
        <f t="shared" si="83"/>
        <v/>
      </c>
      <c r="Q966" s="6" t="str">
        <f t="shared" ca="1" si="84"/>
        <v/>
      </c>
      <c r="R966" s="8" t="str">
        <f t="shared" si="81"/>
        <v/>
      </c>
    </row>
    <row r="967" spans="1:18" ht="13">
      <c r="A967" s="8"/>
      <c r="B967" s="10"/>
      <c r="C967" s="10"/>
      <c r="D967" s="8"/>
      <c r="E967" s="8"/>
      <c r="F967" s="8" t="s">
        <v>1090</v>
      </c>
      <c r="G967" s="6" t="str">
        <f>IF(F967="","",VLOOKUP(F967,'PLAN SUPORTE'!A:B,2,0))</f>
        <v/>
      </c>
      <c r="H967" s="7"/>
      <c r="I967" s="8"/>
      <c r="J967" s="8"/>
      <c r="K967" s="8"/>
      <c r="L967" s="8" t="str">
        <f>IF(K967="","",VLOOKUP(K967,'PLAN SUPORTE'!$H$2:$I$4,2,0))</f>
        <v/>
      </c>
      <c r="M967" s="10"/>
      <c r="N967" s="10"/>
      <c r="O967" s="9" t="str">
        <f t="shared" si="82"/>
        <v/>
      </c>
      <c r="P967" s="10" t="str">
        <f t="shared" si="83"/>
        <v/>
      </c>
      <c r="Q967" s="6" t="str">
        <f t="shared" ca="1" si="84"/>
        <v/>
      </c>
      <c r="R967" s="8" t="str">
        <f t="shared" si="81"/>
        <v/>
      </c>
    </row>
    <row r="968" spans="1:18" ht="13">
      <c r="A968" s="8"/>
      <c r="B968" s="10"/>
      <c r="C968" s="10"/>
      <c r="D968" s="8"/>
      <c r="E968" s="8"/>
      <c r="F968" s="8" t="s">
        <v>1090</v>
      </c>
      <c r="G968" s="6" t="str">
        <f>IF(F968="","",VLOOKUP(F968,'PLAN SUPORTE'!A:B,2,0))</f>
        <v/>
      </c>
      <c r="H968" s="7"/>
      <c r="I968" s="8"/>
      <c r="J968" s="8"/>
      <c r="K968" s="8"/>
      <c r="L968" s="8" t="str">
        <f>IF(K968="","",VLOOKUP(K968,'PLAN SUPORTE'!$H$2:$I$4,2,0))</f>
        <v/>
      </c>
      <c r="M968" s="10"/>
      <c r="N968" s="10"/>
      <c r="O968" s="9" t="str">
        <f t="shared" si="82"/>
        <v/>
      </c>
      <c r="P968" s="10" t="str">
        <f t="shared" si="83"/>
        <v/>
      </c>
      <c r="Q968" s="6" t="str">
        <f t="shared" ca="1" si="84"/>
        <v/>
      </c>
      <c r="R968" s="8" t="str">
        <f t="shared" si="81"/>
        <v/>
      </c>
    </row>
    <row r="969" spans="1:18" ht="13">
      <c r="A969" s="8"/>
      <c r="B969" s="10"/>
      <c r="C969" s="10"/>
      <c r="D969" s="8"/>
      <c r="E969" s="8"/>
      <c r="F969" s="8" t="s">
        <v>1090</v>
      </c>
      <c r="G969" s="6" t="str">
        <f>IF(F969="","",VLOOKUP(F969,'PLAN SUPORTE'!A:B,2,0))</f>
        <v/>
      </c>
      <c r="H969" s="7"/>
      <c r="I969" s="8"/>
      <c r="J969" s="8"/>
      <c r="K969" s="8"/>
      <c r="L969" s="8" t="str">
        <f>IF(K969="","",VLOOKUP(K969,'PLAN SUPORTE'!$H$2:$I$4,2,0))</f>
        <v/>
      </c>
      <c r="M969" s="10"/>
      <c r="N969" s="10"/>
      <c r="O969" s="9" t="str">
        <f t="shared" si="82"/>
        <v/>
      </c>
      <c r="P969" s="10" t="str">
        <f t="shared" si="83"/>
        <v/>
      </c>
      <c r="Q969" s="6" t="str">
        <f t="shared" ca="1" si="84"/>
        <v/>
      </c>
      <c r="R969" s="8" t="str">
        <f t="shared" si="81"/>
        <v/>
      </c>
    </row>
    <row r="970" spans="1:18" ht="13">
      <c r="A970" s="8"/>
      <c r="B970" s="10"/>
      <c r="C970" s="10"/>
      <c r="D970" s="8"/>
      <c r="E970" s="8"/>
      <c r="F970" s="8" t="s">
        <v>1090</v>
      </c>
      <c r="G970" s="6" t="str">
        <f>IF(F970="","",VLOOKUP(F970,'PLAN SUPORTE'!A:B,2,0))</f>
        <v/>
      </c>
      <c r="H970" s="7"/>
      <c r="I970" s="8"/>
      <c r="J970" s="8"/>
      <c r="K970" s="8"/>
      <c r="L970" s="8" t="str">
        <f>IF(K970="","",VLOOKUP(K970,'PLAN SUPORTE'!$H$2:$I$4,2,0))</f>
        <v/>
      </c>
      <c r="M970" s="10"/>
      <c r="N970" s="10"/>
      <c r="O970" s="9" t="str">
        <f t="shared" si="82"/>
        <v/>
      </c>
      <c r="P970" s="10" t="str">
        <f t="shared" si="83"/>
        <v/>
      </c>
      <c r="Q970" s="6" t="str">
        <f t="shared" ca="1" si="84"/>
        <v/>
      </c>
      <c r="R970" s="8" t="str">
        <f t="shared" si="81"/>
        <v/>
      </c>
    </row>
    <row r="971" spans="1:18" ht="13">
      <c r="A971" s="8"/>
      <c r="B971" s="10"/>
      <c r="C971" s="10"/>
      <c r="D971" s="8"/>
      <c r="E971" s="8"/>
      <c r="F971" s="8" t="s">
        <v>1090</v>
      </c>
      <c r="G971" s="6" t="str">
        <f>IF(F971="","",VLOOKUP(F971,'PLAN SUPORTE'!A:B,2,0))</f>
        <v/>
      </c>
      <c r="H971" s="7"/>
      <c r="I971" s="8"/>
      <c r="J971" s="8"/>
      <c r="K971" s="8"/>
      <c r="L971" s="8" t="str">
        <f>IF(K971="","",VLOOKUP(K971,'PLAN SUPORTE'!$H$2:$I$4,2,0))</f>
        <v/>
      </c>
      <c r="M971" s="10"/>
      <c r="N971" s="10"/>
      <c r="O971" s="9" t="str">
        <f t="shared" si="82"/>
        <v/>
      </c>
      <c r="P971" s="10" t="str">
        <f t="shared" si="83"/>
        <v/>
      </c>
      <c r="Q971" s="6" t="str">
        <f t="shared" ca="1" si="84"/>
        <v/>
      </c>
      <c r="R971" s="8" t="str">
        <f t="shared" si="81"/>
        <v/>
      </c>
    </row>
    <row r="972" spans="1:18" ht="13">
      <c r="A972" s="8"/>
      <c r="B972" s="10"/>
      <c r="C972" s="10"/>
      <c r="D972" s="8"/>
      <c r="E972" s="8"/>
      <c r="F972" s="8" t="s">
        <v>1090</v>
      </c>
      <c r="G972" s="6" t="str">
        <f>IF(F972="","",VLOOKUP(F972,'PLAN SUPORTE'!A:B,2,0))</f>
        <v/>
      </c>
      <c r="H972" s="7"/>
      <c r="I972" s="8"/>
      <c r="J972" s="8"/>
      <c r="K972" s="8"/>
      <c r="L972" s="8" t="str">
        <f>IF(K972="","",VLOOKUP(K972,'PLAN SUPORTE'!$H$2:$I$4,2,0))</f>
        <v/>
      </c>
      <c r="M972" s="10"/>
      <c r="N972" s="10"/>
      <c r="O972" s="9" t="str">
        <f t="shared" si="82"/>
        <v/>
      </c>
      <c r="P972" s="10" t="str">
        <f t="shared" si="83"/>
        <v/>
      </c>
      <c r="Q972" s="6" t="str">
        <f t="shared" ca="1" si="84"/>
        <v/>
      </c>
      <c r="R972" s="8" t="str">
        <f t="shared" si="81"/>
        <v/>
      </c>
    </row>
    <row r="973" spans="1:18" ht="13">
      <c r="A973" s="8"/>
      <c r="B973" s="10"/>
      <c r="C973" s="10"/>
      <c r="D973" s="8"/>
      <c r="E973" s="8"/>
      <c r="F973" s="8" t="s">
        <v>1090</v>
      </c>
      <c r="G973" s="6" t="str">
        <f>IF(F973="","",VLOOKUP(F973,'PLAN SUPORTE'!A:B,2,0))</f>
        <v/>
      </c>
      <c r="H973" s="7"/>
      <c r="I973" s="8"/>
      <c r="J973" s="8"/>
      <c r="K973" s="8"/>
      <c r="L973" s="8" t="str">
        <f>IF(K973="","",VLOOKUP(K973,'PLAN SUPORTE'!$H$2:$I$4,2,0))</f>
        <v/>
      </c>
      <c r="M973" s="10"/>
      <c r="N973" s="10"/>
      <c r="O973" s="9" t="str">
        <f t="shared" si="82"/>
        <v/>
      </c>
      <c r="P973" s="10" t="str">
        <f t="shared" si="83"/>
        <v/>
      </c>
      <c r="Q973" s="6" t="str">
        <f t="shared" ca="1" si="84"/>
        <v/>
      </c>
      <c r="R973" s="8" t="str">
        <f t="shared" si="81"/>
        <v/>
      </c>
    </row>
    <row r="974" spans="1:18" ht="13">
      <c r="A974" s="8"/>
      <c r="B974" s="10"/>
      <c r="C974" s="10"/>
      <c r="D974" s="8"/>
      <c r="E974" s="8"/>
      <c r="F974" s="8" t="s">
        <v>1090</v>
      </c>
      <c r="G974" s="6" t="str">
        <f>IF(F974="","",VLOOKUP(F974,'PLAN SUPORTE'!A:B,2,0))</f>
        <v/>
      </c>
      <c r="H974" s="7"/>
      <c r="I974" s="8"/>
      <c r="J974" s="8"/>
      <c r="K974" s="8"/>
      <c r="L974" s="8" t="str">
        <f>IF(K974="","",VLOOKUP(K974,'PLAN SUPORTE'!$H$2:$I$4,2,0))</f>
        <v/>
      </c>
      <c r="M974" s="10"/>
      <c r="N974" s="10"/>
      <c r="O974" s="9" t="str">
        <f t="shared" si="82"/>
        <v/>
      </c>
      <c r="P974" s="10" t="str">
        <f t="shared" si="83"/>
        <v/>
      </c>
      <c r="Q974" s="6" t="str">
        <f t="shared" ca="1" si="84"/>
        <v/>
      </c>
      <c r="R974" s="8" t="str">
        <f t="shared" ref="R974:R1039" si="85">IF(OR(C974="",M974=""),"",M974-C974)</f>
        <v/>
      </c>
    </row>
    <row r="975" spans="1:18" ht="13">
      <c r="A975" s="8"/>
      <c r="B975" s="10"/>
      <c r="C975" s="10"/>
      <c r="D975" s="8"/>
      <c r="E975" s="8"/>
      <c r="F975" s="8" t="s">
        <v>1090</v>
      </c>
      <c r="G975" s="6" t="str">
        <f>IF(F975="","",VLOOKUP(F975,'PLAN SUPORTE'!A:B,2,0))</f>
        <v/>
      </c>
      <c r="H975" s="7"/>
      <c r="I975" s="8"/>
      <c r="J975" s="8"/>
      <c r="K975" s="8"/>
      <c r="L975" s="8" t="str">
        <f>IF(K975="","",VLOOKUP(K975,'PLAN SUPORTE'!$H$2:$I$4,2,0))</f>
        <v/>
      </c>
      <c r="M975" s="10"/>
      <c r="N975" s="10"/>
      <c r="O975" s="9" t="str">
        <f t="shared" si="82"/>
        <v/>
      </c>
      <c r="P975" s="10" t="str">
        <f t="shared" si="83"/>
        <v/>
      </c>
      <c r="Q975" s="6" t="str">
        <f t="shared" ca="1" si="84"/>
        <v/>
      </c>
      <c r="R975" s="8" t="str">
        <f t="shared" si="85"/>
        <v/>
      </c>
    </row>
    <row r="976" spans="1:18" ht="13">
      <c r="A976" s="8"/>
      <c r="B976" s="10"/>
      <c r="C976" s="10"/>
      <c r="D976" s="8"/>
      <c r="E976" s="8"/>
      <c r="F976" s="8" t="s">
        <v>1090</v>
      </c>
      <c r="G976" s="6" t="str">
        <f>IF(F976="","",VLOOKUP(F976,'PLAN SUPORTE'!A:B,2,0))</f>
        <v/>
      </c>
      <c r="H976" s="7"/>
      <c r="I976" s="8"/>
      <c r="J976" s="8"/>
      <c r="K976" s="8"/>
      <c r="L976" s="8" t="str">
        <f>IF(K976="","",VLOOKUP(K976,'PLAN SUPORTE'!$H$2:$I$4,2,0))</f>
        <v/>
      </c>
      <c r="M976" s="10"/>
      <c r="N976" s="10"/>
      <c r="O976" s="9" t="str">
        <f t="shared" ref="O976:O1039" si="86">IF(AND(C976="",K976=""),"",IF(R976="","Em Andamento",IF(M976&lt;=P976,"Dentro do Prazo","Fora do Prazo")))</f>
        <v/>
      </c>
      <c r="P976" s="10" t="str">
        <f t="shared" si="83"/>
        <v/>
      </c>
      <c r="Q976" s="6" t="str">
        <f t="shared" ca="1" si="84"/>
        <v/>
      </c>
      <c r="R976" s="8" t="str">
        <f t="shared" si="85"/>
        <v/>
      </c>
    </row>
    <row r="977" spans="1:18" ht="13">
      <c r="A977" s="8"/>
      <c r="B977" s="10"/>
      <c r="C977" s="10"/>
      <c r="D977" s="8"/>
      <c r="E977" s="8"/>
      <c r="F977" s="8" t="s">
        <v>1090</v>
      </c>
      <c r="G977" s="6" t="str">
        <f>IF(F977="","",VLOOKUP(F977,'PLAN SUPORTE'!A:B,2,0))</f>
        <v/>
      </c>
      <c r="H977" s="7"/>
      <c r="I977" s="8"/>
      <c r="J977" s="8"/>
      <c r="K977" s="8"/>
      <c r="L977" s="8" t="str">
        <f>IF(K977="","",VLOOKUP(K977,'PLAN SUPORTE'!$H$2:$I$4,2,0))</f>
        <v/>
      </c>
      <c r="M977" s="10"/>
      <c r="N977" s="10"/>
      <c r="O977" s="9" t="str">
        <f t="shared" si="86"/>
        <v/>
      </c>
      <c r="P977" s="10" t="str">
        <f t="shared" si="83"/>
        <v/>
      </c>
      <c r="Q977" s="6" t="str">
        <f t="shared" ca="1" si="84"/>
        <v/>
      </c>
      <c r="R977" s="8" t="str">
        <f t="shared" si="85"/>
        <v/>
      </c>
    </row>
    <row r="978" spans="1:18" ht="13">
      <c r="A978" s="8"/>
      <c r="B978" s="10"/>
      <c r="C978" s="10"/>
      <c r="D978" s="8"/>
      <c r="E978" s="8"/>
      <c r="F978" s="8" t="s">
        <v>1090</v>
      </c>
      <c r="G978" s="6" t="str">
        <f>IF(F978="","",VLOOKUP(F978,'PLAN SUPORTE'!A:B,2,0))</f>
        <v/>
      </c>
      <c r="H978" s="7"/>
      <c r="I978" s="8"/>
      <c r="J978" s="8"/>
      <c r="K978" s="8"/>
      <c r="L978" s="8" t="str">
        <f>IF(K978="","",VLOOKUP(K978,'PLAN SUPORTE'!$H$2:$I$4,2,0))</f>
        <v/>
      </c>
      <c r="M978" s="10"/>
      <c r="N978" s="10"/>
      <c r="O978" s="9" t="str">
        <f t="shared" si="86"/>
        <v/>
      </c>
      <c r="P978" s="10" t="str">
        <f t="shared" si="83"/>
        <v/>
      </c>
      <c r="Q978" s="6" t="str">
        <f t="shared" ca="1" si="84"/>
        <v/>
      </c>
      <c r="R978" s="8" t="str">
        <f t="shared" si="85"/>
        <v/>
      </c>
    </row>
    <row r="979" spans="1:18" ht="13">
      <c r="A979" s="8"/>
      <c r="B979" s="10"/>
      <c r="C979" s="10"/>
      <c r="D979" s="8"/>
      <c r="E979" s="8"/>
      <c r="F979" s="8" t="s">
        <v>1090</v>
      </c>
      <c r="G979" s="6" t="str">
        <f>IF(F979="","",VLOOKUP(F979,'PLAN SUPORTE'!A:B,2,0))</f>
        <v/>
      </c>
      <c r="H979" s="7"/>
      <c r="I979" s="8"/>
      <c r="J979" s="8"/>
      <c r="K979" s="8"/>
      <c r="L979" s="8" t="str">
        <f>IF(K979="","",VLOOKUP(K979,'PLAN SUPORTE'!$H$2:$I$4,2,0))</f>
        <v/>
      </c>
      <c r="M979" s="10"/>
      <c r="N979" s="10"/>
      <c r="O979" s="9" t="str">
        <f t="shared" si="86"/>
        <v/>
      </c>
      <c r="P979" s="10" t="str">
        <f t="shared" si="83"/>
        <v/>
      </c>
      <c r="Q979" s="6" t="str">
        <f t="shared" ca="1" si="84"/>
        <v/>
      </c>
      <c r="R979" s="8" t="str">
        <f t="shared" si="85"/>
        <v/>
      </c>
    </row>
    <row r="980" spans="1:18" ht="13">
      <c r="A980" s="8"/>
      <c r="B980" s="10"/>
      <c r="C980" s="10"/>
      <c r="D980" s="8"/>
      <c r="E980" s="8"/>
      <c r="F980" s="8" t="s">
        <v>1090</v>
      </c>
      <c r="G980" s="6" t="str">
        <f>IF(F980="","",VLOOKUP(F980,'PLAN SUPORTE'!A:B,2,0))</f>
        <v/>
      </c>
      <c r="H980" s="7"/>
      <c r="I980" s="8"/>
      <c r="J980" s="8"/>
      <c r="K980" s="8"/>
      <c r="L980" s="8" t="str">
        <f>IF(K980="","",VLOOKUP(K980,'PLAN SUPORTE'!$H$2:$I$4,2,0))</f>
        <v/>
      </c>
      <c r="M980" s="10"/>
      <c r="N980" s="10"/>
      <c r="O980" s="9" t="str">
        <f t="shared" si="86"/>
        <v/>
      </c>
      <c r="P980" s="10" t="str">
        <f t="shared" si="83"/>
        <v/>
      </c>
      <c r="Q980" s="6" t="str">
        <f t="shared" ca="1" si="84"/>
        <v/>
      </c>
      <c r="R980" s="8" t="str">
        <f t="shared" si="85"/>
        <v/>
      </c>
    </row>
    <row r="981" spans="1:18" ht="13">
      <c r="A981" s="8"/>
      <c r="B981" s="10"/>
      <c r="C981" s="10"/>
      <c r="D981" s="8"/>
      <c r="E981" s="8"/>
      <c r="F981" s="8" t="s">
        <v>1090</v>
      </c>
      <c r="G981" s="6" t="str">
        <f>IF(F981="","",VLOOKUP(F981,'PLAN SUPORTE'!A:B,2,0))</f>
        <v/>
      </c>
      <c r="H981" s="7"/>
      <c r="I981" s="8"/>
      <c r="J981" s="8"/>
      <c r="K981" s="8"/>
      <c r="L981" s="8" t="str">
        <f>IF(K981="","",VLOOKUP(K981,'PLAN SUPORTE'!$H$2:$I$4,2,0))</f>
        <v/>
      </c>
      <c r="M981" s="10"/>
      <c r="N981" s="10"/>
      <c r="O981" s="9" t="str">
        <f t="shared" si="86"/>
        <v/>
      </c>
      <c r="P981" s="10" t="str">
        <f t="shared" si="83"/>
        <v/>
      </c>
      <c r="Q981" s="6" t="str">
        <f t="shared" ca="1" si="84"/>
        <v/>
      </c>
      <c r="R981" s="8" t="str">
        <f t="shared" si="85"/>
        <v/>
      </c>
    </row>
    <row r="982" spans="1:18" ht="13">
      <c r="A982" s="8"/>
      <c r="B982" s="10"/>
      <c r="C982" s="10"/>
      <c r="D982" s="8"/>
      <c r="E982" s="8"/>
      <c r="F982" s="8" t="s">
        <v>1090</v>
      </c>
      <c r="G982" s="6" t="str">
        <f>IF(F982="","",VLOOKUP(F982,'PLAN SUPORTE'!A:B,2,0))</f>
        <v/>
      </c>
      <c r="H982" s="7"/>
      <c r="I982" s="8"/>
      <c r="J982" s="8"/>
      <c r="K982" s="8"/>
      <c r="L982" s="8" t="str">
        <f>IF(K982="","",VLOOKUP(K982,'PLAN SUPORTE'!$H$2:$I$4,2,0))</f>
        <v/>
      </c>
      <c r="M982" s="10"/>
      <c r="N982" s="10"/>
      <c r="O982" s="9" t="str">
        <f t="shared" si="86"/>
        <v/>
      </c>
      <c r="P982" s="10" t="str">
        <f t="shared" si="83"/>
        <v/>
      </c>
      <c r="Q982" s="6" t="str">
        <f t="shared" ca="1" si="84"/>
        <v/>
      </c>
      <c r="R982" s="8" t="str">
        <f t="shared" si="85"/>
        <v/>
      </c>
    </row>
    <row r="983" spans="1:18" ht="13">
      <c r="A983" s="8"/>
      <c r="B983" s="10"/>
      <c r="C983" s="10"/>
      <c r="D983" s="8"/>
      <c r="E983" s="8"/>
      <c r="F983" s="8" t="s">
        <v>1090</v>
      </c>
      <c r="G983" s="6" t="str">
        <f>IF(F983="","",VLOOKUP(F983,'PLAN SUPORTE'!A:B,2,0))</f>
        <v/>
      </c>
      <c r="H983" s="7"/>
      <c r="I983" s="8"/>
      <c r="J983" s="8"/>
      <c r="K983" s="8"/>
      <c r="L983" s="8" t="str">
        <f>IF(K983="","",VLOOKUP(K983,'PLAN SUPORTE'!$H$2:$I$4,2,0))</f>
        <v/>
      </c>
      <c r="M983" s="10"/>
      <c r="N983" s="10"/>
      <c r="O983" s="9" t="str">
        <f t="shared" si="86"/>
        <v/>
      </c>
      <c r="P983" s="10" t="str">
        <f t="shared" si="83"/>
        <v/>
      </c>
      <c r="Q983" s="6" t="str">
        <f t="shared" ca="1" si="84"/>
        <v/>
      </c>
      <c r="R983" s="8" t="str">
        <f t="shared" si="85"/>
        <v/>
      </c>
    </row>
    <row r="984" spans="1:18" ht="13">
      <c r="A984" s="8"/>
      <c r="B984" s="10"/>
      <c r="C984" s="10"/>
      <c r="D984" s="8"/>
      <c r="E984" s="8"/>
      <c r="F984" s="8" t="s">
        <v>1090</v>
      </c>
      <c r="G984" s="6" t="str">
        <f>IF(F984="","",VLOOKUP(F984,'PLAN SUPORTE'!A:B,2,0))</f>
        <v/>
      </c>
      <c r="H984" s="7"/>
      <c r="I984" s="8"/>
      <c r="J984" s="8"/>
      <c r="K984" s="8"/>
      <c r="L984" s="8" t="str">
        <f>IF(K984="","",VLOOKUP(K984,'PLAN SUPORTE'!$H$2:$I$4,2,0))</f>
        <v/>
      </c>
      <c r="M984" s="10"/>
      <c r="N984" s="10"/>
      <c r="O984" s="9" t="str">
        <f t="shared" si="86"/>
        <v/>
      </c>
      <c r="P984" s="10" t="str">
        <f t="shared" si="83"/>
        <v/>
      </c>
      <c r="Q984" s="6" t="str">
        <f t="shared" ca="1" si="84"/>
        <v/>
      </c>
      <c r="R984" s="8" t="str">
        <f t="shared" si="85"/>
        <v/>
      </c>
    </row>
    <row r="985" spans="1:18" ht="13">
      <c r="A985" s="8"/>
      <c r="B985" s="10"/>
      <c r="C985" s="10"/>
      <c r="D985" s="8"/>
      <c r="E985" s="8"/>
      <c r="F985" s="8" t="s">
        <v>1090</v>
      </c>
      <c r="G985" s="6" t="str">
        <f>IF(F985="","",VLOOKUP(F985,'PLAN SUPORTE'!A:B,2,0))</f>
        <v/>
      </c>
      <c r="H985" s="7"/>
      <c r="I985" s="8"/>
      <c r="J985" s="8"/>
      <c r="K985" s="8"/>
      <c r="L985" s="8" t="str">
        <f>IF(K985="","",VLOOKUP(K985,'PLAN SUPORTE'!$H$2:$I$4,2,0))</f>
        <v/>
      </c>
      <c r="M985" s="10"/>
      <c r="N985" s="10"/>
      <c r="O985" s="9" t="str">
        <f t="shared" si="86"/>
        <v/>
      </c>
      <c r="P985" s="10" t="str">
        <f t="shared" si="83"/>
        <v/>
      </c>
      <c r="Q985" s="6" t="str">
        <f t="shared" ca="1" si="84"/>
        <v/>
      </c>
      <c r="R985" s="8" t="str">
        <f t="shared" si="85"/>
        <v/>
      </c>
    </row>
    <row r="986" spans="1:18" ht="13">
      <c r="A986" s="8"/>
      <c r="B986" s="10"/>
      <c r="C986" s="10"/>
      <c r="D986" s="8"/>
      <c r="E986" s="8"/>
      <c r="F986" s="8" t="s">
        <v>1090</v>
      </c>
      <c r="G986" s="6" t="str">
        <f>IF(F986="","",VLOOKUP(F986,'PLAN SUPORTE'!A:B,2,0))</f>
        <v/>
      </c>
      <c r="H986" s="7"/>
      <c r="I986" s="8"/>
      <c r="J986" s="8"/>
      <c r="K986" s="8"/>
      <c r="L986" s="8" t="str">
        <f>IF(K986="","",VLOOKUP(K986,'PLAN SUPORTE'!$H$2:$I$4,2,0))</f>
        <v/>
      </c>
      <c r="M986" s="10"/>
      <c r="N986" s="10"/>
      <c r="O986" s="9" t="str">
        <f t="shared" si="86"/>
        <v/>
      </c>
      <c r="P986" s="10" t="str">
        <f t="shared" si="83"/>
        <v/>
      </c>
      <c r="Q986" s="6" t="str">
        <f t="shared" ca="1" si="84"/>
        <v/>
      </c>
      <c r="R986" s="8" t="str">
        <f t="shared" si="85"/>
        <v/>
      </c>
    </row>
    <row r="987" spans="1:18" ht="13">
      <c r="A987" s="8"/>
      <c r="B987" s="10"/>
      <c r="C987" s="10"/>
      <c r="D987" s="8"/>
      <c r="E987" s="8"/>
      <c r="F987" s="8" t="s">
        <v>1090</v>
      </c>
      <c r="G987" s="6" t="str">
        <f>IF(F987="","",VLOOKUP(F987,'PLAN SUPORTE'!A:B,2,0))</f>
        <v/>
      </c>
      <c r="H987" s="7"/>
      <c r="I987" s="8"/>
      <c r="J987" s="8"/>
      <c r="K987" s="8"/>
      <c r="L987" s="8" t="str">
        <f>IF(K987="","",VLOOKUP(K987,'PLAN SUPORTE'!$H$2:$I$4,2,0))</f>
        <v/>
      </c>
      <c r="M987" s="10"/>
      <c r="N987" s="10"/>
      <c r="O987" s="9" t="str">
        <f t="shared" si="86"/>
        <v/>
      </c>
      <c r="P987" s="10" t="str">
        <f t="shared" si="83"/>
        <v/>
      </c>
      <c r="Q987" s="6" t="str">
        <f t="shared" ca="1" si="84"/>
        <v/>
      </c>
      <c r="R987" s="8" t="str">
        <f t="shared" si="85"/>
        <v/>
      </c>
    </row>
    <row r="988" spans="1:18" ht="13">
      <c r="A988" s="8"/>
      <c r="B988" s="10"/>
      <c r="C988" s="10"/>
      <c r="D988" s="8"/>
      <c r="E988" s="8"/>
      <c r="F988" s="8" t="s">
        <v>1090</v>
      </c>
      <c r="G988" s="6" t="str">
        <f>IF(F988="","",VLOOKUP(F988,'PLAN SUPORTE'!A:B,2,0))</f>
        <v/>
      </c>
      <c r="H988" s="7"/>
      <c r="I988" s="8"/>
      <c r="J988" s="8"/>
      <c r="K988" s="8"/>
      <c r="L988" s="8" t="str">
        <f>IF(K988="","",VLOOKUP(K988,'PLAN SUPORTE'!$H$2:$I$4,2,0))</f>
        <v/>
      </c>
      <c r="M988" s="10"/>
      <c r="N988" s="10"/>
      <c r="O988" s="9" t="str">
        <f t="shared" si="86"/>
        <v/>
      </c>
      <c r="P988" s="10" t="str">
        <f t="shared" si="83"/>
        <v/>
      </c>
      <c r="Q988" s="6" t="str">
        <f t="shared" ca="1" si="84"/>
        <v/>
      </c>
      <c r="R988" s="8" t="str">
        <f t="shared" si="85"/>
        <v/>
      </c>
    </row>
    <row r="989" spans="1:18" ht="13">
      <c r="A989" s="8"/>
      <c r="B989" s="10"/>
      <c r="C989" s="10"/>
      <c r="D989" s="8"/>
      <c r="E989" s="8"/>
      <c r="F989" s="8" t="s">
        <v>1090</v>
      </c>
      <c r="G989" s="6" t="str">
        <f>IF(F989="","",VLOOKUP(F989,'PLAN SUPORTE'!A:B,2,0))</f>
        <v/>
      </c>
      <c r="H989" s="7"/>
      <c r="I989" s="8"/>
      <c r="J989" s="8"/>
      <c r="K989" s="8"/>
      <c r="L989" s="8" t="str">
        <f>IF(K989="","",VLOOKUP(K989,'PLAN SUPORTE'!$H$2:$I$4,2,0))</f>
        <v/>
      </c>
      <c r="M989" s="10"/>
      <c r="N989" s="10"/>
      <c r="O989" s="9" t="str">
        <f t="shared" si="86"/>
        <v/>
      </c>
      <c r="P989" s="10" t="str">
        <f t="shared" si="83"/>
        <v/>
      </c>
      <c r="Q989" s="6" t="str">
        <f t="shared" ca="1" si="84"/>
        <v/>
      </c>
      <c r="R989" s="8" t="str">
        <f t="shared" si="85"/>
        <v/>
      </c>
    </row>
    <row r="990" spans="1:18" ht="13">
      <c r="A990" s="8"/>
      <c r="B990" s="10"/>
      <c r="C990" s="10"/>
      <c r="D990" s="8"/>
      <c r="E990" s="8"/>
      <c r="F990" s="8" t="s">
        <v>1090</v>
      </c>
      <c r="G990" s="6" t="str">
        <f>IF(F990="","",VLOOKUP(F990,'PLAN SUPORTE'!A:B,2,0))</f>
        <v/>
      </c>
      <c r="H990" s="7"/>
      <c r="I990" s="8"/>
      <c r="J990" s="8"/>
      <c r="K990" s="8"/>
      <c r="L990" s="8" t="str">
        <f>IF(K990="","",VLOOKUP(K990,'PLAN SUPORTE'!$H$2:$I$4,2,0))</f>
        <v/>
      </c>
      <c r="M990" s="10"/>
      <c r="N990" s="10"/>
      <c r="O990" s="9" t="str">
        <f t="shared" si="86"/>
        <v/>
      </c>
      <c r="P990" s="10" t="str">
        <f t="shared" si="83"/>
        <v/>
      </c>
      <c r="Q990" s="6" t="str">
        <f t="shared" ca="1" si="84"/>
        <v/>
      </c>
      <c r="R990" s="8" t="str">
        <f t="shared" si="85"/>
        <v/>
      </c>
    </row>
    <row r="991" spans="1:18" ht="13">
      <c r="A991" s="8"/>
      <c r="B991" s="10"/>
      <c r="C991" s="10"/>
      <c r="D991" s="8"/>
      <c r="E991" s="8"/>
      <c r="F991" s="8" t="s">
        <v>1090</v>
      </c>
      <c r="G991" s="6" t="str">
        <f>IF(F991="","",VLOOKUP(F991,'PLAN SUPORTE'!A:B,2,0))</f>
        <v/>
      </c>
      <c r="H991" s="7"/>
      <c r="I991" s="8"/>
      <c r="J991" s="8"/>
      <c r="K991" s="8"/>
      <c r="L991" s="8" t="str">
        <f>IF(K991="","",VLOOKUP(K991,'PLAN SUPORTE'!$H$2:$I$4,2,0))</f>
        <v/>
      </c>
      <c r="M991" s="10"/>
      <c r="N991" s="10"/>
      <c r="O991" s="9" t="str">
        <f t="shared" si="86"/>
        <v/>
      </c>
      <c r="P991" s="10" t="str">
        <f t="shared" si="83"/>
        <v/>
      </c>
      <c r="Q991" s="6" t="str">
        <f t="shared" ca="1" si="84"/>
        <v/>
      </c>
      <c r="R991" s="8" t="str">
        <f t="shared" si="85"/>
        <v/>
      </c>
    </row>
    <row r="992" spans="1:18" ht="13">
      <c r="A992" s="8"/>
      <c r="B992" s="10"/>
      <c r="C992" s="10"/>
      <c r="D992" s="8"/>
      <c r="E992" s="8"/>
      <c r="F992" s="8" t="s">
        <v>1090</v>
      </c>
      <c r="G992" s="6" t="str">
        <f>IF(F992="","",VLOOKUP(F992,'PLAN SUPORTE'!A:B,2,0))</f>
        <v/>
      </c>
      <c r="H992" s="7"/>
      <c r="I992" s="8"/>
      <c r="J992" s="8"/>
      <c r="K992" s="8"/>
      <c r="L992" s="8" t="str">
        <f>IF(K992="","",VLOOKUP(K992,'PLAN SUPORTE'!$H$2:$I$4,2,0))</f>
        <v/>
      </c>
      <c r="M992" s="10"/>
      <c r="N992" s="10"/>
      <c r="O992" s="9" t="str">
        <f t="shared" si="86"/>
        <v/>
      </c>
      <c r="P992" s="10" t="str">
        <f t="shared" si="83"/>
        <v/>
      </c>
      <c r="Q992" s="6" t="str">
        <f t="shared" ca="1" si="84"/>
        <v/>
      </c>
      <c r="R992" s="8" t="str">
        <f t="shared" si="85"/>
        <v/>
      </c>
    </row>
    <row r="993" spans="1:18" ht="13">
      <c r="A993" s="8"/>
      <c r="B993" s="10"/>
      <c r="C993" s="10"/>
      <c r="D993" s="8"/>
      <c r="E993" s="8"/>
      <c r="F993" s="8" t="s">
        <v>1090</v>
      </c>
      <c r="G993" s="6" t="str">
        <f>IF(F993="","",VLOOKUP(F993,'PLAN SUPORTE'!A:B,2,0))</f>
        <v/>
      </c>
      <c r="H993" s="7"/>
      <c r="I993" s="8"/>
      <c r="J993" s="8"/>
      <c r="K993" s="8"/>
      <c r="L993" s="8" t="str">
        <f>IF(K993="","",VLOOKUP(K993,'PLAN SUPORTE'!$H$2:$I$4,2,0))</f>
        <v/>
      </c>
      <c r="M993" s="10"/>
      <c r="N993" s="10"/>
      <c r="O993" s="9" t="str">
        <f t="shared" si="86"/>
        <v/>
      </c>
      <c r="P993" s="10" t="str">
        <f t="shared" si="83"/>
        <v/>
      </c>
      <c r="Q993" s="6" t="str">
        <f t="shared" ca="1" si="84"/>
        <v/>
      </c>
      <c r="R993" s="8" t="str">
        <f t="shared" si="85"/>
        <v/>
      </c>
    </row>
    <row r="994" spans="1:18" ht="13">
      <c r="A994" s="8"/>
      <c r="B994" s="10"/>
      <c r="C994" s="10"/>
      <c r="D994" s="8"/>
      <c r="E994" s="8"/>
      <c r="F994" s="8" t="s">
        <v>1090</v>
      </c>
      <c r="G994" s="6" t="str">
        <f>IF(F994="","",VLOOKUP(F994,'PLAN SUPORTE'!A:B,2,0))</f>
        <v/>
      </c>
      <c r="H994" s="7"/>
      <c r="I994" s="8"/>
      <c r="J994" s="8"/>
      <c r="K994" s="8"/>
      <c r="L994" s="8" t="str">
        <f>IF(K994="","",VLOOKUP(K994,'PLAN SUPORTE'!$H$2:$I$4,2,0))</f>
        <v/>
      </c>
      <c r="M994" s="10"/>
      <c r="N994" s="10"/>
      <c r="O994" s="9" t="str">
        <f t="shared" si="86"/>
        <v/>
      </c>
      <c r="P994" s="10" t="str">
        <f t="shared" si="83"/>
        <v/>
      </c>
      <c r="Q994" s="6" t="str">
        <f t="shared" ca="1" si="84"/>
        <v/>
      </c>
      <c r="R994" s="8" t="str">
        <f t="shared" si="85"/>
        <v/>
      </c>
    </row>
    <row r="995" spans="1:18" ht="13">
      <c r="A995" s="8"/>
      <c r="B995" s="10"/>
      <c r="C995" s="10"/>
      <c r="D995" s="8"/>
      <c r="E995" s="8"/>
      <c r="F995" s="8" t="s">
        <v>1090</v>
      </c>
      <c r="G995" s="6" t="str">
        <f>IF(F995="","",VLOOKUP(F995,'PLAN SUPORTE'!A:B,2,0))</f>
        <v/>
      </c>
      <c r="H995" s="7"/>
      <c r="I995" s="8"/>
      <c r="J995" s="8"/>
      <c r="K995" s="8"/>
      <c r="L995" s="8" t="str">
        <f>IF(K995="","",VLOOKUP(K995,'PLAN SUPORTE'!$H$2:$I$4,2,0))</f>
        <v/>
      </c>
      <c r="M995" s="10"/>
      <c r="N995" s="10"/>
      <c r="O995" s="9" t="str">
        <f t="shared" si="86"/>
        <v/>
      </c>
      <c r="P995" s="10" t="str">
        <f t="shared" si="83"/>
        <v/>
      </c>
      <c r="Q995" s="6" t="str">
        <f t="shared" ca="1" si="84"/>
        <v/>
      </c>
      <c r="R995" s="8" t="str">
        <f t="shared" si="85"/>
        <v/>
      </c>
    </row>
    <row r="996" spans="1:18" ht="13">
      <c r="A996" s="8"/>
      <c r="B996" s="10"/>
      <c r="C996" s="10"/>
      <c r="D996" s="8"/>
      <c r="E996" s="8"/>
      <c r="F996" s="8" t="s">
        <v>1090</v>
      </c>
      <c r="G996" s="6" t="str">
        <f>IF(F996="","",VLOOKUP(F996,'PLAN SUPORTE'!A:B,2,0))</f>
        <v/>
      </c>
      <c r="H996" s="7"/>
      <c r="I996" s="8"/>
      <c r="J996" s="8"/>
      <c r="K996" s="8"/>
      <c r="L996" s="8" t="str">
        <f>IF(K996="","",VLOOKUP(K996,'PLAN SUPORTE'!$H$2:$I$4,2,0))</f>
        <v/>
      </c>
      <c r="M996" s="10"/>
      <c r="N996" s="10"/>
      <c r="O996" s="9" t="str">
        <f t="shared" si="86"/>
        <v/>
      </c>
      <c r="P996" s="10" t="str">
        <f t="shared" si="83"/>
        <v/>
      </c>
      <c r="Q996" s="6" t="str">
        <f t="shared" ca="1" si="84"/>
        <v/>
      </c>
      <c r="R996" s="8" t="str">
        <f t="shared" si="85"/>
        <v/>
      </c>
    </row>
    <row r="997" spans="1:18" ht="13">
      <c r="A997" s="8"/>
      <c r="B997" s="10"/>
      <c r="C997" s="10"/>
      <c r="D997" s="8"/>
      <c r="E997" s="8"/>
      <c r="F997" s="8" t="s">
        <v>1090</v>
      </c>
      <c r="G997" s="6" t="str">
        <f>IF(F997="","",VLOOKUP(F997,'PLAN SUPORTE'!A:B,2,0))</f>
        <v/>
      </c>
      <c r="H997" s="7"/>
      <c r="I997" s="8"/>
      <c r="J997" s="8"/>
      <c r="K997" s="8"/>
      <c r="L997" s="8" t="str">
        <f>IF(K997="","",VLOOKUP(K997,'PLAN SUPORTE'!$H$2:$I$4,2,0))</f>
        <v/>
      </c>
      <c r="M997" s="10"/>
      <c r="N997" s="10"/>
      <c r="O997" s="9" t="str">
        <f t="shared" si="86"/>
        <v/>
      </c>
      <c r="P997" s="10" t="str">
        <f t="shared" si="83"/>
        <v/>
      </c>
      <c r="Q997" s="6" t="str">
        <f t="shared" ca="1" si="84"/>
        <v/>
      </c>
      <c r="R997" s="8" t="str">
        <f t="shared" si="85"/>
        <v/>
      </c>
    </row>
    <row r="998" spans="1:18" ht="13">
      <c r="A998" s="8"/>
      <c r="B998" s="10"/>
      <c r="C998" s="10"/>
      <c r="D998" s="8"/>
      <c r="E998" s="8"/>
      <c r="F998" s="8" t="s">
        <v>1090</v>
      </c>
      <c r="G998" s="6" t="str">
        <f>IF(F998="","",VLOOKUP(F998,'PLAN SUPORTE'!A:B,2,0))</f>
        <v/>
      </c>
      <c r="H998" s="7"/>
      <c r="I998" s="8"/>
      <c r="J998" s="8"/>
      <c r="K998" s="8"/>
      <c r="L998" s="8" t="str">
        <f>IF(K998="","",VLOOKUP(K998,'PLAN SUPORTE'!$H$2:$I$4,2,0))</f>
        <v/>
      </c>
      <c r="M998" s="10"/>
      <c r="N998" s="10"/>
      <c r="O998" s="9" t="str">
        <f t="shared" si="86"/>
        <v/>
      </c>
      <c r="P998" s="10" t="str">
        <f t="shared" si="83"/>
        <v/>
      </c>
      <c r="Q998" s="6" t="str">
        <f t="shared" ca="1" si="84"/>
        <v/>
      </c>
      <c r="R998" s="8" t="str">
        <f t="shared" si="85"/>
        <v/>
      </c>
    </row>
    <row r="999" spans="1:18" ht="13">
      <c r="A999" s="8"/>
      <c r="B999" s="10"/>
      <c r="C999" s="10"/>
      <c r="D999" s="8"/>
      <c r="E999" s="8"/>
      <c r="F999" s="8" t="s">
        <v>1090</v>
      </c>
      <c r="G999" s="6" t="str">
        <f>IF(F999="","",VLOOKUP(F999,'PLAN SUPORTE'!A:B,2,0))</f>
        <v/>
      </c>
      <c r="H999" s="7"/>
      <c r="I999" s="8"/>
      <c r="J999" s="8"/>
      <c r="K999" s="8"/>
      <c r="L999" s="8" t="str">
        <f>IF(K999="","",VLOOKUP(K999,'PLAN SUPORTE'!$H$2:$I$4,2,0))</f>
        <v/>
      </c>
      <c r="M999" s="10"/>
      <c r="N999" s="10"/>
      <c r="O999" s="9" t="str">
        <f t="shared" si="86"/>
        <v/>
      </c>
      <c r="P999" s="10" t="str">
        <f t="shared" si="83"/>
        <v/>
      </c>
      <c r="Q999" s="6" t="str">
        <f t="shared" ca="1" si="84"/>
        <v/>
      </c>
      <c r="R999" s="8" t="str">
        <f t="shared" si="85"/>
        <v/>
      </c>
    </row>
    <row r="1000" spans="1:18" ht="13">
      <c r="A1000" s="8"/>
      <c r="B1000" s="10"/>
      <c r="C1000" s="10"/>
      <c r="D1000" s="8"/>
      <c r="E1000" s="8"/>
      <c r="F1000" s="8" t="s">
        <v>1090</v>
      </c>
      <c r="G1000" s="6" t="str">
        <f>IF(F1000="","",VLOOKUP(F1000,'PLAN SUPORTE'!A:B,2,0))</f>
        <v/>
      </c>
      <c r="H1000" s="7"/>
      <c r="I1000" s="8"/>
      <c r="J1000" s="8"/>
      <c r="K1000" s="8"/>
      <c r="L1000" s="8" t="str">
        <f>IF(K1000="","",VLOOKUP(K1000,'PLAN SUPORTE'!$H$2:$I$4,2,0))</f>
        <v/>
      </c>
      <c r="M1000" s="10"/>
      <c r="N1000" s="10"/>
      <c r="O1000" s="9" t="str">
        <f t="shared" si="86"/>
        <v/>
      </c>
      <c r="P1000" s="10" t="str">
        <f t="shared" si="83"/>
        <v/>
      </c>
      <c r="Q1000" s="6" t="str">
        <f t="shared" ca="1" si="84"/>
        <v/>
      </c>
      <c r="R1000" s="8" t="str">
        <f t="shared" si="85"/>
        <v/>
      </c>
    </row>
    <row r="1001" spans="1:18" ht="13">
      <c r="A1001" s="8"/>
      <c r="B1001" s="10"/>
      <c r="C1001" s="10"/>
      <c r="D1001" s="8"/>
      <c r="E1001" s="8"/>
      <c r="F1001" s="8" t="s">
        <v>1090</v>
      </c>
      <c r="G1001" s="6" t="str">
        <f>IF(F1001="","",VLOOKUP(F1001,'PLAN SUPORTE'!A:B,2,0))</f>
        <v/>
      </c>
      <c r="H1001" s="7"/>
      <c r="I1001" s="8"/>
      <c r="J1001" s="8"/>
      <c r="K1001" s="8"/>
      <c r="L1001" s="8" t="str">
        <f>IF(K1001="","",VLOOKUP(K1001,'PLAN SUPORTE'!$H$2:$I$4,2,0))</f>
        <v/>
      </c>
      <c r="M1001" s="10"/>
      <c r="N1001" s="10"/>
      <c r="O1001" s="9" t="str">
        <f t="shared" si="86"/>
        <v/>
      </c>
      <c r="P1001" s="10" t="str">
        <f t="shared" si="83"/>
        <v/>
      </c>
      <c r="Q1001" s="6" t="str">
        <f t="shared" ca="1" si="84"/>
        <v/>
      </c>
      <c r="R1001" s="8" t="str">
        <f t="shared" si="85"/>
        <v/>
      </c>
    </row>
    <row r="1002" spans="1:18" ht="13">
      <c r="A1002" s="8"/>
      <c r="B1002" s="10"/>
      <c r="C1002" s="10"/>
      <c r="D1002" s="8"/>
      <c r="E1002" s="8"/>
      <c r="F1002" s="8" t="s">
        <v>1090</v>
      </c>
      <c r="G1002" s="6" t="str">
        <f>IF(F1002="","",VLOOKUP(F1002,'PLAN SUPORTE'!A:B,2,0))</f>
        <v/>
      </c>
      <c r="H1002" s="7"/>
      <c r="I1002" s="8"/>
      <c r="J1002" s="8"/>
      <c r="K1002" s="8"/>
      <c r="L1002" s="8" t="str">
        <f>IF(K1002="","",VLOOKUP(K1002,'PLAN SUPORTE'!$H$2:$I$4,2,0))</f>
        <v/>
      </c>
      <c r="M1002" s="10"/>
      <c r="N1002" s="10"/>
      <c r="O1002" s="9" t="str">
        <f t="shared" si="86"/>
        <v/>
      </c>
      <c r="P1002" s="10" t="str">
        <f t="shared" si="83"/>
        <v/>
      </c>
      <c r="Q1002" s="6" t="str">
        <f t="shared" ca="1" si="84"/>
        <v/>
      </c>
      <c r="R1002" s="8" t="str">
        <f t="shared" si="85"/>
        <v/>
      </c>
    </row>
    <row r="1003" spans="1:18" ht="13">
      <c r="A1003" s="8"/>
      <c r="B1003" s="10"/>
      <c r="C1003" s="10"/>
      <c r="D1003" s="8"/>
      <c r="E1003" s="8"/>
      <c r="F1003" s="8" t="s">
        <v>1090</v>
      </c>
      <c r="G1003" s="6" t="str">
        <f>IF(F1003="","",VLOOKUP(F1003,'PLAN SUPORTE'!A:B,2,0))</f>
        <v/>
      </c>
      <c r="H1003" s="7"/>
      <c r="I1003" s="8"/>
      <c r="J1003" s="8"/>
      <c r="K1003" s="8"/>
      <c r="L1003" s="8" t="str">
        <f>IF(K1003="","",VLOOKUP(K1003,'PLAN SUPORTE'!$H$2:$I$4,2,0))</f>
        <v/>
      </c>
      <c r="M1003" s="10"/>
      <c r="N1003" s="10"/>
      <c r="O1003" s="9" t="str">
        <f t="shared" si="86"/>
        <v/>
      </c>
      <c r="P1003" s="10" t="str">
        <f t="shared" si="83"/>
        <v/>
      </c>
      <c r="Q1003" s="6" t="str">
        <f t="shared" ca="1" si="84"/>
        <v/>
      </c>
      <c r="R1003" s="8" t="str">
        <f t="shared" si="85"/>
        <v/>
      </c>
    </row>
    <row r="1004" spans="1:18" ht="13">
      <c r="A1004" s="8"/>
      <c r="B1004" s="10"/>
      <c r="C1004" s="10"/>
      <c r="D1004" s="8"/>
      <c r="E1004" s="8"/>
      <c r="F1004" s="8" t="s">
        <v>1090</v>
      </c>
      <c r="G1004" s="6" t="str">
        <f>IF(F1004="","",VLOOKUP(F1004,'PLAN SUPORTE'!A:B,2,0))</f>
        <v/>
      </c>
      <c r="H1004" s="7"/>
      <c r="I1004" s="8"/>
      <c r="J1004" s="8"/>
      <c r="K1004" s="8"/>
      <c r="L1004" s="8" t="str">
        <f>IF(K1004="","",VLOOKUP(K1004,'PLAN SUPORTE'!$H$2:$I$4,2,0))</f>
        <v/>
      </c>
      <c r="M1004" s="10"/>
      <c r="N1004" s="10"/>
      <c r="O1004" s="9" t="str">
        <f t="shared" si="86"/>
        <v/>
      </c>
      <c r="P1004" s="10" t="str">
        <f t="shared" si="83"/>
        <v/>
      </c>
      <c r="Q1004" s="6" t="str">
        <f t="shared" ca="1" si="84"/>
        <v/>
      </c>
      <c r="R1004" s="8" t="str">
        <f t="shared" si="85"/>
        <v/>
      </c>
    </row>
    <row r="1005" spans="1:18" ht="13">
      <c r="A1005" s="8"/>
      <c r="B1005" s="10"/>
      <c r="C1005" s="10"/>
      <c r="D1005" s="8"/>
      <c r="E1005" s="8"/>
      <c r="F1005" s="8" t="s">
        <v>1090</v>
      </c>
      <c r="G1005" s="6" t="str">
        <f>IF(F1005="","",VLOOKUP(F1005,'PLAN SUPORTE'!A:B,2,0))</f>
        <v/>
      </c>
      <c r="H1005" s="7"/>
      <c r="I1005" s="8"/>
      <c r="J1005" s="8"/>
      <c r="K1005" s="8"/>
      <c r="L1005" s="8" t="str">
        <f>IF(K1005="","",VLOOKUP(K1005,'PLAN SUPORTE'!$H$2:$I$4,2,0))</f>
        <v/>
      </c>
      <c r="M1005" s="10"/>
      <c r="N1005" s="10"/>
      <c r="O1005" s="9" t="str">
        <f t="shared" si="86"/>
        <v/>
      </c>
      <c r="P1005" s="10" t="str">
        <f t="shared" si="83"/>
        <v/>
      </c>
      <c r="Q1005" s="6" t="str">
        <f t="shared" ca="1" si="84"/>
        <v/>
      </c>
      <c r="R1005" s="8" t="str">
        <f t="shared" si="85"/>
        <v/>
      </c>
    </row>
    <row r="1006" spans="1:18" ht="13">
      <c r="A1006" s="8"/>
      <c r="B1006" s="10"/>
      <c r="C1006" s="10"/>
      <c r="D1006" s="8"/>
      <c r="E1006" s="8"/>
      <c r="F1006" s="8" t="s">
        <v>1090</v>
      </c>
      <c r="G1006" s="6" t="str">
        <f>IF(F1006="","",VLOOKUP(F1006,'PLAN SUPORTE'!A:B,2,0))</f>
        <v/>
      </c>
      <c r="H1006" s="7"/>
      <c r="I1006" s="8"/>
      <c r="J1006" s="8"/>
      <c r="K1006" s="8"/>
      <c r="L1006" s="8" t="str">
        <f>IF(K1006="","",VLOOKUP(K1006,'PLAN SUPORTE'!$H$2:$I$4,2,0))</f>
        <v/>
      </c>
      <c r="M1006" s="10"/>
      <c r="N1006" s="10"/>
      <c r="O1006" s="9" t="str">
        <f t="shared" si="86"/>
        <v/>
      </c>
      <c r="P1006" s="10" t="str">
        <f t="shared" si="83"/>
        <v/>
      </c>
      <c r="Q1006" s="6" t="str">
        <f t="shared" ca="1" si="84"/>
        <v/>
      </c>
      <c r="R1006" s="8" t="str">
        <f t="shared" si="85"/>
        <v/>
      </c>
    </row>
    <row r="1007" spans="1:18" ht="13">
      <c r="A1007" s="8"/>
      <c r="B1007" s="10"/>
      <c r="C1007" s="10"/>
      <c r="D1007" s="8"/>
      <c r="E1007" s="8"/>
      <c r="F1007" s="8" t="s">
        <v>1090</v>
      </c>
      <c r="G1007" s="6" t="str">
        <f>IF(F1007="","",VLOOKUP(F1007,'PLAN SUPORTE'!A:B,2,0))</f>
        <v/>
      </c>
      <c r="H1007" s="7"/>
      <c r="I1007" s="8"/>
      <c r="J1007" s="8"/>
      <c r="K1007" s="8"/>
      <c r="L1007" s="8" t="str">
        <f>IF(K1007="","",VLOOKUP(K1007,'PLAN SUPORTE'!$H$2:$I$4,2,0))</f>
        <v/>
      </c>
      <c r="M1007" s="10"/>
      <c r="N1007" s="10"/>
      <c r="O1007" s="9" t="str">
        <f t="shared" si="86"/>
        <v/>
      </c>
      <c r="P1007" s="10" t="str">
        <f t="shared" si="83"/>
        <v/>
      </c>
      <c r="Q1007" s="6" t="str">
        <f t="shared" ca="1" si="84"/>
        <v/>
      </c>
      <c r="R1007" s="8" t="str">
        <f t="shared" si="85"/>
        <v/>
      </c>
    </row>
    <row r="1008" spans="1:18" ht="13">
      <c r="A1008" s="8"/>
      <c r="B1008" s="10"/>
      <c r="C1008" s="10"/>
      <c r="D1008" s="8"/>
      <c r="E1008" s="8"/>
      <c r="F1008" s="8" t="s">
        <v>1090</v>
      </c>
      <c r="G1008" s="6" t="str">
        <f>IF(F1008="","",VLOOKUP(F1008,'PLAN SUPORTE'!A:B,2,0))</f>
        <v/>
      </c>
      <c r="H1008" s="7"/>
      <c r="I1008" s="8"/>
      <c r="J1008" s="8"/>
      <c r="K1008" s="8"/>
      <c r="L1008" s="8" t="str">
        <f>IF(K1008="","",VLOOKUP(K1008,'PLAN SUPORTE'!$H$2:$I$4,2,0))</f>
        <v/>
      </c>
      <c r="M1008" s="10"/>
      <c r="N1008" s="10"/>
      <c r="O1008" s="9" t="str">
        <f t="shared" si="86"/>
        <v/>
      </c>
      <c r="P1008" s="10" t="str">
        <f t="shared" si="83"/>
        <v/>
      </c>
      <c r="Q1008" s="6" t="str">
        <f t="shared" ca="1" si="84"/>
        <v/>
      </c>
      <c r="R1008" s="8" t="str">
        <f t="shared" si="85"/>
        <v/>
      </c>
    </row>
    <row r="1009" spans="1:18" ht="13">
      <c r="A1009" s="8"/>
      <c r="B1009" s="10"/>
      <c r="C1009" s="10"/>
      <c r="D1009" s="8"/>
      <c r="E1009" s="8"/>
      <c r="F1009" s="8" t="s">
        <v>1090</v>
      </c>
      <c r="G1009" s="6" t="str">
        <f>IF(F1009="","",VLOOKUP(F1009,'PLAN SUPORTE'!A:B,2,0))</f>
        <v/>
      </c>
      <c r="H1009" s="7"/>
      <c r="I1009" s="8"/>
      <c r="J1009" s="8"/>
      <c r="K1009" s="8"/>
      <c r="L1009" s="8" t="str">
        <f>IF(K1009="","",VLOOKUP(K1009,'PLAN SUPORTE'!$H$2:$I$4,2,0))</f>
        <v/>
      </c>
      <c r="M1009" s="10"/>
      <c r="N1009" s="10"/>
      <c r="O1009" s="9" t="str">
        <f t="shared" si="86"/>
        <v/>
      </c>
      <c r="P1009" s="10" t="str">
        <f t="shared" si="83"/>
        <v/>
      </c>
      <c r="Q1009" s="6" t="str">
        <f t="shared" ca="1" si="84"/>
        <v/>
      </c>
      <c r="R1009" s="8" t="str">
        <f t="shared" si="85"/>
        <v/>
      </c>
    </row>
    <row r="1010" spans="1:18" ht="13">
      <c r="A1010" s="8"/>
      <c r="B1010" s="10"/>
      <c r="C1010" s="10"/>
      <c r="D1010" s="8"/>
      <c r="E1010" s="8"/>
      <c r="F1010" s="8" t="s">
        <v>1090</v>
      </c>
      <c r="G1010" s="6" t="str">
        <f>IF(F1010="","",VLOOKUP(F1010,'PLAN SUPORTE'!A:B,2,0))</f>
        <v/>
      </c>
      <c r="H1010" s="7"/>
      <c r="I1010" s="8"/>
      <c r="J1010" s="8"/>
      <c r="K1010" s="8"/>
      <c r="L1010" s="8" t="str">
        <f>IF(K1010="","",VLOOKUP(K1010,'PLAN SUPORTE'!$H$2:$I$4,2,0))</f>
        <v/>
      </c>
      <c r="M1010" s="10"/>
      <c r="N1010" s="10"/>
      <c r="O1010" s="9" t="str">
        <f t="shared" si="86"/>
        <v/>
      </c>
      <c r="P1010" s="10" t="str">
        <f t="shared" si="83"/>
        <v/>
      </c>
      <c r="Q1010" s="6" t="str">
        <f t="shared" ca="1" si="84"/>
        <v/>
      </c>
      <c r="R1010" s="8" t="str">
        <f t="shared" si="85"/>
        <v/>
      </c>
    </row>
    <row r="1011" spans="1:18" ht="13">
      <c r="A1011" s="8"/>
      <c r="B1011" s="10"/>
      <c r="C1011" s="10"/>
      <c r="D1011" s="8"/>
      <c r="E1011" s="8"/>
      <c r="F1011" s="8" t="s">
        <v>1090</v>
      </c>
      <c r="G1011" s="6" t="str">
        <f>IF(F1011="","",VLOOKUP(F1011,'PLAN SUPORTE'!A:B,2,0))</f>
        <v/>
      </c>
      <c r="H1011" s="7"/>
      <c r="I1011" s="8"/>
      <c r="J1011" s="8"/>
      <c r="K1011" s="8"/>
      <c r="L1011" s="8" t="str">
        <f>IF(K1011="","",VLOOKUP(K1011,'PLAN SUPORTE'!$H$2:$I$4,2,0))</f>
        <v/>
      </c>
      <c r="M1011" s="10"/>
      <c r="N1011" s="10"/>
      <c r="O1011" s="9" t="str">
        <f t="shared" si="86"/>
        <v/>
      </c>
      <c r="P1011" s="10" t="str">
        <f t="shared" si="83"/>
        <v/>
      </c>
      <c r="Q1011" s="6" t="str">
        <f t="shared" ca="1" si="84"/>
        <v/>
      </c>
      <c r="R1011" s="8" t="str">
        <f t="shared" si="85"/>
        <v/>
      </c>
    </row>
    <row r="1012" spans="1:18" ht="13">
      <c r="A1012" s="8"/>
      <c r="B1012" s="10"/>
      <c r="C1012" s="10"/>
      <c r="D1012" s="8"/>
      <c r="E1012" s="8"/>
      <c r="F1012" s="8" t="s">
        <v>1090</v>
      </c>
      <c r="G1012" s="6" t="str">
        <f>IF(F1012="","",VLOOKUP(F1012,'PLAN SUPORTE'!A:B,2,0))</f>
        <v/>
      </c>
      <c r="H1012" s="7"/>
      <c r="I1012" s="8"/>
      <c r="J1012" s="8"/>
      <c r="K1012" s="8"/>
      <c r="L1012" s="8" t="str">
        <f>IF(K1012="","",VLOOKUP(K1012,'PLAN SUPORTE'!$H$2:$I$4,2,0))</f>
        <v/>
      </c>
      <c r="M1012" s="10"/>
      <c r="N1012" s="10"/>
      <c r="O1012" s="9" t="str">
        <f t="shared" si="86"/>
        <v/>
      </c>
      <c r="P1012" s="10" t="str">
        <f t="shared" si="83"/>
        <v/>
      </c>
      <c r="Q1012" s="6" t="str">
        <f t="shared" ca="1" si="84"/>
        <v/>
      </c>
      <c r="R1012" s="8" t="str">
        <f t="shared" si="85"/>
        <v/>
      </c>
    </row>
    <row r="1013" spans="1:18" ht="13">
      <c r="A1013" s="8"/>
      <c r="B1013" s="10"/>
      <c r="C1013" s="10"/>
      <c r="D1013" s="8"/>
      <c r="E1013" s="8"/>
      <c r="F1013" s="8" t="s">
        <v>1090</v>
      </c>
      <c r="G1013" s="6" t="str">
        <f>IF(F1013="","",VLOOKUP(F1013,'PLAN SUPORTE'!A:B,2,0))</f>
        <v/>
      </c>
      <c r="H1013" s="7"/>
      <c r="I1013" s="8"/>
      <c r="J1013" s="8"/>
      <c r="K1013" s="8"/>
      <c r="L1013" s="8" t="str">
        <f>IF(K1013="","",VLOOKUP(K1013,'PLAN SUPORTE'!$H$2:$I$4,2,0))</f>
        <v/>
      </c>
      <c r="M1013" s="10"/>
      <c r="N1013" s="10"/>
      <c r="O1013" s="9" t="str">
        <f t="shared" si="86"/>
        <v/>
      </c>
      <c r="P1013" s="10" t="str">
        <f t="shared" si="83"/>
        <v/>
      </c>
      <c r="Q1013" s="6" t="str">
        <f t="shared" ca="1" si="84"/>
        <v/>
      </c>
      <c r="R1013" s="8" t="str">
        <f t="shared" si="85"/>
        <v/>
      </c>
    </row>
    <row r="1014" spans="1:18" ht="13">
      <c r="A1014" s="8"/>
      <c r="B1014" s="10"/>
      <c r="C1014" s="10"/>
      <c r="D1014" s="8"/>
      <c r="E1014" s="8"/>
      <c r="F1014" s="8" t="s">
        <v>1090</v>
      </c>
      <c r="G1014" s="6" t="str">
        <f>IF(F1014="","",VLOOKUP(F1014,'PLAN SUPORTE'!A:B,2,0))</f>
        <v/>
      </c>
      <c r="H1014" s="7"/>
      <c r="I1014" s="8"/>
      <c r="J1014" s="8"/>
      <c r="K1014" s="8"/>
      <c r="L1014" s="8" t="str">
        <f>IF(K1014="","",VLOOKUP(K1014,'PLAN SUPORTE'!$H$2:$I$4,2,0))</f>
        <v/>
      </c>
      <c r="M1014" s="10"/>
      <c r="N1014" s="10"/>
      <c r="O1014" s="9" t="str">
        <f t="shared" si="86"/>
        <v/>
      </c>
      <c r="P1014" s="10" t="str">
        <f t="shared" si="83"/>
        <v/>
      </c>
      <c r="Q1014" s="6" t="str">
        <f t="shared" ca="1" si="84"/>
        <v/>
      </c>
      <c r="R1014" s="8" t="str">
        <f t="shared" si="85"/>
        <v/>
      </c>
    </row>
    <row r="1015" spans="1:18" ht="13">
      <c r="A1015" s="8"/>
      <c r="B1015" s="10"/>
      <c r="C1015" s="10"/>
      <c r="D1015" s="8"/>
      <c r="E1015" s="8"/>
      <c r="F1015" s="8" t="s">
        <v>1090</v>
      </c>
      <c r="G1015" s="6" t="str">
        <f>IF(F1015="","",VLOOKUP(F1015,'PLAN SUPORTE'!A:B,2,0))</f>
        <v/>
      </c>
      <c r="H1015" s="7"/>
      <c r="I1015" s="8"/>
      <c r="J1015" s="8"/>
      <c r="K1015" s="8"/>
      <c r="L1015" s="8" t="str">
        <f>IF(K1015="","",VLOOKUP(K1015,'PLAN SUPORTE'!$H$2:$I$4,2,0))</f>
        <v/>
      </c>
      <c r="M1015" s="10"/>
      <c r="N1015" s="10"/>
      <c r="O1015" s="9" t="str">
        <f t="shared" si="86"/>
        <v/>
      </c>
      <c r="P1015" s="10" t="str">
        <f t="shared" si="83"/>
        <v/>
      </c>
      <c r="Q1015" s="6" t="str">
        <f t="shared" ca="1" si="84"/>
        <v/>
      </c>
      <c r="R1015" s="8" t="str">
        <f t="shared" si="85"/>
        <v/>
      </c>
    </row>
    <row r="1016" spans="1:18" ht="13">
      <c r="A1016" s="8"/>
      <c r="B1016" s="10"/>
      <c r="C1016" s="10"/>
      <c r="D1016" s="8"/>
      <c r="E1016" s="8"/>
      <c r="F1016" s="8" t="s">
        <v>1090</v>
      </c>
      <c r="G1016" s="6" t="str">
        <f>IF(F1016="","",VLOOKUP(F1016,'PLAN SUPORTE'!A:B,2,0))</f>
        <v/>
      </c>
      <c r="H1016" s="7"/>
      <c r="I1016" s="8"/>
      <c r="J1016" s="8"/>
      <c r="K1016" s="8"/>
      <c r="L1016" s="8" t="str">
        <f>IF(K1016="","",VLOOKUP(K1016,'PLAN SUPORTE'!$H$2:$I$4,2,0))</f>
        <v/>
      </c>
      <c r="M1016" s="10"/>
      <c r="N1016" s="10"/>
      <c r="O1016" s="9" t="str">
        <f t="shared" si="86"/>
        <v/>
      </c>
      <c r="P1016" s="10" t="str">
        <f t="shared" si="83"/>
        <v/>
      </c>
      <c r="Q1016" s="6" t="str">
        <f t="shared" ca="1" si="84"/>
        <v/>
      </c>
      <c r="R1016" s="8" t="str">
        <f t="shared" si="85"/>
        <v/>
      </c>
    </row>
    <row r="1017" spans="1:18" ht="13">
      <c r="A1017" s="8"/>
      <c r="B1017" s="10"/>
      <c r="C1017" s="10"/>
      <c r="D1017" s="8"/>
      <c r="E1017" s="8"/>
      <c r="F1017" s="8" t="s">
        <v>1090</v>
      </c>
      <c r="G1017" s="6" t="str">
        <f>IF(F1017="","",VLOOKUP(F1017,'PLAN SUPORTE'!A:B,2,0))</f>
        <v/>
      </c>
      <c r="H1017" s="7"/>
      <c r="I1017" s="8"/>
      <c r="J1017" s="8"/>
      <c r="K1017" s="8"/>
      <c r="L1017" s="8" t="str">
        <f>IF(K1017="","",VLOOKUP(K1017,'PLAN SUPORTE'!$H$2:$I$4,2,0))</f>
        <v/>
      </c>
      <c r="M1017" s="10"/>
      <c r="N1017" s="10"/>
      <c r="O1017" s="9" t="str">
        <f t="shared" si="86"/>
        <v/>
      </c>
      <c r="P1017" s="10" t="str">
        <f t="shared" si="83"/>
        <v/>
      </c>
      <c r="Q1017" s="6" t="str">
        <f t="shared" ca="1" si="84"/>
        <v/>
      </c>
      <c r="R1017" s="8" t="str">
        <f t="shared" si="85"/>
        <v/>
      </c>
    </row>
    <row r="1018" spans="1:18" ht="13">
      <c r="A1018" s="8"/>
      <c r="B1018" s="10"/>
      <c r="C1018" s="10"/>
      <c r="D1018" s="8"/>
      <c r="E1018" s="8"/>
      <c r="F1018" s="8" t="s">
        <v>1090</v>
      </c>
      <c r="G1018" s="6" t="str">
        <f>IF(F1018="","",VLOOKUP(F1018,'PLAN SUPORTE'!A:B,2,0))</f>
        <v/>
      </c>
      <c r="H1018" s="7"/>
      <c r="I1018" s="8"/>
      <c r="J1018" s="8"/>
      <c r="K1018" s="8"/>
      <c r="L1018" s="8" t="str">
        <f>IF(K1018="","",VLOOKUP(K1018,'PLAN SUPORTE'!$H$2:$I$4,2,0))</f>
        <v/>
      </c>
      <c r="M1018" s="10"/>
      <c r="N1018" s="10"/>
      <c r="O1018" s="9" t="str">
        <f t="shared" si="86"/>
        <v/>
      </c>
      <c r="P1018" s="10" t="str">
        <f t="shared" si="83"/>
        <v/>
      </c>
      <c r="Q1018" s="6" t="str">
        <f t="shared" ca="1" si="84"/>
        <v/>
      </c>
      <c r="R1018" s="8" t="str">
        <f t="shared" si="85"/>
        <v/>
      </c>
    </row>
    <row r="1019" spans="1:18" ht="13">
      <c r="A1019" s="8"/>
      <c r="B1019" s="10"/>
      <c r="C1019" s="10"/>
      <c r="D1019" s="8"/>
      <c r="E1019" s="8"/>
      <c r="F1019" s="8" t="s">
        <v>1090</v>
      </c>
      <c r="G1019" s="6" t="str">
        <f>IF(F1019="","",VLOOKUP(F1019,'PLAN SUPORTE'!A:B,2,0))</f>
        <v/>
      </c>
      <c r="H1019" s="7"/>
      <c r="I1019" s="8"/>
      <c r="J1019" s="8"/>
      <c r="K1019" s="8"/>
      <c r="L1019" s="8" t="str">
        <f>IF(K1019="","",VLOOKUP(K1019,'PLAN SUPORTE'!$H$2:$I$4,2,0))</f>
        <v/>
      </c>
      <c r="M1019" s="10"/>
      <c r="N1019" s="10"/>
      <c r="O1019" s="9" t="str">
        <f t="shared" si="86"/>
        <v/>
      </c>
      <c r="P1019" s="10" t="str">
        <f t="shared" si="83"/>
        <v/>
      </c>
      <c r="Q1019" s="6" t="str">
        <f t="shared" ca="1" si="84"/>
        <v/>
      </c>
      <c r="R1019" s="8" t="str">
        <f t="shared" si="85"/>
        <v/>
      </c>
    </row>
    <row r="1020" spans="1:18" ht="13">
      <c r="A1020" s="8"/>
      <c r="B1020" s="10"/>
      <c r="C1020" s="10"/>
      <c r="D1020" s="8"/>
      <c r="E1020" s="8"/>
      <c r="F1020" s="8" t="s">
        <v>1090</v>
      </c>
      <c r="G1020" s="6" t="str">
        <f>IF(F1020="","",VLOOKUP(F1020,'PLAN SUPORTE'!A:B,2,0))</f>
        <v/>
      </c>
      <c r="H1020" s="7"/>
      <c r="I1020" s="8"/>
      <c r="J1020" s="8"/>
      <c r="K1020" s="8"/>
      <c r="L1020" s="8" t="str">
        <f>IF(K1020="","",VLOOKUP(K1020,'PLAN SUPORTE'!$H$2:$I$4,2,0))</f>
        <v/>
      </c>
      <c r="M1020" s="10"/>
      <c r="N1020" s="10"/>
      <c r="O1020" s="9" t="str">
        <f t="shared" si="86"/>
        <v/>
      </c>
      <c r="P1020" s="10" t="str">
        <f t="shared" si="83"/>
        <v/>
      </c>
      <c r="Q1020" s="6" t="str">
        <f t="shared" ca="1" si="84"/>
        <v/>
      </c>
      <c r="R1020" s="8" t="str">
        <f t="shared" si="85"/>
        <v/>
      </c>
    </row>
    <row r="1021" spans="1:18" ht="13">
      <c r="A1021" s="8"/>
      <c r="B1021" s="10"/>
      <c r="C1021" s="10"/>
      <c r="D1021" s="8"/>
      <c r="E1021" s="8"/>
      <c r="F1021" s="8" t="s">
        <v>1090</v>
      </c>
      <c r="G1021" s="6" t="str">
        <f>IF(F1021="","",VLOOKUP(F1021,'PLAN SUPORTE'!A:B,2,0))</f>
        <v/>
      </c>
      <c r="H1021" s="7"/>
      <c r="I1021" s="8"/>
      <c r="J1021" s="8"/>
      <c r="K1021" s="8"/>
      <c r="L1021" s="8" t="str">
        <f>IF(K1021="","",VLOOKUP(K1021,'PLAN SUPORTE'!$H$2:$I$4,2,0))</f>
        <v/>
      </c>
      <c r="M1021" s="10"/>
      <c r="N1021" s="10"/>
      <c r="O1021" s="9" t="str">
        <f t="shared" si="86"/>
        <v/>
      </c>
      <c r="P1021" s="10" t="str">
        <f t="shared" si="83"/>
        <v/>
      </c>
      <c r="Q1021" s="6" t="str">
        <f t="shared" ca="1" si="84"/>
        <v/>
      </c>
      <c r="R1021" s="8" t="str">
        <f t="shared" si="85"/>
        <v/>
      </c>
    </row>
    <row r="1022" spans="1:18" ht="13">
      <c r="A1022" s="8"/>
      <c r="B1022" s="10"/>
      <c r="C1022" s="10"/>
      <c r="D1022" s="8"/>
      <c r="E1022" s="8"/>
      <c r="F1022" s="8" t="s">
        <v>1090</v>
      </c>
      <c r="G1022" s="6" t="str">
        <f>IF(F1022="","",VLOOKUP(F1022,'PLAN SUPORTE'!A:B,2,0))</f>
        <v/>
      </c>
      <c r="H1022" s="7"/>
      <c r="I1022" s="8"/>
      <c r="J1022" s="8"/>
      <c r="K1022" s="8"/>
      <c r="L1022" s="8" t="str">
        <f>IF(K1022="","",VLOOKUP(K1022,'PLAN SUPORTE'!$H$2:$I$4,2,0))</f>
        <v/>
      </c>
      <c r="M1022" s="10"/>
      <c r="N1022" s="10"/>
      <c r="O1022" s="9" t="str">
        <f t="shared" si="86"/>
        <v/>
      </c>
      <c r="P1022" s="10" t="str">
        <f t="shared" si="83"/>
        <v/>
      </c>
      <c r="Q1022" s="6" t="str">
        <f t="shared" ca="1" si="84"/>
        <v/>
      </c>
      <c r="R1022" s="8" t="str">
        <f t="shared" si="85"/>
        <v/>
      </c>
    </row>
    <row r="1023" spans="1:18" ht="13">
      <c r="A1023" s="8"/>
      <c r="B1023" s="10"/>
      <c r="C1023" s="10"/>
      <c r="D1023" s="8"/>
      <c r="E1023" s="8"/>
      <c r="F1023" s="8" t="s">
        <v>1090</v>
      </c>
      <c r="G1023" s="6" t="str">
        <f>IF(F1023="","",VLOOKUP(F1023,'PLAN SUPORTE'!A:B,2,0))</f>
        <v/>
      </c>
      <c r="H1023" s="7"/>
      <c r="I1023" s="8"/>
      <c r="J1023" s="8"/>
      <c r="K1023" s="8"/>
      <c r="L1023" s="8" t="str">
        <f>IF(K1023="","",VLOOKUP(K1023,'PLAN SUPORTE'!$H$2:$I$4,2,0))</f>
        <v/>
      </c>
      <c r="M1023" s="10"/>
      <c r="N1023" s="10"/>
      <c r="O1023" s="9" t="str">
        <f t="shared" si="86"/>
        <v/>
      </c>
      <c r="P1023" s="10" t="str">
        <f t="shared" si="83"/>
        <v/>
      </c>
      <c r="Q1023" s="6" t="str">
        <f t="shared" ca="1" si="84"/>
        <v/>
      </c>
      <c r="R1023" s="8" t="str">
        <f t="shared" si="85"/>
        <v/>
      </c>
    </row>
    <row r="1024" spans="1:18" ht="13">
      <c r="A1024" s="8"/>
      <c r="B1024" s="10"/>
      <c r="C1024" s="10"/>
      <c r="D1024" s="8"/>
      <c r="E1024" s="8"/>
      <c r="F1024" s="8" t="s">
        <v>1090</v>
      </c>
      <c r="G1024" s="6" t="str">
        <f>IF(F1024="","",VLOOKUP(F1024,'PLAN SUPORTE'!A:B,2,0))</f>
        <v/>
      </c>
      <c r="H1024" s="7"/>
      <c r="I1024" s="8"/>
      <c r="J1024" s="8"/>
      <c r="K1024" s="8"/>
      <c r="L1024" s="8" t="str">
        <f>IF(K1024="","",VLOOKUP(K1024,'PLAN SUPORTE'!$H$2:$I$4,2,0))</f>
        <v/>
      </c>
      <c r="M1024" s="10"/>
      <c r="N1024" s="10"/>
      <c r="O1024" s="9" t="str">
        <f t="shared" si="86"/>
        <v/>
      </c>
      <c r="P1024" s="10" t="str">
        <f t="shared" si="83"/>
        <v/>
      </c>
      <c r="Q1024" s="6" t="str">
        <f t="shared" ca="1" si="84"/>
        <v/>
      </c>
      <c r="R1024" s="8" t="str">
        <f t="shared" si="85"/>
        <v/>
      </c>
    </row>
    <row r="1025" spans="1:18" ht="13">
      <c r="A1025" s="8"/>
      <c r="B1025" s="10"/>
      <c r="C1025" s="10"/>
      <c r="D1025" s="8"/>
      <c r="E1025" s="8"/>
      <c r="F1025" s="8" t="s">
        <v>1090</v>
      </c>
      <c r="G1025" s="6" t="str">
        <f>IF(F1025="","",VLOOKUP(F1025,'PLAN SUPORTE'!A:B,2,0))</f>
        <v/>
      </c>
      <c r="H1025" s="7"/>
      <c r="I1025" s="8"/>
      <c r="J1025" s="8"/>
      <c r="K1025" s="8"/>
      <c r="L1025" s="8" t="str">
        <f>IF(K1025="","",VLOOKUP(K1025,'PLAN SUPORTE'!$H$2:$I$4,2,0))</f>
        <v/>
      </c>
      <c r="M1025" s="10"/>
      <c r="N1025" s="10"/>
      <c r="O1025" s="9" t="str">
        <f t="shared" si="86"/>
        <v/>
      </c>
      <c r="P1025" s="10" t="str">
        <f t="shared" si="83"/>
        <v/>
      </c>
      <c r="Q1025" s="6" t="str">
        <f t="shared" ca="1" si="84"/>
        <v/>
      </c>
      <c r="R1025" s="8" t="str">
        <f t="shared" si="85"/>
        <v/>
      </c>
    </row>
    <row r="1026" spans="1:18" ht="13">
      <c r="A1026" s="8"/>
      <c r="B1026" s="10"/>
      <c r="C1026" s="10"/>
      <c r="D1026" s="8"/>
      <c r="E1026" s="8"/>
      <c r="F1026" s="8" t="s">
        <v>1090</v>
      </c>
      <c r="G1026" s="6" t="str">
        <f>IF(F1026="","",VLOOKUP(F1026,'PLAN SUPORTE'!A:B,2,0))</f>
        <v/>
      </c>
      <c r="H1026" s="7"/>
      <c r="I1026" s="8"/>
      <c r="J1026" s="8"/>
      <c r="K1026" s="8"/>
      <c r="L1026" s="8" t="str">
        <f>IF(K1026="","",VLOOKUP(K1026,'PLAN SUPORTE'!$H$2:$I$4,2,0))</f>
        <v/>
      </c>
      <c r="M1026" s="10"/>
      <c r="N1026" s="10"/>
      <c r="O1026" s="9" t="str">
        <f t="shared" si="86"/>
        <v/>
      </c>
      <c r="P1026" s="10" t="str">
        <f t="shared" si="83"/>
        <v/>
      </c>
      <c r="Q1026" s="6" t="str">
        <f t="shared" ca="1" si="84"/>
        <v/>
      </c>
      <c r="R1026" s="8" t="str">
        <f t="shared" si="85"/>
        <v/>
      </c>
    </row>
    <row r="1027" spans="1:18" ht="13">
      <c r="A1027" s="8"/>
      <c r="B1027" s="10"/>
      <c r="C1027" s="10"/>
      <c r="D1027" s="8"/>
      <c r="E1027" s="8"/>
      <c r="F1027" s="8" t="s">
        <v>1090</v>
      </c>
      <c r="G1027" s="6" t="str">
        <f>IF(F1027="","",VLOOKUP(F1027,'PLAN SUPORTE'!A:B,2,0))</f>
        <v/>
      </c>
      <c r="H1027" s="7"/>
      <c r="I1027" s="8"/>
      <c r="J1027" s="8"/>
      <c r="K1027" s="8"/>
      <c r="L1027" s="8" t="str">
        <f>IF(K1027="","",VLOOKUP(K1027,'PLAN SUPORTE'!$H$2:$I$4,2,0))</f>
        <v/>
      </c>
      <c r="M1027" s="10"/>
      <c r="N1027" s="10"/>
      <c r="O1027" s="9" t="str">
        <f t="shared" si="86"/>
        <v/>
      </c>
      <c r="P1027" s="10" t="str">
        <f t="shared" si="83"/>
        <v/>
      </c>
      <c r="Q1027" s="6" t="str">
        <f t="shared" ca="1" si="84"/>
        <v/>
      </c>
      <c r="R1027" s="8" t="str">
        <f t="shared" si="85"/>
        <v/>
      </c>
    </row>
    <row r="1028" spans="1:18" ht="13">
      <c r="A1028" s="8"/>
      <c r="B1028" s="10"/>
      <c r="C1028" s="10"/>
      <c r="D1028" s="8"/>
      <c r="E1028" s="8"/>
      <c r="F1028" s="8" t="s">
        <v>1090</v>
      </c>
      <c r="G1028" s="6" t="str">
        <f>IF(F1028="","",VLOOKUP(F1028,'PLAN SUPORTE'!A:B,2,0))</f>
        <v/>
      </c>
      <c r="H1028" s="7"/>
      <c r="I1028" s="8"/>
      <c r="J1028" s="8"/>
      <c r="K1028" s="8"/>
      <c r="L1028" s="8" t="str">
        <f>IF(K1028="","",VLOOKUP(K1028,'PLAN SUPORTE'!$H$2:$I$4,2,0))</f>
        <v/>
      </c>
      <c r="M1028" s="10"/>
      <c r="N1028" s="10"/>
      <c r="O1028" s="9" t="str">
        <f t="shared" si="86"/>
        <v/>
      </c>
      <c r="P1028" s="10" t="str">
        <f t="shared" si="83"/>
        <v/>
      </c>
      <c r="Q1028" s="6" t="str">
        <f t="shared" ca="1" si="84"/>
        <v/>
      </c>
      <c r="R1028" s="8" t="str">
        <f t="shared" si="85"/>
        <v/>
      </c>
    </row>
    <row r="1029" spans="1:18" ht="13">
      <c r="A1029" s="8"/>
      <c r="B1029" s="10"/>
      <c r="C1029" s="10"/>
      <c r="D1029" s="8"/>
      <c r="E1029" s="8"/>
      <c r="F1029" s="8" t="s">
        <v>1090</v>
      </c>
      <c r="G1029" s="6" t="str">
        <f>IF(F1029="","",VLOOKUP(F1029,'PLAN SUPORTE'!A:B,2,0))</f>
        <v/>
      </c>
      <c r="H1029" s="7"/>
      <c r="I1029" s="8"/>
      <c r="J1029" s="8"/>
      <c r="K1029" s="8"/>
      <c r="L1029" s="8" t="str">
        <f>IF(K1029="","",VLOOKUP(K1029,'PLAN SUPORTE'!$H$2:$I$4,2,0))</f>
        <v/>
      </c>
      <c r="M1029" s="10"/>
      <c r="N1029" s="10"/>
      <c r="O1029" s="9" t="str">
        <f t="shared" si="86"/>
        <v/>
      </c>
      <c r="P1029" s="10" t="str">
        <f t="shared" si="83"/>
        <v/>
      </c>
      <c r="Q1029" s="6" t="str">
        <f t="shared" ca="1" si="84"/>
        <v/>
      </c>
      <c r="R1029" s="8" t="str">
        <f t="shared" si="85"/>
        <v/>
      </c>
    </row>
    <row r="1030" spans="1:18" ht="13">
      <c r="A1030" s="8"/>
      <c r="B1030" s="10"/>
      <c r="C1030" s="10"/>
      <c r="D1030" s="8"/>
      <c r="E1030" s="8"/>
      <c r="F1030" s="8" t="s">
        <v>1090</v>
      </c>
      <c r="G1030" s="6" t="str">
        <f>IF(F1030="","",VLOOKUP(F1030,'PLAN SUPORTE'!A:B,2,0))</f>
        <v/>
      </c>
      <c r="H1030" s="7"/>
      <c r="I1030" s="8"/>
      <c r="J1030" s="8"/>
      <c r="K1030" s="8"/>
      <c r="L1030" s="8" t="str">
        <f>IF(K1030="","",VLOOKUP(K1030,'PLAN SUPORTE'!$H$2:$I$4,2,0))</f>
        <v/>
      </c>
      <c r="M1030" s="10"/>
      <c r="N1030" s="10"/>
      <c r="O1030" s="9" t="str">
        <f t="shared" si="86"/>
        <v/>
      </c>
      <c r="P1030" s="10" t="str">
        <f t="shared" si="83"/>
        <v/>
      </c>
      <c r="Q1030" s="6" t="str">
        <f t="shared" ca="1" si="84"/>
        <v/>
      </c>
      <c r="R1030" s="8" t="str">
        <f t="shared" si="85"/>
        <v/>
      </c>
    </row>
    <row r="1031" spans="1:18" ht="13">
      <c r="A1031" s="8"/>
      <c r="B1031" s="10"/>
      <c r="C1031" s="10"/>
      <c r="D1031" s="8"/>
      <c r="E1031" s="8"/>
      <c r="F1031" s="8" t="s">
        <v>1090</v>
      </c>
      <c r="G1031" s="6" t="str">
        <f>IF(F1031="","",VLOOKUP(F1031,'PLAN SUPORTE'!A:B,2,0))</f>
        <v/>
      </c>
      <c r="H1031" s="7"/>
      <c r="I1031" s="8"/>
      <c r="J1031" s="8"/>
      <c r="K1031" s="8"/>
      <c r="L1031" s="8" t="str">
        <f>IF(K1031="","",VLOOKUP(K1031,'PLAN SUPORTE'!$H$2:$I$4,2,0))</f>
        <v/>
      </c>
      <c r="M1031" s="10"/>
      <c r="N1031" s="10"/>
      <c r="O1031" s="9" t="str">
        <f t="shared" si="86"/>
        <v/>
      </c>
      <c r="P1031" s="10" t="str">
        <f t="shared" si="83"/>
        <v/>
      </c>
      <c r="Q1031" s="6" t="str">
        <f t="shared" ca="1" si="84"/>
        <v/>
      </c>
      <c r="R1031" s="8" t="str">
        <f t="shared" si="85"/>
        <v/>
      </c>
    </row>
    <row r="1032" spans="1:18" ht="13">
      <c r="A1032" s="8"/>
      <c r="B1032" s="10"/>
      <c r="C1032" s="10"/>
      <c r="D1032" s="8"/>
      <c r="E1032" s="8"/>
      <c r="F1032" s="8" t="s">
        <v>1090</v>
      </c>
      <c r="G1032" s="6" t="str">
        <f>IF(F1032="","",VLOOKUP(F1032,'PLAN SUPORTE'!A:B,2,0))</f>
        <v/>
      </c>
      <c r="H1032" s="7"/>
      <c r="I1032" s="8"/>
      <c r="J1032" s="8"/>
      <c r="K1032" s="8"/>
      <c r="L1032" s="8" t="str">
        <f>IF(K1032="","",VLOOKUP(K1032,'PLAN SUPORTE'!$H$2:$I$4,2,0))</f>
        <v/>
      </c>
      <c r="M1032" s="10"/>
      <c r="N1032" s="10"/>
      <c r="O1032" s="9" t="str">
        <f t="shared" si="86"/>
        <v/>
      </c>
      <c r="P1032" s="10" t="str">
        <f t="shared" si="83"/>
        <v/>
      </c>
      <c r="Q1032" s="6" t="str">
        <f t="shared" ca="1" si="84"/>
        <v/>
      </c>
      <c r="R1032" s="8" t="str">
        <f t="shared" si="85"/>
        <v/>
      </c>
    </row>
    <row r="1033" spans="1:18" ht="13">
      <c r="A1033" s="8"/>
      <c r="B1033" s="10"/>
      <c r="C1033" s="10"/>
      <c r="D1033" s="8"/>
      <c r="E1033" s="8"/>
      <c r="F1033" s="8" t="s">
        <v>1090</v>
      </c>
      <c r="G1033" s="6" t="str">
        <f>IF(F1033="","",VLOOKUP(F1033,'PLAN SUPORTE'!A:B,2,0))</f>
        <v/>
      </c>
      <c r="H1033" s="7"/>
      <c r="I1033" s="8"/>
      <c r="J1033" s="8"/>
      <c r="K1033" s="8"/>
      <c r="L1033" s="8" t="str">
        <f>IF(K1033="","",VLOOKUP(K1033,'PLAN SUPORTE'!$H$2:$I$4,2,0))</f>
        <v/>
      </c>
      <c r="M1033" s="10"/>
      <c r="N1033" s="10"/>
      <c r="O1033" s="9" t="str">
        <f t="shared" si="86"/>
        <v/>
      </c>
      <c r="P1033" s="10" t="str">
        <f t="shared" si="83"/>
        <v/>
      </c>
      <c r="Q1033" s="6" t="str">
        <f t="shared" ca="1" si="84"/>
        <v/>
      </c>
      <c r="R1033" s="8" t="str">
        <f t="shared" si="85"/>
        <v/>
      </c>
    </row>
    <row r="1034" spans="1:18" ht="13">
      <c r="A1034" s="8"/>
      <c r="B1034" s="10"/>
      <c r="C1034" s="10"/>
      <c r="D1034" s="8"/>
      <c r="E1034" s="8"/>
      <c r="F1034" s="8" t="s">
        <v>1090</v>
      </c>
      <c r="G1034" s="6" t="str">
        <f>IF(F1034="","",VLOOKUP(F1034,'PLAN SUPORTE'!A:B,2,0))</f>
        <v/>
      </c>
      <c r="H1034" s="7"/>
      <c r="I1034" s="8"/>
      <c r="J1034" s="8"/>
      <c r="K1034" s="8"/>
      <c r="L1034" s="8" t="str">
        <f>IF(K1034="","",VLOOKUP(K1034,'PLAN SUPORTE'!$H$2:$I$4,2,0))</f>
        <v/>
      </c>
      <c r="M1034" s="10"/>
      <c r="N1034" s="10"/>
      <c r="O1034" s="9" t="str">
        <f t="shared" si="86"/>
        <v/>
      </c>
      <c r="P1034" s="10" t="str">
        <f t="shared" si="83"/>
        <v/>
      </c>
      <c r="Q1034" s="6" t="str">
        <f t="shared" ca="1" si="84"/>
        <v/>
      </c>
      <c r="R1034" s="8" t="str">
        <f t="shared" si="85"/>
        <v/>
      </c>
    </row>
    <row r="1035" spans="1:18" ht="13">
      <c r="A1035" s="8"/>
      <c r="B1035" s="10"/>
      <c r="C1035" s="10"/>
      <c r="D1035" s="8"/>
      <c r="E1035" s="8"/>
      <c r="F1035" s="8" t="s">
        <v>1090</v>
      </c>
      <c r="G1035" s="6" t="str">
        <f>IF(F1035="","",VLOOKUP(F1035,'PLAN SUPORTE'!A:B,2,0))</f>
        <v/>
      </c>
      <c r="H1035" s="7"/>
      <c r="I1035" s="8"/>
      <c r="J1035" s="8"/>
      <c r="K1035" s="8"/>
      <c r="L1035" s="8" t="str">
        <f>IF(K1035="","",VLOOKUP(K1035,'PLAN SUPORTE'!$H$2:$I$4,2,0))</f>
        <v/>
      </c>
      <c r="M1035" s="10"/>
      <c r="N1035" s="10"/>
      <c r="O1035" s="9" t="str">
        <f t="shared" si="86"/>
        <v/>
      </c>
      <c r="P1035" s="10" t="str">
        <f t="shared" si="83"/>
        <v/>
      </c>
      <c r="Q1035" s="6" t="str">
        <f t="shared" ca="1" si="84"/>
        <v/>
      </c>
      <c r="R1035" s="8" t="str">
        <f t="shared" si="85"/>
        <v/>
      </c>
    </row>
    <row r="1036" spans="1:18" ht="13">
      <c r="A1036" s="8"/>
      <c r="B1036" s="10"/>
      <c r="C1036" s="10"/>
      <c r="D1036" s="8"/>
      <c r="E1036" s="8"/>
      <c r="F1036" s="8" t="s">
        <v>1090</v>
      </c>
      <c r="G1036" s="6" t="str">
        <f>IF(F1036="","",VLOOKUP(F1036,'PLAN SUPORTE'!A:B,2,0))</f>
        <v/>
      </c>
      <c r="H1036" s="7"/>
      <c r="I1036" s="8"/>
      <c r="J1036" s="8"/>
      <c r="K1036" s="8"/>
      <c r="L1036" s="8" t="str">
        <f>IF(K1036="","",VLOOKUP(K1036,'PLAN SUPORTE'!$H$2:$I$4,2,0))</f>
        <v/>
      </c>
      <c r="M1036" s="10"/>
      <c r="N1036" s="10"/>
      <c r="O1036" s="9" t="str">
        <f t="shared" si="86"/>
        <v/>
      </c>
      <c r="P1036" s="10" t="str">
        <f t="shared" si="83"/>
        <v/>
      </c>
      <c r="Q1036" s="6" t="str">
        <f t="shared" ca="1" si="84"/>
        <v/>
      </c>
      <c r="R1036" s="8" t="str">
        <f t="shared" si="85"/>
        <v/>
      </c>
    </row>
    <row r="1037" spans="1:18" ht="13">
      <c r="A1037" s="8"/>
      <c r="B1037" s="10"/>
      <c r="C1037" s="10"/>
      <c r="D1037" s="8"/>
      <c r="E1037" s="8"/>
      <c r="F1037" s="8" t="s">
        <v>1090</v>
      </c>
      <c r="G1037" s="6" t="str">
        <f>IF(F1037="","",VLOOKUP(F1037,'PLAN SUPORTE'!A:B,2,0))</f>
        <v/>
      </c>
      <c r="H1037" s="7"/>
      <c r="I1037" s="8"/>
      <c r="J1037" s="8"/>
      <c r="K1037" s="8"/>
      <c r="L1037" s="8" t="str">
        <f>IF(K1037="","",VLOOKUP(K1037,'PLAN SUPORTE'!$H$2:$I$4,2,0))</f>
        <v/>
      </c>
      <c r="M1037" s="10"/>
      <c r="N1037" s="10"/>
      <c r="O1037" s="9" t="str">
        <f t="shared" si="86"/>
        <v/>
      </c>
      <c r="P1037" s="10" t="str">
        <f t="shared" si="83"/>
        <v/>
      </c>
      <c r="Q1037" s="6" t="str">
        <f t="shared" ca="1" si="84"/>
        <v/>
      </c>
      <c r="R1037" s="8" t="str">
        <f t="shared" si="85"/>
        <v/>
      </c>
    </row>
    <row r="1038" spans="1:18" ht="13">
      <c r="A1038" s="8"/>
      <c r="B1038" s="10"/>
      <c r="C1038" s="10"/>
      <c r="D1038" s="8"/>
      <c r="E1038" s="8"/>
      <c r="F1038" s="8" t="s">
        <v>1090</v>
      </c>
      <c r="G1038" s="6" t="str">
        <f>IF(F1038="","",VLOOKUP(F1038,'PLAN SUPORTE'!A:B,2,0))</f>
        <v/>
      </c>
      <c r="H1038" s="7"/>
      <c r="I1038" s="8"/>
      <c r="J1038" s="8"/>
      <c r="K1038" s="8"/>
      <c r="L1038" s="8" t="str">
        <f>IF(K1038="","",VLOOKUP(K1038,'PLAN SUPORTE'!$H$2:$I$4,2,0))</f>
        <v/>
      </c>
      <c r="M1038" s="10"/>
      <c r="N1038" s="10"/>
      <c r="O1038" s="9" t="str">
        <f t="shared" si="86"/>
        <v/>
      </c>
      <c r="P1038" s="10" t="str">
        <f t="shared" si="83"/>
        <v/>
      </c>
      <c r="Q1038" s="6" t="str">
        <f t="shared" ca="1" si="84"/>
        <v/>
      </c>
      <c r="R1038" s="8" t="str">
        <f t="shared" si="85"/>
        <v/>
      </c>
    </row>
    <row r="1039" spans="1:18" ht="13">
      <c r="A1039" s="8"/>
      <c r="B1039" s="10"/>
      <c r="C1039" s="10"/>
      <c r="D1039" s="8"/>
      <c r="E1039" s="8"/>
      <c r="F1039" s="8" t="s">
        <v>1090</v>
      </c>
      <c r="G1039" s="6" t="str">
        <f>IF(F1039="","",VLOOKUP(F1039,'PLAN SUPORTE'!A:B,2,0))</f>
        <v/>
      </c>
      <c r="H1039" s="7"/>
      <c r="I1039" s="8"/>
      <c r="J1039" s="8"/>
      <c r="K1039" s="8"/>
      <c r="L1039" s="8" t="str">
        <f>IF(K1039="","",VLOOKUP(K1039,'PLAN SUPORTE'!$H$2:$I$4,2,0))</f>
        <v/>
      </c>
      <c r="M1039" s="10"/>
      <c r="N1039" s="10"/>
      <c r="O1039" s="9" t="str">
        <f t="shared" si="86"/>
        <v/>
      </c>
      <c r="P1039" s="10" t="str">
        <f t="shared" si="83"/>
        <v/>
      </c>
      <c r="Q1039" s="6" t="str">
        <f t="shared" ca="1" si="84"/>
        <v/>
      </c>
      <c r="R1039" s="8" t="str">
        <f t="shared" si="85"/>
        <v/>
      </c>
    </row>
  </sheetData>
  <autoFilter ref="A1:R476">
    <filterColumn colId="9">
      <filters>
        <filter val="FECHADA"/>
      </filters>
    </filterColumn>
  </autoFilter>
  <customSheetViews>
    <customSheetView guid="{3F7B9B59-97C6-4DCE-A3CE-9FB528C2365E}" filter="1" showAutoFilter="1">
      <pageMargins left="0" right="0" top="0" bottom="0" header="0" footer="0"/>
      <autoFilter ref="A1:R408"/>
    </customSheetView>
  </customSheetViews>
  <conditionalFormatting sqref="A2:A126 A303:A458 A460:A1039">
    <cfRule type="expression" dxfId="5" priority="5">
      <formula>COUNTIF(A:A,A2)&gt;1</formula>
    </cfRule>
  </conditionalFormatting>
  <conditionalFormatting sqref="O2:O1039 M214 Q361">
    <cfRule type="containsText" dxfId="4" priority="1" operator="containsText" text="Dentro do Prazo">
      <formula>NOT(ISERROR(SEARCH(("Dentro do Prazo"),(O2))))</formula>
    </cfRule>
    <cfRule type="containsText" dxfId="3" priority="2" operator="containsText" text="Fora do Prazo">
      <formula>NOT(ISERROR(SEARCH(("Fora do Prazo"),(O2))))</formula>
    </cfRule>
    <cfRule type="containsText" dxfId="2" priority="3" operator="containsText" text="Em Andamento">
      <formula>NOT(ISERROR(SEARCH(("Em Andamento"),(O2))))</formula>
    </cfRule>
  </conditionalFormatting>
  <conditionalFormatting sqref="O214 Q215:Q1039 Q2:Q213">
    <cfRule type="containsText" dxfId="1" priority="4" operator="containsText" text="Dia(s)">
      <formula>NOT(ISERROR(SEARCH(("Dia(s)"),(Q2))))</formula>
    </cfRule>
  </conditionalFormatting>
  <conditionalFormatting sqref="Q1:Q213 O214 Q215:Q1039">
    <cfRule type="containsText" dxfId="0" priority="6" operator="containsText" text="Vence Hoje!">
      <formula>NOT(ISERROR(SEARCH(("Vence Hoje!"),(Q1))))</formula>
    </cfRule>
  </conditionalFormatting>
  <dataValidations count="3">
    <dataValidation type="custom" allowBlank="1" showDropDown="1" showInputMessage="1" showErrorMessage="1" prompt="Este Nº da Solicitação já foi informado na planilha." sqref="A2:A1039">
      <formula1>NOT(COUNTIF($A$2:$A$1039,A2)&gt;1)</formula1>
    </dataValidation>
    <dataValidation type="list" allowBlank="1" showErrorMessage="1" sqref="F13:F57">
      <formula1>"Cash Torres,Cash Flores,Cash Grande circular,Cash Cidade de Deus,Cash Viver Melhor,Cash Barreira,Cash Centro,Cash Via Norte,Cash Silves,Cash Compensa,Cash Ponte,Pg Adrianópolis,Pg Morada do sol,Pg Djalma Batista,CD Varejo,MNE MAO,CD Varejo"</formula1>
    </dataValidation>
    <dataValidation type="list" allowBlank="1" sqref="D13:D83">
      <formula1>"Operador (a) de caixa,Repositor (a),Operador de Manutenção,Operador (a) de loja,Auxiliar administrativo,Assistente administrativo,Operador (a) de empilhadeira,Fiscal de prevenção de perdas,Fiscal de caixa,Vendedor (a) interno,Atendente de padaria,Auxiliar"&amp;" de Padaria,Auxiliar de açougue,Auxiliar de peixaria,Atendente,Aprendiz,Auxiliar de logística,Aprendiz-Magarefe,Conferente,Auxiliar de cozinha,PcD,Auxiliar de Serviços Gerais,Auxiliar de confeitaria,Repositor (a) de Frios,Repositor (a) de FLV,Coordenador "&amp;"(a) de Logística,Coordenador (a) de Manutenção,Encarregado (a) de prevenção,Atendente de restaurante,Chapeiro,Auxiliar Adm. Operacional,Auxiliar de loja,Assistente Comercial,Atendente Comercial,Auxiliar de inventário,Estagiário (a),Salgadeiro,Assistente A"&amp;"dministrativo - Suprimentos,Recepcionista,Encarregado (a) de Açougue,Encarregado (a) de Setor,Chefe de Operações"</formula1>
    </dataValidation>
  </dataValidations>
  <pageMargins left="0.511811024" right="0.511811024" top="0.78740157499999996" bottom="0.78740157499999996" header="0.31496062000000002" footer="0.31496062000000002"/>
  <legacyDrawing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>
          <x14:formula1>
            <xm:f>'PLAN SUPORTE'!$H$8:$H$12</xm:f>
          </x14:formula1>
          <xm:sqref>H259 J2:J282 J284:J1039</xm:sqref>
        </x14:dataValidation>
        <x14:dataValidation type="list" allowBlank="1" showErrorMessage="1">
          <x14:formula1>
            <xm:f>'PLAN SUPORTE'!$H$2:$H$4</xm:f>
          </x14:formula1>
          <xm:sqref>K2:K1039</xm:sqref>
        </x14:dataValidation>
        <x14:dataValidation type="list" allowBlank="1" showErrorMessage="1">
          <x14:formula1>
            <xm:f>'PLAN SUPORTE'!$H$19:$H$30</xm:f>
          </x14:formula1>
          <xm:sqref>I2:I1039</xm:sqref>
        </x14:dataValidation>
        <x14:dataValidation type="list" allowBlank="1" showErrorMessage="1">
          <x14:formula1>
            <xm:f>'PLAN SUPORTE'!$D$2:$D1046</xm:f>
          </x14:formula1>
          <xm:sqref>D2:D12 D84:D1039</xm:sqref>
        </x14:dataValidation>
        <x14:dataValidation type="list" allowBlank="1" showErrorMessage="1">
          <x14:formula1>
            <xm:f>'PLAN SUPORTE'!$E$2:$E1046</xm:f>
          </x14:formula1>
          <xm:sqref>E2:E364 E366:E460 E462:E1039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GERAL</vt:lpstr>
      <vt:lpstr>PLAN SUPORTE</vt:lpstr>
      <vt:lpstr>MANAUS</vt:lpstr>
      <vt:lpstr>LocalOrganograma</vt:lpstr>
    </vt:vector>
  </TitlesOfParts>
  <Manager/>
  <Company/>
  <LinksUpToDate>false</LinksUpToDate>
  <SharedDoc>false</SharedDoc>
  <HyperlinkBase/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Amanda Silva Cruz</cp:lastModifiedBy>
  <cp:revision/>
  <dcterms:created xsi:type="dcterms:W3CDTF">2024-07-18T22:26:34Z</dcterms:created>
  <dcterms:modified xsi:type="dcterms:W3CDTF">2026-10-26T15:05:35Z</dcterms:modified>
  <cp:category/>
  <cp:contentStatus/>
</cp:coreProperties>
</file>