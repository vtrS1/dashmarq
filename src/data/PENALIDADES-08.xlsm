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workbookPr filterPrivacy="1" hidePivotFieldList="1"/>
  <bookViews>
    <workbookView xWindow="240" yWindow="105" windowWidth="14805" windowHeight="8010" firstSheet="3" activeTab="3"/>
  </bookViews>
  <sheets>
    <sheet name="DADOS FÓRMULA" sheetId="2" state="hidden" r:id="rId1"/>
    <sheet name="TAB. DINÂMICA" sheetId="4" state="hidden" r:id="rId2"/>
    <sheet name="ATIVOS" sheetId="8" state="hidden" r:id="rId3"/>
    <sheet name="PENALIDADES 2026" sheetId="1" r:id="rId4"/>
  </sheets>
  <definedNames>
    <definedName name="_xlnm._FilterDatabase" localSheetId="2" hidden="1">ATIVOS!$A$1:$L$272</definedName>
    <definedName name="_xlnm._FilterDatabase" localSheetId="3" hidden="1">'PENALIDADES 2026'!$A$2:$O$333</definedName>
  </definedNames>
  <calcPr calcId="145621"/>
  <pivotCaches>
    <pivotCache cacheId="10" r:id="rId5"/>
    <pivotCache cacheId="11" r:id="rId6"/>
    <pivotCache cacheId="12" r:id="rId7"/>
    <pivotCache cacheId="13" r:id="rId8"/>
    <pivotCache cacheId="14"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20" i="4" l="1"/>
  <c r="AC21" i="4"/>
  <c r="AC22" i="4"/>
  <c r="AC23" i="4"/>
  <c r="AC24" i="4"/>
  <c r="AC25" i="4"/>
  <c r="AC26" i="4"/>
  <c r="AC27" i="4"/>
  <c r="AC28" i="4"/>
  <c r="AC29" i="4"/>
  <c r="AC30" i="4"/>
  <c r="AC31" i="4"/>
  <c r="AC32" i="4"/>
  <c r="AB20" i="4"/>
  <c r="AB21" i="4"/>
  <c r="AB22" i="4"/>
  <c r="AB23" i="4"/>
  <c r="AB24" i="4"/>
  <c r="AB25" i="4"/>
  <c r="AB26" i="4"/>
  <c r="AB27" i="4"/>
  <c r="AB28" i="4"/>
  <c r="AB29" i="4"/>
  <c r="AB30" i="4"/>
  <c r="AB31" i="4"/>
  <c r="AB32" i="4"/>
  <c r="AA20" i="4"/>
  <c r="AA21" i="4"/>
  <c r="AA22" i="4"/>
  <c r="AA23" i="4"/>
  <c r="AA24" i="4"/>
  <c r="AA25" i="4"/>
  <c r="AA26" i="4"/>
  <c r="AA27" i="4"/>
  <c r="AA28" i="4"/>
  <c r="AA29" i="4"/>
  <c r="AA30" i="4"/>
  <c r="AA31" i="4"/>
  <c r="AA32" i="4"/>
  <c r="Z20" i="4"/>
  <c r="Z21" i="4"/>
  <c r="Z22" i="4"/>
  <c r="Z23" i="4"/>
  <c r="Z24" i="4"/>
  <c r="Z25" i="4"/>
  <c r="Z26" i="4"/>
  <c r="Z27" i="4"/>
  <c r="Z28" i="4"/>
  <c r="Z29" i="4"/>
  <c r="Z30" i="4"/>
  <c r="Z31" i="4"/>
  <c r="Z32" i="4"/>
  <c r="Y20" i="4"/>
  <c r="Y21" i="4"/>
  <c r="Y22" i="4"/>
  <c r="Y23" i="4"/>
  <c r="Y24" i="4"/>
  <c r="Y25" i="4"/>
  <c r="Y26" i="4"/>
  <c r="Y27" i="4"/>
  <c r="Y28" i="4"/>
  <c r="Y29" i="4"/>
  <c r="Y30" i="4"/>
  <c r="Y31" i="4"/>
  <c r="Y32" i="4"/>
  <c r="Y19" i="4"/>
  <c r="Z19" i="4"/>
  <c r="AA19" i="4"/>
  <c r="AB19" i="4"/>
  <c r="AC19" i="4"/>
  <c r="X20" i="4"/>
  <c r="X21" i="4"/>
  <c r="X22" i="4"/>
  <c r="X23" i="4"/>
  <c r="X24" i="4"/>
  <c r="X25" i="4"/>
  <c r="X26" i="4"/>
  <c r="X27" i="4"/>
  <c r="X28" i="4"/>
  <c r="X29" i="4"/>
  <c r="X30" i="4"/>
  <c r="X31" i="4"/>
  <c r="X32" i="4"/>
  <c r="X19" i="4"/>
  <c r="W21" i="4"/>
  <c r="W22" i="4"/>
  <c r="W23" i="4"/>
  <c r="W24" i="4"/>
  <c r="W25" i="4"/>
  <c r="W26" i="4"/>
  <c r="W27" i="4"/>
  <c r="W28" i="4"/>
  <c r="W29" i="4"/>
  <c r="W30" i="4"/>
  <c r="W31" i="4"/>
  <c r="W32" i="4"/>
  <c r="W20" i="4"/>
  <c r="C72" i="4" l="1"/>
  <c r="B72" i="4"/>
  <c r="A72" i="4"/>
  <c r="C71" i="4"/>
  <c r="B71" i="4"/>
  <c r="A71" i="4"/>
  <c r="C70" i="4"/>
  <c r="B70" i="4"/>
  <c r="A70" i="4"/>
  <c r="C69" i="4"/>
  <c r="B69" i="4"/>
  <c r="A69" i="4"/>
  <c r="C68" i="4"/>
  <c r="B68" i="4"/>
  <c r="A68" i="4"/>
  <c r="F24" i="4"/>
  <c r="K3" i="4" s="1"/>
  <c r="H15" i="4"/>
  <c r="G15" i="4"/>
  <c r="G14" i="4"/>
  <c r="G13" i="4"/>
  <c r="T4" i="4"/>
  <c r="T3" i="4"/>
  <c r="S5" i="4"/>
  <c r="S4" i="4"/>
  <c r="S3" i="4"/>
  <c r="K7" i="4"/>
  <c r="K6" i="4"/>
  <c r="O3" i="4"/>
  <c r="H14" i="4"/>
  <c r="O4" i="4"/>
  <c r="H13" i="4"/>
  <c r="O5" i="4" l="1"/>
  <c r="H16" i="4"/>
  <c r="I14" i="4" s="1"/>
  <c r="U3" i="4"/>
  <c r="U4" i="4"/>
  <c r="I13" i="4" l="1"/>
  <c r="I15" i="4"/>
</calcChain>
</file>

<file path=xl/sharedStrings.xml><?xml version="1.0" encoding="utf-8"?>
<sst xmlns="http://schemas.openxmlformats.org/spreadsheetml/2006/main" count="4290" uniqueCount="931">
  <si>
    <t>N° MESES</t>
  </si>
  <si>
    <t>MESES</t>
  </si>
  <si>
    <t>TEMPO DE EMPRESA</t>
  </si>
  <si>
    <t>DIVISÃO</t>
  </si>
  <si>
    <t>TOTAL DE TEMPO</t>
  </si>
  <si>
    <t xml:space="preserve">JANEIRO </t>
  </si>
  <si>
    <t>0 a 01 ano</t>
  </si>
  <si>
    <t>0 A 01 ANO</t>
  </si>
  <si>
    <t>FEVEREIRO</t>
  </si>
  <si>
    <t>01  a 03  anos</t>
  </si>
  <si>
    <t>01 A 03 ANOS</t>
  </si>
  <si>
    <t>MARÇO</t>
  </si>
  <si>
    <t>03 a 05 anos</t>
  </si>
  <si>
    <t>03 A 05 ANOS</t>
  </si>
  <si>
    <t>ABRIL</t>
  </si>
  <si>
    <t>acima de 5 anos</t>
  </si>
  <si>
    <t>MAIS DE 5 ANOS</t>
  </si>
  <si>
    <t>MAIO</t>
  </si>
  <si>
    <t>JUNHO</t>
  </si>
  <si>
    <t>JULHO</t>
  </si>
  <si>
    <t>AGOSTO</t>
  </si>
  <si>
    <t>SETEMBRO</t>
  </si>
  <si>
    <t>OUTUBRO</t>
  </si>
  <si>
    <t>NOVEMBRO</t>
  </si>
  <si>
    <t>DEZEMBRO</t>
  </si>
  <si>
    <t>MÊS/ANO</t>
  </si>
  <si>
    <t>Contagem de MATRÍCULA</t>
  </si>
  <si>
    <t>Rótulos de Linha</t>
  </si>
  <si>
    <t>Contagem de TURNO</t>
  </si>
  <si>
    <t>ADVERTENVCIA POR REGIME DE TRABALHO AGENTE DE COLETA</t>
  </si>
  <si>
    <t>jan/2024</t>
  </si>
  <si>
    <t>DIURNO</t>
  </si>
  <si>
    <t>NORMAL</t>
  </si>
  <si>
    <t>Contagem de Chapa</t>
  </si>
  <si>
    <t>FUNÇÃO</t>
  </si>
  <si>
    <t>AGENTE DE COLETA</t>
  </si>
  <si>
    <t>jan/2023</t>
  </si>
  <si>
    <t>NOTURNO</t>
  </si>
  <si>
    <t>PARCIAL</t>
  </si>
  <si>
    <t>ADVERTENCIA</t>
  </si>
  <si>
    <t>INTEGRAL</t>
  </si>
  <si>
    <t>fev/2023</t>
  </si>
  <si>
    <t>Total Geral</t>
  </si>
  <si>
    <t>SUSPENSÃO</t>
  </si>
  <si>
    <t>Rótulos de Coluna</t>
  </si>
  <si>
    <t>mar/2023</t>
  </si>
  <si>
    <t>FALTA</t>
  </si>
  <si>
    <t>QUEBRA DE PROCEDIMENTO</t>
  </si>
  <si>
    <t>ATRASO</t>
  </si>
  <si>
    <t>INSUBORDINAÇÃO</t>
  </si>
  <si>
    <t>EMBRIAGUEZ</t>
  </si>
  <si>
    <t>abr/2023</t>
  </si>
  <si>
    <t>mai/2023</t>
  </si>
  <si>
    <t>jun/2023</t>
  </si>
  <si>
    <t>jul/2023</t>
  </si>
  <si>
    <t>CONTRATO</t>
  </si>
  <si>
    <t>ago/2023</t>
  </si>
  <si>
    <t>set/2023</t>
  </si>
  <si>
    <t>out/2023</t>
  </si>
  <si>
    <t>FUNÇÃO2</t>
  </si>
  <si>
    <t>nov/2023</t>
  </si>
  <si>
    <t>QTDE</t>
  </si>
  <si>
    <t>dez/2023</t>
  </si>
  <si>
    <t>OUTROS</t>
  </si>
  <si>
    <t>AUXILIAR ADMINISTRATIVO</t>
  </si>
  <si>
    <t>MATRÍCULA</t>
  </si>
  <si>
    <t>AUXILIAR ADMINISTRATIVO/APRENDIZ</t>
  </si>
  <si>
    <t>AUXILIAR DE OPERAÇÕES</t>
  </si>
  <si>
    <t>EDUCADOR AMBIENTAL JR</t>
  </si>
  <si>
    <t>FISCAL DE OPERAÇÕES JR</t>
  </si>
  <si>
    <t>FISCAL DE OPERAÇÕES PL</t>
  </si>
  <si>
    <t>JOVEM APRENDIZ</t>
  </si>
  <si>
    <t>PEDREIRO</t>
  </si>
  <si>
    <t>SOLDADOR</t>
  </si>
  <si>
    <t>MOTORISTA</t>
  </si>
  <si>
    <t>NRO AGENTES DE COLETA</t>
  </si>
  <si>
    <t>TIPO PENALIDADE</t>
  </si>
  <si>
    <t>Chapa</t>
  </si>
  <si>
    <t>Nome</t>
  </si>
  <si>
    <t>Data de Admissão</t>
  </si>
  <si>
    <t>Situação</t>
  </si>
  <si>
    <t>Nome Funcão</t>
  </si>
  <si>
    <t>Descrição Seção</t>
  </si>
  <si>
    <t>Turno</t>
  </si>
  <si>
    <t>Descrição do Horario</t>
  </si>
  <si>
    <t>Data de Nascimento</t>
  </si>
  <si>
    <t>Estado Civil</t>
  </si>
  <si>
    <t>Descrição da Situação</t>
  </si>
  <si>
    <t xml:space="preserve">REGIME </t>
  </si>
  <si>
    <t>2770002154</t>
  </si>
  <si>
    <t>ADELSON CARVALHO DA SILVA</t>
  </si>
  <si>
    <t>A</t>
  </si>
  <si>
    <t>COLETA DOMICILIAR</t>
  </si>
  <si>
    <t>06:00 - 11:00 - 13:00 - 15:20 / Seg a Sab / Dom DSR</t>
  </si>
  <si>
    <t>Solteiro</t>
  </si>
  <si>
    <t>Ativo</t>
  </si>
  <si>
    <t>2770000503</t>
  </si>
  <si>
    <t>ADENILSON FERREIRA DOS SANTOS</t>
  </si>
  <si>
    <t>18:00 - 22:00 - 00:00 - 02:55 / Seg a Sab / Dom DSR</t>
  </si>
  <si>
    <t>2770002663</t>
  </si>
  <si>
    <t>ADOLFO MENDES DA CRUZ NETO</t>
  </si>
  <si>
    <t>2770003120</t>
  </si>
  <si>
    <t>ADRIANO DAVILA BARROS</t>
  </si>
  <si>
    <t>Casado</t>
  </si>
  <si>
    <t>2770002055</t>
  </si>
  <si>
    <t>ADRIANO ROCHA DE PAULA</t>
  </si>
  <si>
    <t>2770002669</t>
  </si>
  <si>
    <t>AGENOR CAVALCANTE MARINHO</t>
  </si>
  <si>
    <t>2770000377</t>
  </si>
  <si>
    <t>ALDAIR ARAUJO DE SOUZA</t>
  </si>
  <si>
    <t>PODACAO</t>
  </si>
  <si>
    <t>17:00 - 22:00 - 00:00 - 02:02 / Seg a Sab / Dom DSR</t>
  </si>
  <si>
    <t>2770002970</t>
  </si>
  <si>
    <t>ALDEAN FREITAS DE SOUZA</t>
  </si>
  <si>
    <t>2770003136</t>
  </si>
  <si>
    <t>ALDEJAN DA SILVA PINTO</t>
  </si>
  <si>
    <t>2770003106</t>
  </si>
  <si>
    <t>ALDINEY NUNES DE SOUZA</t>
  </si>
  <si>
    <t>2770003247</t>
  </si>
  <si>
    <t>ALESSANDRO ARAUJO LIMA</t>
  </si>
  <si>
    <t>18:00 - 22:00 - 00:00 - 02:55 / Seg e Ter / 14:40 - 21:00 - 23:00 - 23:52 / Dom / Jornada Parcial</t>
  </si>
  <si>
    <t>2770002978</t>
  </si>
  <si>
    <t>ALESSANDRO BRITO AMORIM</t>
  </si>
  <si>
    <t>F</t>
  </si>
  <si>
    <t>Férias</t>
  </si>
  <si>
    <t>2770003224</t>
  </si>
  <si>
    <t>ALEX APOLINARIO DOS SANTOS</t>
  </si>
  <si>
    <t>COLETA EM AREA DE DIFICIL ACESSO II</t>
  </si>
  <si>
    <t>2770003190</t>
  </si>
  <si>
    <t>ALEXANDRE DA COSTA PEREIRA</t>
  </si>
  <si>
    <t>2770002601</t>
  </si>
  <si>
    <t>2770002484</t>
  </si>
  <si>
    <t>ALEXANDRE FERREIRA DE SOUZA</t>
  </si>
  <si>
    <t>2770003133</t>
  </si>
  <si>
    <t>ALEXANDRE ZAGURY SENA</t>
  </si>
  <si>
    <t>2770002954</t>
  </si>
  <si>
    <t>ALEXSANDRO PANTOJA DE SOUZA</t>
  </si>
  <si>
    <t>2770003317</t>
  </si>
  <si>
    <t>ALISSON DA SILVA OLIVEIRA</t>
  </si>
  <si>
    <t>06:00 - 11:00 - 13:00 - 15:20 / Seg e Ter / 07:00 - 11:00 - 13:00 - 16:20 / Dom / Jornada Parcial</t>
  </si>
  <si>
    <t>2770003022</t>
  </si>
  <si>
    <t>ALISSON DE ARAUJO DIAS</t>
  </si>
  <si>
    <t>2770003175</t>
  </si>
  <si>
    <t>ALIVELTO ALMEIDA GAMA</t>
  </si>
  <si>
    <t>2770002369</t>
  </si>
  <si>
    <t>ALVARO FILHO SILVA DOS SANTOS</t>
  </si>
  <si>
    <t>2770003264</t>
  </si>
  <si>
    <t>ANGELO FELIPE DE SOUZA GOMES</t>
  </si>
  <si>
    <t>18:00 - 22:00 - 00:00 - 02:55 / Sex a Dom / Jornada Parcial</t>
  </si>
  <si>
    <t>2770000069</t>
  </si>
  <si>
    <t>ANTONIO CARLOS DA SILVA OLIVEIRA</t>
  </si>
  <si>
    <t>LIMPEZA DE FEIRAS</t>
  </si>
  <si>
    <t>22:00 - 02:00 - 03:00 - 05:25 / Seg a Sab / Dom DSR</t>
  </si>
  <si>
    <t>2770003168</t>
  </si>
  <si>
    <t>ANTONIO ERISVALDO LISBOA DE SOUZA</t>
  </si>
  <si>
    <t>2770000248</t>
  </si>
  <si>
    <t>ANTONIO FERNANDES SOARES</t>
  </si>
  <si>
    <t>2770003275</t>
  </si>
  <si>
    <t>ANTONIO RAIMUNDO CAVALCANTE RENOVATO</t>
  </si>
  <si>
    <t>2770003097</t>
  </si>
  <si>
    <t>ARIELSON DA SILVA PEREIRA</t>
  </si>
  <si>
    <t>2770002244</t>
  </si>
  <si>
    <t>ARMANDO FREIRE FERNANDES</t>
  </si>
  <si>
    <t>2770003312</t>
  </si>
  <si>
    <t>ASLLAN PEREIRA TRINDADE</t>
  </si>
  <si>
    <t>06:00 - 11:00 - 13:00 - 15:20 / Sex a Dom / Jornada Parcial</t>
  </si>
  <si>
    <t>2770000769</t>
  </si>
  <si>
    <t>ATILA DOS SANTOS FERNANDES</t>
  </si>
  <si>
    <t>2770003240</t>
  </si>
  <si>
    <t>BRENDELL BARRADAS REIS</t>
  </si>
  <si>
    <t>2770003083</t>
  </si>
  <si>
    <t>BRUNO DA SILVA DE SOUZA</t>
  </si>
  <si>
    <t>2770003281</t>
  </si>
  <si>
    <t>BRUNO FIGUEREDO DOS SANTOS</t>
  </si>
  <si>
    <t>2770002917</t>
  </si>
  <si>
    <t>BRUNO MELO DA GRACA</t>
  </si>
  <si>
    <t>2770003159</t>
  </si>
  <si>
    <t>BRUNO OLIVEIRA RUBEM</t>
  </si>
  <si>
    <t>2770003011</t>
  </si>
  <si>
    <t>CARLOS ALBERTO PERES DE OLIVEIRA</t>
  </si>
  <si>
    <t>2770002553</t>
  </si>
  <si>
    <t>CARLOS ANDRE REIS PEREIRA</t>
  </si>
  <si>
    <t>2770003242</t>
  </si>
  <si>
    <t>CARLOS CESAR PERES DE OLIVEIRA</t>
  </si>
  <si>
    <t>2770002831</t>
  </si>
  <si>
    <t>CARLOS DOUGLAS DE SOUZA DA SILVA</t>
  </si>
  <si>
    <t>2770002977</t>
  </si>
  <si>
    <t>CARLOS FELIPE DOS SANTOS CUNHA</t>
  </si>
  <si>
    <t>2770003049</t>
  </si>
  <si>
    <t>CESAR MENEZES DA SILVA</t>
  </si>
  <si>
    <t>2770003303</t>
  </si>
  <si>
    <t>CLAUDIONEY CASTRO LIMA</t>
  </si>
  <si>
    <t>2770003092</t>
  </si>
  <si>
    <t>CLAUDIONOR CONCEICAO DA SILVA</t>
  </si>
  <si>
    <t>2770002996</t>
  </si>
  <si>
    <t>CLEADSON CAVALCANTE DE ANDRADE</t>
  </si>
  <si>
    <t>2770001902</t>
  </si>
  <si>
    <t>CRISTIANO DA SILVA ROCHA</t>
  </si>
  <si>
    <t>2770003088</t>
  </si>
  <si>
    <t>CRISTIEU SALES VIANA</t>
  </si>
  <si>
    <t>2770002440</t>
  </si>
  <si>
    <t>DANIEL DE MORAIS BRASIL</t>
  </si>
  <si>
    <t>2770003145</t>
  </si>
  <si>
    <t>DANIEL GOMES SEIXAS</t>
  </si>
  <si>
    <t>2770002204</t>
  </si>
  <si>
    <t>DANIEL MENES PERES</t>
  </si>
  <si>
    <t>2770003016</t>
  </si>
  <si>
    <t>DANIEL SOARES DE ANDRADE</t>
  </si>
  <si>
    <t>2770003112</t>
  </si>
  <si>
    <t>DANIEL YGOR RODRIGUES DA SILVA</t>
  </si>
  <si>
    <t>2770002792</t>
  </si>
  <si>
    <t>DANILO CUNHA DOS SANTOS</t>
  </si>
  <si>
    <t>2770002984</t>
  </si>
  <si>
    <t>DAVI DOS SANTOS BATISTA</t>
  </si>
  <si>
    <t>2770002442</t>
  </si>
  <si>
    <t>DAVID JOSE GONZALEZ MENDEZ</t>
  </si>
  <si>
    <t>2770003073</t>
  </si>
  <si>
    <t>DAVID SILVA DE SOUZA</t>
  </si>
  <si>
    <t>2770002252</t>
  </si>
  <si>
    <t>DIEGO DE SOUZA PINHEIRO</t>
  </si>
  <si>
    <t>2770002486</t>
  </si>
  <si>
    <t>DIOGO DA SILVA SANTOS</t>
  </si>
  <si>
    <t>2770001616</t>
  </si>
  <si>
    <t xml:space="preserve">DIVANEI VICTOR DE SOUZA </t>
  </si>
  <si>
    <t>2770003007</t>
  </si>
  <si>
    <t>DOUGLAS SA DE SOUZA</t>
  </si>
  <si>
    <t>2770003286</t>
  </si>
  <si>
    <t>ECIVALDO CORREIA LIMA</t>
  </si>
  <si>
    <t>2770001816</t>
  </si>
  <si>
    <t>EDERSON LOPES BATISTA</t>
  </si>
  <si>
    <t>09:30 - 12:30 - 13:30 - 17:50 / Seg a Sab / Dom DSR</t>
  </si>
  <si>
    <t>2770002769</t>
  </si>
  <si>
    <t>EDILSON LUIZ CARVALHO DE SOUZA</t>
  </si>
  <si>
    <t>2770000341</t>
  </si>
  <si>
    <t>EDINELSON DA SILVA NASCIMENTO</t>
  </si>
  <si>
    <t>2770002319</t>
  </si>
  <si>
    <t>EDUARDO JOSE RODRIGUEZ HERNANDEZ</t>
  </si>
  <si>
    <t>2770002164</t>
  </si>
  <si>
    <t>EDUARDO LUIS REYES</t>
  </si>
  <si>
    <t>2770003207</t>
  </si>
  <si>
    <t>EDUARDO SILVA DE LIRA</t>
  </si>
  <si>
    <t>2770003076</t>
  </si>
  <si>
    <t>EDUARDO SILVEIRA DA SILVA</t>
  </si>
  <si>
    <t>2770002815</t>
  </si>
  <si>
    <t>ELBIDE CORDEIRO GUEDES JUNIOR</t>
  </si>
  <si>
    <t>2770001207</t>
  </si>
  <si>
    <t xml:space="preserve">ELENILSON NUNES CUSTODIO </t>
  </si>
  <si>
    <t>2770002341</t>
  </si>
  <si>
    <t>ELIZEU FERREIRA DOS SANTOS</t>
  </si>
  <si>
    <t>10:00 - 14:00 - 15:00 - 18:20 / Seg a Sab / Dom DSR</t>
  </si>
  <si>
    <t>2770003228</t>
  </si>
  <si>
    <t>ELLERSON MIRANDA FERNANDES</t>
  </si>
  <si>
    <t>2770002610</t>
  </si>
  <si>
    <t>ELTON MOREIRA BELCHIOR</t>
  </si>
  <si>
    <t>2770000778</t>
  </si>
  <si>
    <t>ELVIS SANTANA DE SOUZA</t>
  </si>
  <si>
    <t>2770003300</t>
  </si>
  <si>
    <t>ELYTON DE CARVALHO ALMEIDA</t>
  </si>
  <si>
    <t>06:00 - 11:00 - 13:00 - 15:20 / Qua, Qui e Dom / Jornada Parcial</t>
  </si>
  <si>
    <t>2770003014</t>
  </si>
  <si>
    <t>EMERSON DO CANTO EVANGELISTA</t>
  </si>
  <si>
    <t>2770003262</t>
  </si>
  <si>
    <t>EMIL SOUSA DE MORAES</t>
  </si>
  <si>
    <t>2770003325</t>
  </si>
  <si>
    <t>ERICK DOUGLAS ROCHA</t>
  </si>
  <si>
    <t>18:00 - 22:00 - 00:00 - 02:55 / Qua, Qui e Dom / Jornada Parcial</t>
  </si>
  <si>
    <t>2770000093</t>
  </si>
  <si>
    <t>ERIVALDO PEREIRA BORGES</t>
  </si>
  <si>
    <t>2770000592</t>
  </si>
  <si>
    <t>ERLISON LEITE DE ALMEIDA</t>
  </si>
  <si>
    <t>2770002804</t>
  </si>
  <si>
    <t>EWERTON ROGERIO RIBEIRO ALVES</t>
  </si>
  <si>
    <t>2770002920</t>
  </si>
  <si>
    <t>EZEQUIEL VASCONCELOS MARTINS</t>
  </si>
  <si>
    <t>2770000539</t>
  </si>
  <si>
    <t>FABIANO MEDEIROS DE ALMEIDA</t>
  </si>
  <si>
    <t>2770003108</t>
  </si>
  <si>
    <t>FABIO BRITO DOS SANTOS</t>
  </si>
  <si>
    <t>2770002926</t>
  </si>
  <si>
    <t>FABIO CURITIMA ORTIZ</t>
  </si>
  <si>
    <t>2770003206</t>
  </si>
  <si>
    <t>FABRICIO BARBOZA MENEZES</t>
  </si>
  <si>
    <t>2770002676</t>
  </si>
  <si>
    <t>FABRICIO LUAM DE SOUZA LIMA</t>
  </si>
  <si>
    <t>2770003263</t>
  </si>
  <si>
    <t>FAGNER VIANA DA SILVA</t>
  </si>
  <si>
    <t>2770003075</t>
  </si>
  <si>
    <t>FELIPE DOS SANTOS PIMENTEL</t>
  </si>
  <si>
    <t>2770000180</t>
  </si>
  <si>
    <t>FRANCISCO ARAUJO DA SILVA</t>
  </si>
  <si>
    <t>2770002910</t>
  </si>
  <si>
    <t>FRANCISCO BASTOS TEIXEIRA</t>
  </si>
  <si>
    <t>2770000447</t>
  </si>
  <si>
    <t>FRANCISCO CARLOS CANDIDO FREIRE</t>
  </si>
  <si>
    <t>2770003071</t>
  </si>
  <si>
    <t>FRANCISCO DE OLIVEIRA GODINHO NETO</t>
  </si>
  <si>
    <t>2770002021</t>
  </si>
  <si>
    <t>FRANCISCO EVERTON NASCIMENTO PEREIRA</t>
  </si>
  <si>
    <t>2770002956</t>
  </si>
  <si>
    <t>FRANCISCO MAGNO DE ALMEIDA OLIVEIRA</t>
  </si>
  <si>
    <t>2770002760</t>
  </si>
  <si>
    <t>FRANCISCO RUBENS TELLES OLIVEIRA</t>
  </si>
  <si>
    <t>2770002886</t>
  </si>
  <si>
    <t>GABRIEL LIRA TRINDADE</t>
  </si>
  <si>
    <t>2770002994</t>
  </si>
  <si>
    <t>GABRIEL SOUZA DA SILVA</t>
  </si>
  <si>
    <t>2770003216</t>
  </si>
  <si>
    <t>GEOVANE GOMES DE AZEVEDO</t>
  </si>
  <si>
    <t>2770002921</t>
  </si>
  <si>
    <t>GEOVANE NATALINO CRUZ DE FREITAS</t>
  </si>
  <si>
    <t>2770003109</t>
  </si>
  <si>
    <t>GEOVANNY MONTEIRO DOS SANTOS</t>
  </si>
  <si>
    <t>2770002210</t>
  </si>
  <si>
    <t>GIAN DOMINGOS SAMPAIO CASTRO</t>
  </si>
  <si>
    <t>2770002617</t>
  </si>
  <si>
    <t>GILSON CARLOS PIMENTA PEREIRA</t>
  </si>
  <si>
    <t>2770000538</t>
  </si>
  <si>
    <t>GILSON DOS ANJOS TELES</t>
  </si>
  <si>
    <t>2770002511</t>
  </si>
  <si>
    <t>GISELE FERREIRA DA SILVA</t>
  </si>
  <si>
    <t>2770003028</t>
  </si>
  <si>
    <t>GLEICIOMAR SILVA DA COSTA</t>
  </si>
  <si>
    <t>2770002701</t>
  </si>
  <si>
    <t>GLEISON NOBRE MACIEL</t>
  </si>
  <si>
    <t>2770003291</t>
  </si>
  <si>
    <t>GUIBSON SALES DA COSTA</t>
  </si>
  <si>
    <t>2770002422</t>
  </si>
  <si>
    <t>HELIO REIS DE FREITAS</t>
  </si>
  <si>
    <t>2770000520</t>
  </si>
  <si>
    <t>HELION BETON DA SILVA OLIVEIRA</t>
  </si>
  <si>
    <t>2770002940</t>
  </si>
  <si>
    <t>HENRIQUE GOMES DO NASCIMENTO</t>
  </si>
  <si>
    <t>2770002546</t>
  </si>
  <si>
    <t>HERICLES MENDONCA TRINDADE</t>
  </si>
  <si>
    <t>2770002943</t>
  </si>
  <si>
    <t>HERVERTON BELARMINO MACENA</t>
  </si>
  <si>
    <t>2770002980</t>
  </si>
  <si>
    <t>ISAAC DA SILVA ESQUERDO</t>
  </si>
  <si>
    <t>2770002827</t>
  </si>
  <si>
    <t>ISAQUE FERNANDES DA CRUZ</t>
  </si>
  <si>
    <t>2770003110</t>
  </si>
  <si>
    <t>ITALO DE OLIVEIRA SEIXAS</t>
  </si>
  <si>
    <t>2770002974</t>
  </si>
  <si>
    <t>ITALO MATHEUS ROOL FERREIRA</t>
  </si>
  <si>
    <t>2770002875</t>
  </si>
  <si>
    <t>ITALO NASCIMENTO DE SOUZA</t>
  </si>
  <si>
    <t>2770003004</t>
  </si>
  <si>
    <t>ITALO NEVES DA SILVA</t>
  </si>
  <si>
    <t>2770003115</t>
  </si>
  <si>
    <t>JACKSON DOS SANTOS REIS</t>
  </si>
  <si>
    <t>2770000243</t>
  </si>
  <si>
    <t>JACKSON NASCIMENTO DA SILVA</t>
  </si>
  <si>
    <t>2770003095</t>
  </si>
  <si>
    <t>JAIME HENRIQUE GONCALVES BARBOSA</t>
  </si>
  <si>
    <t>2770002817</t>
  </si>
  <si>
    <t>JAIMISOM JORGE DA COSTA ROCHA</t>
  </si>
  <si>
    <t>2770003282</t>
  </si>
  <si>
    <t>JAIRO SANTOS DE MELO</t>
  </si>
  <si>
    <t>2770000494</t>
  </si>
  <si>
    <t>JANDER VIEIRA DA SILVA</t>
  </si>
  <si>
    <t>2770002904</t>
  </si>
  <si>
    <t>JANDERSON RODRIGUES ZAGURY</t>
  </si>
  <si>
    <t>2770003176</t>
  </si>
  <si>
    <t>JANILSON DE OLIVEIRA SACRAMENTO</t>
  </si>
  <si>
    <t>2770003126</t>
  </si>
  <si>
    <t>JARDEL ALHO PINHEIRO</t>
  </si>
  <si>
    <t>2770002526</t>
  </si>
  <si>
    <t>JEAN DE FRANCA MARINHO</t>
  </si>
  <si>
    <t>2770003322</t>
  </si>
  <si>
    <t>JEAN MATOS DA ROCHA</t>
  </si>
  <si>
    <t>2770003292</t>
  </si>
  <si>
    <t>JEFERSON AREVALO PERES</t>
  </si>
  <si>
    <t>2770002205</t>
  </si>
  <si>
    <t>JEFFERSON PEREIRA LIMA</t>
  </si>
  <si>
    <t>2770003280</t>
  </si>
  <si>
    <t>JENDERSON AURELIO BEZERRA</t>
  </si>
  <si>
    <t>2770003164</t>
  </si>
  <si>
    <t>JHONATAS RODRIGUES ESTEVAM</t>
  </si>
  <si>
    <t>2770003183</t>
  </si>
  <si>
    <t>JHONNATHA LIMA RODRIGUES</t>
  </si>
  <si>
    <t>2770002143</t>
  </si>
  <si>
    <t>JOAO BATISTA DE LIMA DA SILVA</t>
  </si>
  <si>
    <t>COLETA DOMICILIAR II AVENIDAS</t>
  </si>
  <si>
    <t>2770003226</t>
  </si>
  <si>
    <t>JOAO BATISTA FERREIRA DA SILVA</t>
  </si>
  <si>
    <t>05:30 - 10:00 - 12:00 - 14:50 / Sex, Sab e Dom / Jornada Parcial</t>
  </si>
  <si>
    <t>2770003153</t>
  </si>
  <si>
    <t>JOAO FELIPE DA SILVA LOPES</t>
  </si>
  <si>
    <t>2770003032</t>
  </si>
  <si>
    <t>JONISSON OLIVEIRA MARINHO</t>
  </si>
  <si>
    <t>2770003217</t>
  </si>
  <si>
    <t>JONNY STEFERSON CORREA DA SILVA</t>
  </si>
  <si>
    <t>2770002496</t>
  </si>
  <si>
    <t>JORGE ENRIQUE RODRIGUEZ IZQUIEL</t>
  </si>
  <si>
    <t>2770003144</t>
  </si>
  <si>
    <t>JOSE ADAIL BONARDE RONDON</t>
  </si>
  <si>
    <t>2770000297</t>
  </si>
  <si>
    <t>JOSE RAIMUNDO REIS PEREIRA</t>
  </si>
  <si>
    <t>2770000083</t>
  </si>
  <si>
    <t>JOSE ROMILSON SANTIAGO DA COSTA</t>
  </si>
  <si>
    <t>2770001405</t>
  </si>
  <si>
    <t>JOSELILTON FERREIRA DE OLIVEIRA</t>
  </si>
  <si>
    <t>2770003010</t>
  </si>
  <si>
    <t>JOSENI VIEIRA DE MEIRELES</t>
  </si>
  <si>
    <t>2770002560</t>
  </si>
  <si>
    <t>JOSIMARLISON DA SILVA LIMA</t>
  </si>
  <si>
    <t>2770003059</t>
  </si>
  <si>
    <t>JOSIVALDO DE SOUSA BORGES</t>
  </si>
  <si>
    <t>2770002700</t>
  </si>
  <si>
    <t>JUNI MILLER ROCHA DOS SANTOS</t>
  </si>
  <si>
    <t>2770000028</t>
  </si>
  <si>
    <t>JUSTINO DA SILVA OLIVEIRA</t>
  </si>
  <si>
    <t>10:00 - 13:00 - 14:00 - 18:20 / Seg a Sab / Dom DSR</t>
  </si>
  <si>
    <t>2770002624</t>
  </si>
  <si>
    <t>KENNEDY SILVA DA SILVA</t>
  </si>
  <si>
    <t>2770002439</t>
  </si>
  <si>
    <t>KLINGER SOARES DA SILVA</t>
  </si>
  <si>
    <t>2770000234</t>
  </si>
  <si>
    <t>LAIR SILVA DE SOUZA</t>
  </si>
  <si>
    <t>2770002628</t>
  </si>
  <si>
    <t>LAZARO MIRANDA GOMES NETO</t>
  </si>
  <si>
    <t>2770002503</t>
  </si>
  <si>
    <t>LEANDRO MACIEL BATISTA</t>
  </si>
  <si>
    <t>2770003123</t>
  </si>
  <si>
    <t>LEANDRO TAVARES DA SILVA</t>
  </si>
  <si>
    <t>2770003121</t>
  </si>
  <si>
    <t>LENNO MENDES DA COSTA</t>
  </si>
  <si>
    <t>2770003276</t>
  </si>
  <si>
    <t>LEONARDO DO NASCIMENTO FERREIRA</t>
  </si>
  <si>
    <t>2770003324</t>
  </si>
  <si>
    <t>LEONARDO LUCENA DIAS DA SILVA</t>
  </si>
  <si>
    <t>2770003307</t>
  </si>
  <si>
    <t>LEONARDO MENDES MARTINS</t>
  </si>
  <si>
    <t>2770003283</t>
  </si>
  <si>
    <t>LEONARDO OLIVEIRA LIMA</t>
  </si>
  <si>
    <t>2770003244</t>
  </si>
  <si>
    <t>LEVI DA SILVA DIOGO</t>
  </si>
  <si>
    <t>2770003189</t>
  </si>
  <si>
    <t>LINDERSON SIMPSON PEREIRA</t>
  </si>
  <si>
    <t>2770003085</t>
  </si>
  <si>
    <t>LINDONEY DA SILVA LIMA</t>
  </si>
  <si>
    <t>2770003290</t>
  </si>
  <si>
    <t>LUCAS ALMEIDA DE CARVALHO</t>
  </si>
  <si>
    <t>2770003288</t>
  </si>
  <si>
    <t>LUCAS ASSUNCAO BATISTA</t>
  </si>
  <si>
    <t>2770003178</t>
  </si>
  <si>
    <t>LUCAS DA SILVA MARTINS</t>
  </si>
  <si>
    <t>2770003146</t>
  </si>
  <si>
    <t>LUCAS PEREIRA DA CUNHA</t>
  </si>
  <si>
    <t>2770002873</t>
  </si>
  <si>
    <t>LUCAS PINHEIRO LOPES</t>
  </si>
  <si>
    <t>2770003167</t>
  </si>
  <si>
    <t>LUCAS RODRIGO DE LIMA FLAUZINO</t>
  </si>
  <si>
    <t>2770003064</t>
  </si>
  <si>
    <t>LUCIANO DE ALMEIDA CASTRO</t>
  </si>
  <si>
    <t>2770003023</t>
  </si>
  <si>
    <t>LUCIANO DE LIMA TRAJANO</t>
  </si>
  <si>
    <t>2770002909</t>
  </si>
  <si>
    <t>LUIZ AUGUSTO PRAIA REIS</t>
  </si>
  <si>
    <t>2770003208</t>
  </si>
  <si>
    <t>LUIZ FERNANDO BRANCHES DO NASCIMENTO</t>
  </si>
  <si>
    <t>2770002928</t>
  </si>
  <si>
    <t>LUIZ FERNANDO GONCALVES DE LIMA</t>
  </si>
  <si>
    <t>2770002927</t>
  </si>
  <si>
    <t>LUIZ HENRIQUE PALHETA BARBOSA</t>
  </si>
  <si>
    <t>2770003266</t>
  </si>
  <si>
    <t>MAGNO DA SILVA OLIVEIRA</t>
  </si>
  <si>
    <t>2770001151</t>
  </si>
  <si>
    <t>MANOEL FANDA CARVALHO DA SILVA</t>
  </si>
  <si>
    <t>2770000934</t>
  </si>
  <si>
    <t>MANUEL MONTEIRO DE OLIVEIRA FILHO</t>
  </si>
  <si>
    <t>2770003321</t>
  </si>
  <si>
    <t>MARCELO GOMES DO NASCIMENTO</t>
  </si>
  <si>
    <t>2770000507</t>
  </si>
  <si>
    <t>MARCIO BATISTA DA SILVA</t>
  </si>
  <si>
    <t>2770002611</t>
  </si>
  <si>
    <t>MARCIO MALAQUIAS DA SILVA</t>
  </si>
  <si>
    <t>2770002773</t>
  </si>
  <si>
    <t>MARCIO MOTA FERREIRA</t>
  </si>
  <si>
    <t>07:00 - 11:00 - 13:00 - 16:20 / Seg a Sab / Dom DSR</t>
  </si>
  <si>
    <t>2770003225</t>
  </si>
  <si>
    <t>MARCOS ANTONIO DOS ANJOS DA COSTA</t>
  </si>
  <si>
    <t>2770002828</t>
  </si>
  <si>
    <t>MARCOS VINICIUS DE CASTRO RIBEIRO</t>
  </si>
  <si>
    <t>2770002993</t>
  </si>
  <si>
    <t>MARCOS VINICIUS OLIVEIRA DOS SANTOS</t>
  </si>
  <si>
    <t>2770003166</t>
  </si>
  <si>
    <t>MARIANO PEREIRA DOS REIS</t>
  </si>
  <si>
    <t>2770003054</t>
  </si>
  <si>
    <t>MARIO SERGIO DO NASCIMENTO MORAIS</t>
  </si>
  <si>
    <t>2770003211</t>
  </si>
  <si>
    <t>MATEUS PEREIRA AVELINO</t>
  </si>
  <si>
    <t>2770003150</t>
  </si>
  <si>
    <t>MATEUS SOUZA DA SILVA</t>
  </si>
  <si>
    <t>2770003020</t>
  </si>
  <si>
    <t>MATHEUS MORAES DA SILVA</t>
  </si>
  <si>
    <t>2770003149</t>
  </si>
  <si>
    <t>MATHEUS SALES FERREIRA</t>
  </si>
  <si>
    <t>2770003074</t>
  </si>
  <si>
    <t>MAURI BARRETO BARROSO</t>
  </si>
  <si>
    <t>2770000518</t>
  </si>
  <si>
    <t>MAURICELIO DE LIMA SILVA</t>
  </si>
  <si>
    <t>2770002675</t>
  </si>
  <si>
    <t>MAURICIO DE SOUZA ANDRADE</t>
  </si>
  <si>
    <t>2770002689</t>
  </si>
  <si>
    <t>MAX PEREIRA DOS SANTOS</t>
  </si>
  <si>
    <t>2770003241</t>
  </si>
  <si>
    <t>MAX THIAGO DO CARMO SILVA</t>
  </si>
  <si>
    <t>2770003077</t>
  </si>
  <si>
    <t>MILTON MARINHO BELEM FILHO</t>
  </si>
  <si>
    <t>2770002510</t>
  </si>
  <si>
    <t>MOIZES PEREIRA</t>
  </si>
  <si>
    <t>2770002953</t>
  </si>
  <si>
    <t>NAUM DA SILVA CASTRO ALFAIA</t>
  </si>
  <si>
    <t>2770003318</t>
  </si>
  <si>
    <t>NILTON NASCIMENTO DOS SANTOS</t>
  </si>
  <si>
    <t>2770003320</t>
  </si>
  <si>
    <t>PATRICIO DE SOUZA DUARTE</t>
  </si>
  <si>
    <t>2770002518</t>
  </si>
  <si>
    <t>PAULO ROBERTO LIMA MAGALHAES</t>
  </si>
  <si>
    <t>2770003134</t>
  </si>
  <si>
    <t>PAULO WILLIAM DE SOUZA CURINTIMA</t>
  </si>
  <si>
    <t>2770002584</t>
  </si>
  <si>
    <t>PEDRO ALENCAR DE SOUZA NETO</t>
  </si>
  <si>
    <t>2770003155</t>
  </si>
  <si>
    <t>PEDRO GABRIEL PERES PEREIRA</t>
  </si>
  <si>
    <t>2770002786</t>
  </si>
  <si>
    <t>PEDRO IGOR FIDELIS FELICIANO</t>
  </si>
  <si>
    <t>2770002646</t>
  </si>
  <si>
    <t>PEDRO PAULO DOS SANTOS RAFAEL JUNIOR</t>
  </si>
  <si>
    <t>2770002709</t>
  </si>
  <si>
    <t>PEDRO SERGIO DE SOUZA CHAVES</t>
  </si>
  <si>
    <t>2770002821</t>
  </si>
  <si>
    <t>PETHERSON MATHEUS DOS SANTOS COSTA</t>
  </si>
  <si>
    <t>2770003319</t>
  </si>
  <si>
    <t>RAFAEL BARRETO DA SILVA</t>
  </si>
  <si>
    <t>2770002509</t>
  </si>
  <si>
    <t>RAFAELA BANDEIRA DA SILVA</t>
  </si>
  <si>
    <t>2770003302</t>
  </si>
  <si>
    <t>RAILSON DE LIMA SILVA</t>
  </si>
  <si>
    <t>2770003182</t>
  </si>
  <si>
    <t>RAILTON KAYCK DE SOUZA DA SILVA</t>
  </si>
  <si>
    <t>2770002207</t>
  </si>
  <si>
    <t>RAIMUNDO DA SILVA SANTOS</t>
  </si>
  <si>
    <t>2770000477</t>
  </si>
  <si>
    <t>RAIMUNDO FERNANDO DA COSTA</t>
  </si>
  <si>
    <t>2770002105</t>
  </si>
  <si>
    <t>RAIMUNDO LIMA DE ANDRADE FILHO</t>
  </si>
  <si>
    <t>2770003021</t>
  </si>
  <si>
    <t>RAIR BARROSO DA SILVA</t>
  </si>
  <si>
    <t>2770003003</t>
  </si>
  <si>
    <t>RAIR MACIEL DA SILVA</t>
  </si>
  <si>
    <t>2770003093</t>
  </si>
  <si>
    <t>RALYSON ROCHA NEVES</t>
  </si>
  <si>
    <t>2770001769</t>
  </si>
  <si>
    <t>REGINALDO CANDIDO DOS SANTOS</t>
  </si>
  <si>
    <t>06:00 - 11:00 - 12:00 - 14:20 / Seg a Sab / Dom DSR</t>
  </si>
  <si>
    <t>2770001479</t>
  </si>
  <si>
    <t>RENATO DA SILVA RODRIGUES</t>
  </si>
  <si>
    <t>2770003265</t>
  </si>
  <si>
    <t>RENETH PAZ NUNES</t>
  </si>
  <si>
    <t>2770003204</t>
  </si>
  <si>
    <t>RICARDO CARRIL MENDONCA JUNIOR</t>
  </si>
  <si>
    <t>FOLGA</t>
  </si>
  <si>
    <t>2770002517</t>
  </si>
  <si>
    <t>RICHARD ALEXANDER MEJIA ESPINOZA</t>
  </si>
  <si>
    <t>2770003261</t>
  </si>
  <si>
    <t>RICHARD GUEDES MELO</t>
  </si>
  <si>
    <t>2770002908</t>
  </si>
  <si>
    <t>RIVALDO MACIEL GOMES</t>
  </si>
  <si>
    <t>2770002692</t>
  </si>
  <si>
    <t>ROBSON DE SOUZA PINHEIRO</t>
  </si>
  <si>
    <t>2770002648</t>
  </si>
  <si>
    <t>RODRIGO CAETANO ARAUJO</t>
  </si>
  <si>
    <t>2770000468</t>
  </si>
  <si>
    <t>RODRIGO DOS SANTOS MAIA</t>
  </si>
  <si>
    <t>2770002737</t>
  </si>
  <si>
    <t>RODRIGO DOS SANTOS PEREIRA</t>
  </si>
  <si>
    <t>2770002665</t>
  </si>
  <si>
    <t>RODRIGO DUTRA DAS CHAGAS</t>
  </si>
  <si>
    <t>2770003308</t>
  </si>
  <si>
    <t>RODRIGO NEVES DA SILVA</t>
  </si>
  <si>
    <t>2770000149</t>
  </si>
  <si>
    <t>RONALDO BRUCE DE FIGUEIREDO</t>
  </si>
  <si>
    <t>2770000129</t>
  </si>
  <si>
    <t>RONALDO DA SILVA</t>
  </si>
  <si>
    <t>2770000343</t>
  </si>
  <si>
    <t>RONDINELES MOREIRA LEITE</t>
  </si>
  <si>
    <t>2770003311</t>
  </si>
  <si>
    <t>ROSENILDO GOMES RAMOS</t>
  </si>
  <si>
    <t>2770003309</t>
  </si>
  <si>
    <t>ROSINEY SENA COELHO</t>
  </si>
  <si>
    <t>2770002764</t>
  </si>
  <si>
    <t>ROSSIFRANK MATOS CARDOSO</t>
  </si>
  <si>
    <t>2770002916</t>
  </si>
  <si>
    <t>RUAN PEREIRA MACEDO</t>
  </si>
  <si>
    <t>2770003316</t>
  </si>
  <si>
    <t>RUAN ROGER BRUCE PINTO</t>
  </si>
  <si>
    <t>2770003249</t>
  </si>
  <si>
    <t>SAMUEL DA SILVA DE OLIVEIRA</t>
  </si>
  <si>
    <t>2770003188</t>
  </si>
  <si>
    <t>SAYD DOS SANTOS PEREIRA</t>
  </si>
  <si>
    <t>2770002897</t>
  </si>
  <si>
    <t>SHARLISON DE OLIVEIRA CHAGAS</t>
  </si>
  <si>
    <t>2770002512</t>
  </si>
  <si>
    <t>SILVANA DE SANTIAGO FIGUEIREDO</t>
  </si>
  <si>
    <t>2770002443</t>
  </si>
  <si>
    <t>TARCILO GONZAGA DOS SANTOS</t>
  </si>
  <si>
    <t>2770003289</t>
  </si>
  <si>
    <t>THALISON YHORRANN MONTEIRO</t>
  </si>
  <si>
    <t>2770002885</t>
  </si>
  <si>
    <t>THIAGO MAR DE SA</t>
  </si>
  <si>
    <t>2770002918</t>
  </si>
  <si>
    <t>THIAGO RODRIGUES ESTEVAO</t>
  </si>
  <si>
    <t>2770003091</t>
  </si>
  <si>
    <t>THIAGO SILVA E SILVA</t>
  </si>
  <si>
    <t>2770000888</t>
  </si>
  <si>
    <t>VALCEMIR ALEXANDRE DE OLIVEIRA</t>
  </si>
  <si>
    <t>2770002776</t>
  </si>
  <si>
    <t>VALCICLE ARAGAO DE MELO</t>
  </si>
  <si>
    <t>2770000523</t>
  </si>
  <si>
    <t>VALDENILSON SOUSA DE OLIVEIRA</t>
  </si>
  <si>
    <t>2770001125</t>
  </si>
  <si>
    <t>VANDELSON ALVES DE FREITAS</t>
  </si>
  <si>
    <t>2770000497</t>
  </si>
  <si>
    <t>VANDENILSON GALDINO DA CRUZ</t>
  </si>
  <si>
    <t>2770003156</t>
  </si>
  <si>
    <t>VICTOR COELHO DE OLIVEIRA</t>
  </si>
  <si>
    <t>2770003048</t>
  </si>
  <si>
    <t>VIVIAN DA SILVA PINTO</t>
  </si>
  <si>
    <t>2770002520</t>
  </si>
  <si>
    <t>WAGNER GOMES DA LUZ</t>
  </si>
  <si>
    <t>2770000898</t>
  </si>
  <si>
    <t>WALMIR DIAS DO NASCIMENTO</t>
  </si>
  <si>
    <t>2770003310</t>
  </si>
  <si>
    <t>WEKXLLEN DA SILVA CASTRO</t>
  </si>
  <si>
    <t>2770003323</t>
  </si>
  <si>
    <t>WELLINGTON FLORES DE OLIVEIRA</t>
  </si>
  <si>
    <t>2770002254</t>
  </si>
  <si>
    <t>WELLINGTON LIMA DA SILVA</t>
  </si>
  <si>
    <t>2770002836</t>
  </si>
  <si>
    <t>WELLINGTON SILVA DA SILVA</t>
  </si>
  <si>
    <t>2770003177</t>
  </si>
  <si>
    <t>WELLINGTON SILVA DE PAULA VERAS</t>
  </si>
  <si>
    <t>2770003243</t>
  </si>
  <si>
    <t>WENDEL ROCHA DE OLIVEIRA</t>
  </si>
  <si>
    <t>2770003301</t>
  </si>
  <si>
    <t>WENDERSSON PENA DE MORAES</t>
  </si>
  <si>
    <t>2770003100</t>
  </si>
  <si>
    <t>WESLLEY DOS SANTOS CORDEIRO</t>
  </si>
  <si>
    <t>2770001587</t>
  </si>
  <si>
    <t>WESLLEY FONTENELLE PEREIRA DA SILVA</t>
  </si>
  <si>
    <t>2770003113</t>
  </si>
  <si>
    <t>WESLLEY RICHARD DE SOUZA DANTAS</t>
  </si>
  <si>
    <t>2770002972</t>
  </si>
  <si>
    <t>WILKER BRAGA GOMES</t>
  </si>
  <si>
    <t>2770003287</t>
  </si>
  <si>
    <t>YURI BORGES DA SILVA</t>
  </si>
  <si>
    <t>2770002881</t>
  </si>
  <si>
    <t>ADRIANO WALBEG DA SILVA PINTO</t>
  </si>
  <si>
    <t>18:00 - 22:00 - 22:30 - 02:00 / Seg / 18:00 - 22:00 - 22:30 - 01:25 / Ter / Dom DSR</t>
  </si>
  <si>
    <t>2770002361</t>
  </si>
  <si>
    <t>ALEXSANDRO OLIVEIRA DE ASSUNCAO</t>
  </si>
  <si>
    <t>07:00 - 11:00 - 11:30 - 14:50 / Seg a Sab / Dom DSR</t>
  </si>
  <si>
    <t>2770003229</t>
  </si>
  <si>
    <t>ANDERSON CASTRO FREITAS</t>
  </si>
  <si>
    <t>2770003056</t>
  </si>
  <si>
    <t>ANDERSON GIBSON FRANCO</t>
  </si>
  <si>
    <t>06:00 - 11:00 - 11:30 - 14:30 / Seg / 06:00 - 11:00 - 11:30 - 13:50 / Ter / Dom DSR</t>
  </si>
  <si>
    <t>2770003304</t>
  </si>
  <si>
    <t>ANDERSON MACIEL MOREIRA</t>
  </si>
  <si>
    <t>2770000172</t>
  </si>
  <si>
    <t>ANDRE LUIZ JESUS DE SOUZA</t>
  </si>
  <si>
    <t>2770002379</t>
  </si>
  <si>
    <t>ANTONIO FERREIRA DE SOUZA JUNIOR</t>
  </si>
  <si>
    <t>2770002381</t>
  </si>
  <si>
    <t>ANTONIO JOSE COSTA DE SOUZA</t>
  </si>
  <si>
    <t>2770002272</t>
  </si>
  <si>
    <t>ANTONIO SILVA DE ARAUJO</t>
  </si>
  <si>
    <t>2770002131</t>
  </si>
  <si>
    <t>BRUNO JEAN OLIVEIRA DA COSTA</t>
  </si>
  <si>
    <t>2770003268</t>
  </si>
  <si>
    <t>BRUNO MONTEIRO DE OLIVEIRA</t>
  </si>
  <si>
    <t>2770002538</t>
  </si>
  <si>
    <t>CARLOS ROBERTO MIRANDA COSTA</t>
  </si>
  <si>
    <t>2770003267</t>
  </si>
  <si>
    <t>CLODOALDO TEODORO DOS SANTOS</t>
  </si>
  <si>
    <t>2770001800</t>
  </si>
  <si>
    <t>CLODOMIRO FILHO SILVEIRA</t>
  </si>
  <si>
    <t>2770003250</t>
  </si>
  <si>
    <t>DANIEL PAIVA DACIO</t>
  </si>
  <si>
    <t>2770003191</t>
  </si>
  <si>
    <t>DENIS RIBEIRO OTAPIASSIS</t>
  </si>
  <si>
    <t>2770000036</t>
  </si>
  <si>
    <t>DEUSTEVAN CARNEIRO DA SILVA</t>
  </si>
  <si>
    <t>INTERMEDIARIO</t>
  </si>
  <si>
    <t>06:20 - 11:20 - 11:50 - 14:50 / Seg / 06:20 - 11:20 - 11:50 - 14:10 / Ter / Dom DSR</t>
  </si>
  <si>
    <t>2770002265</t>
  </si>
  <si>
    <t>DONIELSON PEREIRA DA SILVA</t>
  </si>
  <si>
    <t>2770000144</t>
  </si>
  <si>
    <t>EDINARDO PERES DA SILVA BRITO</t>
  </si>
  <si>
    <t>2770002650</t>
  </si>
  <si>
    <t>EDSON CARDOSO DOS SANTOS</t>
  </si>
  <si>
    <t>2770003063</t>
  </si>
  <si>
    <t>EDUARDO JAIME COSTA E SILVA FILHO</t>
  </si>
  <si>
    <t>2770000085</t>
  </si>
  <si>
    <t>ELADYO DE SALES RIBEIRO</t>
  </si>
  <si>
    <t>EDUCACAO AMBIENTAL</t>
  </si>
  <si>
    <t xml:space="preserve">07:30 - 11:30 - 12:30 - 16:30 / Seg a Sex / 07:30 - 11:30 / Sab / Dom DSR </t>
  </si>
  <si>
    <t>2770003192</t>
  </si>
  <si>
    <t>ESMAEL TIAGO DOS SANTOS</t>
  </si>
  <si>
    <t>2770002941</t>
  </si>
  <si>
    <t>EVERALDO SEIXAS MORAIS</t>
  </si>
  <si>
    <t>2770002936</t>
  </si>
  <si>
    <t>EWERTON COELHO DE OLIVEIRA</t>
  </si>
  <si>
    <t>2770003293</t>
  </si>
  <si>
    <t>FERNANDO MARQUES DA ROCHA</t>
  </si>
  <si>
    <t>2770000210</t>
  </si>
  <si>
    <t>FRANCISCO GUEDES DA SILVA</t>
  </si>
  <si>
    <t>2770002172</t>
  </si>
  <si>
    <t>FRANCISCO ORLEILSON RODRIGUES ESTEVAO</t>
  </si>
  <si>
    <t>2770002323</t>
  </si>
  <si>
    <t>FRANCISCO SIDNEY BARROS DE ALMEIDA</t>
  </si>
  <si>
    <t>2770000065</t>
  </si>
  <si>
    <t>FRANCISCO SOUSA NASCIMENTO</t>
  </si>
  <si>
    <t>2770002999</t>
  </si>
  <si>
    <t>FRANCISCO VALDEMIR SILVA DO NASCIMENTO</t>
  </si>
  <si>
    <t>2770002071</t>
  </si>
  <si>
    <t>GERALDO AILTON MARTINS GUIMARAES</t>
  </si>
  <si>
    <t>2770000836</t>
  </si>
  <si>
    <t>HENRIQUE BRITO NETO</t>
  </si>
  <si>
    <t>14:00 - 18:00 - 18:30 - 21:50 / Seg a Sab / Dom DSR</t>
  </si>
  <si>
    <t>2770002470</t>
  </si>
  <si>
    <t>IOMAR CASTRO DA COSTA JUNIOR</t>
  </si>
  <si>
    <t>2770003219</t>
  </si>
  <si>
    <t>ISAIAS ROCHA DE ARAUJO</t>
  </si>
  <si>
    <t>2770002681</t>
  </si>
  <si>
    <t>JANDERSON LOURENCO DA SILVA</t>
  </si>
  <si>
    <t>2770002434</t>
  </si>
  <si>
    <t>JANDERSON SAMPAIO DE AGUIAR</t>
  </si>
  <si>
    <t>2770002460</t>
  </si>
  <si>
    <t>JEFFESON RODRIGUES GUIMARAES</t>
  </si>
  <si>
    <t>2770002913</t>
  </si>
  <si>
    <t>JHONOCLEY DE SA CARNEIRO</t>
  </si>
  <si>
    <t>2770003327</t>
  </si>
  <si>
    <t>JOAO PAULO QUEIROZ BRANDAO</t>
  </si>
  <si>
    <t>2770002842</t>
  </si>
  <si>
    <t>JOCI CAETANO DE SOUZA</t>
  </si>
  <si>
    <t>13:30 - 17:30 - 18:30 - 21:50 / Seg a Sab / Dom DSR</t>
  </si>
  <si>
    <t>2770002975</t>
  </si>
  <si>
    <t>JOILSON MOREIRA SERRAO</t>
  </si>
  <si>
    <t>2770002321</t>
  </si>
  <si>
    <t>JORGE LUIZ DE SOUZA VIEIRA</t>
  </si>
  <si>
    <t>2770003252</t>
  </si>
  <si>
    <t>JORGE LUIZ GOMES</t>
  </si>
  <si>
    <t>2770003220</t>
  </si>
  <si>
    <t>JOSE RAIMUNDO MARTINS DE OLIVEIRA</t>
  </si>
  <si>
    <t>2770000097</t>
  </si>
  <si>
    <t>JOSE UCHOA DA SILVA</t>
  </si>
  <si>
    <t>2770002686</t>
  </si>
  <si>
    <t>KAIQUE SANTOS MONTEIRO</t>
  </si>
  <si>
    <t>2770002657</t>
  </si>
  <si>
    <t>LEANDRO DA SILVA CAVALCANTE</t>
  </si>
  <si>
    <t>2770002173</t>
  </si>
  <si>
    <t>LEIDSON DIAS DE OLIVEIRA</t>
  </si>
  <si>
    <t>2770002901</t>
  </si>
  <si>
    <t>LEVI WESLLEY ARAUJO DA COSTA</t>
  </si>
  <si>
    <t>2770003079</t>
  </si>
  <si>
    <t>LUCAS CARLOS DA SILVA E SOUSA</t>
  </si>
  <si>
    <t>2770003251</t>
  </si>
  <si>
    <t>MAICO RODOLFO BARBOSA DE MELO</t>
  </si>
  <si>
    <t>2770003046</t>
  </si>
  <si>
    <t>MAILSON GOMES FERNANDES</t>
  </si>
  <si>
    <t>2770002073</t>
  </si>
  <si>
    <t>MANOEL CARDOSO CRUZ</t>
  </si>
  <si>
    <t>2770003194</t>
  </si>
  <si>
    <t>MARCELO PEREIRA GUERREIRO</t>
  </si>
  <si>
    <t>2770000917</t>
  </si>
  <si>
    <t>MARCIO DA COSTA MARTINS</t>
  </si>
  <si>
    <t>2770001958</t>
  </si>
  <si>
    <t>MARCIO LUIZ MARQUES DE OLIVEIRA</t>
  </si>
  <si>
    <t>2770002322</t>
  </si>
  <si>
    <t>MARCOS ALMEIDA FURTUOZO</t>
  </si>
  <si>
    <t>2770003326</t>
  </si>
  <si>
    <t>MARILSON DE JESUS SOUSA SERRA</t>
  </si>
  <si>
    <t>2770002331</t>
  </si>
  <si>
    <t>MAURICIO WAGNER DA SILVA VASCONCELOS</t>
  </si>
  <si>
    <t>2770002593</t>
  </si>
  <si>
    <t>ORLEILSON LIMA DE ARAUJO</t>
  </si>
  <si>
    <t>2770002935</t>
  </si>
  <si>
    <t>OSMAR FERREIRA VIEIRA NETO</t>
  </si>
  <si>
    <t>Divorciado</t>
  </si>
  <si>
    <t>2770003157</t>
  </si>
  <si>
    <t>OZEQUIEL DE OLIVEIRA MACIEL</t>
  </si>
  <si>
    <t>2770003218</t>
  </si>
  <si>
    <t>PAULO RICARDO DUARTE NOGUEIRA</t>
  </si>
  <si>
    <t>2770000099</t>
  </si>
  <si>
    <t>RADEMAK FERNANDES DE AGUIAR</t>
  </si>
  <si>
    <t>06:20 - 10:10 - 10:40 - 14:10 / Seg a Sab / Dom DSR</t>
  </si>
  <si>
    <t>2770000705</t>
  </si>
  <si>
    <t>RAIMUNDO DE LIMA GORGONHO</t>
  </si>
  <si>
    <t>2770003294</t>
  </si>
  <si>
    <t>RAIMUNDO HILTON DA SILVA OLIVEIRA</t>
  </si>
  <si>
    <t>2770000105</t>
  </si>
  <si>
    <t>RAIMUNDO NAZARINO CALAZANS DE AMARAL</t>
  </si>
  <si>
    <t>2770003060</t>
  </si>
  <si>
    <t>RAIRO TEIXEIRA LEAO</t>
  </si>
  <si>
    <t>2770003193</t>
  </si>
  <si>
    <t>RAYNILSON ALVES TAVARES</t>
  </si>
  <si>
    <t>2770002826</t>
  </si>
  <si>
    <t>ROBSON MINEIRO MAFRA</t>
  </si>
  <si>
    <t>2770002273</t>
  </si>
  <si>
    <t>RODRIGO BARROSO PEREIRA</t>
  </si>
  <si>
    <t>2770002491</t>
  </si>
  <si>
    <t>RODRIGO DE ALMEIDA LOPES</t>
  </si>
  <si>
    <t>2770003158</t>
  </si>
  <si>
    <t>ROZIEL FERREIRA DOS SANTOS</t>
  </si>
  <si>
    <t>2770003210</t>
  </si>
  <si>
    <t>SEBASTIAO BARROS DAMASCENO</t>
  </si>
  <si>
    <t>2770002534</t>
  </si>
  <si>
    <t>SERGIO RICARDO DOS SANTOS NASCIMENTO</t>
  </si>
  <si>
    <t>2770002934</t>
  </si>
  <si>
    <t>SIDNEY DE SOUSA GOMES</t>
  </si>
  <si>
    <t>2770002420</t>
  </si>
  <si>
    <t>VALTO CARDOSO</t>
  </si>
  <si>
    <t>2770002492</t>
  </si>
  <si>
    <t>VANDERLAN GOMES SOUZA</t>
  </si>
  <si>
    <t>2770002866</t>
  </si>
  <si>
    <t>VICTOR RODRIGO DE QUEIROZ OLIVEIRA</t>
  </si>
  <si>
    <t>2770002783</t>
  </si>
  <si>
    <t>WAGNER CARVALHO DE OLIVEIRA</t>
  </si>
  <si>
    <t>2770002825</t>
  </si>
  <si>
    <t>WILLIAM BARBOSA DA SILVA MIRANDA</t>
  </si>
  <si>
    <t>QT</t>
  </si>
  <si>
    <t>NOME DO COLABORADOR</t>
  </si>
  <si>
    <t>DATA DE ADMISSÃO</t>
  </si>
  <si>
    <t>TOTAL DE TEMPO DE EMPRESA</t>
  </si>
  <si>
    <t>SETOR</t>
  </si>
  <si>
    <t>TURNO</t>
  </si>
  <si>
    <t>GESTOR</t>
  </si>
  <si>
    <t xml:space="preserve">TIPO DE PENALIDADE </t>
  </si>
  <si>
    <t>DATA DA PENALIDADE</t>
  </si>
  <si>
    <t>ANO DA PENALIDADE</t>
  </si>
  <si>
    <t>SUSPENSAO</t>
  </si>
  <si>
    <t>DOUGLAS PANTOJA BARBOSA</t>
  </si>
  <si>
    <t>ALEXANDRO MOURA MOUREIRA</t>
  </si>
  <si>
    <t xml:space="preserve">AGENTE DE COLETA </t>
  </si>
  <si>
    <t xml:space="preserve">COLETA DOMICILIAR </t>
  </si>
  <si>
    <t xml:space="preserve">DIURNO </t>
  </si>
  <si>
    <t xml:space="preserve">ADVERTENCIA </t>
  </si>
  <si>
    <t>GEONEY MAR DOS ANJOS</t>
  </si>
  <si>
    <t>HENRIQUE MATHEUS DA SILVA PINTO</t>
  </si>
  <si>
    <t>1ANO, 9MESES</t>
  </si>
  <si>
    <t>DEYVID CAMPOS DOS SANTOS</t>
  </si>
  <si>
    <t>BRENO MOREIRA SIMPSON</t>
  </si>
  <si>
    <t>ALDERLANDO MENDE FREIRE</t>
  </si>
  <si>
    <t>WERICK SANTOS NOBRE</t>
  </si>
  <si>
    <t xml:space="preserve">PAULO HENRIQUE AMARAL COSTA </t>
  </si>
  <si>
    <t xml:space="preserve">AGENTE DE COELTA </t>
  </si>
  <si>
    <t xml:space="preserve">GEOVANE BACELAR DA SILVA </t>
  </si>
  <si>
    <t>0 ANO, 3 MÊS</t>
  </si>
  <si>
    <t xml:space="preserve">NOTURNO </t>
  </si>
  <si>
    <t>1 ANO, 8 MESES</t>
  </si>
  <si>
    <t>TIAGO FERREIRA MENDONCA</t>
  </si>
  <si>
    <t xml:space="preserve">0 ANO, 8 MESES </t>
  </si>
  <si>
    <t xml:space="preserve">LEANDRO DA RICJA DUARTE </t>
  </si>
  <si>
    <t>2 ANOS, 7 MÊS</t>
  </si>
  <si>
    <t>RAILSON JAIRO DE ASSUNCÃO</t>
  </si>
  <si>
    <t>1 ANO,00</t>
  </si>
  <si>
    <t xml:space="preserve">DIEGO DE SOUZA PINHEIRO </t>
  </si>
  <si>
    <t>6 ANOS, 00</t>
  </si>
  <si>
    <t xml:space="preserve">RUBEM CHARLES COSTA DOS SANTOS </t>
  </si>
  <si>
    <t>0 ANOS , 5 MES</t>
  </si>
  <si>
    <t xml:space="preserve">JOÃO BATISTA FERREIRA DA SILVA </t>
  </si>
  <si>
    <t>0 ANO, 6 MES</t>
  </si>
  <si>
    <t xml:space="preserve">ERICK CAUA SALES DA SILVA </t>
  </si>
  <si>
    <t>0 ANOS , 8 MES</t>
  </si>
  <si>
    <t xml:space="preserve">PAULO CARIPUNA DAMASCENO </t>
  </si>
  <si>
    <t xml:space="preserve">1 ANO, 0 MES </t>
  </si>
  <si>
    <t xml:space="preserve">WIELLON MENDES DE OLIVEIRA </t>
  </si>
  <si>
    <t>0 ANO , 5 MES</t>
  </si>
  <si>
    <t>0 ANOS, 4 MES</t>
  </si>
  <si>
    <t>0 ANOS, 7 MES</t>
  </si>
  <si>
    <t>COLETA DOMICILAR</t>
  </si>
  <si>
    <t xml:space="preserve">MATHEUS FIGUEIREDO DE LIMA </t>
  </si>
  <si>
    <t>ONYBIYO IVOR BROWNE</t>
  </si>
  <si>
    <t>1 ANO, 6 MES</t>
  </si>
  <si>
    <t xml:space="preserve">ALESSANDRO REIS DA CUNHA </t>
  </si>
  <si>
    <t>0 ANO, 4 MES</t>
  </si>
  <si>
    <t xml:space="preserve">TAYSON SOARES DAS CHAGAS </t>
  </si>
  <si>
    <t>1 ANO, 5 MES</t>
  </si>
  <si>
    <t xml:space="preserve">DARLISON VICTOR DOS SANTOS SOUZA </t>
  </si>
  <si>
    <t xml:space="preserve">0 ANO,0 MES </t>
  </si>
  <si>
    <t xml:space="preserve">MAXWEL GOMES DA SILVA </t>
  </si>
  <si>
    <t>1 ANO, 0 MES</t>
  </si>
  <si>
    <t xml:space="preserve">EZAQUIEL SANTOS DA SILVA </t>
  </si>
  <si>
    <t>0 ANO, 1 MES</t>
  </si>
  <si>
    <t>WIRLLON MENDES DE OLIVEIRA</t>
  </si>
  <si>
    <t>IZAEL DA SILVA CARAMHA</t>
  </si>
  <si>
    <t>0 ANO, 0 MES</t>
  </si>
  <si>
    <t>GERLEY MAR DOS ANJOS</t>
  </si>
  <si>
    <t>0 ANO 6 MES</t>
  </si>
  <si>
    <t>2026'</t>
  </si>
  <si>
    <t xml:space="preserve">0 ANO, 5 MES </t>
  </si>
  <si>
    <t>PAULO VICTOR BARROS MESQUITA</t>
  </si>
  <si>
    <t xml:space="preserve">1 ANO, 1 MES </t>
  </si>
  <si>
    <t>0 ANO , 7 MES</t>
  </si>
  <si>
    <t xml:space="preserve">DIEGO ABREU NASCIMENTO </t>
  </si>
  <si>
    <t>0 ANO , 8 MES</t>
  </si>
  <si>
    <t>ANA CAROLINA CARVALHOS DIAS</t>
  </si>
  <si>
    <t xml:space="preserve">RENAN HENRIQUE DE QUEIROZ NEPOMUCENO </t>
  </si>
  <si>
    <t xml:space="preserve">0 ANO , 1 MES </t>
  </si>
  <si>
    <t>0 ANO, 8 MES</t>
  </si>
  <si>
    <t xml:space="preserve">RAILSON MONTEIRO DE ALBUQUERQUE </t>
  </si>
  <si>
    <t>1 ANO ,1 MES</t>
  </si>
  <si>
    <t>ROBSON DOS SANTOS SANTEIRO</t>
  </si>
  <si>
    <t>DEFERSON KAUE VIEIRA RAMOS</t>
  </si>
  <si>
    <t>0 ANO, 3 MES</t>
  </si>
  <si>
    <t>MATHEUS VITOR DA SILVA SANTIAGO</t>
  </si>
  <si>
    <t>JOSE GREGORIO GIRON AGUINAGALDE</t>
  </si>
  <si>
    <t xml:space="preserve">1 ANO, 9 MES </t>
  </si>
  <si>
    <t xml:space="preserve">GLEICIOMAR SILVA DA COSTA </t>
  </si>
  <si>
    <t>3 ANO, 8 MES</t>
  </si>
  <si>
    <t xml:space="preserve">JOSUE CORREA DA SILVA </t>
  </si>
  <si>
    <t xml:space="preserve">0 ANO, 4 MES  </t>
  </si>
  <si>
    <t xml:space="preserve">COLETA DOMICILAR </t>
  </si>
  <si>
    <t xml:space="preserve">ANDREW GUILHERME SOUZA DA CUNHA </t>
  </si>
  <si>
    <t>0 ANO, 2 MES</t>
  </si>
  <si>
    <t>FALTA SEM JUSTIFICATIVA LEGAL</t>
  </si>
  <si>
    <t xml:space="preserve">NÃO CUMPRIMENTO DO PROCESSO OPERACIONAL </t>
  </si>
  <si>
    <t xml:space="preserve">ATRASO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</si>
</sst>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8" x14ac:knownFonts="1">
    <font>
      <sz val="11"/>
      <color theme="1"/>
      <name val="Calibri"/>
      <family val="2"/>
      <scheme val="minor"/>
    </font>
    <font>
      <b/>
      <sz val="11"/>
      <color theme="0"/>
      <name val="Calibri"/>
      <family val="2"/>
      <scheme val="minor"/>
    </font>
    <font>
      <b/>
      <sz val="11"/>
      <color theme="1"/>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theme="1"/>
      <name val="Calibri"/>
      <family val="2"/>
      <scheme val="minor"/>
    </font>
    <font>
      <sz val="8"/>
      <color rgb="FF000000"/>
      <name val="Tahoma"/>
      <family val="2"/>
    </font>
  </fonts>
  <fills count="10">
    <fill>
      <patternFill patternType="none"/>
    </fill>
    <fill>
      <patternFill patternType="gray125"/>
    </fill>
    <fill>
      <patternFill patternType="solid">
        <fgColor theme="9"/>
        <bgColor indexed="64"/>
      </patternFill>
    </fill>
    <fill>
      <patternFill patternType="solid">
        <fgColor theme="0" tint="-4.9989318521683403E-2"/>
        <bgColor indexed="64"/>
      </patternFill>
    </fill>
    <fill>
      <patternFill patternType="solid">
        <fgColor theme="0" tint="-4.9989318521683403E-2"/>
        <bgColor theme="4" tint="0.79998168889431442"/>
      </patternFill>
    </fill>
    <fill>
      <patternFill patternType="solid">
        <fgColor rgb="FF009BD2"/>
        <bgColor indexed="64"/>
      </patternFill>
    </fill>
    <fill>
      <patternFill patternType="solid">
        <fgColor rgb="FFFFFF00"/>
        <bgColor indexed="64"/>
      </patternFill>
    </fill>
    <fill>
      <patternFill patternType="solid">
        <fgColor rgb="FFD3D3D3"/>
      </patternFill>
    </fill>
    <fill>
      <patternFill patternType="solid">
        <fgColor rgb="FFFFFFFF"/>
      </patternFill>
    </fill>
    <fill>
      <patternFill patternType="solid">
        <fgColor theme="6"/>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bottom/>
      <diagonal/>
    </border>
    <border>
      <left style="thin">
        <color rgb="FFA9A9A9"/>
      </left>
      <right style="thin">
        <color rgb="FFA9A9A9"/>
      </right>
      <top style="thin">
        <color rgb="FFA9A9A9"/>
      </top>
      <bottom style="thin">
        <color rgb="FFA9A9A9"/>
      </bottom>
      <diagonal/>
    </border>
    <border>
      <left style="thin">
        <color rgb="FF808080"/>
      </left>
      <right style="thin">
        <color rgb="FF808080"/>
      </right>
      <top style="thin">
        <color rgb="FF808080"/>
      </top>
      <bottom style="thin">
        <color rgb="FF808080"/>
      </bottom>
      <diagonal/>
    </border>
    <border>
      <left style="thin">
        <color rgb="FFA9A9A9"/>
      </left>
      <right style="thin">
        <color rgb="FFA9A9A9"/>
      </right>
      <top/>
      <bottom/>
      <diagonal/>
    </border>
    <border>
      <left/>
      <right style="thin">
        <color rgb="FFA9A9A9"/>
      </right>
      <top style="thin">
        <color rgb="FFA9A9A9"/>
      </top>
      <bottom style="thin">
        <color rgb="FFA9A9A9"/>
      </bottom>
      <diagonal/>
    </border>
    <border>
      <left style="thin">
        <color indexed="64"/>
      </left>
      <right/>
      <top style="thin">
        <color indexed="64"/>
      </top>
      <bottom/>
      <diagonal/>
    </border>
  </borders>
  <cellStyleXfs count="2">
    <xf numFmtId="0" fontId="0" fillId="0" borderId="0"/>
    <xf numFmtId="9" fontId="6" fillId="0" borderId="0" applyFont="0" applyFill="0" applyBorder="0" applyAlignment="0" applyProtection="0"/>
  </cellStyleXfs>
  <cellXfs count="53">
    <xf numFmtId="0" fontId="0" fillId="0" borderId="0" xfId="0"/>
    <xf numFmtId="0" fontId="4" fillId="0" borderId="1" xfId="0" applyFont="1" applyBorder="1" applyAlignment="1">
      <alignment horizontal="center"/>
    </xf>
    <xf numFmtId="0" fontId="5" fillId="2" borderId="1" xfId="0" applyFont="1" applyFill="1" applyBorder="1" applyAlignment="1">
      <alignment horizontal="center"/>
    </xf>
    <xf numFmtId="0" fontId="4" fillId="0" borderId="1" xfId="0" applyFont="1" applyBorder="1" applyAlignment="1">
      <alignment horizontal="center" vertical="center"/>
    </xf>
    <xf numFmtId="0" fontId="4" fillId="0" borderId="1" xfId="0" applyFont="1" applyBorder="1"/>
    <xf numFmtId="0" fontId="0" fillId="0" borderId="0" xfId="0" applyAlignment="1">
      <alignment horizontal="left"/>
    </xf>
    <xf numFmtId="0" fontId="0" fillId="0" borderId="0" xfId="0" pivotButton="1"/>
    <xf numFmtId="0" fontId="0" fillId="0" borderId="0" xfId="0" applyAlignment="1">
      <alignment horizontal="left" indent="1"/>
    </xf>
    <xf numFmtId="14" fontId="0" fillId="0" borderId="0" xfId="0" applyNumberFormat="1" applyAlignment="1">
      <alignment horizontal="left"/>
    </xf>
    <xf numFmtId="0" fontId="3" fillId="3" borderId="2" xfId="0" applyFont="1" applyFill="1" applyBorder="1" applyAlignment="1">
      <alignment horizontal="center" vertical="center"/>
    </xf>
    <xf numFmtId="10" fontId="0" fillId="0" borderId="0" xfId="0" applyNumberFormat="1"/>
    <xf numFmtId="0" fontId="0" fillId="6" borderId="0" xfId="0" applyFill="1"/>
    <xf numFmtId="9" fontId="0" fillId="6" borderId="0" xfId="1" applyFont="1" applyFill="1"/>
    <xf numFmtId="49" fontId="7" fillId="7" borderId="7" xfId="0" applyNumberFormat="1" applyFont="1" applyFill="1" applyBorder="1" applyAlignment="1">
      <alignment horizontal="center" vertical="center" readingOrder="1"/>
    </xf>
    <xf numFmtId="49" fontId="7" fillId="8" borderId="7" xfId="0" applyNumberFormat="1" applyFont="1" applyFill="1" applyBorder="1" applyAlignment="1">
      <alignment horizontal="left" vertical="center" readingOrder="1"/>
    </xf>
    <xf numFmtId="14" fontId="7" fillId="8" borderId="7" xfId="0" applyNumberFormat="1" applyFont="1" applyFill="1" applyBorder="1" applyAlignment="1">
      <alignment horizontal="left" vertical="center" readingOrder="1"/>
    </xf>
    <xf numFmtId="49" fontId="7" fillId="0" borderId="8" xfId="0" applyNumberFormat="1" applyFont="1" applyBorder="1" applyAlignment="1">
      <alignment horizontal="left" vertical="center" readingOrder="1"/>
    </xf>
    <xf numFmtId="49" fontId="7" fillId="7" borderId="9" xfId="0" applyNumberFormat="1" applyFont="1" applyFill="1" applyBorder="1" applyAlignment="1">
      <alignment horizontal="center" vertical="center" readingOrder="1"/>
    </xf>
    <xf numFmtId="49" fontId="7" fillId="7" borderId="10" xfId="0" applyNumberFormat="1" applyFont="1" applyFill="1" applyBorder="1" applyAlignment="1">
      <alignment horizontal="center" vertical="center" readingOrder="1"/>
    </xf>
    <xf numFmtId="49" fontId="7" fillId="8" borderId="10" xfId="0" applyNumberFormat="1" applyFont="1" applyFill="1" applyBorder="1" applyAlignment="1">
      <alignment horizontal="left" vertical="center" readingOrder="1"/>
    </xf>
    <xf numFmtId="0" fontId="0" fillId="6" borderId="0" xfId="0" applyFill="1" applyAlignment="1">
      <alignment horizontal="center"/>
    </xf>
    <xf numFmtId="9" fontId="0" fillId="6" borderId="0" xfId="1" applyFont="1" applyFill="1" applyAlignment="1">
      <alignment horizontal="center"/>
    </xf>
    <xf numFmtId="0" fontId="2" fillId="6" borderId="0" xfId="0" applyFont="1" applyFill="1" applyAlignment="1">
      <alignment horizontal="center"/>
    </xf>
    <xf numFmtId="9" fontId="0" fillId="0" borderId="0" xfId="1" applyFont="1"/>
    <xf numFmtId="9" fontId="0" fillId="0" borderId="0" xfId="0" applyNumberFormat="1"/>
    <xf numFmtId="9" fontId="0" fillId="0" borderId="0" xfId="1" applyFont="1" applyAlignment="1">
      <alignment horizontal="center"/>
    </xf>
    <xf numFmtId="0" fontId="0" fillId="0" borderId="0" xfId="0" applyAlignment="1">
      <alignment horizontal="center"/>
    </xf>
    <xf numFmtId="0" fontId="0" fillId="9" borderId="0" xfId="0" applyFill="1"/>
    <xf numFmtId="0" fontId="1" fillId="9" borderId="11" xfId="0" applyFont="1" applyFill="1" applyBorder="1" applyAlignment="1">
      <alignment horizontal="center"/>
    </xf>
    <xf numFmtId="0" fontId="1" fillId="9" borderId="11" xfId="0" applyFont="1" applyFill="1" applyBorder="1" applyAlignment="1">
      <alignment horizontal="center" wrapText="1"/>
    </xf>
    <xf numFmtId="0" fontId="5" fillId="3" borderId="11" xfId="0" applyFont="1" applyFill="1" applyBorder="1" applyAlignment="1">
      <alignment horizontal="center" vertical="center"/>
    </xf>
    <xf numFmtId="0" fontId="3" fillId="3" borderId="11" xfId="0" applyFont="1" applyFill="1" applyBorder="1" applyAlignment="1">
      <alignment horizontal="left" vertical="center"/>
    </xf>
    <xf numFmtId="0" fontId="3" fillId="3" borderId="11" xfId="0" applyFont="1" applyFill="1" applyBorder="1" applyAlignment="1">
      <alignment horizontal="center" vertical="center"/>
    </xf>
    <xf numFmtId="14" fontId="3" fillId="3" borderId="11" xfId="0" applyNumberFormat="1" applyFont="1" applyFill="1" applyBorder="1" applyAlignment="1">
      <alignment horizontal="center" vertical="center"/>
    </xf>
    <xf numFmtId="17" fontId="3" fillId="4" borderId="11" xfId="0" applyNumberFormat="1" applyFont="1" applyFill="1" applyBorder="1" applyAlignment="1">
      <alignment horizontal="center" vertical="center"/>
    </xf>
    <xf numFmtId="0" fontId="3" fillId="3" borderId="5" xfId="0" applyFont="1" applyFill="1" applyBorder="1" applyAlignment="1">
      <alignment horizontal="center" vertical="center" wrapText="1"/>
    </xf>
    <xf numFmtId="0" fontId="3" fillId="4" borderId="11" xfId="0" applyFont="1" applyFill="1" applyBorder="1" applyAlignment="1">
      <alignment horizontal="center" vertical="center"/>
    </xf>
    <xf numFmtId="0" fontId="3" fillId="3" borderId="11" xfId="0" applyFont="1" applyFill="1" applyBorder="1" applyAlignment="1">
      <alignment vertical="center"/>
    </xf>
    <xf numFmtId="0" fontId="3" fillId="3" borderId="2" xfId="0" applyFont="1" applyFill="1" applyBorder="1" applyAlignment="1">
      <alignment horizontal="left" vertical="center"/>
    </xf>
    <xf numFmtId="14" fontId="3" fillId="3" borderId="2" xfId="0" applyNumberFormat="1" applyFont="1" applyFill="1" applyBorder="1" applyAlignment="1">
      <alignment horizontal="center" vertical="center"/>
    </xf>
    <xf numFmtId="0" fontId="3" fillId="4" borderId="2" xfId="0" applyFont="1" applyFill="1" applyBorder="1" applyAlignment="1">
      <alignment horizontal="center" vertical="center"/>
    </xf>
    <xf numFmtId="0" fontId="3" fillId="3" borderId="11" xfId="0" applyFont="1" applyFill="1" applyBorder="1" applyAlignment="1">
      <alignment horizontal="center" vertical="center" wrapText="1"/>
    </xf>
    <xf numFmtId="0" fontId="0" fillId="0" borderId="0" xfId="0" applyAlignment="1">
      <alignment vertical="center"/>
    </xf>
    <xf numFmtId="17" fontId="3" fillId="4" borderId="11" xfId="0" applyNumberFormat="1" applyFont="1" applyFill="1" applyBorder="1" applyAlignment="1">
      <alignment horizontal="left" vertical="center"/>
    </xf>
    <xf numFmtId="0" fontId="5" fillId="2" borderId="1" xfId="0" applyFont="1" applyFill="1" applyBorder="1" applyAlignment="1">
      <alignment horizontal="center"/>
    </xf>
    <xf numFmtId="0" fontId="5" fillId="2" borderId="2" xfId="0" applyFont="1" applyFill="1" applyBorder="1" applyAlignment="1">
      <alignment horizontal="center"/>
    </xf>
    <xf numFmtId="0" fontId="5" fillId="2" borderId="3" xfId="0" applyFont="1" applyFill="1" applyBorder="1" applyAlignment="1">
      <alignment horizontal="center"/>
    </xf>
    <xf numFmtId="0" fontId="1" fillId="5" borderId="2" xfId="0" applyFont="1" applyFill="1" applyBorder="1" applyAlignment="1">
      <alignment horizontal="center"/>
    </xf>
    <xf numFmtId="0" fontId="1" fillId="5" borderId="3" xfId="0" applyFont="1" applyFill="1" applyBorder="1" applyAlignment="1">
      <alignment horizontal="center"/>
    </xf>
    <xf numFmtId="0" fontId="2" fillId="5" borderId="3" xfId="0" applyFont="1" applyFill="1" applyBorder="1" applyAlignment="1">
      <alignment horizontal="center"/>
    </xf>
    <xf numFmtId="0" fontId="1" fillId="5" borderId="4" xfId="0" applyFont="1" applyFill="1" applyBorder="1" applyAlignment="1">
      <alignment horizontal="center"/>
    </xf>
    <xf numFmtId="0" fontId="1" fillId="5" borderId="0" xfId="0" applyFont="1" applyFill="1" applyAlignment="1">
      <alignment horizontal="center"/>
    </xf>
    <xf numFmtId="0" fontId="1" fillId="5" borderId="6" xfId="0" applyFont="1" applyFill="1" applyBorder="1" applyAlignment="1">
      <alignment horizontal="center"/>
    </xf>
  </cellXfs>
  <cellStyles count="2">
    <cellStyle name="Normal" xfId="0" builtinId="0"/>
    <cellStyle name="Porcentagem" xfId="1" builtinId="5"/>
  </cellStyles>
  <dxfs count="24">
    <dxf>
      <font>
        <b val="0"/>
        <i val="0"/>
        <strike val="0"/>
        <condense val="0"/>
        <extend val="0"/>
        <outline val="0"/>
        <shadow val="0"/>
        <u val="none"/>
        <vertAlign val="baseline"/>
        <sz val="8"/>
        <color rgb="FF000000"/>
        <name val="Tahoma"/>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30" formatCode="@"/>
      <fill>
        <patternFill patternType="none">
          <fgColor indexed="64"/>
          <bgColor indexed="65"/>
        </patternFill>
      </fill>
      <alignment horizontal="left" vertical="center" textRotation="0" wrapText="0" indent="0" justifyLastLine="0" shrinkToFit="0" readingOrder="1"/>
      <border diagonalUp="0" diagonalDown="0">
        <left style="thin">
          <color rgb="FF808080"/>
        </left>
        <right style="thin">
          <color rgb="FF808080"/>
        </right>
        <top style="thin">
          <color rgb="FF808080"/>
        </top>
        <bottom style="thin">
          <color rgb="FF808080"/>
        </bottom>
        <vertical/>
        <horizontal/>
      </border>
    </dxf>
    <dxf>
      <font>
        <b val="0"/>
        <i val="0"/>
        <strike val="0"/>
        <condense val="0"/>
        <extend val="0"/>
        <outline val="0"/>
        <shadow val="0"/>
        <u val="none"/>
        <vertAlign val="baseline"/>
        <sz val="8"/>
        <color rgb="FF000000"/>
        <name val="Tahoma"/>
        <scheme val="none"/>
      </font>
      <numFmt numFmtId="19" formatCode="dd/mm/yyyy"/>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30" formatCode="@"/>
      <fill>
        <patternFill patternType="none">
          <fgColor indexed="64"/>
          <bgColor indexed="65"/>
        </patternFill>
      </fill>
      <alignment horizontal="left" vertical="center" textRotation="0" wrapText="0" indent="0" justifyLastLine="0" shrinkToFit="0" readingOrder="1"/>
      <border diagonalUp="0" diagonalDown="0">
        <left style="thin">
          <color rgb="FF808080"/>
        </left>
        <right style="thin">
          <color rgb="FF808080"/>
        </right>
        <top style="thin">
          <color rgb="FF808080"/>
        </top>
        <bottom style="thin">
          <color rgb="FF808080"/>
        </bottom>
        <vertical/>
        <horizontal/>
      </border>
    </dxf>
    <dxf>
      <font>
        <b val="0"/>
        <i val="0"/>
        <strike val="0"/>
        <condense val="0"/>
        <extend val="0"/>
        <outline val="0"/>
        <shadow val="0"/>
        <u val="none"/>
        <vertAlign val="baseline"/>
        <sz val="8"/>
        <color rgb="FF000000"/>
        <name val="Tahoma"/>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19" formatCode="dd/mm/yyyy"/>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protection locked="1" hidden="0"/>
    </dxf>
    <dxf>
      <font>
        <b val="0"/>
        <i val="0"/>
        <strike val="0"/>
        <condense val="0"/>
        <extend val="0"/>
        <outline val="0"/>
        <shadow val="0"/>
        <u val="none"/>
        <vertAlign val="baseline"/>
        <sz val="8"/>
        <color rgb="FF000000"/>
        <name val="Tahoma"/>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right style="thin">
          <color rgb="FFA9A9A9"/>
        </right>
        <top style="thin">
          <color rgb="FFA9A9A9"/>
        </top>
        <bottom style="thin">
          <color rgb="FFA9A9A9"/>
        </bottom>
        <vertical/>
        <horizontal/>
      </border>
      <protection locked="1" hidden="0"/>
    </dxf>
    <dxf>
      <border outline="0">
        <left style="thin">
          <color rgb="FFA9A9A9"/>
        </left>
      </border>
    </dxf>
    <dxf>
      <font>
        <b val="0"/>
        <i val="0"/>
        <strike val="0"/>
        <condense val="0"/>
        <extend val="0"/>
        <outline val="0"/>
        <shadow val="0"/>
        <u val="none"/>
        <vertAlign val="baseline"/>
        <sz val="8"/>
        <color rgb="FF000000"/>
        <name val="Tahoma"/>
        <scheme val="none"/>
      </font>
      <fill>
        <patternFill patternType="solid">
          <fgColor indexed="64"/>
          <bgColor rgb="FFFFFFFF"/>
        </patternFill>
      </fill>
      <alignment horizontal="left" vertical="center" textRotation="0" wrapText="0" indent="0" justifyLastLine="0" shrinkToFit="0" readingOrder="1"/>
      <protection locked="1" hidden="0"/>
    </dxf>
    <dxf>
      <font>
        <b val="0"/>
        <i val="0"/>
        <strike val="0"/>
        <condense val="0"/>
        <extend val="0"/>
        <outline val="0"/>
        <shadow val="0"/>
        <u val="none"/>
        <vertAlign val="baseline"/>
        <sz val="8"/>
        <color rgb="FF000000"/>
        <name val="Tahoma"/>
        <scheme val="none"/>
      </font>
      <numFmt numFmtId="30" formatCode="@"/>
      <fill>
        <patternFill patternType="solid">
          <fgColor indexed="64"/>
          <bgColor rgb="FFD3D3D3"/>
        </patternFill>
      </fill>
      <alignment horizontal="center" vertical="center" textRotation="0" wrapText="0" indent="0" justifyLastLine="0" shrinkToFit="0" readingOrder="1"/>
      <border diagonalUp="0" diagonalDown="0" outline="0">
        <left style="thin">
          <color rgb="FFA9A9A9"/>
        </left>
        <right style="thin">
          <color rgb="FFA9A9A9"/>
        </right>
        <top/>
        <bottom/>
      </border>
      <protection locked="1" hidden="0"/>
    </dxf>
    <dxf>
      <numFmt numFmtId="0" formatCode="General"/>
    </dxf>
    <dxf>
      <numFmt numFmtId="13" formatCode="0%"/>
    </dxf>
    <dxf>
      <numFmt numFmtId="0" formatCode="General"/>
    </dxf>
    <dxf>
      <numFmt numFmtId="166" formatCode="0.0%"/>
    </dxf>
    <dxf>
      <numFmt numFmtId="13" formatCode="0%"/>
    </dxf>
    <dxf>
      <numFmt numFmtId="13" formatCode="0%"/>
    </dxf>
    <dxf>
      <numFmt numFmtId="13" formatCode="0%"/>
    </dxf>
    <dxf>
      <fill>
        <patternFill>
          <bgColor theme="0" tint="-0.14996795556505021"/>
        </patternFill>
      </fill>
    </dxf>
    <dxf>
      <font>
        <b/>
        <i val="0"/>
        <u/>
        <sz val="12"/>
        <color theme="1" tint="0.34998626667073579"/>
        <name val="Cambria"/>
        <scheme val="major"/>
      </font>
    </dxf>
    <dxf>
      <font>
        <b/>
        <i val="0"/>
      </font>
      <fill>
        <patternFill>
          <fgColor theme="6" tint="0.39994506668294322"/>
          <bgColor theme="6" tint="0.39991454817346722"/>
        </patternFill>
      </fill>
    </dxf>
  </dxfs>
  <tableStyles count="2" defaultTableStyle="TableStyleMedium2" defaultPivotStyle="PivotStyleMedium9">
    <tableStyle name="Estilo de Segmentação de Dados 1" pivot="0" table="0" count="4">
      <tableStyleElement type="wholeTable" dxfId="23"/>
      <tableStyleElement type="headerRow" dxfId="22"/>
    </tableStyle>
    <tableStyle name="Estilo de Segmentação de Dados 2" pivot="0" table="0" count="3">
      <tableStyleElement type="wholeTable" dxfId="21"/>
    </tableStyle>
  </tableStyles>
  <colors>
    <mruColors>
      <color rgb="FF42043B"/>
      <color rgb="FF075509"/>
      <color rgb="FF009BD2"/>
    </mruColors>
  </colors>
  <extLst>
    <ext xmlns:x14="http://schemas.microsoft.com/office/spreadsheetml/2009/9/main" uri="{46F421CA-312F-682f-3DD2-61675219B42D}">
      <x14:dxfs count="4">
        <dxf>
          <fill>
            <patternFill>
              <bgColor theme="0" tint="-0.34998626667073579"/>
            </patternFill>
          </fill>
        </dxf>
        <dxf>
          <font>
            <b/>
            <i val="0"/>
            <sz val="14"/>
          </font>
          <border>
            <left style="thin">
              <color auto="1"/>
            </left>
            <right style="thin">
              <color auto="1"/>
            </right>
            <top style="thin">
              <color auto="1"/>
            </top>
            <bottom style="thin">
              <color auto="1"/>
            </bottom>
          </border>
        </dxf>
        <dxf>
          <font>
            <b/>
            <i val="0"/>
            <sz val="12"/>
            <color theme="1" tint="0.34998626667073579"/>
          </font>
          <fill>
            <patternFill>
              <bgColor theme="0"/>
            </patternFill>
          </fill>
        </dxf>
        <dxf>
          <font>
            <b/>
            <i val="0"/>
            <sz val="14"/>
          </font>
          <fill>
            <patternFill>
              <fgColor theme="9" tint="-0.24994659260841701"/>
            </patternFill>
          </fill>
          <border>
            <left style="thick">
              <color auto="1"/>
            </left>
            <right style="thick">
              <color auto="1"/>
            </right>
            <top style="thick">
              <color auto="1"/>
            </top>
            <bottom style="thick">
              <color auto="1"/>
            </bottom>
          </border>
        </dxf>
      </x14:dxfs>
    </ext>
    <ext xmlns:x14="http://schemas.microsoft.com/office/spreadsheetml/2009/9/main" uri="{EB79DEF2-80B8-43e5-95BD-54CBDDF9020C}">
      <x14:slicerStyles defaultSlicerStyle="SlicerStyleLight1">
        <x14:slicerStyle name="Estilo de Segmentação de Dados 1">
          <x14:slicerStyleElements>
            <x14:slicerStyleElement type="selectedItemWithData" dxfId="3"/>
            <x14:slicerStyleElement type="selectedItemWithNoData" dxfId="2"/>
          </x14:slicerStyleElements>
        </x14:slicerStyle>
        <x14:slicerStyle name="Estilo de Segmentação de Dados 2">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5.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Autor" refreshedDate="45341.691670717591" createdVersion="4" refreshedVersion="6" minRefreshableVersion="3" recordCount="268">
  <cacheSource type="worksheet">
    <worksheetSource ref="A1:O1048576" sheet="PENALIDADES 2026"/>
  </cacheSource>
  <cacheFields count="22">
    <cacheField name="QT" numFmtId="0">
      <sharedItems containsString="0" containsBlank="1" containsNumber="1" containsInteger="1" minValue="1" maxValue="256"/>
    </cacheField>
    <cacheField name="NOME DO COLABORADOR" numFmtId="0">
      <sharedItems containsBlank="1"/>
    </cacheField>
    <cacheField name="MATRÍCULA" numFmtId="0">
      <sharedItems containsString="0" containsBlank="1" containsNumber="1" containsInteger="1" minValue="2770000036" maxValue="2770003275" count="233">
        <n v="2770002873"/>
        <n v="2770003208"/>
        <n v="2770002692"/>
        <n v="2770002963"/>
        <n v="2770002875"/>
        <n v="2770002925"/>
        <n v="2770003188"/>
        <n v="2770003271"/>
        <n v="2770000243"/>
        <n v="2770003039"/>
        <n v="2770003108"/>
        <n v="2770002920"/>
        <n v="2770003085"/>
        <n v="2770002804"/>
        <n v="2770002709"/>
        <n v="2770003014"/>
        <n v="2770003120"/>
        <n v="2770003011"/>
        <n v="2770002204"/>
        <n v="2770002885"/>
        <n v="2770003091"/>
        <n v="2770002994"/>
        <n v="2770003184"/>
        <n v="2770003122"/>
        <n v="2770003240"/>
        <n v="2770003004"/>
        <n v="2770002252"/>
        <n v="2770002071"/>
        <n v="2770003243"/>
        <n v="2770002897"/>
        <n v="2770002917"/>
        <n v="2770003275"/>
        <n v="2770003021"/>
        <n v="2770002769"/>
        <n v="2770003169"/>
        <n v="2770003146"/>
        <n v="2770002953"/>
        <n v="2770003133"/>
        <n v="2770002546"/>
        <n v="2770003262"/>
        <n v="2770002517"/>
        <n v="2770003060"/>
        <n v="2770003166"/>
        <n v="2770002675"/>
        <n v="2770003204"/>
        <n v="2770002442"/>
        <n v="2770003219"/>
        <n v="2770002764"/>
        <n v="2770000144"/>
        <n v="2770003176"/>
        <n v="2770002772"/>
        <n v="2770002134"/>
        <n v="2770002191"/>
        <n v="2770002369"/>
        <n v="2770002896"/>
        <n v="2770002919"/>
        <n v="2770002830"/>
        <n v="2770003030"/>
        <n v="2770002609"/>
        <n v="2770003038"/>
        <n v="2770001795"/>
        <n v="2770000297"/>
        <n v="2770002827"/>
        <n v="2770003031"/>
        <n v="2770002833"/>
        <n v="2770003013"/>
        <n v="2770001508"/>
        <n v="2770002973"/>
        <n v="2770003026"/>
        <n v="2770002535"/>
        <n v="2770003008"/>
        <n v="2770003042"/>
        <n v="2770002602"/>
        <n v="2770002569"/>
        <n v="2770001875"/>
        <n v="2770000172"/>
        <n v="2770002520"/>
        <n v="2770002273"/>
        <n v="2770002172"/>
        <n v="2770000934"/>
        <n v="2770002988"/>
        <n v="2770002434"/>
        <n v="2770002929"/>
        <n v="2770002422"/>
        <n v="2770002055"/>
        <n v="2770002993"/>
        <n v="2770002992"/>
        <n v="2770002492"/>
        <n v="2770003056"/>
        <n v="2770002820"/>
        <n v="2770000085"/>
        <n v="2770002265"/>
        <n v="2770003029"/>
        <n v="2770002211"/>
        <n v="2770002933"/>
        <n v="2770002430"/>
        <n v="2770002470"/>
        <n v="2770000097"/>
        <n v="2770002842"/>
        <n v="2770002935"/>
        <n v="2770002590"/>
        <n v="2770002895"/>
        <n v="2770002686"/>
        <n v="2770002613"/>
        <n v="2770002634"/>
        <n v="2770002989"/>
        <n v="2770002952"/>
        <n v="2770003062"/>
        <n v="2770002681"/>
        <n v="2770002643"/>
        <n v="2770001800"/>
        <n v="2770002792"/>
        <n v="2770002486"/>
        <n v="2770002271"/>
        <n v="2770002607"/>
        <n v="2770002131"/>
        <n v="2770002673"/>
        <n v="2770002704"/>
        <n v="2770002740"/>
        <n v="2770002881"/>
        <n v="2770002884"/>
        <n v="2770003046"/>
        <n v="2770002491"/>
        <n v="2770002821"/>
        <n v="2770002200"/>
        <n v="2770003092"/>
        <n v="2770002786"/>
        <n v="2770002699"/>
        <n v="2770003044"/>
        <n v="2770002874"/>
        <n v="2770002661"/>
        <n v="2770002482"/>
        <n v="2770000705"/>
        <n v="2770003109"/>
        <n v="2770002331"/>
        <n v="2770003111"/>
        <n v="2770002321"/>
        <n v="2770003063"/>
        <n v="2770000036"/>
        <n v="2770002498"/>
        <n v="2770002677"/>
        <n v="2770002457"/>
        <n v="2770002676"/>
        <n v="2770002391"/>
        <n v="2770002938"/>
        <n v="2770003081"/>
        <n v="2770003115"/>
        <n v="2770003116"/>
        <n v="2770002443"/>
        <n v="2770003138"/>
        <n v="2770002210"/>
        <n v="2770003090"/>
        <n v="2770003105"/>
        <n v="2770003098"/>
        <n v="2770003151"/>
        <n v="2770003096"/>
        <n v="2770002829"/>
        <n v="2770003094"/>
        <n v="2770003142"/>
        <n v="2770003139"/>
        <n v="2770002965"/>
        <n v="2770002978"/>
        <n v="2770003141"/>
        <n v="2770002972"/>
        <n v="2770002651"/>
        <n v="2770003137"/>
        <n v="2770002828"/>
        <n v="2770003078"/>
        <n v="2770002510"/>
        <m/>
        <n v="2770002591" u="1"/>
        <n v="2770003088" u="1"/>
        <n v="2770003159" u="1"/>
        <n v="2770002983" u="1"/>
        <n v="2770002665" u="1"/>
        <n v="2770003020" u="1"/>
        <n v="2770002861" u="1"/>
        <n v="2770003145" u="1"/>
        <n v="2770002205" u="1"/>
        <n v="2770002776" u="1"/>
        <n v="2770003273" u="1"/>
        <n v="2770002901" u="1"/>
        <n v="2770003097" u="1"/>
        <n v="2770000234" u="1"/>
        <n v="2770002461" u="1"/>
        <n v="2770002745" u="1"/>
        <n v="2770003100" u="1"/>
        <n v="2770002995" u="1"/>
        <n v="2770003191" u="1"/>
        <n v="2770003228" u="1"/>
        <n v="2770002254" u="1"/>
        <n v="2770003001" u="1"/>
        <n v="2770003126" u="1"/>
        <n v="2770000317" u="1"/>
        <n v="2770002720" u="1"/>
        <n v="2770002916" u="1"/>
        <n v="2770003129" u="1"/>
        <n v="2770002970" u="1"/>
        <n v="2770002956" u="1"/>
        <n v="2770003010" u="1"/>
        <n v="2770003152" u="1"/>
        <n v="2770003223" u="1"/>
        <n v="2770002496" u="1"/>
        <n v="2770000343" u="1"/>
        <n v="2770002746" u="1"/>
        <n v="2770002817" u="1"/>
        <n v="2770003155" u="1"/>
        <n v="2770003226" u="1"/>
        <n v="2770002783" u="1"/>
        <n v="2770002340" u="1"/>
        <n v="2770002979" u="1"/>
        <n v="2770003246" u="1"/>
        <n v="2770003016" u="1"/>
        <n v="2770003229" u="1"/>
        <n v="2770003053" u="1"/>
        <n v="2770003161" u="1"/>
        <n v="2770003110" u="1"/>
        <n v="2770002951" u="1"/>
        <n v="2770003022" u="1"/>
        <n v="2770003093" u="1"/>
        <n v="2770003076" u="1"/>
        <n v="2770003113" u="1"/>
        <n v="2770002812" u="1"/>
        <n v="2770002866" u="1"/>
        <n v="2770003079" u="1"/>
        <n v="2770002974" u="1"/>
        <n v="2770003045" u="1"/>
        <n v="2770003170" u="1"/>
        <n v="2770002835" u="1"/>
        <n v="2770002534" u="1"/>
        <n v="2770002926" u="1"/>
        <n v="2770002997" u="1"/>
        <n v="2770003193" u="1"/>
      </sharedItems>
    </cacheField>
    <cacheField name="CONTRATO" numFmtId="0">
      <sharedItems containsBlank="1" count="5">
        <s v="NORMAL"/>
        <s v="PARCIAL"/>
        <s v="NORMAL "/>
        <s v="APRENDIZAGEM"/>
        <m/>
      </sharedItems>
    </cacheField>
    <cacheField name="DATA DE ADMISSÃO" numFmtId="0">
      <sharedItems containsNonDate="0" containsDate="1" containsString="0" containsBlank="1" minDate="2013-02-08T00:00:00" maxDate="2023-11-18T00:00:00"/>
    </cacheField>
    <cacheField name="TOTAL DE TEMPO DE EMPRESA" numFmtId="0">
      <sharedItems containsBlank="1"/>
    </cacheField>
    <cacheField name="TOTAL DE TEMPO (FÓRMULA)" numFmtId="0">
      <sharedItems containsString="0" containsBlank="1" containsNumber="1" minValue="2.5000000000000001E-2" maxValue="11.113888888888889"/>
    </cacheField>
    <cacheField name="TOTAL DE TEMPO DE EMPRESA 2" numFmtId="0">
      <sharedItems containsBlank="1"/>
    </cacheField>
    <cacheField name="FUNÇÃO" numFmtId="0">
      <sharedItems containsBlank="1" count="12">
        <s v="AGENTE DE COLETA"/>
        <s v="MOTORISTA"/>
        <s v="FISCAL DE OPERAÇÕES JR"/>
        <s v="FISCAL DE OPERAÇÕES PL"/>
        <s v="EDUCADOR AMBIENTAL JR"/>
        <s v="AUXILIAR ADMINISTRATIVO/APRENDIZ"/>
        <s v="SOLDADOR"/>
        <s v="AGENTE  DE COLETA"/>
        <m/>
        <s v="PEDREIRO" u="1"/>
        <s v="AUXILIAR ADMINISTRATIVO" u="1"/>
        <s v="JOVEM APRENDIZ" u="1"/>
      </sharedItems>
    </cacheField>
    <cacheField name="SETOR" numFmtId="0">
      <sharedItems containsBlank="1"/>
    </cacheField>
    <cacheField name="TURNO" numFmtId="0">
      <sharedItems containsBlank="1" count="8">
        <s v="NOTURNO"/>
        <s v="DIURNO"/>
        <s v="COMERCIAL"/>
        <s v="MATUTINO"/>
        <s v="VESPERTINO"/>
        <m/>
        <s v="INTERMEDIÁRIO" u="1"/>
        <s v="NOTURNO " u="1"/>
      </sharedItems>
    </cacheField>
    <cacheField name="GESTOR" numFmtId="0">
      <sharedItems containsBlank="1"/>
    </cacheField>
    <cacheField name="TIPO DE PENALIDADE " numFmtId="0">
      <sharedItems containsBlank="1"/>
    </cacheField>
    <cacheField name="DATA DA PENALIDADE" numFmtId="0">
      <sharedItems containsNonDate="0" containsDate="1" containsString="0" containsBlank="1" minDate="2023-01-01T00:00:00" maxDate="2024-01-26T00:00:00"/>
    </cacheField>
    <cacheField name="MÊS DA PENALIDADE" numFmtId="0">
      <sharedItems containsDate="1" containsBlank="1" containsMixedTypes="1" minDate="2024-01-04T00:00:00" maxDate="2024-01-05T00:00:00"/>
    </cacheField>
    <cacheField name="Coluna1" numFmtId="0">
      <sharedItems containsNonDate="0" containsString="0" containsBlank="1"/>
    </cacheField>
    <cacheField name="DATA DA APLICAÇÃO" numFmtId="0">
      <sharedItems containsNonDate="0" containsDate="1" containsString="0" containsBlank="1" minDate="2023-01-02T00:00:00" maxDate="2024-01-29T00:00:00"/>
    </cacheField>
    <cacheField name="MÊS DA APLICAÇÃO" numFmtId="0">
      <sharedItems containsBlank="1" count="13">
        <s v="JANEIRO "/>
        <s v="DEZEMBRO"/>
        <s v="FEVEREIRO"/>
        <s v="MARÇO"/>
        <s v="ABRIL"/>
        <s v="MAIO"/>
        <s v="JUNHO"/>
        <m/>
        <s v="JULHO" u="1"/>
        <s v="OUTUBRO" u="1"/>
        <s v="SETEMBRO" u="1"/>
        <s v="NOVEMBRO" u="1"/>
        <s v="AGOSTO" u="1"/>
      </sharedItems>
    </cacheField>
    <cacheField name="ANO DA PENALIDADE" numFmtId="0">
      <sharedItems containsString="0" containsBlank="1" containsNumber="1" containsInteger="1" minValue="1900" maxValue="2024" count="4">
        <n v="2024"/>
        <n v="2023"/>
        <m/>
        <n v="1900" u="1"/>
      </sharedItems>
    </cacheField>
    <cacheField name="RETORNO AO TRABALHO" numFmtId="0">
      <sharedItems containsNonDate="0" containsDate="1" containsString="0" containsBlank="1" minDate="2023-01-01T00:00:00" maxDate="2025-01-01T00:00:00"/>
    </cacheField>
    <cacheField name="MOTIVO DA PENALIDADE" numFmtId="0">
      <sharedItems containsBlank="1" count="12">
        <s v="FALTA"/>
        <s v="EXCESSO DE VELOCIDADE"/>
        <s v="ATRASO"/>
        <s v="QUEBRA DE PROCEDIMENTOS"/>
        <s v="INSUBORDINAÇÃO"/>
        <s v="QUEBRA DE PROCEDIMENTO"/>
        <s v="DESCUMPRIMENTO DE ORDEM"/>
        <s v="ARRUMAÇÃO NO ROTEIRO"/>
        <m/>
        <s v="EMBRIAGUEZ" u="1"/>
        <s v="ATRASO " u="1"/>
        <s v="FALTA " u="1"/>
      </sharedItems>
    </cacheField>
    <cacheField name="DESCRIÇÃO DA PENALIDADE" numFmtId="0">
      <sharedItems containsBlank="1" longText="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utor" refreshedDate="45347.759741666669" createdVersion="6" refreshedVersion="6" minRefreshableVersion="3" recordCount="456">
  <cacheSource type="worksheet">
    <worksheetSource ref="A1:N1048576" sheet="PENALIDADES 2026"/>
  </cacheSource>
  <cacheFields count="22">
    <cacheField name="QT" numFmtId="0">
      <sharedItems containsString="0" containsBlank="1" containsNumber="1" containsInteger="1" minValue="1" maxValue="455"/>
    </cacheField>
    <cacheField name="NOME DO COLABORADOR" numFmtId="0">
      <sharedItems containsBlank="1"/>
    </cacheField>
    <cacheField name="MATRÍCULA" numFmtId="0">
      <sharedItems containsString="0" containsBlank="1" containsNumber="1" containsInteger="1" minValue="2770000036" maxValue="2770003275"/>
    </cacheField>
    <cacheField name="CONTRATO" numFmtId="0">
      <sharedItems containsBlank="1" count="4">
        <s v="NORMAL"/>
        <s v="PARCIAL"/>
        <s v="APRENDIZAGEM"/>
        <m/>
      </sharedItems>
    </cacheField>
    <cacheField name="DATA DE ADMISSÃO" numFmtId="0">
      <sharedItems containsNonDate="0" containsDate="1" containsString="0" containsBlank="1" minDate="2013-02-08T00:00:00" maxDate="2023-11-18T00:00:00"/>
    </cacheField>
    <cacheField name="TOTAL DE TEMPO DE EMPRESA" numFmtId="0">
      <sharedItems containsBlank="1"/>
    </cacheField>
    <cacheField name="TOTAL DE TEMPO (FÓRMULA)" numFmtId="0">
      <sharedItems containsString="0" containsBlank="1" containsNumber="1" minValue="2.2222222222222223E-2" maxValue="11.113888888888889"/>
    </cacheField>
    <cacheField name="TOTAL DE TEMPO DE EMPRESA 2" numFmtId="0">
      <sharedItems containsBlank="1" count="5">
        <s v="0 A 01 ANO"/>
        <s v="03 A 05 ANOS"/>
        <s v="01 A 03 ANOS"/>
        <s v="MAIS DE 5 ANOS"/>
        <m/>
      </sharedItems>
    </cacheField>
    <cacheField name="FUNÇÃO" numFmtId="0">
      <sharedItems containsBlank="1" count="12">
        <s v="AGENTE DE COLETA"/>
        <s v="MOTORISTA"/>
        <s v="FISCAL DE OPERAÇÕES JR"/>
        <s v="FISCAL DE OPERAÇÕES PL"/>
        <s v="EDUCADOR AMBIENTAL JR"/>
        <s v="AUXILIAR ADMINISTRATIVO/APRENDIZ"/>
        <s v="SOLDADOR"/>
        <s v="JOVEM APRENDIZ"/>
        <s v="PEDREIRO"/>
        <s v="AUXILIAR ADMINISTRATIVO"/>
        <s v="AUXILIAR DE OPERAÇÕES"/>
        <m/>
      </sharedItems>
    </cacheField>
    <cacheField name="SETOR" numFmtId="0">
      <sharedItems containsBlank="1"/>
    </cacheField>
    <cacheField name="TURNO" numFmtId="0">
      <sharedItems containsBlank="1"/>
    </cacheField>
    <cacheField name="GESTOR" numFmtId="0">
      <sharedItems containsBlank="1"/>
    </cacheField>
    <cacheField name="TIPO DE PENALIDADE " numFmtId="0">
      <sharedItems containsBlank="1"/>
    </cacheField>
    <cacheField name="DATA DA PENALIDADE" numFmtId="0">
      <sharedItems containsNonDate="0" containsDate="1" containsString="0" containsBlank="1" minDate="2023-01-01T00:00:00" maxDate="2024-01-26T00:00:00"/>
    </cacheField>
    <cacheField name="MÊS DA PENALIDADE" numFmtId="0">
      <sharedItems containsDate="1" containsBlank="1" containsMixedTypes="1" minDate="2024-01-04T00:00:00" maxDate="2024-01-05T00:00:00" count="15">
        <s v="JANEIRO "/>
        <s v="NOVEMBRO"/>
        <s v="FEVEREIRO"/>
        <s v="MARÇO"/>
        <s v="ABRIL"/>
        <s v="MAIO"/>
        <s v="JUNHO"/>
        <s v="JULHO"/>
        <s v="AGOSTO"/>
        <s v="SETEMBRO"/>
        <s v="OUTUBRO"/>
        <s v="DEZEMBRO"/>
        <s v="janeiro"/>
        <m/>
        <d v="2024-01-04T00:00:00" u="1"/>
      </sharedItems>
    </cacheField>
    <cacheField name="DATA DA APLICAÇÃO" numFmtId="0">
      <sharedItems containsNonDate="0" containsDate="1" containsString="0" containsBlank="1" minDate="2023-01-02T00:00:00" maxDate="2024-01-29T00:00:00"/>
    </cacheField>
    <cacheField name="MÊS/ANO" numFmtId="0">
      <sharedItems containsBlank="1"/>
    </cacheField>
    <cacheField name="MÊS DA APLICAÇÃO" numFmtId="0">
      <sharedItems containsBlank="1"/>
    </cacheField>
    <cacheField name="ANO DA PENALIDADE" numFmtId="0">
      <sharedItems containsString="0" containsBlank="1" containsNumber="1" containsInteger="1" minValue="2023" maxValue="2024" count="3">
        <n v="2023"/>
        <n v="2024"/>
        <m/>
      </sharedItems>
    </cacheField>
    <cacheField name="RETORNO AO TRABALHO" numFmtId="0">
      <sharedItems containsDate="1" containsBlank="1" containsMixedTypes="1" minDate="2023-01-01T00:00:00" maxDate="2025-01-01T00:00:00"/>
    </cacheField>
    <cacheField name="MOTIVO DA PENALIDADE" numFmtId="0">
      <sharedItems containsBlank="1" count="9">
        <s v="FALTA"/>
        <s v="EXCESSO DE VELOCIDADE"/>
        <s v="INSUBORDINAÇÃO"/>
        <s v="QUEBRA DE PROCEDIMENTO"/>
        <s v="ATRASO"/>
        <s v="EMBRIAGUEZ"/>
        <m/>
        <s v="DESCUMPRIMENTO DE ORDEM" u="1"/>
        <s v="ARRUMAÇÃO NO ROTEIRO" u="1"/>
      </sharedItems>
    </cacheField>
    <cacheField name="DESCRIÇÃO DA PENALIDADE" numFmtId="0">
      <sharedItems containsBlank="1" longText="1"/>
    </cacheField>
  </cacheFields>
  <extLst>
    <ext xmlns:x14="http://schemas.microsoft.com/office/spreadsheetml/2009/9/main" uri="{725AE2AE-9491-48be-B2B4-4EB974FC3084}">
      <x14:pivotCacheDefinition pivotCacheId="5"/>
    </ext>
  </extLst>
</pivotCacheDefinition>
</file>

<file path=xl/pivotCache/pivotCacheDefinition3.xml><?xml version="1.0" encoding="utf-8"?>
<pivotCacheDefinition xmlns="http://schemas.openxmlformats.org/spreadsheetml/2006/main" xmlns:r="http://schemas.openxmlformats.org/officeDocument/2006/relationships" r:id="rId1" refreshedBy="Autor" refreshedDate="45347.759742361108" createdVersion="6" refreshedVersion="6" minRefreshableVersion="3" recordCount="455">
  <cacheSource type="worksheet">
    <worksheetSource ref="A2:N289" sheet="PENALIDADES 2026"/>
  </cacheSource>
  <cacheFields count="23">
    <cacheField name="QT" numFmtId="0">
      <sharedItems containsSemiMixedTypes="0" containsString="0" containsNumber="1" containsInteger="1" minValue="1" maxValue="455"/>
    </cacheField>
    <cacheField name="NOME DO COLABORADOR" numFmtId="0">
      <sharedItems/>
    </cacheField>
    <cacheField name="MATRÍCULA" numFmtId="0">
      <sharedItems containsSemiMixedTypes="0" containsString="0" containsNumber="1" containsInteger="1" minValue="2770000036" maxValue="2770003275" count="248">
        <n v="2770002772"/>
        <n v="2770002134"/>
        <n v="2770002191"/>
        <n v="2770002369"/>
        <n v="2770002896"/>
        <n v="2770002919"/>
        <n v="2770002830"/>
        <n v="2770003030"/>
        <n v="2770002709"/>
        <n v="2770003038"/>
        <n v="2770001795"/>
        <n v="2770000297"/>
        <n v="2770002827"/>
        <n v="2770003031"/>
        <n v="2770002609"/>
        <n v="2770002769"/>
        <n v="2770002875"/>
        <n v="2770002833"/>
        <n v="2770003013"/>
        <n v="2770001508"/>
        <n v="2770002973"/>
        <n v="2770003026"/>
        <n v="2770002535"/>
        <n v="2770003008"/>
        <n v="2770003042"/>
        <n v="2770002602"/>
        <n v="2770002569"/>
        <n v="2770003039"/>
        <n v="2770001875"/>
        <n v="2770000172"/>
        <n v="2770002520"/>
        <n v="2770002273"/>
        <n v="2770002172"/>
        <n v="2770000934"/>
        <n v="2770002988"/>
        <n v="2770002434"/>
        <n v="2770002929"/>
        <n v="2770002422"/>
        <n v="2770002993"/>
        <n v="2770002992"/>
        <n v="2770002492"/>
        <n v="2770003056"/>
        <n v="2770002055"/>
        <n v="2770000085"/>
        <n v="2770002820"/>
        <n v="2770003011"/>
        <n v="2770002204"/>
        <n v="2770002430"/>
        <n v="2770002470"/>
        <n v="2770002265"/>
        <n v="2770003229"/>
        <n v="2770003029"/>
        <n v="2770002935"/>
        <n v="2770002211"/>
        <n v="2770002933"/>
        <n v="2770000097"/>
        <n v="2770002842"/>
        <n v="2770002590"/>
        <n v="2770002686"/>
        <n v="2770002895"/>
        <n v="2770002613"/>
        <n v="2770002634"/>
        <n v="2770002989"/>
        <n v="2770003062"/>
        <n v="2770002952"/>
        <n v="2770002681"/>
        <n v="2770003060"/>
        <n v="2770002643"/>
        <n v="2770001800"/>
        <n v="2770002271"/>
        <n v="2770002486"/>
        <n v="2770002953"/>
        <n v="2770002792"/>
        <n v="2770002607"/>
        <n v="2770002917"/>
        <n v="2770002885"/>
        <n v="2770002131"/>
        <n v="2770002673"/>
        <n v="2770002704"/>
        <n v="2770002881"/>
        <n v="2770002740"/>
        <n v="2770002884"/>
        <n v="2770002491"/>
        <n v="2770003046"/>
        <n v="2770002821"/>
        <n v="2770002482"/>
        <n v="2770000705"/>
        <n v="2770003092"/>
        <n v="2770002786"/>
        <n v="2770002200"/>
        <n v="2770002699"/>
        <n v="2770003044"/>
        <n v="2770002874"/>
        <n v="2770002661"/>
        <n v="2770003109"/>
        <n v="2770002331"/>
        <n v="2770003111"/>
        <n v="2770002321"/>
        <n v="2770003063"/>
        <n v="2770000036"/>
        <n v="2770002498"/>
        <n v="2770002677"/>
        <n v="2770002457"/>
        <n v="2770002938"/>
        <n v="2770003004"/>
        <n v="2770002676"/>
        <n v="2770002391"/>
        <n v="2770003122"/>
        <n v="2770003081"/>
        <n v="2770003115"/>
        <n v="2770003021"/>
        <n v="2770003116"/>
        <n v="2770003090"/>
        <n v="2770002443"/>
        <n v="2770003138"/>
        <n v="2770002210"/>
        <n v="2770003014"/>
        <n v="2770003098"/>
        <n v="2770003151"/>
        <n v="2770002925"/>
        <n v="2770003105"/>
        <n v="2770003096"/>
        <n v="2770002829"/>
        <n v="2770002963"/>
        <n v="2770003094"/>
        <n v="2770003142"/>
        <n v="2770002965"/>
        <n v="2770003139"/>
        <n v="2770002978"/>
        <n v="2770003141"/>
        <n v="2770002972"/>
        <n v="2770002651"/>
        <n v="2770002828"/>
        <n v="2770003137"/>
        <n v="2770003078"/>
        <n v="2770002510"/>
        <n v="2770003108"/>
        <n v="2770002340"/>
        <n v="2770002783"/>
        <n v="2770002983"/>
        <n v="2770002956"/>
        <n v="2770002461"/>
        <n v="2770003170"/>
        <n v="2770003126"/>
        <n v="2770003053"/>
        <n v="2770002916"/>
        <n v="2770002720"/>
        <n v="2770003110"/>
        <n v="2770003010"/>
        <n v="2770000343"/>
        <n v="2770003152"/>
        <n v="2770002951"/>
        <n v="2770002995"/>
        <n v="2770002252"/>
        <n v="2770002901"/>
        <n v="2770002994"/>
        <n v="2770002873"/>
        <n v="2770002861"/>
        <n v="2770002746"/>
        <n v="2770002997"/>
        <n v="2770002920"/>
        <n v="2770003045"/>
        <n v="2770003076"/>
        <n v="2770003129"/>
        <n v="2770003219"/>
        <n v="2770003016"/>
        <n v="2770003193"/>
        <n v="2770002254"/>
        <n v="2770002665"/>
        <n v="2770003093"/>
        <n v="2770003022"/>
        <n v="2770003001"/>
        <n v="2770002926"/>
        <n v="2770003155"/>
        <n v="2770002591"/>
        <n v="2770003145"/>
        <n v="2770002866"/>
        <n v="2770002776"/>
        <n v="2770002812"/>
        <n v="2770002675"/>
        <n v="2770003113"/>
        <n v="2770002205"/>
        <n v="2770003159"/>
        <n v="2770003161"/>
        <n v="2770002534"/>
        <n v="2770002071"/>
        <n v="2770003100"/>
        <n v="2770003246"/>
        <n v="2770002496"/>
        <n v="2770003166"/>
        <n v="2770003184"/>
        <n v="2770003079"/>
        <n v="2770003223"/>
        <n v="2770002974"/>
        <n v="2770002979"/>
        <n v="2770002835"/>
        <n v="2770003191"/>
        <n v="2770003088"/>
        <n v="2770003226"/>
        <n v="2770003228"/>
        <n v="2770003097"/>
        <n v="2770000317"/>
        <n v="2770003273"/>
        <n v="2770003169"/>
        <n v="2770000234"/>
        <n v="2770003188"/>
        <n v="2770002970"/>
        <n v="2770002817"/>
        <n v="2770003020"/>
        <n v="2770003064"/>
        <n v="2770002804"/>
        <n v="2770002460"/>
        <n v="2770000518"/>
        <n v="2770000129"/>
        <n v="2770000769"/>
        <n v="2770002897"/>
        <n v="2770003271"/>
        <n v="2770000538"/>
        <n v="2770003136"/>
        <n v="2770002773"/>
        <n v="2770003164"/>
        <n v="2770003179"/>
        <n v="2770002021"/>
        <n v="2770002737"/>
        <n v="2770002518"/>
        <n v="2770002692"/>
        <n v="2770002538"/>
        <n v="2770003095"/>
        <n v="2770002546"/>
        <n v="2770002789"/>
        <n v="2770003103"/>
        <n v="2770003208"/>
        <n v="2770003240"/>
        <n v="2770003243"/>
        <n v="2770000243"/>
        <n v="2770003085"/>
        <n v="2770003120"/>
        <n v="2770003091"/>
        <n v="2770003275"/>
        <n v="2770003133"/>
        <n v="2770002517"/>
        <n v="2770003146"/>
        <n v="2770003262"/>
        <n v="2770003204"/>
        <n v="2770002442"/>
        <n v="2770002764"/>
        <n v="2770000144"/>
        <n v="2770003176"/>
      </sharedItems>
    </cacheField>
    <cacheField name="CONTRATO" numFmtId="0">
      <sharedItems count="4">
        <s v="NORMAL"/>
        <s v="PARCIAL"/>
        <s v="APRENDIZAGEM"/>
        <s v="NORMAL " u="1"/>
      </sharedItems>
    </cacheField>
    <cacheField name="DATA DE ADMISSÃO" numFmtId="14">
      <sharedItems containsSemiMixedTypes="0" containsNonDate="0" containsDate="1" containsString="0" minDate="2013-02-08T00:00:00" maxDate="2023-11-18T00:00:00"/>
    </cacheField>
    <cacheField name="TOTAL DE TEMPO DE EMPRESA" numFmtId="14">
      <sharedItems/>
    </cacheField>
    <cacheField name="TOTAL DE TEMPO (FÓRMULA)" numFmtId="164">
      <sharedItems containsSemiMixedTypes="0" containsString="0" containsNumber="1" minValue="2.2222222222222223E-2" maxValue="11.113888888888889"/>
    </cacheField>
    <cacheField name="TOTAL DE TEMPO DE EMPRESA 2" numFmtId="14">
      <sharedItems count="4">
        <s v="0 A 01 ANO"/>
        <s v="03 A 05 ANOS"/>
        <s v="01 A 03 ANOS"/>
        <s v="MAIS DE 5 ANOS"/>
      </sharedItems>
    </cacheField>
    <cacheField name="FUNÇÃO" numFmtId="0">
      <sharedItems count="11">
        <s v="AGENTE DE COLETA"/>
        <s v="MOTORISTA"/>
        <s v="FISCAL DE OPERAÇÕES JR"/>
        <s v="FISCAL DE OPERAÇÕES PL"/>
        <s v="EDUCADOR AMBIENTAL JR"/>
        <s v="AUXILIAR ADMINISTRATIVO/APRENDIZ"/>
        <s v="SOLDADOR"/>
        <s v="JOVEM APRENDIZ"/>
        <s v="PEDREIRO"/>
        <s v="AUXILIAR ADMINISTRATIVO"/>
        <s v="AUXILIAR DE OPERAÇÕES"/>
      </sharedItems>
      <fieldGroup par="22"/>
    </cacheField>
    <cacheField name="SETOR" numFmtId="0">
      <sharedItems/>
    </cacheField>
    <cacheField name="TURNO" numFmtId="0">
      <sharedItems/>
    </cacheField>
    <cacheField name="GESTOR" numFmtId="0">
      <sharedItems/>
    </cacheField>
    <cacheField name="TIPO DE PENALIDADE " numFmtId="0">
      <sharedItems count="3">
        <s v="ADVERTENCIA"/>
        <s v="SUSPENSÃO"/>
        <s v="ADVERTÊNCIA" u="1"/>
      </sharedItems>
    </cacheField>
    <cacheField name="DATA DA PENALIDADE" numFmtId="14">
      <sharedItems containsSemiMixedTypes="0" containsNonDate="0" containsDate="1" containsString="0" minDate="2023-01-01T00:00:00" maxDate="2024-01-26T00:00:00"/>
    </cacheField>
    <cacheField name="MÊS DA PENALIDADE" numFmtId="0">
      <sharedItems/>
    </cacheField>
    <cacheField name="DATA DA APLICAÇÃO" numFmtId="14">
      <sharedItems containsSemiMixedTypes="0" containsNonDate="0" containsDate="1" containsString="0" minDate="2023-01-02T00:00:00" maxDate="2024-01-29T00:00:00"/>
    </cacheField>
    <cacheField name="MÊS/ANO" numFmtId="0">
      <sharedItems count="13">
        <s v="jan/2023"/>
        <s v="fev/2023"/>
        <s v="mar/2023"/>
        <s v="abr/2023"/>
        <s v="mai/2023"/>
        <s v="jun/2023"/>
        <s v="jul/2023"/>
        <s v="ago/2023"/>
        <s v="set/2023"/>
        <s v="out/2023"/>
        <s v="nov/2023"/>
        <s v="dez/2023"/>
        <s v="jan/2024"/>
      </sharedItems>
    </cacheField>
    <cacheField name="MÊS DA APLICAÇÃO" numFmtId="0">
      <sharedItems/>
    </cacheField>
    <cacheField name="ANO DA PENALIDADE" numFmtId="0">
      <sharedItems containsSemiMixedTypes="0" containsString="0" containsNumber="1" containsInteger="1" minValue="2023" maxValue="2024" count="2">
        <n v="2023"/>
        <n v="2024"/>
      </sharedItems>
    </cacheField>
    <cacheField name="RETORNO AO TRABALHO" numFmtId="14">
      <sharedItems containsDate="1" containsMixedTypes="1" minDate="2023-01-01T00:00:00" maxDate="2025-01-01T00:00:00"/>
    </cacheField>
    <cacheField name="MOTIVO DA PENALIDADE" numFmtId="0">
      <sharedItems/>
    </cacheField>
    <cacheField name="DESCRIÇÃO DA PENALIDADE" numFmtId="0">
      <sharedItems longText="1"/>
    </cacheField>
    <cacheField name="FUNÇÃO2" numFmtId="0" databaseField="0">
      <fieldGroup base="8">
        <discretePr count="11">
          <x v="0"/>
          <x v="1"/>
          <x v="2"/>
          <x v="2"/>
          <x v="2"/>
          <x v="2"/>
          <x v="2"/>
          <x v="2"/>
          <x v="2"/>
          <x v="2"/>
          <x v="2"/>
        </discretePr>
        <groupItems count="3">
          <s v="AGENTE DE COLETA"/>
          <s v="MOTORISTA"/>
          <s v="Agrupar1"/>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Autor" refreshedDate="45347.759743402778" createdVersion="6" refreshedVersion="6" minRefreshableVersion="3" recordCount="353">
  <cacheSource type="worksheet">
    <worksheetSource name="ATIVOS"/>
  </cacheSource>
  <cacheFields count="12">
    <cacheField name="Chapa" numFmtId="49">
      <sharedItems/>
    </cacheField>
    <cacheField name="Nome" numFmtId="49">
      <sharedItems/>
    </cacheField>
    <cacheField name="Data de Admissão" numFmtId="14">
      <sharedItems containsSemiMixedTypes="0" containsNonDate="0" containsDate="1" containsString="0" minDate="2013-02-08T00:00:00" maxDate="2024-02-17T00:00:00"/>
    </cacheField>
    <cacheField name="Situação" numFmtId="49">
      <sharedItems/>
    </cacheField>
    <cacheField name="Nome Funcão" numFmtId="49">
      <sharedItems/>
    </cacheField>
    <cacheField name="Descrição Seção" numFmtId="49">
      <sharedItems/>
    </cacheField>
    <cacheField name="Turno" numFmtId="49">
      <sharedItems/>
    </cacheField>
    <cacheField name="Descrição do Horario" numFmtId="49">
      <sharedItems/>
    </cacheField>
    <cacheField name="Data de Nascimento" numFmtId="14">
      <sharedItems containsSemiMixedTypes="0" containsNonDate="0" containsDate="1" containsString="0" minDate="1957-06-06T00:00:00" maxDate="2004-08-13T00:00:00"/>
    </cacheField>
    <cacheField name="Estado Civil" numFmtId="49">
      <sharedItems/>
    </cacheField>
    <cacheField name="Descrição da Situação" numFmtId="49">
      <sharedItems/>
    </cacheField>
    <cacheField name="REGIME " numFmtId="0">
      <sharedItems count="2">
        <s v="INTEGRAL"/>
        <s v="PARCIAL"/>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Autor" refreshedDate="45347.759743518516" createdVersion="6" refreshedVersion="6" minRefreshableVersion="3" recordCount="455">
  <cacheSource type="worksheet">
    <worksheetSource ref="A2:N289" sheet="PENALIDADES 2026"/>
  </cacheSource>
  <cacheFields count="22">
    <cacheField name="QT" numFmtId="0">
      <sharedItems containsSemiMixedTypes="0" containsString="0" containsNumber="1" containsInteger="1" minValue="1" maxValue="455"/>
    </cacheField>
    <cacheField name="NOME DO COLABORADOR" numFmtId="0">
      <sharedItems/>
    </cacheField>
    <cacheField name="MATRÍCULA" numFmtId="0">
      <sharedItems containsSemiMixedTypes="0" containsString="0" containsNumber="1" containsInteger="1" minValue="2770000036" maxValue="2770003275"/>
    </cacheField>
    <cacheField name="CONTRATO" numFmtId="0">
      <sharedItems/>
    </cacheField>
    <cacheField name="DATA DE ADMISSÃO" numFmtId="14">
      <sharedItems containsSemiMixedTypes="0" containsNonDate="0" containsDate="1" containsString="0" minDate="2013-02-08T00:00:00" maxDate="2023-11-18T00:00:00"/>
    </cacheField>
    <cacheField name="TOTAL DE TEMPO DE EMPRESA" numFmtId="14">
      <sharedItems/>
    </cacheField>
    <cacheField name="TOTAL DE TEMPO (FÓRMULA)" numFmtId="164">
      <sharedItems containsSemiMixedTypes="0" containsString="0" containsNumber="1" minValue="2.2222222222222223E-2" maxValue="11.113888888888889"/>
    </cacheField>
    <cacheField name="TOTAL DE TEMPO DE EMPRESA 2" numFmtId="14">
      <sharedItems/>
    </cacheField>
    <cacheField name="FUNÇÃO" numFmtId="0">
      <sharedItems/>
    </cacheField>
    <cacheField name="SETOR" numFmtId="0">
      <sharedItems/>
    </cacheField>
    <cacheField name="TURNO" numFmtId="0">
      <sharedItems/>
    </cacheField>
    <cacheField name="GESTOR" numFmtId="0">
      <sharedItems/>
    </cacheField>
    <cacheField name="TIPO DE PENALIDADE " numFmtId="0">
      <sharedItems containsBlank="1" count="5">
        <s v="ADVERTENCIA"/>
        <s v="SUSPENSÃO"/>
        <m u="1"/>
        <s v="ADVERTÊNCIA" u="1"/>
        <s v="ÁDVERTÊNCIA" u="1"/>
      </sharedItems>
    </cacheField>
    <cacheField name="DATA DA PENALIDADE" numFmtId="14">
      <sharedItems containsSemiMixedTypes="0" containsNonDate="0" containsDate="1" containsString="0" minDate="2023-01-01T00:00:00" maxDate="2024-01-26T00:00:00"/>
    </cacheField>
    <cacheField name="MÊS DA PENALIDADE" numFmtId="0">
      <sharedItems/>
    </cacheField>
    <cacheField name="DATA DA APLICAÇÃO" numFmtId="14">
      <sharedItems containsSemiMixedTypes="0" containsNonDate="0" containsDate="1" containsString="0" minDate="2023-01-02T00:00:00" maxDate="2024-01-29T00:00:00"/>
    </cacheField>
    <cacheField name="MÊS/ANO" numFmtId="0">
      <sharedItems/>
    </cacheField>
    <cacheField name="MÊS DA APLICAÇÃO" numFmtId="0">
      <sharedItems/>
    </cacheField>
    <cacheField name="ANO DA PENALIDADE" numFmtId="0">
      <sharedItems containsSemiMixedTypes="0" containsString="0" containsNumber="1" containsInteger="1" minValue="2023" maxValue="2024"/>
    </cacheField>
    <cacheField name="RETORNO AO TRABALHO" numFmtId="14">
      <sharedItems containsDate="1" containsMixedTypes="1" minDate="2023-01-01T00:00:00" maxDate="2025-01-01T00:00:00"/>
    </cacheField>
    <cacheField name="MOTIVO DA PENALIDADE" numFmtId="0">
      <sharedItems/>
    </cacheField>
    <cacheField name="DESCRIÇÃO DA PENALIDADE" numFmtId="0">
      <sharedItems longText="1"/>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268">
  <r>
    <n v="1"/>
    <s v="LUCAS PINHEIRO LOPES"/>
    <x v="0"/>
    <x v="0"/>
    <d v="2022-06-01T00:00:00"/>
    <s v="1ANOS, 7MESES"/>
    <n v="1.6111111111111112"/>
    <s v="01 A 03 ANOS"/>
    <x v="0"/>
    <s v="COLETA DOMICILIAR"/>
    <x v="0"/>
    <s v="JOSEANE MIGUEL"/>
    <s v="SUSPENSÃO"/>
    <d v="2024-01-02T00:00:00"/>
    <s v="JANEIRO "/>
    <m/>
    <d v="2024-01-03T00:00:00"/>
    <x v="0"/>
    <x v="0"/>
    <d v="2024-01-04T00:00:00"/>
    <x v="0"/>
    <s v="FALTA SEM JUSTIFICATIVA NOS DIAS 01/01/2024 E 02/01/2024."/>
  </r>
  <r>
    <n v="2"/>
    <s v="LUIZ FERNANDO BRANCHES DO NASCIMENTO"/>
    <x v="1"/>
    <x v="1"/>
    <d v="2023-08-08T00:00:00"/>
    <s v="0ANOS, 4MESES"/>
    <n v="0.40555555555555556"/>
    <s v="0 A 01 ANO"/>
    <x v="0"/>
    <s v="COLETA DOMICILIAR"/>
    <x v="0"/>
    <s v="JOÃO PEDRO"/>
    <s v="ADVERTENCIA"/>
    <d v="2024-01-01T00:00:00"/>
    <s v="JANEIRO "/>
    <m/>
    <d v="2024-01-02T00:00:00"/>
    <x v="0"/>
    <x v="0"/>
    <d v="2024-01-02T00:00:00"/>
    <x v="0"/>
    <s v="FALTA SEM JUSTIFICATIVA NO DIA 01/01/2024."/>
  </r>
  <r>
    <n v="3"/>
    <s v="ROBSON DE SOUZA PINHEIRO"/>
    <x v="2"/>
    <x v="0"/>
    <d v="2023-11-03T00:00:00"/>
    <s v="0ANOS, 1MESES"/>
    <n v="0.16388888888888889"/>
    <s v="0 A 01 ANO"/>
    <x v="0"/>
    <s v="COLETA DOMICILIAR"/>
    <x v="0"/>
    <s v="JOÃO PEDRO"/>
    <s v="ADVERTENCIA"/>
    <d v="2024-01-01T00:00:00"/>
    <s v="JANEIRO "/>
    <m/>
    <d v="2024-01-02T00:00:00"/>
    <x v="0"/>
    <x v="0"/>
    <d v="2024-01-02T00:00:00"/>
    <x v="0"/>
    <s v="FALTA SEM JUSTIFICATIVA NO DIA 01/01/2024."/>
  </r>
  <r>
    <n v="4"/>
    <s v="LEONARDO DA SILVA ROCHA"/>
    <x v="3"/>
    <x v="0"/>
    <d v="2022-10-06T00:00:00"/>
    <s v="1ANOS, 2MESES"/>
    <n v="1.2555555555555555"/>
    <s v="01 A 03 ANOS"/>
    <x v="0"/>
    <s v="COLETA DOMICILIAR"/>
    <x v="0"/>
    <s v="JOÃO PEDRO"/>
    <s v="SUSPENSÃO"/>
    <d v="2024-01-01T00:00:00"/>
    <s v="JANEIRO "/>
    <m/>
    <d v="2024-01-02T00:00:00"/>
    <x v="0"/>
    <x v="0"/>
    <d v="2024-01-03T00:00:00"/>
    <x v="0"/>
    <s v="FALTA SEM JUSTIFICATIVA NOS DIAS 29/12/2023, 31/12/2023 E 01/01/2024."/>
  </r>
  <r>
    <n v="5"/>
    <s v="ITALO NASCIMENTO DE SOUZA"/>
    <x v="4"/>
    <x v="0"/>
    <d v="2022-06-01T00:00:00"/>
    <s v="1ANOS, 6MESES"/>
    <n v="1.6027777777777779"/>
    <s v="01 A 03 ANOS"/>
    <x v="0"/>
    <s v="COLETA DOMICILIAR"/>
    <x v="0"/>
    <s v="JOÃO PEDRO"/>
    <s v="ADVERTENCIA"/>
    <d v="2023-12-30T00:00:00"/>
    <s v="DEZEMBRO"/>
    <m/>
    <d v="2023-12-31T00:00:00"/>
    <x v="1"/>
    <x v="1"/>
    <d v="2023-12-31T00:00:00"/>
    <x v="0"/>
    <s v="FALTA SEM JUSTIFICATIVA NO DIA 31/12."/>
  </r>
  <r>
    <n v="6"/>
    <s v="LUIZ FERNANDO BRANCHES DO NASCIMENTO"/>
    <x v="1"/>
    <x v="1"/>
    <d v="2023-08-08T00:00:00"/>
    <s v="0ANOS, 4MESES"/>
    <n v="0.3888888888888889"/>
    <s v="0 A 01 ANO"/>
    <x v="0"/>
    <s v="COLETA DOMICILIAR"/>
    <x v="0"/>
    <s v="JOÃO PEDRO"/>
    <s v="ADVERTENCIA"/>
    <d v="2023-12-26T00:00:00"/>
    <s v="DEZEMBRO"/>
    <m/>
    <d v="2023-12-31T00:00:00"/>
    <x v="1"/>
    <x v="1"/>
    <d v="2023-12-31T00:00:00"/>
    <x v="0"/>
    <s v="FALTA SEM JUSTIFICATIVA NOS DIAS 25/12 E 26/12."/>
  </r>
  <r>
    <n v="7"/>
    <s v="RIVALDO CONDERA DO NASCIMENTO JUNIOR"/>
    <x v="5"/>
    <x v="0"/>
    <d v="2022-09-01T00:00:00"/>
    <s v="1ANOS, 3MESES"/>
    <n v="1.3444444444444446"/>
    <s v="01 A 03 ANOS"/>
    <x v="0"/>
    <s v="COLETA DOMICILIAR"/>
    <x v="0"/>
    <s v="JOÃO PEDRO"/>
    <s v="SUSPENSÃO"/>
    <d v="2023-12-29T00:00:00"/>
    <s v="DEZEMBRO"/>
    <m/>
    <d v="2023-12-31T00:00:00"/>
    <x v="1"/>
    <x v="1"/>
    <d v="2024-01-03T00:00:00"/>
    <x v="0"/>
    <s v="FALTA SEM JUSTIFICATIVA NOS DIAS 28/12 E 29/12."/>
  </r>
  <r>
    <n v="8"/>
    <s v="SAYD DOS SANTOS PEREIRA"/>
    <x v="6"/>
    <x v="1"/>
    <d v="2023-07-06T00:00:00"/>
    <s v="0ANOS, 5MESES"/>
    <n v="0.48055555555555557"/>
    <s v="0 A 01 ANO"/>
    <x v="0"/>
    <s v="COLETA DOMICILIAR"/>
    <x v="0"/>
    <s v="JOÃO PEDRO"/>
    <s v="SUSPENSÃO"/>
    <d v="2023-12-26T00:00:00"/>
    <s v="DEZEMBRO"/>
    <m/>
    <d v="2023-12-31T00:00:00"/>
    <x v="1"/>
    <x v="1"/>
    <d v="2024-01-03T00:00:00"/>
    <x v="0"/>
    <s v="FALTA SEM JUSTIFICATIVA NOS DIAS 25/12 E 26/12."/>
  </r>
  <r>
    <n v="9"/>
    <s v="ANTONIO BRAGA M0TA JUNIOR"/>
    <x v="7"/>
    <x v="1"/>
    <d v="2023-11-17T00:00:00"/>
    <s v="0ANOS, 1MESES"/>
    <n v="0.125"/>
    <s v="0 A 01 ANO"/>
    <x v="0"/>
    <s v="COLETA DOMICILIAR"/>
    <x v="1"/>
    <s v="ELISANGELA ROCHA"/>
    <s v="ADVERTENCIA"/>
    <d v="2024-01-01T00:00:00"/>
    <s v="JANEIRO "/>
    <m/>
    <d v="2024-01-02T00:00:00"/>
    <x v="0"/>
    <x v="0"/>
    <d v="2024-01-02T00:00:00"/>
    <x v="0"/>
    <s v="FALTA INJUSTIFICADA NO DIA 01/01/2024."/>
  </r>
  <r>
    <n v="10"/>
    <s v="JACKSON NASCIMENTO DA SILVA"/>
    <x v="8"/>
    <x v="0"/>
    <d v="2013-02-08T00:00:00"/>
    <s v="10ANOS, 10MESES"/>
    <n v="11.052777777777777"/>
    <s v="MAIS DE 5 ANOS"/>
    <x v="0"/>
    <s v="COLETA DOMICILIAR"/>
    <x v="1"/>
    <s v="ANA CAROLINA"/>
    <s v="ADVERTENCIA"/>
    <d v="2024-01-01T00:00:00"/>
    <s v="JANEIRO "/>
    <m/>
    <d v="2024-01-02T00:00:00"/>
    <x v="0"/>
    <x v="0"/>
    <d v="2024-01-02T00:00:00"/>
    <x v="0"/>
    <s v="FALTA INSJUTIFICADA EM 01/01/2023."/>
  </r>
  <r>
    <n v="11"/>
    <s v="FELIPE DA COSTA RAMOS"/>
    <x v="9"/>
    <x v="0"/>
    <d v="2022-12-07T00:00:00"/>
    <s v="1ANOS, 0MESES"/>
    <n v="1.0833333333333333"/>
    <s v="01 A 03 ANOS"/>
    <x v="0"/>
    <s v="COLETA DOMICILIAR"/>
    <x v="1"/>
    <s v="ELISANGELA ROCHA"/>
    <s v="ADVERTENCIA"/>
    <d v="2024-01-01T00:00:00"/>
    <s v="JANEIRO "/>
    <m/>
    <d v="2024-01-02T00:00:00"/>
    <x v="0"/>
    <x v="0"/>
    <d v="2024-01-02T00:00:00"/>
    <x v="0"/>
    <s v="O COLABORADOR FALTOU NO DIA 01/01/2024, ALEGANDO UMA NASCIDA NO JOELHO DIREITO, QUE IMPOSSIBILITOU DE VIM TRABALHAR, PORÉM NÃO FOI BUSCAR ATENDIMENTO."/>
  </r>
  <r>
    <n v="12"/>
    <s v="FABIO BRITO DOS SANTOS "/>
    <x v="10"/>
    <x v="1"/>
    <d v="2023-03-16T00:00:00"/>
    <s v="0ANOS, 9MESES"/>
    <n v="0.80833333333333335"/>
    <s v="0 A 01 ANO"/>
    <x v="0"/>
    <s v="COLETA DOMICILIAR"/>
    <x v="1"/>
    <s v="ELISANGELA ROCHA"/>
    <s v="ADVERTENCIA"/>
    <d v="2024-01-01T00:00:00"/>
    <s v="JANEIRO "/>
    <m/>
    <d v="2024-01-02T00:00:00"/>
    <x v="0"/>
    <x v="0"/>
    <d v="2024-01-02T00:00:00"/>
    <x v="0"/>
    <s v="O COLABORADOR FALTOU NO DIA 01/01/2024."/>
  </r>
  <r>
    <n v="13"/>
    <s v="EZEQUIEL VASCONCELOS MARTINS"/>
    <x v="11"/>
    <x v="0"/>
    <d v="2022-09-01T00:00:00"/>
    <s v="1ANOS, 4MESES"/>
    <n v="1.3527777777777779"/>
    <s v="01 A 03 ANOS"/>
    <x v="0"/>
    <s v="COLETA DOMICILIAR"/>
    <x v="1"/>
    <s v="ELISANGELA ROCHA"/>
    <s v="ADVERTENCIA"/>
    <d v="2024-01-01T00:00:00"/>
    <s v="JANEIRO "/>
    <m/>
    <d v="2024-01-02T00:00:00"/>
    <x v="0"/>
    <x v="0"/>
    <d v="2024-01-02T00:00:00"/>
    <x v="0"/>
    <s v="O COLABORADOR FALTOU NO DIA 01/01/2024, ALEGANDO QUE NÃO TEVE COMO VIM DEVIDO A FALTA DE ÁGUA NA COMUNIDADE CELEBRIDADE 2 DESDE O DIA 28/12/2024."/>
  </r>
  <r>
    <n v="14"/>
    <s v="LINDONEY DA SILVA LIMA"/>
    <x v="12"/>
    <x v="2"/>
    <d v="2023-03-08T00:00:00"/>
    <s v="0ANOS, 9MESES"/>
    <n v="0.8305555555555556"/>
    <s v="0 A 01 ANO"/>
    <x v="0"/>
    <s v="COLETA DOMICILIAR"/>
    <x v="1"/>
    <s v="ANA CAROLINA"/>
    <s v="ADVERTENCIA"/>
    <d v="2024-01-01T00:00:00"/>
    <s v="JANEIRO "/>
    <m/>
    <d v="2024-01-02T00:00:00"/>
    <x v="0"/>
    <x v="0"/>
    <d v="2024-01-02T00:00:00"/>
    <x v="0"/>
    <s v="FALTA INJUSTIFICADA EM 01/01/2024."/>
  </r>
  <r>
    <n v="15"/>
    <s v="EWERTON ROGERIO RIBEIRO ALVES"/>
    <x v="13"/>
    <x v="2"/>
    <d v="2023-03-17T00:00:00"/>
    <s v="0ANOS, 9MESES"/>
    <n v="0.80555555555555558"/>
    <s v="0 A 01 ANO"/>
    <x v="0"/>
    <s v="COLETA DOMICILIAR"/>
    <x v="1"/>
    <s v="ANA CAROLINA"/>
    <s v="ADVERTENCIA"/>
    <d v="2024-01-01T00:00:00"/>
    <s v="JANEIRO "/>
    <m/>
    <d v="2024-01-02T00:00:00"/>
    <x v="0"/>
    <x v="0"/>
    <d v="2024-01-02T00:00:00"/>
    <x v="0"/>
    <s v="FALTA INJUSTIFICADA EM 01/01/2024."/>
  </r>
  <r>
    <n v="16"/>
    <s v="PEDRO SERGIO DE SOUZA CHAVES"/>
    <x v="14"/>
    <x v="2"/>
    <d v="2021-11-18T00:00:00"/>
    <s v="2ANOS, 1MESES"/>
    <n v="2.15"/>
    <s v="01 A 03 ANOS"/>
    <x v="0"/>
    <s v="COLETA DOMICILIAR"/>
    <x v="1"/>
    <s v="ANA CAROLINA"/>
    <s v="ADVERTENCIA"/>
    <d v="2024-01-01T00:00:00"/>
    <s v="JANEIRO "/>
    <m/>
    <d v="2024-01-02T00:00:00"/>
    <x v="0"/>
    <x v="0"/>
    <d v="2024-01-02T00:00:00"/>
    <x v="0"/>
    <s v="FALTA INJUSTIFICADA EM 01/01/2024."/>
  </r>
  <r>
    <n v="17"/>
    <s v="EMERSON DO CANTO EVANGELISTA"/>
    <x v="15"/>
    <x v="2"/>
    <d v="2022-12-01T00:00:00"/>
    <s v="1ANOS, 1MESES"/>
    <n v="1.1000000000000001"/>
    <s v="01 A 03 ANOS"/>
    <x v="0"/>
    <s v="COLETA DOMICILIAR"/>
    <x v="1"/>
    <s v="ANA CAROLINA"/>
    <s v="ADVERTENCIA"/>
    <d v="2024-01-01T00:00:00"/>
    <s v="JANEIRO "/>
    <m/>
    <d v="2024-01-02T00:00:00"/>
    <x v="0"/>
    <x v="0"/>
    <d v="2024-01-02T00:00:00"/>
    <x v="0"/>
    <s v="FALTA INJUSTIFICADA EM 01/01/2024."/>
  </r>
  <r>
    <n v="18"/>
    <s v="ADRIANO DAVILA BARROS"/>
    <x v="16"/>
    <x v="2"/>
    <d v="2023-04-06T00:00:00"/>
    <s v="0ANOS, 8MESES"/>
    <n v="0.75"/>
    <s v="0 A 01 ANO"/>
    <x v="0"/>
    <s v="COLETA DOMICILIAR"/>
    <x v="1"/>
    <s v="ANA CAROLINA"/>
    <s v="ADVERTENCIA"/>
    <d v="2024-01-01T00:00:00"/>
    <s v="JANEIRO "/>
    <m/>
    <d v="2024-01-02T00:00:00"/>
    <x v="0"/>
    <x v="0"/>
    <d v="2024-01-02T00:00:00"/>
    <x v="0"/>
    <s v="FALTA INJUSTIFICADA EM 01/01/2024."/>
  </r>
  <r>
    <n v="19"/>
    <s v="CARLOS ALBERTO PERES DE OLIVEIRA"/>
    <x v="17"/>
    <x v="2"/>
    <d v="2022-12-01T00:00:00"/>
    <s v="1ANOS, 1MESES"/>
    <n v="1.1000000000000001"/>
    <s v="01 A 03 ANOS"/>
    <x v="0"/>
    <s v="COLETA DOMICILIAR"/>
    <x v="1"/>
    <s v="ANA CAROLINA"/>
    <s v="ADVERTENCIA"/>
    <d v="2024-01-01T00:00:00"/>
    <s v="JANEIRO "/>
    <m/>
    <d v="2024-01-02T00:00:00"/>
    <x v="0"/>
    <x v="0"/>
    <d v="2024-01-02T00:00:00"/>
    <x v="0"/>
    <s v="FALTA INJUSTIFICADA EM 01/01/2024."/>
  </r>
  <r>
    <n v="20"/>
    <s v="DANIEL MENES PERES "/>
    <x v="18"/>
    <x v="2"/>
    <d v="2020-02-04T00:00:00"/>
    <s v="3ANOS, 10MESES"/>
    <n v="3.963888888888889"/>
    <s v="03 A 05 ANOS"/>
    <x v="0"/>
    <s v="COLETA DOMICILIAR"/>
    <x v="1"/>
    <s v="ANA CAROLINA"/>
    <s v="ADVERTENCIA"/>
    <d v="2024-01-01T00:00:00"/>
    <s v="JANEIRO "/>
    <m/>
    <d v="2024-01-02T00:00:00"/>
    <x v="0"/>
    <x v="0"/>
    <d v="2024-01-02T00:00:00"/>
    <x v="0"/>
    <s v="FALTA INJUSTIFICADA EM 01/01/2024."/>
  </r>
  <r>
    <n v="21"/>
    <s v="THIAGO MAR DE AS"/>
    <x v="19"/>
    <x v="2"/>
    <d v="2022-06-15T00:00:00"/>
    <s v="1ANOS, 6MESES"/>
    <n v="1.5694444444444444"/>
    <s v="01 A 03 ANOS"/>
    <x v="0"/>
    <s v="COLETA DOMICILIAR"/>
    <x v="1"/>
    <s v="ELISANGELA ROCHA"/>
    <s v="ADVERTENCIA"/>
    <d v="2024-01-01T00:00:00"/>
    <s v="JANEIRO "/>
    <m/>
    <d v="2024-01-02T00:00:00"/>
    <x v="0"/>
    <x v="0"/>
    <d v="2024-01-02T00:00:00"/>
    <x v="0"/>
    <s v="O COLABORADOR FALTOU NO DIA 01/01/24, ALEGANDO QUE NÃO TINHA NINGUÉM PARA FICAR COM O SEU FILHO DE 04 ANOS, POIS SE TRATAVA DO SEU DIA DE FICAR COM ELE."/>
  </r>
  <r>
    <n v="22"/>
    <s v="THIAGO SILVA E SILVA"/>
    <x v="20"/>
    <x v="2"/>
    <d v="2023-03-08T00:00:00"/>
    <s v="0ANOS, 9MESES"/>
    <n v="0.8305555555555556"/>
    <s v="0 A 01 ANO"/>
    <x v="0"/>
    <s v="COLETA DOMICILIAR"/>
    <x v="1"/>
    <s v="ELISANGELA ROCHA"/>
    <s v="ADVERTENCIA"/>
    <d v="2024-01-01T00:00:00"/>
    <s v="JANEIRO "/>
    <m/>
    <d v="2024-01-02T00:00:00"/>
    <x v="0"/>
    <x v="0"/>
    <d v="2024-01-03T00:00:00"/>
    <x v="0"/>
    <s v="O COLABORADOR FALTOU NO DIA 01/01/2024, INFORMOU QUE NÃO ESTAVA COM CONDIÇÕES DE TRABALHAR POIS ESTAVA AMANHECIDO."/>
  </r>
  <r>
    <n v="23"/>
    <s v="GABRIEL SOUZA DA SILVA"/>
    <x v="21"/>
    <x v="2"/>
    <d v="2022-11-03T00:00:00"/>
    <s v="1ANOS, 1MESES"/>
    <n v="1.1777777777777778"/>
    <s v="01 A 03 ANOS"/>
    <x v="0"/>
    <s v="COLETA DOMICILIAR"/>
    <x v="1"/>
    <s v="ELISANGELA ROCHA"/>
    <s v="SUSPENSÃO"/>
    <d v="2024-01-01T00:00:00"/>
    <s v="JANEIRO "/>
    <m/>
    <d v="2024-01-02T00:00:00"/>
    <x v="0"/>
    <x v="0"/>
    <d v="2024-01-03T00:00:00"/>
    <x v="0"/>
    <s v="O COLABORADOR FALTOU NO DIA 01/01/2024, ALEGANDO MOTIVOS PESSOAIS E POR NÃO ESTAR SE SENTINDO BEM PARA TRABALHAR."/>
  </r>
  <r>
    <n v="24"/>
    <s v="GABRIEL MARTINS RIBEIRO"/>
    <x v="22"/>
    <x v="1"/>
    <d v="2023-07-06T00:00:00"/>
    <s v="0ANOS, 5MESES"/>
    <n v="0.49722222222222223"/>
    <s v="0 A 01 ANO"/>
    <x v="0"/>
    <s v="COLETA DOMICILIAR"/>
    <x v="1"/>
    <s v="ANA CAROLINA"/>
    <s v="ADVERTENCIA"/>
    <d v="2024-01-01T00:00:00"/>
    <s v="JANEIRO "/>
    <m/>
    <d v="2024-01-02T00:00:00"/>
    <x v="0"/>
    <x v="0"/>
    <d v="2024-01-02T00:00:00"/>
    <x v="0"/>
    <s v="FALTA INJUSTIFICADA EM 01/01/2024."/>
  </r>
  <r>
    <n v="25"/>
    <s v="RAYLANDER BATISTA DA SILVA"/>
    <x v="23"/>
    <x v="2"/>
    <d v="2023-04-06T00:00:00"/>
    <s v="0ANOS, 8MESES"/>
    <n v="0.74444444444444446"/>
    <s v="0 A 01 ANO"/>
    <x v="0"/>
    <s v="COLETA DOMICILIAR"/>
    <x v="0"/>
    <s v="JOÃO PEDRO"/>
    <s v="ADVERTENCIA"/>
    <d v="2023-12-30T00:00:00"/>
    <s v="DEZEMBRO"/>
    <m/>
    <d v="2023-12-31T00:00:00"/>
    <x v="1"/>
    <x v="1"/>
    <d v="2024-12-31T00:00:00"/>
    <x v="0"/>
    <s v="FALTA INJUSTIFICADA EM 30/12/2024."/>
  </r>
  <r>
    <n v="26"/>
    <s v="BRENDELL BARRADAS REIS "/>
    <x v="24"/>
    <x v="2"/>
    <d v="2023-10-03T00:00:00"/>
    <s v="0ANOS, 2MESES"/>
    <n v="0.23333333333333334"/>
    <s v="0 A 01 ANO"/>
    <x v="0"/>
    <s v="COLETA DOMICILIAR"/>
    <x v="1"/>
    <s v="ELISANGELA ROCHA"/>
    <s v="ADVERTENCIA"/>
    <d v="2023-12-26T00:00:00"/>
    <s v="DEZEMBRO"/>
    <m/>
    <d v="2024-01-01T00:00:00"/>
    <x v="0"/>
    <x v="0"/>
    <d v="2024-01-01T00:00:00"/>
    <x v="0"/>
    <s v="FALTA NÃO JUSTIFICADA NO DIA 26/12/203, INFORMOU QUE ESTAVA COM FEBRE, DORES DE CABEÇA, PORÉM NÃO FOI BUSCAR ATENDIMENTO."/>
  </r>
  <r>
    <n v="27"/>
    <s v="ITALO NEVES DA SILVA"/>
    <x v="25"/>
    <x v="2"/>
    <d v="2022-11-09T00:00:00"/>
    <s v="1ANOS, 1MESES"/>
    <n v="1.1583333333333334"/>
    <s v="01 A 03 ANOS"/>
    <x v="0"/>
    <s v="COLETA DOMICILIAR"/>
    <x v="1"/>
    <s v="ELISANGELA ROCHA"/>
    <s v="ADVERTENCIA"/>
    <d v="2023-12-31T00:00:00"/>
    <s v="DEZEMBRO"/>
    <m/>
    <d v="2024-01-01T00:00:00"/>
    <x v="0"/>
    <x v="0"/>
    <d v="2024-01-01T00:00:00"/>
    <x v="0"/>
    <s v="FALTA NÃO JUSTIFICADA NO DIA 31/12/2023, INFORMOU QUE A ESPOSA ESTAVA COM ATAQUE DE ASMA, FOI LEVAR ELA NO HOSPITAL, PORÉM NÃO TROUXE NENHUMA DOCUMENTAÇÃO."/>
  </r>
  <r>
    <n v="28"/>
    <s v="DIEGO DE SOUZA PINHEIRO"/>
    <x v="26"/>
    <x v="2"/>
    <d v="2020-05-04T00:00:00"/>
    <s v="3ANOS, 7MESES"/>
    <n v="3.7111111111111112"/>
    <s v="03 A 05 ANOS"/>
    <x v="0"/>
    <s v="COLETA DOMICILIAR"/>
    <x v="1"/>
    <s v="ELISANGELA ROCHA"/>
    <s v="ADVERTENCIA"/>
    <d v="2023-12-31T00:00:00"/>
    <s v="DEZEMBRO"/>
    <m/>
    <d v="2023-12-31T00:00:00"/>
    <x v="1"/>
    <x v="1"/>
    <d v="2024-01-01T00:00:00"/>
    <x v="0"/>
    <s v="FALTA NÃO JUSTIFICADA NO DIA 31/12/2023, INFORMOU QUE ESTAVA COM DORES NAS COSTAS, PORÉM NÃO FOI BUSCAR ATENDIMENTO POR NÃO CONSEGUIR SAIR DA CAMA."/>
  </r>
  <r>
    <n v="29"/>
    <s v="GERALDO AILTON MARTINS GUIMARAES"/>
    <x v="27"/>
    <x v="2"/>
    <d v="2019-06-03T00:00:00"/>
    <s v="4ANOS, 6MESES"/>
    <n v="4.6222222222222218"/>
    <s v="03 A 05 ANOS"/>
    <x v="1"/>
    <s v="COLETA DOMICILIAR"/>
    <x v="1"/>
    <s v="ANA CAROLINA"/>
    <s v="ADVERTENCIA"/>
    <d v="2023-12-23T00:00:00"/>
    <s v="DEZEMBRO"/>
    <m/>
    <d v="2024-01-01T00:00:00"/>
    <x v="0"/>
    <x v="0"/>
    <d v="2024-01-01T00:00:00"/>
    <x v="1"/>
    <s v="EXCESSO DE VELOCIDADE NO DIA 23/12/2023 AS 11:13H CHEGANDO A 73 KM, QUANDO O PERMITIDO PELA EMPRESA É 73 KM."/>
  </r>
  <r>
    <n v="30"/>
    <s v="WENDELL ROCHA DE OLIVEIRA"/>
    <x v="28"/>
    <x v="1"/>
    <d v="2023-10-03T00:00:00"/>
    <s v="0ANOS, 2MESES"/>
    <n v="0.24722222222222223"/>
    <s v="0 A 01 ANO"/>
    <x v="0"/>
    <s v="COLETA DOMICILIAR"/>
    <x v="1"/>
    <s v="ANA CAROLINA"/>
    <s v="ADVERTENCIA"/>
    <d v="2023-12-31T00:00:00"/>
    <s v="DEZEMBRO"/>
    <m/>
    <d v="2024-01-01T00:00:00"/>
    <x v="0"/>
    <x v="0"/>
    <d v="2024-01-01T00:00:00"/>
    <x v="0"/>
    <s v="FALTA INJUSTIFICADA EM 31/12/2023."/>
  </r>
  <r>
    <n v="31"/>
    <s v="SHARLISSON DE OLIVEIRA CHAGAS "/>
    <x v="29"/>
    <x v="2"/>
    <d v="2022-08-12T00:00:00"/>
    <s v="1ANOS, 4MESES"/>
    <n v="1.4027777777777777"/>
    <s v="01 A 03 ANOS"/>
    <x v="0"/>
    <s v="COLETA DOMICILIAR"/>
    <x v="1"/>
    <s v="ANA CAROLINA"/>
    <s v="ADVERTENCIA"/>
    <d v="2023-12-30T00:00:00"/>
    <s v="DEZEMBRO"/>
    <m/>
    <d v="2023-12-30T00:00:00"/>
    <x v="1"/>
    <x v="1"/>
    <d v="2023-12-30T00:00:00"/>
    <x v="2"/>
    <s v="COLABORADOR CHEGOU ATRASADO NA DATA DE HOJE AS 06:12H, ALEGA QUE PERDEU O HORÁRIO."/>
  </r>
  <r>
    <n v="32"/>
    <s v="BRUNO MELO DA GRAÇA"/>
    <x v="30"/>
    <x v="2"/>
    <d v="2022-09-01T00:00:00"/>
    <s v="1ANOS, 3MESES"/>
    <n v="1.3472222222222223"/>
    <s v="01 A 03 ANOS"/>
    <x v="0"/>
    <s v="COLETA DOMICILIAR"/>
    <x v="1"/>
    <s v="ANA CAROLINA"/>
    <s v="ADVERTENCIA"/>
    <d v="2023-12-30T00:00:00"/>
    <s v="DEZEMBRO"/>
    <m/>
    <d v="2023-12-30T00:00:00"/>
    <x v="1"/>
    <x v="1"/>
    <d v="2023-12-30T00:00:00"/>
    <x v="2"/>
    <s v="COLABORADOR CHEGOU ATRASADO NA DATA DE HOJE AS 06:32H, ALEGA QUE PERDEU O HORÁRIO."/>
  </r>
  <r>
    <n v="33"/>
    <s v="ANTONIO RAIMUNDO CAVALCANTE RENOVATO"/>
    <x v="31"/>
    <x v="2"/>
    <d v="2023-11-17T00:00:00"/>
    <s v="0ANOS, 1MESES"/>
    <n v="0.1361111111111111"/>
    <s v="0 A 01 ANO"/>
    <x v="0"/>
    <s v="COLETA DOMICILIAR"/>
    <x v="1"/>
    <s v="ANA CAROLINA"/>
    <s v="ADVERTENCIA"/>
    <d v="2024-01-05T00:00:00"/>
    <s v="JANEIRO "/>
    <m/>
    <d v="2024-01-06T00:00:00"/>
    <x v="0"/>
    <x v="0"/>
    <d v="2024-01-06T00:00:00"/>
    <x v="0"/>
    <s v="FALTA INJUSTIFICADA NO DIA 05/01/2024, ALEGA QUE ESTAVA VIAJANDO E NÃO CONSEGUIU CHEGAR A TEMPO."/>
  </r>
  <r>
    <n v="34"/>
    <s v="LINDONEY DA SILVA LIMA"/>
    <x v="12"/>
    <x v="2"/>
    <d v="2023-03-08T00:00:00"/>
    <s v="0ANOS, 9MESES"/>
    <n v="0.84722222222222221"/>
    <s v="0 A 01 ANO"/>
    <x v="0"/>
    <s v="COLETA DOMICILIAR"/>
    <x v="1"/>
    <s v="ANA CAROLINA"/>
    <s v="SUSPENSÃO"/>
    <d v="2024-01-07T00:00:00"/>
    <s v="JANEIRO "/>
    <m/>
    <d v="2024-01-08T00:00:00"/>
    <x v="0"/>
    <x v="0"/>
    <d v="2024-01-09T00:00:00"/>
    <x v="0"/>
    <s v="FALTA INJUSITIFICADA NO DIA 07/01/2024, ALEGANDO QUE PRECISOU FICAR COM O FILHO QUE ESTAVA DOENTE."/>
  </r>
  <r>
    <n v="35"/>
    <s v="RAIR BARROSO DA SILVA"/>
    <x v="32"/>
    <x v="2"/>
    <d v="2022-12-01T00:00:00"/>
    <s v="1ANOS, 1MESES"/>
    <n v="1.1083333333333334"/>
    <s v="01 A 03 ANOS"/>
    <x v="0"/>
    <s v="COLETA DOMICILIAR"/>
    <x v="0"/>
    <s v="JOÃO PEDRO"/>
    <s v="ADVERTENCIA"/>
    <d v="2024-01-04T00:00:00"/>
    <d v="2024-01-04T00:00:00"/>
    <m/>
    <d v="2024-01-05T00:00:00"/>
    <x v="0"/>
    <x v="0"/>
    <d v="2024-01-05T00:00:00"/>
    <x v="0"/>
    <s v="FALTA SEM JUSTIFICATIVA NO DIA 04/01/2024."/>
  </r>
  <r>
    <n v="36"/>
    <s v="EDILSON LUIZ CARVALHO DE SOUZA"/>
    <x v="33"/>
    <x v="2"/>
    <d v="2022-01-17T00:00:00"/>
    <s v="1ANOS, 11MESES"/>
    <n v="2"/>
    <s v="01 A 03 ANOS"/>
    <x v="0"/>
    <s v="COLETA DOMICILIAR"/>
    <x v="0"/>
    <s v="JOÃO PEDRO"/>
    <s v="SUSPENSÃO"/>
    <d v="2024-01-07T00:00:00"/>
    <s v="JANEIRO "/>
    <m/>
    <d v="2024-01-08T00:00:00"/>
    <x v="0"/>
    <x v="0"/>
    <d v="2024-01-09T00:00:00"/>
    <x v="0"/>
    <s v="FALTA SEM JUSTIFICATIVA EM 07/01/2024."/>
  </r>
  <r>
    <n v="37"/>
    <s v="JANDERSON ALHO PINHEIRO "/>
    <x v="34"/>
    <x v="2"/>
    <d v="2023-06-01T00:00:00"/>
    <s v="0ANOS, 7MESES"/>
    <n v="0.60833333333333328"/>
    <s v="0 A 01 ANO"/>
    <x v="0"/>
    <s v="COLETA DOMICILIAR"/>
    <x v="0"/>
    <s v="JOÃO PEDRO"/>
    <s v="SUSPENSÃO"/>
    <d v="2024-01-06T00:00:00"/>
    <s v="JANEIRO "/>
    <m/>
    <d v="2024-01-08T00:00:00"/>
    <x v="0"/>
    <x v="0"/>
    <d v="2024-01-13T00:00:00"/>
    <x v="0"/>
    <s v="FALTA SEM JUSTIFICATIVA EM 06/01/2024."/>
  </r>
  <r>
    <n v="38"/>
    <s v="LUCAS PEREIRA DA CUNHA"/>
    <x v="35"/>
    <x v="2"/>
    <d v="2023-05-05T00:00:00"/>
    <s v="0ANOS, 8MESES"/>
    <n v="0.68888888888888888"/>
    <s v="0 A 01 ANO"/>
    <x v="0"/>
    <s v="COLETA DOMICILIAR"/>
    <x v="0"/>
    <s v="PAULO PORTO"/>
    <s v="SUSPENSÃO"/>
    <d v="2024-01-08T00:00:00"/>
    <s v="JANEIRO "/>
    <m/>
    <d v="2024-01-14T00:00:00"/>
    <x v="0"/>
    <x v="0"/>
    <d v="2024-01-17T00:00:00"/>
    <x v="3"/>
    <s v="NO DIA 08/01/2024 NO ROTEIRO 90.3.101 - PRAÇA 14, NA LIXEIRA DO PROSAMIM, SE ENVOLVEU NUMA DISCUSSÃO QUE ACABOU VIRANDO UM CASO DE AGRESSÃO FÍSICA COM O FUNCIONÁRIO NAUM CASTRO DE ALFAIA (MAT.2953)."/>
  </r>
  <r>
    <n v="39"/>
    <s v="NAUM DA SILVA CASTRO ALFAIA"/>
    <x v="36"/>
    <x v="2"/>
    <d v="2022-10-03T00:00:00"/>
    <s v="1ANOS, 3MESES"/>
    <n v="1.2833333333333334"/>
    <s v="01 A 03 ANOS"/>
    <x v="0"/>
    <s v="COLETA DOMICILIAR"/>
    <x v="0"/>
    <s v="PAULO PORTO"/>
    <s v="SUSPENSÃO"/>
    <d v="2024-01-08T00:00:00"/>
    <s v="JANEIRO "/>
    <m/>
    <d v="2024-01-11T00:00:00"/>
    <x v="0"/>
    <x v="0"/>
    <d v="2024-01-16T00:00:00"/>
    <x v="3"/>
    <s v="NO DIA 08/01/2024 NO ROTEIRO 90.3.101 - PRAÇA 14, NA LIXEIRA DO PROSAMIM, SE ENVOLVEU NUMA DISCUSSÃO QUE ACABOU VIRANDO UM CASO DE AGRESSÃO FÍSICA COM O FUNCIONÁRIO LUCAS PEREIRA DA CUNHA (MAT.3146)."/>
  </r>
  <r>
    <n v="40"/>
    <s v="ALEXANDRE ZAGURY SENA"/>
    <x v="37"/>
    <x v="2"/>
    <d v="2023-04-17T00:00:00"/>
    <s v="0ANOS, 8MESES"/>
    <n v="0.74444444444444446"/>
    <s v="0 A 01 ANO"/>
    <x v="0"/>
    <s v="COLETA DOMICILIAR"/>
    <x v="0"/>
    <s v="JOÃO PEDRO"/>
    <s v="ADVERTENCIA"/>
    <d v="2024-01-10T00:00:00"/>
    <s v="JANEIRO "/>
    <m/>
    <d v="2024-01-11T00:00:00"/>
    <x v="0"/>
    <x v="0"/>
    <d v="2024-01-11T00:00:00"/>
    <x v="0"/>
    <s v="FALTA SEM JUSTIFICATIVA EM 10/01/2024."/>
  </r>
  <r>
    <n v="41"/>
    <s v="HERICLES MENDONCA TRINDADE "/>
    <x v="38"/>
    <x v="2"/>
    <d v="2022-06-01T00:00:00"/>
    <s v="1ANOS, 7MESES"/>
    <n v="1.6305555555555555"/>
    <s v="01 A 03 ANOS"/>
    <x v="0"/>
    <s v="COLETA DOMICILIAR"/>
    <x v="0"/>
    <s v="JOÃO PEDRO"/>
    <s v="ADVERTENCIA"/>
    <d v="2024-01-09T00:00:00"/>
    <s v="JANEIRO "/>
    <m/>
    <d v="2024-01-10T00:00:00"/>
    <x v="0"/>
    <x v="0"/>
    <d v="2024-01-10T00:00:00"/>
    <x v="0"/>
    <s v="FALTA SEM JUSTIFICATIVA EM 09/01/2024."/>
  </r>
  <r>
    <n v="42"/>
    <s v="RAYLANDER BATISTA DA SILVA"/>
    <x v="23"/>
    <x v="2"/>
    <d v="2023-04-06T00:00:00"/>
    <s v="0ANOS, 9MESES"/>
    <n v="0.77222222222222225"/>
    <s v="0 A 01 ANO"/>
    <x v="0"/>
    <s v="COLETA DOMICILIAR"/>
    <x v="1"/>
    <s v="ELISANGELA ROCHA"/>
    <s v="SUSPENSÃO"/>
    <d v="2024-01-09T00:00:00"/>
    <s v="JANEIRO "/>
    <m/>
    <d v="2024-01-11T00:00:00"/>
    <x v="0"/>
    <x v="0"/>
    <d v="2024-01-12T00:00:00"/>
    <x v="0"/>
    <s v="FALTA INJUSTIFICADA NO DIA 09/01/2024, ALEGA QUE ESTAVA COM PROBLEMAS PESSOAIS E PRECISOU IR AO FORUM."/>
  </r>
  <r>
    <n v="43"/>
    <s v="EMIL SOUSA DE MORAES"/>
    <x v="39"/>
    <x v="1"/>
    <d v="2023-11-03T00:00:00"/>
    <s v="0ANOS, 2MESES"/>
    <n v="0.18611111111111112"/>
    <s v="0 A 01 ANO"/>
    <x v="0"/>
    <s v="COLETA DOMICILIAR"/>
    <x v="0"/>
    <s v="JOÃO PEDRO"/>
    <s v="SUSPENSÃO"/>
    <d v="2024-01-09T00:00:00"/>
    <s v="JANEIRO "/>
    <m/>
    <d v="2024-01-14T00:00:00"/>
    <x v="0"/>
    <x v="0"/>
    <d v="2024-01-15T00:00:00"/>
    <x v="0"/>
    <s v="FALTA SEM JUSTIFICATIVA EM 09/01/2024. "/>
  </r>
  <r>
    <n v="44"/>
    <s v="RICHARD ALEXANDER MEJIA ESPINOZA"/>
    <x v="40"/>
    <x v="2"/>
    <d v="2021-05-03T00:00:00"/>
    <s v="2ANOS, 8MESES"/>
    <n v="2.7305555555555556"/>
    <s v="01 A 03 ANOS"/>
    <x v="0"/>
    <s v="COLETA DOMICILIAR"/>
    <x v="0"/>
    <s v="JOÃO PEDRO"/>
    <s v="SUSPENSÃO"/>
    <d v="2024-01-11T00:00:00"/>
    <s v="JANEIRO "/>
    <m/>
    <d v="2024-01-12T00:00:00"/>
    <x v="0"/>
    <x v="0"/>
    <d v="2024-01-15T00:00:00"/>
    <x v="3"/>
    <s v="NO DIA 11/01/2024, NO ROTEIRO 90.3.163 - CIDADE NOVA, COLABORADOR FOI FLAGRADO JOGANDO LIXO NO IGARAPE, INDO EM DESENCONTRO COM PO-08."/>
  </r>
  <r>
    <n v="45"/>
    <s v="LEONARDO DA SILVA ROCHA"/>
    <x v="3"/>
    <x v="2"/>
    <d v="2022-10-06T00:00:00"/>
    <s v="1ANOS, 3MESES"/>
    <n v="1.2916666666666667"/>
    <s v="01 A 03 ANOS"/>
    <x v="0"/>
    <s v="COLETA DOMICILIAR"/>
    <x v="0"/>
    <s v="JOÃO PEDRO"/>
    <s v="SUSPENSÃO"/>
    <d v="2024-01-14T00:00:00"/>
    <s v="JANEIRO "/>
    <m/>
    <d v="2024-01-15T00:00:00"/>
    <x v="0"/>
    <x v="0"/>
    <d v="2024-01-18T00:00:00"/>
    <x v="0"/>
    <s v="FALTA SEM JUSTIFICATIVA EM 14/01/2024."/>
  </r>
  <r>
    <n v="46"/>
    <s v="FABIO BRITO DOS SANTOS "/>
    <x v="10"/>
    <x v="2"/>
    <d v="2023-03-16T00:00:00"/>
    <s v="0ANOS, 9MESES"/>
    <n v="0.84722222222222221"/>
    <s v="0 A 01 ANO"/>
    <x v="0"/>
    <s v="COLETA DOMICILIAR"/>
    <x v="1"/>
    <s v="ANA CAROLINA"/>
    <s v="SUSPENSÃO"/>
    <d v="2024-01-15T00:00:00"/>
    <s v="JANEIRO "/>
    <m/>
    <d v="2024-01-16T00:00:00"/>
    <x v="0"/>
    <x v="0"/>
    <d v="2024-01-17T00:00:00"/>
    <x v="0"/>
    <s v="FALTA INJUSTIFICADA NO DIA 15/01/2024, ALEGA QUE ESTAVA MAL, PORÉM NÃO PROCUROU ATENDIMENTO."/>
  </r>
  <r>
    <n v="47"/>
    <s v="EMERSON DO CANTO EVANGELISTA"/>
    <x v="15"/>
    <x v="1"/>
    <d v="2022-12-01T00:00:00"/>
    <s v="1ANOS, 1MESES"/>
    <n v="1.1416666666666666"/>
    <s v="01 A 03 ANOS"/>
    <x v="0"/>
    <s v="COLETA DOMICILIAR"/>
    <x v="1"/>
    <s v="ANA CAROLINA"/>
    <s v="SUSPENSÃO"/>
    <d v="2024-01-16T00:00:00"/>
    <s v="JANEIRO "/>
    <m/>
    <d v="2024-01-16T00:00:00"/>
    <x v="0"/>
    <x v="0"/>
    <d v="2024-01-18T00:00:00"/>
    <x v="0"/>
    <s v="FALTA INJUSTIFICADA NO DIA 16/01/2024, ALEGA QUE FOI REALIZAR UMA ENTREVISTA DE EMPREGO."/>
  </r>
  <r>
    <n v="48"/>
    <s v="EZEQUIEL VASCONCELOS MARTINS"/>
    <x v="11"/>
    <x v="2"/>
    <d v="2022-09-01T00:00:00"/>
    <s v="1ANOS, 4MESES"/>
    <n v="1.3944444444444444"/>
    <s v="01 A 03 ANOS"/>
    <x v="0"/>
    <s v="COLETA DOMICILIAR"/>
    <x v="1"/>
    <s v="ANA CAROLINA"/>
    <s v="SUSPENSÃO"/>
    <d v="2024-01-16T00:00:00"/>
    <s v="JANEIRO "/>
    <m/>
    <d v="2024-01-17T00:00:00"/>
    <x v="0"/>
    <x v="0"/>
    <d v="2024-01-18T00:00:00"/>
    <x v="0"/>
    <s v="FALTA INJUSTIFICADA NO DIA 16/01/2024, ALEGA QUE PRECISOU FICAR COM O FILHO."/>
  </r>
  <r>
    <n v="49"/>
    <s v="LUCAS PINHEIRO LOPES"/>
    <x v="0"/>
    <x v="2"/>
    <d v="2022-06-01T00:00:00"/>
    <s v="1ANOS, 7MESES"/>
    <n v="1.6416666666666666"/>
    <s v="01 A 03 ANOS"/>
    <x v="0"/>
    <s v="COLETA DOMICILIAR"/>
    <x v="0"/>
    <s v="JOÃO PEDRO"/>
    <s v="SUSPENSÃO"/>
    <d v="2024-01-13T00:00:00"/>
    <s v="JANEIRO "/>
    <m/>
    <d v="2024-01-20T00:00:00"/>
    <x v="0"/>
    <x v="0"/>
    <d v="2024-01-20T00:00:00"/>
    <x v="0"/>
    <s v="FALTA EM 13/01, ALEGOU ESTAR SENTINDO DORES NO PESCOÇO, MAS NÃO CONSEGUIU NENHUM DOCUMENTO MÉDICO."/>
  </r>
  <r>
    <n v="50"/>
    <s v="RAIR BARROSO DA SILVA"/>
    <x v="41"/>
    <x v="1"/>
    <d v="2023-01-12T00:00:00"/>
    <s v="0ANOS, 11MESES"/>
    <n v="1.0111111111111111"/>
    <s v="01 A 03 ANOS"/>
    <x v="1"/>
    <s v="COLETA DOMICILIAR"/>
    <x v="0"/>
    <s v="JOÃO PEDRO"/>
    <s v="SUSPENSÃO"/>
    <d v="2024-01-11T00:00:00"/>
    <s v="JANEIRO "/>
    <m/>
    <d v="2024-01-19T00:00:00"/>
    <x v="0"/>
    <x v="0"/>
    <d v="2024-01-11T00:00:00"/>
    <x v="3"/>
    <s v="NO DIA 11/01/2024 POR VOLTA DE 23:15 HORAS, O SR. RAIRO, PAROU O VEÍCULO COMPACTADOR NA AVENIDA UMBERTO CALDERARO FILHO, NA ALÇA DO VIADUTO DA AV. EFIGENIO SALLES, NO INICIO DE UMA PASSAGEM DE NIVEL EM UMA VIA DE TRANSITO RAPIDO, LOCAL PROIBIDO PARA ESTA FINALIDADE, INFRINGINDO O ART. 182 DO CÓDIGO DE TRANSITO BRASILEIRO E COLOCANDO EM RISCO A INTEGRIDADE FISICA DOS AGENTES DE COLETA E A DE TERCEIROS QUE TRANSITAVAM NA VIA. TAL ATO DE FATOR DE DETERMINANTE E GEROU O ACIDENTE DE UM VEÍCULO TERCEIRO QUE COLIDIU NA TRASEIRA DO COMPACTADOR, ONDE OS OCUPANTES TIVERAM FERIMENTOS LEVES."/>
  </r>
  <r>
    <n v="51"/>
    <s v="EZEQUIEL VASCONCELOS MARTINS"/>
    <x v="11"/>
    <x v="2"/>
    <d v="2022-09-01T00:00:00"/>
    <s v="1ANOS, 4MESES"/>
    <n v="1.4027777777777777"/>
    <s v="01 A 03 ANOS"/>
    <x v="0"/>
    <s v="COLETA DOMICILIAR"/>
    <x v="1"/>
    <s v="ANA CAROLINA"/>
    <s v="SUSPENSÃO"/>
    <d v="2024-01-19T00:00:00"/>
    <s v="JANEIRO "/>
    <m/>
    <d v="2024-01-22T00:00:00"/>
    <x v="0"/>
    <x v="0"/>
    <d v="2024-01-25T00:00:00"/>
    <x v="0"/>
    <s v="FALTA INJUSTIFICADA NO DIA 19/01/2024, APRESENTOU DECLARAÇÃO DE COMPARECECIMENTO FORA DO PRAZO."/>
  </r>
  <r>
    <n v="52"/>
    <s v="MARIANO PEREIRA DOS REIS "/>
    <x v="42"/>
    <x v="2"/>
    <d v="2023-06-01T00:00:00"/>
    <s v="0ANOS, 7MESES"/>
    <n v="0.64722222222222225"/>
    <s v="0 A 01 ANO"/>
    <x v="0"/>
    <s v="COLETA DOMICILIAR"/>
    <x v="1"/>
    <s v="ANA CAROLINA"/>
    <s v="SUSPENSÃO"/>
    <d v="2024-01-20T00:00:00"/>
    <s v="JANEIRO "/>
    <m/>
    <d v="2024-01-20T00:00:00"/>
    <x v="0"/>
    <x v="0"/>
    <d v="2024-01-21T00:00:00"/>
    <x v="4"/>
    <s v="COLABORADOR RECUSOU A ATENDER AO COMANDO PASSADO PELA ANALISTA, REFERENTE AO APOIO SOLICITADO NA ROTA 90.1.165 (CIDADE NOVA - NUCLEOS) DENTRO DO HORÁRIO DE TRABALHO."/>
  </r>
  <r>
    <n v="53"/>
    <s v="MAURICIO DE SOUZA ANDRADE"/>
    <x v="43"/>
    <x v="2"/>
    <d v="2021-10-13T00:00:00"/>
    <s v="2ANOS, 3MESES"/>
    <n v="2.3027777777777776"/>
    <s v="01 A 03 ANOS"/>
    <x v="0"/>
    <s v="COLETA DOMICILIAR"/>
    <x v="1"/>
    <s v="ANA CAROLINA"/>
    <s v="SUSPENSÃO"/>
    <d v="2024-01-20T00:00:00"/>
    <s v="JANEIRO "/>
    <m/>
    <d v="2024-01-20T00:00:00"/>
    <x v="0"/>
    <x v="0"/>
    <d v="2024-01-21T00:00:00"/>
    <x v="4"/>
    <s v="COLABORADOR RECUSOU A ATENDER AO COMANDO PASSADO PELA ANALISTA, REFERENTE AO APOIO SOLICITADO NA ROTA 90.1.165 (CIDADE NOVA - NUCLEOS) DENTRO DO HORÁRIO DE TRABALHO."/>
  </r>
  <r>
    <n v="54"/>
    <s v="RICARDO CARRIL MENDONCA JUNIOR"/>
    <x v="44"/>
    <x v="1"/>
    <d v="2023-08-08T00:00:00"/>
    <s v="0ANOS, 5MESES"/>
    <n v="0.45833333333333331"/>
    <s v="0 A 01 ANO"/>
    <x v="0"/>
    <s v="COLETA DOMICILIAR"/>
    <x v="1"/>
    <s v="ANA CAROLINA"/>
    <s v="ADVERTENCIA"/>
    <d v="2024-01-20T00:00:00"/>
    <s v="JANEIRO "/>
    <m/>
    <d v="2024-01-20T00:00:00"/>
    <x v="0"/>
    <x v="0"/>
    <d v="2024-01-20T00:00:00"/>
    <x v="0"/>
    <s v="O COLABORADOR FALTOU NO DIA 20/01/24 E NÃO APRESENTOU NENHUMA JUSTIFICATIVA."/>
  </r>
  <r>
    <n v="55"/>
    <s v="DAVID JOSE GONZALEZ MENDEZ"/>
    <x v="45"/>
    <x v="2"/>
    <d v="2021-06-01T00:00:00"/>
    <s v="2ANOS, 7MESES"/>
    <n v="2.6749999999999998"/>
    <s v="01 A 03 ANOS"/>
    <x v="0"/>
    <s v="COLETA DOMICILIAR"/>
    <x v="0"/>
    <s v="JOÃO PEDRO"/>
    <s v="ADVERTENCIA"/>
    <d v="2024-01-20T00:00:00"/>
    <s v="JANEIRO "/>
    <m/>
    <d v="2024-01-20T00:00:00"/>
    <x v="0"/>
    <x v="0"/>
    <d v="2024-01-23T00:00:00"/>
    <x v="0"/>
    <s v="FALTA EM 20/01/2024, COLABORADOR INFORMOU QUE ESTAVA A CAMINHO DA EMPRESA, PORÉM A SUA MOTO ENTROU EM PANE, E O MESMO NÃO CONSEGUIU CHEGAR NO SEU DESTINO."/>
  </r>
  <r>
    <n v="56"/>
    <s v="ISAIAS ROCHA DE ARAUJO"/>
    <x v="46"/>
    <x v="1"/>
    <d v="2023-08-17T00:00:00"/>
    <s v="0ANOS, 5MESES"/>
    <n v="0.43333333333333335"/>
    <s v="0 A 01 ANO"/>
    <x v="1"/>
    <s v="COLETA DOMICILIAR"/>
    <x v="0"/>
    <s v="JOÃO PEDRO"/>
    <s v="ADVERTENCIA"/>
    <d v="2024-01-20T00:00:00"/>
    <s v="JANEIRO "/>
    <m/>
    <d v="2024-01-23T00:00:00"/>
    <x v="0"/>
    <x v="0"/>
    <d v="2024-01-23T00:00:00"/>
    <x v="1"/>
    <s v="COLABORADOR EXCEDEU A VELOCIDADE PERMITIDO DA EMPRESA CHEGANDO A 72 KM/H."/>
  </r>
  <r>
    <n v="57"/>
    <s v="ROSSIFRANK MATOS CARDOSO"/>
    <x v="47"/>
    <x v="2"/>
    <d v="2022-01-17T00:00:00"/>
    <s v="2ANOS, 0MESES"/>
    <n v="2.0388888888888888"/>
    <s v="01 A 03 ANOS"/>
    <x v="0"/>
    <s v="COLETA DOMICILIAR"/>
    <x v="0"/>
    <s v="JOÃO PEDRO"/>
    <s v="ADVERTENCIA"/>
    <d v="2024-01-21T00:00:00"/>
    <s v="JANEIRO "/>
    <m/>
    <d v="2024-01-23T00:00:00"/>
    <x v="0"/>
    <x v="0"/>
    <d v="2024-01-23T00:00:00"/>
    <x v="0"/>
    <s v="FALTA NO DOMINGO 21/01/2024, COLABORADOR ALEGOU NÃO ESTAR BEM DE SAÚDE, PORÉM NÃO PROCOUROU ATENDIMENTO."/>
  </r>
  <r>
    <n v="58"/>
    <s v="RAYLANDER BATISTA DA SILVA"/>
    <x v="23"/>
    <x v="2"/>
    <d v="2023-04-06T00:00:00"/>
    <s v="0ANOS, 9MESES"/>
    <n v="0.81111111111111112"/>
    <s v="0 A 01 ANO"/>
    <x v="0"/>
    <s v="COLETA DOMICILIAR"/>
    <x v="1"/>
    <s v="ANA CAROLINA"/>
    <s v="SUSPENSÃO"/>
    <d v="2024-01-23T00:00:00"/>
    <s v="JANEIRO "/>
    <m/>
    <d v="2024-01-24T00:00:00"/>
    <x v="0"/>
    <x v="0"/>
    <d v="2024-01-27T00:00:00"/>
    <x v="0"/>
    <s v="FALTA INJUSTIFICADA NOS DIAS 20/01/2024, 21/01/2024, 22/01/2024 E 23/01/2024, COLABORADOR INFORMA QUE ESTÁ COM DORES NA COLUNA, PORÉM NÃO CONSEGUIU BUSCAR ATENDIMENTO."/>
  </r>
  <r>
    <n v="59"/>
    <s v="JANDERSON ALHO PINHEIRO "/>
    <x v="34"/>
    <x v="2"/>
    <d v="2023-06-01T00:00:00"/>
    <s v="0ANOS, 7MESES"/>
    <n v="0.65277777777777779"/>
    <s v="0 A 01 ANO"/>
    <x v="0"/>
    <s v="COLETA DOMICILIAR"/>
    <x v="0"/>
    <s v="JOÃO PEDRO"/>
    <s v="SUSPENSÃO"/>
    <d v="2024-01-22T00:00:00"/>
    <s v="JANEIRO "/>
    <m/>
    <d v="2024-01-23T00:00:00"/>
    <x v="0"/>
    <x v="0"/>
    <d v="2024-01-30T00:00:00"/>
    <x v="0"/>
    <s v="FALTA EM 22/01/2024, COLABORADOR INFORMOU QUE ESTAVA PARA AUTAZES, PORÉM, HOUVE UM ATRASO NA VOLTA, E QUE O IMPOSSIBILITOU DE CHEGAR EM TEMPO HÁBIL NA EMPRESA."/>
  </r>
  <r>
    <n v="60"/>
    <s v="LEONARDO DA SILVA ROCHA"/>
    <x v="3"/>
    <x v="2"/>
    <d v="2022-10-06T00:00:00"/>
    <s v="1ANOS, 3MESES"/>
    <n v="1.3222222222222222"/>
    <s v="01 A 03 ANOS"/>
    <x v="0"/>
    <s v="COLETA DOMICILIAR"/>
    <x v="0"/>
    <s v="JOÃO PEDRO"/>
    <s v="SUSPENSÃO"/>
    <d v="2024-01-25T00:00:00"/>
    <s v="JANEIRO "/>
    <m/>
    <d v="2024-01-25T00:00:00"/>
    <x v="0"/>
    <x v="0"/>
    <d v="2024-01-31T00:00:00"/>
    <x v="0"/>
    <s v="FALTA EM 25/01/2024, COLABORADOR NÃO QUIS INFORMAR O MOTIVO DA FALTA."/>
  </r>
  <r>
    <n v="61"/>
    <s v="EDINARDO PERES DA SILVA BRITO"/>
    <x v="48"/>
    <x v="2"/>
    <d v="2013-02-08T00:00:00"/>
    <s v="10ANOS, 11MESES"/>
    <n v="11.113888888888889"/>
    <s v="MAIS DE 5 ANOS"/>
    <x v="1"/>
    <s v="COLETA DOMICILIAR"/>
    <x v="1"/>
    <s v="ANA CAROLINA"/>
    <s v="ADVERTENCIA"/>
    <d v="2024-01-23T00:00:00"/>
    <s v="JANEIRO "/>
    <m/>
    <d v="2024-01-24T00:00:00"/>
    <x v="0"/>
    <x v="0"/>
    <d v="2024-01-24T00:00:00"/>
    <x v="1"/>
    <s v="EXCEDEU A VELOCIDADE PERMITIDA PELA EMPRESA CHEGANDO A 75 KM NO DIA 23/01/2024."/>
  </r>
  <r>
    <n v="62"/>
    <s v="JANILSON DE OLIVEIRA SACRAMENTO "/>
    <x v="49"/>
    <x v="2"/>
    <d v="2023-06-16T00:00:00"/>
    <s v="0ANOS, 7MESES"/>
    <n v="0.61944444444444446"/>
    <s v="0 A 01 ANO"/>
    <x v="0"/>
    <s v="COLETA DOMICILIAR"/>
    <x v="0"/>
    <s v="JOSEANE MIGUEL"/>
    <s v="ADVERTENCIA"/>
    <d v="2024-01-25T00:00:00"/>
    <s v="JANEIRO "/>
    <m/>
    <d v="2024-01-28T00:00:00"/>
    <x v="0"/>
    <x v="0"/>
    <d v="2024-01-28T00:00:00"/>
    <x v="0"/>
    <s v="FALTA EM 25/01/2024, COLABORADOR FOI PROCURAR ATENDIMENTO, PORÉM NÃO ENTREGOU NENHUMA DOCUMENTAÇÃO."/>
  </r>
  <r>
    <n v="63"/>
    <s v="AUGUSTO CESAR DA SILVA CORREA"/>
    <x v="50"/>
    <x v="0"/>
    <d v="2022-02-02T00:00:00"/>
    <s v="0ANOS, 10MESES"/>
    <n v="0.92500000000000004"/>
    <s v="0 A 01 ANO"/>
    <x v="0"/>
    <s v="COLETA DOMICILIAR"/>
    <x v="1"/>
    <s v="JOSÉ ADELMAR"/>
    <s v="ADVERTENCIA"/>
    <d v="2023-01-01T00:00:00"/>
    <s v="JANEIRO "/>
    <m/>
    <d v="2023-01-02T00:00:00"/>
    <x v="0"/>
    <x v="1"/>
    <d v="2023-01-02T00:00:00"/>
    <x v="0"/>
    <s v="O COLABORADOR FALTOU O PLANTÃO DO DIA 01/01/2023, SEM JUSTIFICATIVA A SUA CHEFIA IMEDIATA."/>
  </r>
  <r>
    <n v="64"/>
    <s v="JOÃO MARCOS DE SOUZA CASTRO"/>
    <x v="51"/>
    <x v="0"/>
    <d v="2019-10-09T00:00:00"/>
    <s v="3ANOS, 2MESES"/>
    <n v="3.2777777777777777"/>
    <s v="03 A 05 ANOS"/>
    <x v="0"/>
    <s v="COLETA DOMICILIAR"/>
    <x v="1"/>
    <s v="JOSÉ ADELMAR"/>
    <s v="SUSPENSÃO"/>
    <d v="2023-01-01T00:00:00"/>
    <s v="JANEIRO "/>
    <m/>
    <d v="2023-01-02T00:00:00"/>
    <x v="0"/>
    <x v="1"/>
    <d v="2023-01-05T00:00:00"/>
    <x v="0"/>
    <s v="O COLABORADOR FALTOU O PLANTÃO DO DIA 01/01/2023, SEM JUSTIFICATIVA A SUA CHEFIA IMEDIATA."/>
  </r>
  <r>
    <n v="65"/>
    <s v="NILTON NASCIMENTO QUADROS"/>
    <x v="52"/>
    <x v="0"/>
    <d v="2019-11-18T00:00:00"/>
    <s v="3ANOS, 1MESES"/>
    <n v="3.1666666666666665"/>
    <s v="03 A 05 ANOS"/>
    <x v="0"/>
    <s v="COLETA DOMICILIAR"/>
    <x v="1"/>
    <s v="JOSÉ ADELMAR"/>
    <s v="SUSPENSÃO"/>
    <d v="2023-01-01T00:00:00"/>
    <s v="JANEIRO "/>
    <m/>
    <d v="2023-01-02T00:00:00"/>
    <x v="0"/>
    <x v="1"/>
    <d v="2023-01-03T00:00:00"/>
    <x v="0"/>
    <s v="O COLABORADOR FALTOU O PLANTÃO DO DIA 01/01/2023, SEM JUSTIFICATIVA A SUA CHEFIA IMEDIATA."/>
  </r>
  <r>
    <n v="66"/>
    <s v="ALVARO FILHO DA SILVA SANTOS"/>
    <x v="53"/>
    <x v="0"/>
    <d v="2020-10-05T00:00:00"/>
    <s v="2ANOS, 2MESES"/>
    <n v="2.2722222222222221"/>
    <s v="01 A 03 ANOS"/>
    <x v="0"/>
    <s v="COLETA DOMICILIAR"/>
    <x v="1"/>
    <s v="JOSÉ ADELMAR"/>
    <s v="SUSPENSÃO"/>
    <d v="2023-01-01T00:00:00"/>
    <s v="JANEIRO "/>
    <m/>
    <d v="2023-01-02T00:00:00"/>
    <x v="0"/>
    <x v="1"/>
    <d v="2023-01-03T00:00:00"/>
    <x v="0"/>
    <s v="O COLABORADOR FALTOU O PLANTÃO DO DIA 01/01/2023, SEM JUSTIFICATIVA A SUA CHEFIA IMEDIATA."/>
  </r>
  <r>
    <n v="67"/>
    <s v="ALDENILSO RAMOS DE OLIVEIRA"/>
    <x v="54"/>
    <x v="1"/>
    <d v="2022-08-12T00:00:00"/>
    <s v="0ANOS, 4MESES"/>
    <n v="0.39444444444444443"/>
    <s v="0 A 01 ANO"/>
    <x v="0"/>
    <s v="COLETA DOMICILIAR"/>
    <x v="1"/>
    <s v="JOSÉ ADELMAR"/>
    <s v="SUSPENSÃO"/>
    <d v="2023-01-01T00:00:00"/>
    <s v="JANEIRO "/>
    <m/>
    <d v="2023-01-02T00:00:00"/>
    <x v="0"/>
    <x v="1"/>
    <d v="2023-01-05T00:00:00"/>
    <x v="0"/>
    <s v="O COLABORADOR FALTOU O PLANTÃO DO DIA 01/01/2023, SEM JUSTIFICATIVA A SUA CHEFIA IMEDIATA."/>
  </r>
  <r>
    <n v="68"/>
    <s v="SIDNEY LUAN CRUZ RIBEIRO"/>
    <x v="55"/>
    <x v="1"/>
    <d v="2022-09-01T00:00:00"/>
    <s v="0ANOS, 4MESES"/>
    <n v="0.33888888888888891"/>
    <s v="0 A 01 ANO"/>
    <x v="0"/>
    <s v="COLETA DOMICILIAR"/>
    <x v="1"/>
    <s v="JOSÉ ADELMAR"/>
    <s v="SUSPENSÃO"/>
    <d v="2023-01-01T00:00:00"/>
    <s v="JANEIRO "/>
    <m/>
    <d v="2023-01-02T00:00:00"/>
    <x v="0"/>
    <x v="1"/>
    <d v="2023-01-03T00:00:00"/>
    <x v="0"/>
    <s v="O COLABORADOR FALTOU O PLANTÃO DO DIA 01/01/2023, SEM JUSTIFICATIVA A SUA CHEFIA IMEDIATA."/>
  </r>
  <r>
    <n v="69"/>
    <s v="KLEITON CARDOSO DA SILVA"/>
    <x v="56"/>
    <x v="0"/>
    <d v="2022-05-02T00:00:00"/>
    <s v="0ANOS, 7MESES"/>
    <n v="0.67777777777777781"/>
    <s v="0 A 01 ANO"/>
    <x v="0"/>
    <s v="COLETA DOMICILIAR"/>
    <x v="1"/>
    <s v="JOSÉ ADELMAR"/>
    <s v="SUSPENSÃO"/>
    <d v="2023-01-01T00:00:00"/>
    <s v="JANEIRO "/>
    <m/>
    <d v="2023-01-02T00:00:00"/>
    <x v="0"/>
    <x v="1"/>
    <d v="2023-01-07T00:00:00"/>
    <x v="0"/>
    <s v="O COLABORADOR FALTOU O PLANTÃO DO DIA 01/01/2023, SEM JUSTIFICATIVA A SUA CHEFIA IMEDIATA."/>
  </r>
  <r>
    <n v="70"/>
    <s v="MARCOS BATALHA FONSECA"/>
    <x v="57"/>
    <x v="0"/>
    <d v="2022-12-01T00:00:00"/>
    <s v="0ANOS, 1MESES"/>
    <n v="8.611111111111111E-2"/>
    <s v="0 A 01 ANO"/>
    <x v="0"/>
    <s v="COLETA DOMICILIAR"/>
    <x v="0"/>
    <s v="DOUGLAS ALBUQUERQUE"/>
    <s v="ADVERTENCIA"/>
    <d v="2023-01-01T00:00:00"/>
    <s v="JANEIRO "/>
    <m/>
    <d v="2023-01-02T00:00:00"/>
    <x v="0"/>
    <x v="1"/>
    <d v="2023-01-02T00:00:00"/>
    <x v="0"/>
    <s v="FALTA INJUSTIFICADA EM 01/01/2023."/>
  </r>
  <r>
    <n v="71"/>
    <s v="JOSINEY CATIQUE VERAS"/>
    <x v="58"/>
    <x v="0"/>
    <d v="2021-08-09T00:00:00"/>
    <s v="1ANOS, 4MESES"/>
    <n v="1.4194444444444445"/>
    <s v="01 A 03 ANOS"/>
    <x v="0"/>
    <s v="COLETA DOMICILIAR"/>
    <x v="0"/>
    <s v="JOSÉ ADELMAR"/>
    <s v="SUSPENSÃO"/>
    <d v="2023-01-02T00:00:00"/>
    <s v="JANEIRO "/>
    <m/>
    <d v="2023-01-03T00:00:00"/>
    <x v="0"/>
    <x v="1"/>
    <d v="2023-01-06T00:00:00"/>
    <x v="0"/>
    <s v="A COLABORADOR FALTOU NO DIA  02/01/2023, SEM JUSTIFICATIVA A SUA CHEFIA IMEDIATA."/>
  </r>
  <r>
    <n v="72"/>
    <s v="PEDRO SERGIO DE SOUZA CHAVES"/>
    <x v="14"/>
    <x v="0"/>
    <d v="2021-11-18T00:00:00"/>
    <s v="1ANOS, 1MESES"/>
    <n v="1.1388888888888888"/>
    <s v="01 A 03 ANOS"/>
    <x v="0"/>
    <s v="COLETA DOMICILIAR"/>
    <x v="1"/>
    <s v="JOSÉ ADELMAR"/>
    <s v="ADVERTENCIA"/>
    <d v="2023-01-02T00:00:00"/>
    <s v="JANEIRO "/>
    <m/>
    <d v="2023-01-02T00:00:00"/>
    <x v="0"/>
    <x v="1"/>
    <d v="2023-01-02T00:00:00"/>
    <x v="0"/>
    <s v="A COLABORADOR FALTOU NO DIA  02/01/2023, SEM JUSTIFICATIVA A SUA CHEFIA IMEDIATA."/>
  </r>
  <r>
    <n v="73"/>
    <s v="LUIZ FERNANDO MENDES VIANA"/>
    <x v="59"/>
    <x v="1"/>
    <d v="2022-12-07T00:00:00"/>
    <s v="0ANOS, 0MESES"/>
    <n v="6.9444444444444448E-2"/>
    <s v="0 A 01 ANO"/>
    <x v="0"/>
    <s v="COLETA DOMICILIAR"/>
    <x v="1"/>
    <s v="JOSÉ ADELMAR"/>
    <s v="ADVERTENCIA"/>
    <d v="2023-01-01T00:00:00"/>
    <s v="JANEIRO "/>
    <m/>
    <d v="2023-01-02T00:00:00"/>
    <x v="0"/>
    <x v="1"/>
    <d v="2023-01-02T00:00:00"/>
    <x v="0"/>
    <s v="O COLABORADOR FALTOU O PLANTÃO DO DIA 01/01/2023, SEM JUSTIFICATIVA A SUA CHEFIA IMEDIATA."/>
  </r>
  <r>
    <n v="74"/>
    <s v="FABIO DE OLIVEIRA CHUNIA"/>
    <x v="60"/>
    <x v="0"/>
    <d v="2017-12-05T00:00:00"/>
    <s v="5ANOS, 0MESES"/>
    <n v="5.1472222222222221"/>
    <s v="MAIS DE 5 ANOS"/>
    <x v="1"/>
    <s v="COLETA DOMICILIAR"/>
    <x v="1"/>
    <s v="JOSÉ ADELMAR"/>
    <s v="ADVERTENCIA"/>
    <d v="2023-01-01T00:00:00"/>
    <s v="JANEIRO "/>
    <m/>
    <d v="2023-01-02T00:00:00"/>
    <x v="0"/>
    <x v="1"/>
    <d v="2023-01-02T00:00:00"/>
    <x v="0"/>
    <s v="O COLABORADOR FALTOU O PLANTÃO DO DIA 01/01/2023, SEM JUSTIFICATIVA A SUA CHEFIA IMEDIATA."/>
  </r>
  <r>
    <n v="75"/>
    <s v="JOSE RAIMUNDO REIS PEREIRA"/>
    <x v="61"/>
    <x v="0"/>
    <d v="2013-02-08T00:00:00"/>
    <s v="9ANOS, 10MESES"/>
    <n v="10.03888888888889"/>
    <s v="MAIS DE 5 ANOS"/>
    <x v="0"/>
    <s v="COLETA DOMICILIAR"/>
    <x v="1"/>
    <s v="JOSÉ ADELMAR"/>
    <s v="ADVERTENCIA"/>
    <d v="2023-01-01T00:00:00"/>
    <s v="JANEIRO "/>
    <m/>
    <d v="2023-01-02T00:00:00"/>
    <x v="0"/>
    <x v="1"/>
    <d v="2023-01-02T00:00:00"/>
    <x v="0"/>
    <s v="O COLABORADOR FALTOU O PLANTÃO DO DIA 01/01/2023, SEM JUSTIFICATIVA A SUA CHEFIA IMEDIATA."/>
  </r>
  <r>
    <n v="76"/>
    <s v="ISAQUE FERNANDES DA CRUZ"/>
    <x v="62"/>
    <x v="0"/>
    <d v="2022-05-02T00:00:00"/>
    <s v="0ANOS, 7MESES"/>
    <n v="0.67777777777777781"/>
    <s v="0 A 01 ANO"/>
    <x v="0"/>
    <s v="COLETA DOMICILIAR"/>
    <x v="1"/>
    <s v="JOSÉ ADELMAR"/>
    <s v="ADVERTENCIA"/>
    <d v="2023-01-01T00:00:00"/>
    <s v="JANEIRO "/>
    <m/>
    <d v="2023-01-02T00:00:00"/>
    <x v="0"/>
    <x v="1"/>
    <d v="2023-01-02T00:00:00"/>
    <x v="0"/>
    <s v="O COLABORADOR FALTOU O PLANTÃO DO DIA 01/01/2023, SEM JUSTIFICATIVA A SUA CHEFIA IMEDIATA."/>
  </r>
  <r>
    <n v="77"/>
    <s v="RONALDO GONÇALVES DE LIMA"/>
    <x v="63"/>
    <x v="0"/>
    <d v="2022-12-01T00:00:00"/>
    <s v="0ANOS, 1MESES"/>
    <n v="8.611111111111111E-2"/>
    <s v="0 A 01 ANO"/>
    <x v="0"/>
    <s v="COLETA DOMICILIAR"/>
    <x v="0"/>
    <s v="DOUGLAS ALBUQUERQUE"/>
    <s v="ADVERTENCIA"/>
    <d v="2023-01-01T00:00:00"/>
    <s v="JANEIRO "/>
    <m/>
    <d v="2023-01-02T00:00:00"/>
    <x v="0"/>
    <x v="1"/>
    <d v="2023-01-02T00:00:00"/>
    <x v="0"/>
    <s v="FALTA INJUSTIFICADA EM 01/01/2023."/>
  </r>
  <r>
    <n v="78"/>
    <s v="EDILSON LUIZ CARVALHO DE OLIVEIRA"/>
    <x v="33"/>
    <x v="0"/>
    <d v="2022-01-17T00:00:00"/>
    <s v="0ANOS, 11MESES"/>
    <n v="0.97222222222222221"/>
    <s v="0 A 01 ANO"/>
    <x v="0"/>
    <s v="COLETA DOMICILIAR"/>
    <x v="0"/>
    <s v="DOUGLAS ALBUQUERQUE"/>
    <s v="ADVERTENCIA"/>
    <d v="2023-01-02T00:00:00"/>
    <s v="JANEIRO "/>
    <m/>
    <d v="2023-01-03T00:00:00"/>
    <x v="0"/>
    <x v="1"/>
    <d v="2023-01-03T00:00:00"/>
    <x v="0"/>
    <s v="FALTA INJUSTIFICADA EM 02/01/2023."/>
  </r>
  <r>
    <n v="79"/>
    <s v="ITALO NASCIMENTO DE SOUZA"/>
    <x v="4"/>
    <x v="0"/>
    <d v="2022-06-01T00:00:00"/>
    <s v="0ANOS, 7MESES"/>
    <n v="0.59722222222222221"/>
    <s v="0 A 01 ANO"/>
    <x v="0"/>
    <s v="COLETA DOMICILIAR"/>
    <x v="0"/>
    <s v="DOUGLAS ALBUQUERQUE"/>
    <s v="SUSPENSÃO"/>
    <d v="2023-01-02T00:00:00"/>
    <s v="JANEIRO "/>
    <m/>
    <d v="2023-01-03T00:00:00"/>
    <x v="0"/>
    <x v="1"/>
    <d v="2023-01-04T00:00:00"/>
    <x v="0"/>
    <s v="FALTA INJUSTIFICADA EM 02/01/2023."/>
  </r>
  <r>
    <n v="80"/>
    <s v="ANDERSON FERNANDES DE OLIVEIRA"/>
    <x v="64"/>
    <x v="0"/>
    <d v="2022-05-02T00:00:00"/>
    <s v="0ANOS, 8MESES"/>
    <n v="0.68055555555555558"/>
    <s v="0 A 01 ANO"/>
    <x v="0"/>
    <s v="COLETA DOMICILIAR"/>
    <x v="0"/>
    <s v="DOUGLAS ALBUQUERQUE"/>
    <s v="SUSPENSÃO"/>
    <d v="2023-01-02T00:00:00"/>
    <s v="JANEIRO "/>
    <m/>
    <d v="2023-01-03T00:00:00"/>
    <x v="0"/>
    <x v="1"/>
    <d v="2023-01-08T00:00:00"/>
    <x v="0"/>
    <s v="FALTA INJUSTIFICADA EM 01/01/2023 E 02/01/2023."/>
  </r>
  <r>
    <n v="81"/>
    <s v="BRENDO FERREIRA DA SILVA"/>
    <x v="65"/>
    <x v="0"/>
    <d v="2022-12-01T00:00:00"/>
    <s v="0ANOS, 1MESES"/>
    <n v="9.166666666666666E-2"/>
    <s v="0 A 01 ANO"/>
    <x v="0"/>
    <s v="COLETA DOMICILIAR"/>
    <x v="1"/>
    <s v="JOSÉ ADELMAR"/>
    <s v="ADVERTENCIA"/>
    <d v="2023-01-03T00:00:00"/>
    <s v="JANEIRO "/>
    <m/>
    <d v="2023-01-03T00:00:00"/>
    <x v="0"/>
    <x v="1"/>
    <d v="2023-01-03T00:00:00"/>
    <x v="0"/>
    <s v="O COLABORADOR FALTOU NO DIA 03/01/2023, SEM JUSTIFICATIVA A SUA CHEFIA IMEDIATA."/>
  </r>
  <r>
    <n v="82"/>
    <s v="ANDRE GILBERTO TAVARES CHAVES"/>
    <x v="66"/>
    <x v="0"/>
    <d v="2017-02-02T00:00:00"/>
    <s v="5ANOS, 11MESES"/>
    <n v="6"/>
    <s v="MAIS DE 5 ANOS"/>
    <x v="1"/>
    <s v="COLETA DOMICILIAR"/>
    <x v="0"/>
    <s v="DOUGLAS ALBUQUERQUE"/>
    <s v="ADVERTENCIA"/>
    <d v="2023-01-02T00:00:00"/>
    <s v="JANEIRO "/>
    <m/>
    <d v="2023-01-04T00:00:00"/>
    <x v="0"/>
    <x v="1"/>
    <d v="2023-01-04T00:00:00"/>
    <x v="1"/>
    <s v="EXCESSO DE VELOCIDADE (78KM/H) CC 695 EM 02/01/2023."/>
  </r>
  <r>
    <n v="83"/>
    <s v="WENDELL FRANCO GIBSON"/>
    <x v="67"/>
    <x v="1"/>
    <d v="2022-11-03T00:00:00"/>
    <s v="0ANOS, 1MESES"/>
    <n v="0.16388888888888889"/>
    <s v="0 A 01 ANO"/>
    <x v="0"/>
    <s v="COLETA DOMICILIAR"/>
    <x v="0"/>
    <s v="DOUGLAS ALBUQUERQUE"/>
    <s v="ADVERTENCIA"/>
    <d v="2023-01-01T00:00:00"/>
    <s v="JANEIRO "/>
    <m/>
    <d v="2023-01-04T00:00:00"/>
    <x v="0"/>
    <x v="1"/>
    <d v="2023-01-04T00:00:00"/>
    <x v="0"/>
    <s v="FALTA INJUSTIFICADA EM 01/01/2023 – CONTRATO PARCIAL (DOM./SEG./TER.)"/>
  </r>
  <r>
    <n v="84"/>
    <s v="DIEGO DA SILVA MAQUINE"/>
    <x v="68"/>
    <x v="0"/>
    <d v="2022-12-01T00:00:00"/>
    <s v="0ANOS, 1MESES"/>
    <n v="9.166666666666666E-2"/>
    <s v="0 A 01 ANO"/>
    <x v="0"/>
    <s v="COLETA DOMICILIAR"/>
    <x v="0"/>
    <s v="DOUGLAS ALBUQUERQUE"/>
    <s v="SUSPENSÃO"/>
    <d v="2023-01-03T00:00:00"/>
    <s v="JANEIRO "/>
    <m/>
    <d v="2023-01-04T00:00:00"/>
    <x v="0"/>
    <x v="1"/>
    <d v="2023-01-05T00:00:00"/>
    <x v="0"/>
    <s v="FALTA INJUSTIFICADA EM 02/01/2023 E 03/01/2023."/>
  </r>
  <r>
    <n v="85"/>
    <s v="DANIEL PEREIRA MARQUES"/>
    <x v="69"/>
    <x v="0"/>
    <d v="2021-05-02T00:00:00"/>
    <s v="1ANOS, 8MESES"/>
    <n v="1.7027777777777777"/>
    <s v="01 A 03 ANOS"/>
    <x v="1"/>
    <s v="COLETA DOMICILIAR"/>
    <x v="1"/>
    <s v="JOSÉ ADELMAR"/>
    <s v="ADVERTENCIA"/>
    <d v="2023-01-05T00:00:00"/>
    <s v="JANEIRO "/>
    <m/>
    <d v="2023-01-05T00:00:00"/>
    <x v="0"/>
    <x v="1"/>
    <d v="2023-01-05T00:00:00"/>
    <x v="1"/>
    <s v="EXCEDEU A LIMITE DE VELOCIDADE PERMITIDA PELA EMPRESA CHEGANDO E 72 KM."/>
  </r>
  <r>
    <n v="86"/>
    <s v="FRANCINEL DE ALENCAR DA COSTA"/>
    <x v="70"/>
    <x v="0"/>
    <d v="2022-11-09T00:00:00"/>
    <s v="0ANOS, 1MESES"/>
    <n v="0.16111111111111112"/>
    <s v="0 A 01 ANO"/>
    <x v="0"/>
    <s v="COLETA EM ÁREA DE DIFÍCIL ACESSO II"/>
    <x v="1"/>
    <s v="LUIZ HENRIQUE"/>
    <s v="ADVERTENCIA"/>
    <d v="2023-01-06T00:00:00"/>
    <s v="JANEIRO "/>
    <m/>
    <d v="2023-01-06T00:00:00"/>
    <x v="0"/>
    <x v="1"/>
    <d v="2023-01-06T00:00:00"/>
    <x v="4"/>
    <s v="COLABORADOR REGISTROU A FOTO NO INÍCIO DO EXPEDIENTE DE TRABALHO, E NÃO RETORNOU OS CONTATOS DOS FISCAIS NO PERÍODO DA MANHA."/>
  </r>
  <r>
    <n v="87"/>
    <s v="MAURICIO AUGUSTO QUEIROZ DE OLIVEIRA"/>
    <x v="71"/>
    <x v="1"/>
    <d v="2022-12-07T00:00:00"/>
    <s v="0ANOS, 1MESES"/>
    <n v="9.166666666666666E-2"/>
    <s v="0 A 01 ANO"/>
    <x v="0"/>
    <s v="COLETA DOMICILIAR"/>
    <x v="0"/>
    <s v="DOUGLAS ALBUQUERQUE"/>
    <s v="ADVERTENCIA"/>
    <d v="2023-01-09T00:00:00"/>
    <s v="JANEIRO "/>
    <m/>
    <d v="2023-01-09T00:00:00"/>
    <x v="0"/>
    <x v="1"/>
    <d v="2023-01-09T00:00:00"/>
    <x v="5"/>
    <s v="OPERAR ALAVANCA DO CC 729 – ROTA: 90.3.120 (PETRÓPOLIS) SEM EXPERIÊNCIA RESULTANDO EM ABERTURA DA COLETA DO CARRO DO SETOR."/>
  </r>
  <r>
    <n v="88"/>
    <s v="KAIRON CASTRO DOS SANTOS"/>
    <x v="72"/>
    <x v="0"/>
    <d v="2021-07-14T00:00:00"/>
    <s v="1ANOS, 5MESES"/>
    <n v="1.5111111111111111"/>
    <s v="01 A 03 ANOS"/>
    <x v="0"/>
    <s v="COLETA DOMICILIAR"/>
    <x v="0"/>
    <s v="DOUGLAS ALBUQUERQUE"/>
    <s v="SUSPENSÃO"/>
    <d v="2023-01-09T00:00:00"/>
    <s v="JANEIRO "/>
    <m/>
    <d v="2023-01-10T00:00:00"/>
    <x v="0"/>
    <x v="1"/>
    <d v="2023-01-15T00:00:00"/>
    <x v="0"/>
    <s v="FALTA INJUSTIFICADA EM 09/01/2023."/>
  </r>
  <r>
    <n v="89"/>
    <s v="RAILSON GOMES MAIA"/>
    <x v="73"/>
    <x v="0"/>
    <d v="2021-06-04T00:00:00"/>
    <s v="1ANOS, 7MESES"/>
    <n v="1.625"/>
    <s v="01 A 03 ANOS"/>
    <x v="0"/>
    <s v="COLETA DOMICILIAR"/>
    <x v="1"/>
    <s v="JOSÉ ADELMAR"/>
    <s v="SUSPENSÃO"/>
    <d v="2023-01-10T00:00:00"/>
    <s v="JANEIRO "/>
    <m/>
    <d v="2023-01-11T00:00:00"/>
    <x v="0"/>
    <x v="1"/>
    <d v="2023-01-12T00:00:00"/>
    <x v="0"/>
    <s v="O COLABORADOR FALTOU NO DIA 10/01/2023, SEM JUSTIFICATIVA A SUA CHEFIA IMEDIATA."/>
  </r>
  <r>
    <n v="90"/>
    <s v="FELIPE DA COSTA RAMOS"/>
    <x v="9"/>
    <x v="1"/>
    <d v="2022-12-07T00:00:00"/>
    <s v="0ANOS, 1MESES"/>
    <n v="0.10833333333333334"/>
    <s v="0 A 01 ANO"/>
    <x v="0"/>
    <s v="COLETA DOMICILIAR"/>
    <x v="1"/>
    <s v="JOSÉ ADELMAR"/>
    <s v="ADVERTENCIA"/>
    <d v="2023-01-15T00:00:00"/>
    <s v="JANEIRO "/>
    <m/>
    <d v="2023-01-16T00:00:00"/>
    <x v="0"/>
    <x v="1"/>
    <d v="2023-01-16T00:00:00"/>
    <x v="0"/>
    <s v="O COLABORADOR FALTOU O PLANTÃO DO DIA 15/01/2023, SEM JUSTIFICATIVA A SUA CHEFIA IMEDIATA."/>
  </r>
  <r>
    <n v="91"/>
    <s v="WENDERSON VIEIRA BARROS"/>
    <x v="74"/>
    <x v="0"/>
    <d v="2018-07-17T00:00:00"/>
    <s v="4ANOS, 6MESES"/>
    <n v="4.572222222222222"/>
    <s v="03 A 05 ANOS"/>
    <x v="2"/>
    <s v="CEU"/>
    <x v="0"/>
    <s v="CARLOS EDUARDO"/>
    <s v="ADVERTENCIA"/>
    <d v="2023-01-18T00:00:00"/>
    <s v="JANEIRO "/>
    <m/>
    <d v="2023-01-18T00:00:00"/>
    <x v="0"/>
    <x v="1"/>
    <d v="2023-01-18T00:00:00"/>
    <x v="2"/>
    <s v="CHEGAR ATRASADO NO DIA 18/01/2023."/>
  </r>
  <r>
    <n v="92"/>
    <s v="ANDRE LUIZ JESUS DE SOUZA"/>
    <x v="75"/>
    <x v="0"/>
    <d v="2013-02-08T00:00:00"/>
    <s v="9ANOS, 11MESES"/>
    <n v="10.088888888888889"/>
    <s v="MAIS DE 5 ANOS"/>
    <x v="1"/>
    <s v="COLETA DOMICILIAR"/>
    <x v="1"/>
    <s v="JOSÉ ADELMAR"/>
    <s v="ADVERTENCIA"/>
    <d v="2023-01-19T00:00:00"/>
    <s v="JANEIRO "/>
    <m/>
    <d v="2023-01-19T00:00:00"/>
    <x v="0"/>
    <x v="1"/>
    <d v="2023-01-19T00:00:00"/>
    <x v="5"/>
    <s v="O MOTORISTA ESTAVA DANDO RÉ NO CAMINHÃO COM O COLABORADOR EM CIMA DO ESTRIBO DO CAMINÃO."/>
  </r>
  <r>
    <n v="93"/>
    <s v="WAGNER GOMES DA LUZ"/>
    <x v="76"/>
    <x v="0"/>
    <d v="2021-05-03T00:00:00"/>
    <s v="1ANOS, 8MESES"/>
    <n v="1.7388888888888889"/>
    <s v="01 A 03 ANOS"/>
    <x v="0"/>
    <s v="COLETA DOMICILIAR"/>
    <x v="1"/>
    <s v="JOSÉ ADELMAR"/>
    <s v="ADVERTENCIA"/>
    <d v="2023-01-19T00:00:00"/>
    <s v="JANEIRO "/>
    <m/>
    <d v="2023-01-19T00:00:00"/>
    <x v="0"/>
    <x v="1"/>
    <d v="2023-01-19T00:00:00"/>
    <x v="5"/>
    <s v="O COLABORADOR ESTAVA EM CIMA DO ESTRIBO NA HORA QUE O CAMINÃO ESTAVA DANDO RÉ."/>
  </r>
  <r>
    <n v="94"/>
    <s v="RODRIGO BARROSO PEREIRA"/>
    <x v="77"/>
    <x v="0"/>
    <d v="2020-06-01T00:00:00"/>
    <s v="2ANOS, 7MESES"/>
    <n v="2.6694444444444443"/>
    <s v="01 A 03 ANOS"/>
    <x v="1"/>
    <s v="COLETA DOMICILIAR"/>
    <x v="1"/>
    <s v="JOSÉ ADELMAR"/>
    <s v="ADVERTENCIA"/>
    <d v="2023-01-18T00:00:00"/>
    <s v="JANEIRO "/>
    <m/>
    <d v="2023-01-19T00:00:00"/>
    <x v="0"/>
    <x v="1"/>
    <d v="2023-01-19T00:00:00"/>
    <x v="1"/>
    <s v="EXCESSO DE VELOCIDADE ACIMA DE 70 KM, NO DIA 18/01/23."/>
  </r>
  <r>
    <n v="95"/>
    <s v="FRANCISCO ORLEILSON RODRIGUES ESTEVÃO"/>
    <x v="78"/>
    <x v="0"/>
    <d v="2019-11-18T00:00:00"/>
    <s v="3ANOS, 2MESES"/>
    <n v="3.2166666666666668"/>
    <s v="03 A 05 ANOS"/>
    <x v="1"/>
    <s v="COLETA DOMICILIAR"/>
    <x v="1"/>
    <s v="JOSÉ ADELMAR"/>
    <s v="ADVERTENCIA"/>
    <d v="2023-01-19T00:00:00"/>
    <s v="JANEIRO "/>
    <m/>
    <d v="2023-01-19T00:00:00"/>
    <x v="0"/>
    <x v="1"/>
    <d v="2023-01-19T00:00:00"/>
    <x v="1"/>
    <s v="EXCESSO DE VELOCIDADE ACIMA DE 70 KM, NO DIA 19/01/23."/>
  </r>
  <r>
    <n v="96"/>
    <s v="MANUEL MONTEIRO DE OLIVEIRA FILHO"/>
    <x v="79"/>
    <x v="0"/>
    <d v="2013-11-14T00:00:00"/>
    <s v="9ANOS, 2MESES"/>
    <n v="9.3027777777777771"/>
    <s v="MAIS DE 5 ANOS"/>
    <x v="0"/>
    <s v="COLETA DOMICILIAR"/>
    <x v="1"/>
    <s v="JOSÉ ADELMAR"/>
    <s v="SUSPENSÃO"/>
    <d v="2023-01-15T00:00:00"/>
    <s v="JANEIRO "/>
    <m/>
    <d v="2023-01-20T00:00:00"/>
    <x v="0"/>
    <x v="1"/>
    <d v="2023-01-21T00:00:00"/>
    <x v="5"/>
    <s v="POR NÃO CUMPRIR O PROCEDIMENTO DE RÉ NA DATA DO DIA 15/01/2023, FICANDO EM CIMA DO ESTRIBO ENQUANTO O MOTORISTA ESTAVA DANDO RÉ."/>
  </r>
  <r>
    <n v="97"/>
    <s v="JHON CLEY BARBOSA DA SILVA"/>
    <x v="80"/>
    <x v="0"/>
    <d v="2022-11-03T00:00:00"/>
    <s v="0ANOS, 2MESES"/>
    <n v="0.20277777777777778"/>
    <s v="0 A 01 ANO"/>
    <x v="0"/>
    <s v="COLETA DOMICILIAR"/>
    <x v="1"/>
    <s v="JOSÉ ADELMAR"/>
    <s v="SUSPENSÃO"/>
    <d v="2023-01-15T00:00:00"/>
    <s v="JANEIRO "/>
    <m/>
    <d v="2023-01-20T00:00:00"/>
    <x v="0"/>
    <x v="1"/>
    <d v="2023-01-21T00:00:00"/>
    <x v="5"/>
    <s v="POR NÃO CUMPRIR O PROCEDIMENTO DE RÉ NA DATA DO DIA 15/01/2023, FICANDO EM CIMA DO ESTRIBO ENQUANTO O MOTORISTA ESTAVA DANDO RÉ."/>
  </r>
  <r>
    <n v="98"/>
    <s v="JANDERSON SAMPAIO DE AGUIAR"/>
    <x v="81"/>
    <x v="0"/>
    <d v="2020-12-04T00:00:00"/>
    <s v="2ANOS, 1MESES"/>
    <n v="2.1444444444444444"/>
    <s v="01 A 03 ANOS"/>
    <x v="1"/>
    <s v="COLETA DOMICILIAR"/>
    <x v="1"/>
    <s v="JOSÉ ADELMAR"/>
    <s v="SUSPENSÃO"/>
    <d v="2023-01-15T00:00:00"/>
    <s v="JANEIRO "/>
    <m/>
    <d v="2023-01-20T00:00:00"/>
    <x v="0"/>
    <x v="1"/>
    <d v="2023-01-21T00:00:00"/>
    <x v="5"/>
    <s v="POR NÃO CUMPRIR O PROCEDIMENTO DE RÉ NA DATA DO DIA 15/01/2023, ONDE OS GARÍS ESTAVAM NO ESTRIBO O MESMO ESTAVA EM MANOBRA DE RÉ."/>
  </r>
  <r>
    <n v="99"/>
    <s v="ANTONIO LUIS RIBEIRO ALEXANDRE"/>
    <x v="82"/>
    <x v="0"/>
    <d v="2022-09-01T00:00:00"/>
    <s v="0ANOS, 4MESES"/>
    <n v="0.3972222222222222"/>
    <s v="0 A 01 ANO"/>
    <x v="0"/>
    <s v="COLETA DOMICILIAR"/>
    <x v="0"/>
    <s v="DOUGLAS ALBUQUERQUE"/>
    <s v="ADVERTENCIA"/>
    <d v="2023-01-22T00:00:00"/>
    <s v="JANEIRO "/>
    <m/>
    <d v="2023-01-23T00:00:00"/>
    <x v="0"/>
    <x v="1"/>
    <d v="2023-01-23T00:00:00"/>
    <x v="0"/>
    <s v="FALTA INJUSTIFICADA EM 22/01/2023."/>
  </r>
  <r>
    <n v="100"/>
    <s v="HELIO REIS DE FREITAS"/>
    <x v="83"/>
    <x v="0"/>
    <d v="2020-12-01T00:00:00"/>
    <s v="2ANOS, 1MESES"/>
    <n v="2.1694444444444443"/>
    <s v="01 A 03 ANOS"/>
    <x v="0"/>
    <s v="COLETA DOMICILIAR"/>
    <x v="0"/>
    <s v="DOUGLAS ALBUQUERQUE"/>
    <s v="ADVERTENCIA"/>
    <d v="2023-01-21T00:00:00"/>
    <s v="JANEIRO "/>
    <m/>
    <d v="2023-01-23T00:00:00"/>
    <x v="0"/>
    <x v="1"/>
    <d v="2023-01-23T00:00:00"/>
    <x v="0"/>
    <s v="FALTA INJUSTIFICADA EM 21/01/2023."/>
  </r>
  <r>
    <n v="101"/>
    <s v="WENDERSON VIEIRA BARROS"/>
    <x v="74"/>
    <x v="0"/>
    <d v="2018-07-17T00:00:00"/>
    <s v="4ANOS, 6MESES"/>
    <n v="4.5777777777777775"/>
    <s v="03 A 05 ANOS"/>
    <x v="3"/>
    <s v="COLETA DOMICILIAR"/>
    <x v="0"/>
    <s v="CARLOS EDUARDO"/>
    <s v="SUSPENSÃO"/>
    <d v="2023-01-20T00:00:00"/>
    <s v="JANEIRO "/>
    <m/>
    <d v="2023-01-20T00:00:00"/>
    <x v="0"/>
    <x v="1"/>
    <d v="2023-01-21T00:00:00"/>
    <x v="6"/>
    <s v="DESCUMPRIR ORDEM DO GESTOR 20/01/2023, FOI SOLICITADO QUE O FUNCIONÁRIO REALIZA-SE MAPEAMENTO DO SETOR SANTA INES NAS RUAS A, B, C, E E AV. Q, ONDE O MESMO SE NEGOU A REALIZAR A TAREFA, APÓS ESSE OCORRIDO FOI ORIENTADO PELA CHEFIA IMEDIATA PARA RETORNAR Á GARAGEM, MAS NOVAMENTE A SOLICITAÇÃO NÃO FOI ATENDIDA."/>
  </r>
  <r>
    <n v="102"/>
    <s v="FRANCINEL DE ALENCAR DA COSTA"/>
    <x v="70"/>
    <x v="0"/>
    <d v="2022-11-09T00:00:00"/>
    <s v="0ANOS, 2MESES"/>
    <n v="0.20833333333333334"/>
    <s v="0 A 01 ANO"/>
    <x v="0"/>
    <s v="COLETA EM ÁREA DE DIFÍCIL ACESSO II"/>
    <x v="1"/>
    <s v="JOSÉ ADELMAR"/>
    <s v="SUSPENSÃO"/>
    <d v="2023-01-23T00:00:00"/>
    <s v="JANEIRO "/>
    <m/>
    <d v="2023-01-23T00:00:00"/>
    <x v="0"/>
    <x v="1"/>
    <d v="2023-01-24T00:00:00"/>
    <x v="0"/>
    <s v="O COLABORADOR FALTOU AO TRABALHO NO DIA 23/01/2023."/>
  </r>
  <r>
    <n v="103"/>
    <s v="ADRIANO ROCHA DE PAULA"/>
    <x v="84"/>
    <x v="0"/>
    <d v="2017-05-14T00:00:00"/>
    <s v="5ANOS, 8MESES"/>
    <n v="5.7777777777777777"/>
    <s v="MAIS DE 5 ANOS"/>
    <x v="0"/>
    <s v="COLETA DOMICILIAR"/>
    <x v="0"/>
    <s v="DOUGLAS ALBUQUERQUE"/>
    <s v="SUSPENSÃO"/>
    <d v="2023-01-23T00:00:00"/>
    <s v="JANEIRO "/>
    <m/>
    <d v="2023-01-24T00:00:00"/>
    <x v="0"/>
    <x v="1"/>
    <d v="2023-01-29T00:00:00"/>
    <x v="0"/>
    <s v="FALTA INJUSTIFICADA EM 23/01/2023."/>
  </r>
  <r>
    <n v="104"/>
    <s v="MARCOS VINICIUS OLIVEIRA DOS SANTOS"/>
    <x v="85"/>
    <x v="0"/>
    <d v="2022-11-03T00:00:00"/>
    <s v="0ANOS, 2MESES"/>
    <n v="0.22222222222222221"/>
    <s v="0 A 01 ANO"/>
    <x v="0"/>
    <s v="COLETA DOMICILIAR"/>
    <x v="1"/>
    <s v="JOSÉ ADELMAR"/>
    <s v="ADVERTENCIA"/>
    <d v="2023-01-22T00:00:00"/>
    <s v="JANEIRO "/>
    <m/>
    <d v="2023-01-23T00:00:00"/>
    <x v="0"/>
    <x v="1"/>
    <d v="2023-01-22T00:00:00"/>
    <x v="5"/>
    <s v="O COLABORADOR DESCUMPRIU O PROCEDIMENTO DE RÉ NO DIA 22/01/2023 ONDE O MESMO NÃO ESTAVA APENAS ORIENTANDO NO PROCEDIMENTO DE RÉ COMO TAMBÉM COLETANDO LIXO AO MESMO TEMPO."/>
  </r>
  <r>
    <n v="105"/>
    <s v="ADSON DO NASCIMENTO SOUZA"/>
    <x v="86"/>
    <x v="1"/>
    <d v="2022-11-03T00:00:00"/>
    <s v="0ANOS, 2MESES"/>
    <n v="0.22222222222222221"/>
    <s v="0 A 01 ANO"/>
    <x v="0"/>
    <s v="COLETA DOMICILIAR"/>
    <x v="1"/>
    <s v="JOSÉ ADELMAR"/>
    <s v="ADVERTENCIA"/>
    <d v="2023-01-22T00:00:00"/>
    <s v="JANEIRO "/>
    <m/>
    <d v="2023-01-23T00:00:00"/>
    <x v="0"/>
    <x v="1"/>
    <d v="2023-01-23T00:00:00"/>
    <x v="5"/>
    <s v="O COLABORADOR DESCUMPRIU O PROCEDIMENTO DE RÉ NO DIA 22/01/2023 ONDE O MESMO NÃO ESTAVA APENAS ORIENTANDO NO PROCEDIMENTO DE RÉ COMO TAMBÉM COLETANDO LIXO AO MESMO TEMPO."/>
  </r>
  <r>
    <n v="106"/>
    <s v="VANDERLAN COMES SOUZA"/>
    <x v="87"/>
    <x v="0"/>
    <d v="2021-03-17T00:00:00"/>
    <s v="1ANOS, 10MESES"/>
    <n v="1.8805555555555555"/>
    <s v="01 A 03 ANOS"/>
    <x v="1"/>
    <s v="COLETA DOMICILIAR"/>
    <x v="1"/>
    <s v="JOSÉ ADELMAR"/>
    <s v="ADVERTENCIA"/>
    <d v="2023-01-23T00:00:00"/>
    <s v="JANEIRO "/>
    <m/>
    <d v="2023-01-23T00:00:00"/>
    <x v="0"/>
    <x v="1"/>
    <d v="2023-01-23T00:00:00"/>
    <x v="5"/>
    <s v="O MOTORISTA DEIXOU DE CUMPRIR O PROCEDIMENTO DE RÉ NO DIA 23/01/2023, AO DAR UMA RÉ NÃO SE ATENTOU PELA ORIENTAÇÃO DO AGENTE QUE ESTAVA ORIENTANDO E VEIO BATER NA MURETA DO JARDIM."/>
  </r>
  <r>
    <n v="107"/>
    <s v="ANDERSON GIBSON FRANCO"/>
    <x v="88"/>
    <x v="0"/>
    <d v="2023-01-12T00:00:00"/>
    <s v="0ANOS, 0MESES"/>
    <n v="2.7777777777777776E-2"/>
    <s v="0 A 01 ANO"/>
    <x v="1"/>
    <s v="COLETA DOMICILIAR"/>
    <x v="1"/>
    <s v="JOSÉ ADELMAR"/>
    <s v="ADVERTENCIA"/>
    <d v="2023-01-22T00:00:00"/>
    <s v="JANEIRO "/>
    <m/>
    <d v="2023-01-23T00:00:00"/>
    <x v="0"/>
    <x v="1"/>
    <d v="2023-04-23T00:00:00"/>
    <x v="5"/>
    <s v="O MOTORISTA DEIXOU DE CUMPRIR O PROCEDIMENTO DE RÉ NO DIA 22/01/2023, ONDE NÃO ESTAVA SENDO ORIENTADO APENAS POR 1, ELE ESTAVA SENDO ORIENTADO POR DOIS GARÍS DESVIANDO A ATENÇÃO PARA FOCAR APENAS 1, ASSIM DESCUMPRINDO O PROCEDIMENTO ALÉM DOS GARÍS ESTAREM COLETANDO E ORIENTANDO AO MESMO TEMPO."/>
  </r>
  <r>
    <n v="108"/>
    <s v="DENILSON AFONSO DA SILVA LIMA"/>
    <x v="89"/>
    <x v="0"/>
    <d v="2022-04-14T00:00:00"/>
    <s v="0ANOS, 9MESES"/>
    <n v="0.80555555555555558"/>
    <s v="0 A 01 ANO"/>
    <x v="0"/>
    <s v="COLETA DOMICILIAR"/>
    <x v="1"/>
    <s v="JOSÉ ADELMAR"/>
    <s v="SUSPENSÃO"/>
    <d v="2023-01-29T00:00:00"/>
    <s v="JANEIRO "/>
    <m/>
    <d v="2023-01-30T00:00:00"/>
    <x v="0"/>
    <x v="1"/>
    <d v="2023-02-06T00:00:00"/>
    <x v="0"/>
    <s v="O COLABORADOR FALTOU O PLANTÃO DO DIA 29/01/2023, SEM JUSTIFICAR A SUA CHEFIA IMEDIATA."/>
  </r>
  <r>
    <n v="109"/>
    <s v="FRANCINEL DE ALENCAR DA COSTA"/>
    <x v="70"/>
    <x v="0"/>
    <d v="2022-11-09T00:00:00"/>
    <s v="0ANOS, 2MESES"/>
    <n v="0.22222222222222221"/>
    <s v="0 A 01 ANO"/>
    <x v="0"/>
    <s v="COLETA EM ÁREA DE DIFÍCIL ACESSO II"/>
    <x v="1"/>
    <s v="JOSÉ ADELMAR"/>
    <s v="SUSPENSÃO"/>
    <d v="2023-01-28T00:00:00"/>
    <s v="JANEIRO "/>
    <m/>
    <d v="2023-01-28T00:00:00"/>
    <x v="0"/>
    <x v="1"/>
    <d v="2023-02-02T00:00:00"/>
    <x v="0"/>
    <s v="O COLABORADOR FALTOU NO DIA 28/01/2023, SEM JUSTIFICATIFICAR A SUA CHEFIA IMEDIATA."/>
  </r>
  <r>
    <n v="110"/>
    <s v="FRANCINEL DE ALENCAR DA COSTA"/>
    <x v="70"/>
    <x v="0"/>
    <d v="2022-11-09T00:00:00"/>
    <s v="0ANOS, 2MESES"/>
    <n v="0.21388888888888888"/>
    <s v="0 A 01 ANO"/>
    <x v="0"/>
    <s v="COLETA EM ÁREA DE DIFÍCIL ACESSO II"/>
    <x v="1"/>
    <s v="JOSÉ ADELMAR"/>
    <s v="SUSPENSÃO"/>
    <d v="2023-01-25T00:00:00"/>
    <s v="JANEIRO "/>
    <m/>
    <d v="2023-01-25T00:00:00"/>
    <x v="0"/>
    <x v="1"/>
    <d v="2023-01-28T00:00:00"/>
    <x v="2"/>
    <s v="O COLABORADOR CHEGOU ATRASADO AO TRABALHO NO DIA 25/01/2023, SEM JUSTIFICAR A SUA CHEFIA IMEDIATA."/>
  </r>
  <r>
    <n v="111"/>
    <s v="ELADYO DE SALES RIBEIRO"/>
    <x v="90"/>
    <x v="0"/>
    <d v="2013-02-08T00:00:00"/>
    <s v="9ANOS, 11MESES"/>
    <n v="10.102777777777778"/>
    <s v="MAIS DE 5 ANOS"/>
    <x v="1"/>
    <s v="COLETA DOMICILIAR"/>
    <x v="1"/>
    <s v="JOSÉ ADELMAR"/>
    <s v="ADVERTENCIA"/>
    <d v="2023-01-24T00:00:00"/>
    <s v="JANEIRO "/>
    <m/>
    <d v="2023-01-24T00:00:00"/>
    <x v="0"/>
    <x v="1"/>
    <d v="2023-01-24T00:00:00"/>
    <x v="1"/>
    <s v="EXCESSO DE VELOCIDADE ACIMA DE 70 KM, NO DIA 24/01/2023."/>
  </r>
  <r>
    <n v="112"/>
    <s v="DONIELSON PEREIRA DA SILVA"/>
    <x v="91"/>
    <x v="0"/>
    <d v="2020-05-12T00:00:00"/>
    <s v="2ANOS, 8MESES"/>
    <n v="2.7611111111111111"/>
    <s v="01 A 03 ANOS"/>
    <x v="1"/>
    <s v="COLETA DOMICILIAR"/>
    <x v="0"/>
    <s v="LUIZ HENRIQUE"/>
    <s v="SUSPENSÃO"/>
    <d v="2023-01-31T00:00:00"/>
    <s v="JANEIRO "/>
    <m/>
    <d v="2023-01-31T00:00:00"/>
    <x v="0"/>
    <x v="1"/>
    <d v="2023-01-01T00:00:00"/>
    <x v="5"/>
    <s v="COLABORADOR NÃO SEGUIU O PROCEDIMENTO AO ENTRAR NA AV. CRUZEIRO ONDE A TRAFEGABILIDADE SE ENCONTRAVA IRREGULAR COM BASTANTE LAMA E BURACOS, PODENDO OCASIONAR UM ACIDENTE."/>
  </r>
  <r>
    <n v="113"/>
    <s v="JORDEL FEITOZA E FEITOZA"/>
    <x v="92"/>
    <x v="0"/>
    <d v="2022-12-01T00:00:00"/>
    <s v="0ANOS, 2MESES"/>
    <n v="0.17222222222222222"/>
    <s v="0 A 01 ANO"/>
    <x v="0"/>
    <s v="COLETA DOMICILIAR"/>
    <x v="0"/>
    <s v="CARLOS EDUARDO"/>
    <s v="ADVERTENCIA"/>
    <d v="2023-02-01T00:00:00"/>
    <s v="FEVEREIRO"/>
    <m/>
    <d v="2023-02-02T00:00:00"/>
    <x v="2"/>
    <x v="1"/>
    <d v="2023-02-02T00:00:00"/>
    <x v="0"/>
    <s v="ADVERTÊNCIA POR ESCRITA, FALTA SEM JUSTIFICATIVA. (31/01 A 01/02/2023)."/>
  </r>
  <r>
    <n v="114"/>
    <s v="BRENDA EMYLLIS DE SOUZA XAVIER"/>
    <x v="93"/>
    <x v="0"/>
    <d v="2020-02-04T00:00:00"/>
    <s v="3ANOS, 0MESES"/>
    <n v="3.0444444444444443"/>
    <s v="03 A 05 ANOS"/>
    <x v="4"/>
    <s v="EDUCAÇÃO AMBIENTAL"/>
    <x v="2"/>
    <s v="ELISÂNGELA COSTA"/>
    <s v="ADVERTENCIA"/>
    <d v="2023-02-04T00:00:00"/>
    <s v="FEVEREIRO"/>
    <m/>
    <d v="2023-02-06T00:00:00"/>
    <x v="2"/>
    <x v="1"/>
    <d v="2023-02-06T00:00:00"/>
    <x v="0"/>
    <s v="FALTA NÃO JUSTIFICADA NO DIA 04/02/2023."/>
  </r>
  <r>
    <n v="115"/>
    <s v="KAIRON CASTRO DOS SANTOS"/>
    <x v="72"/>
    <x v="0"/>
    <d v="2021-07-14T00:00:00"/>
    <s v="1ANOS, 6MESES"/>
    <n v="1.5833333333333333"/>
    <s v="01 A 03 ANOS"/>
    <x v="0"/>
    <s v="COLETA DOMICILIAR"/>
    <x v="0"/>
    <s v="CARLOS EDUARDO"/>
    <s v="SUSPENSÃO"/>
    <d v="2023-02-04T00:00:00"/>
    <s v="FEVEREIRO"/>
    <m/>
    <d v="2023-02-06T00:00:00"/>
    <x v="2"/>
    <x v="1"/>
    <d v="2023-02-13T00:00:00"/>
    <x v="0"/>
    <s v="FALTOU SÁBADO DIA (04/02/2023), SEM JUSTIFICATIVA."/>
  </r>
  <r>
    <n v="116"/>
    <s v="WALBERSON DE SOUZA"/>
    <x v="94"/>
    <x v="0"/>
    <d v="2022-09-01T00:00:00"/>
    <s v="0ANOS, 5MESES"/>
    <n v="0.43333333333333335"/>
    <s v="0 A 01 ANO"/>
    <x v="0"/>
    <s v="COLETA DOMICILIAR"/>
    <x v="0"/>
    <s v="CARLOS EDUARDO"/>
    <s v="SUSPENSÃO"/>
    <d v="2023-02-04T00:00:00"/>
    <s v="FEVEREIRO"/>
    <m/>
    <d v="2023-02-06T00:00:00"/>
    <x v="2"/>
    <x v="1"/>
    <d v="2023-02-09T00:00:00"/>
    <x v="0"/>
    <s v="FALTOU NO SÁBADO DIA (04/02/2023), SEM JUSTIFICATIVA."/>
  </r>
  <r>
    <n v="117"/>
    <s v="CARLOS ALBERTO PERES DE OLIVEIRA"/>
    <x v="17"/>
    <x v="0"/>
    <d v="2022-12-01T00:00:00"/>
    <s v="0ANOS, 1MESES"/>
    <n v="0.16666666666666666"/>
    <s v="0 A 01 ANO"/>
    <x v="0"/>
    <s v="COLETA DOMICILIAR"/>
    <x v="1"/>
    <s v="JOSÉ ADELMAR"/>
    <s v="ADVERTENCIA"/>
    <d v="2023-01-30T00:00:00"/>
    <s v="JANEIRO "/>
    <m/>
    <d v="2023-01-30T00:00:00"/>
    <x v="0"/>
    <x v="1"/>
    <d v="2023-01-30T00:00:00"/>
    <x v="7"/>
    <s v="COLABORADOR FOI FLAGRADO NO DIA 30/01/2023 - FAZENDO ARRUMAÇÃO NO ROTEIRO 90.1.127 (PARQUE DAS GARÇAS)."/>
  </r>
  <r>
    <n v="118"/>
    <s v="DANIEL MENES PERES"/>
    <x v="18"/>
    <x v="0"/>
    <d v="2020-02-01T00:00:00"/>
    <s v="2ANOS, 11MESES"/>
    <n v="3.0388888888888888"/>
    <s v="03 A 05 ANOS"/>
    <x v="0"/>
    <s v="COLETA DOMICILIAR"/>
    <x v="1"/>
    <s v="JOSÉ ADELMAR"/>
    <s v="ADVERTENCIA"/>
    <d v="2023-01-30T00:00:00"/>
    <s v="JANEIRO "/>
    <m/>
    <d v="2023-01-30T00:00:00"/>
    <x v="0"/>
    <x v="1"/>
    <d v="2023-01-30T00:00:00"/>
    <x v="7"/>
    <s v="COLABORADOR FOI FLAGRADO NO DIA 30/01/2023 - FAZENDO ARRUMAÇÃO NO ROTEIRO 90.1.127 (PARQUE DAS GARÇAS)."/>
  </r>
  <r>
    <n v="119"/>
    <s v="FRANCISCO GEOVANE CARVALHO"/>
    <x v="95"/>
    <x v="0"/>
    <d v="2020-12-04T00:00:00"/>
    <s v="2ANOS, 1MESES"/>
    <n v="2.1861111111111109"/>
    <s v="01 A 03 ANOS"/>
    <x v="0"/>
    <s v="COLETA DOMICILIAR"/>
    <x v="1"/>
    <s v="JOSÉ ADELMAR"/>
    <s v="ADVERTENCIA"/>
    <d v="2023-01-30T00:00:00"/>
    <s v="JANEIRO "/>
    <m/>
    <d v="2023-01-30T00:00:00"/>
    <x v="0"/>
    <x v="1"/>
    <d v="2023-01-30T00:00:00"/>
    <x v="7"/>
    <s v="COLABORADOR FOI FLAGRADO NO DIA 30/01/2023 - FAZENDO ARRUMAÇÃO NO ROTEIRO 90.1.127 (PARQUE DAS GARÇAS)."/>
  </r>
  <r>
    <n v="120"/>
    <s v="IOMAR CASTRO DA COSTA JUNIOR"/>
    <x v="96"/>
    <x v="0"/>
    <d v="2021-02-17T00:00:00"/>
    <s v="1ANOS, 11MESES"/>
    <n v="1.9777777777777779"/>
    <s v="01 A 03 ANOS"/>
    <x v="1"/>
    <s v="COLETA DOMICILIAR"/>
    <x v="1"/>
    <s v="JOSÉ ADELMAR"/>
    <s v="ADVERTENCIA"/>
    <d v="2023-01-30T00:00:00"/>
    <s v="JANEIRO "/>
    <m/>
    <d v="2023-01-30T00:00:00"/>
    <x v="0"/>
    <x v="1"/>
    <d v="2023-01-30T00:00:00"/>
    <x v="7"/>
    <s v="O COLABORADOR DEIXOU DE CUMPRIR O PROCEDIMENTO E FOI FLAGRADO REALIZANDO ARRUMAÇÃO NO ROTEIRO NA DATA 30/01/2023 - ROTEIRO 90.1.127 (PARQUE DAS GARÇAS)."/>
  </r>
  <r>
    <n v="121"/>
    <s v="JOSÉ UCHOA DA SILVA"/>
    <x v="97"/>
    <x v="0"/>
    <d v="2013-02-08T00:00:00"/>
    <s v="9ANOS, 11MESES"/>
    <n v="10.125"/>
    <s v="MAIS DE 5 ANOS"/>
    <x v="1"/>
    <s v="COLETA DOMICILIAR"/>
    <x v="0"/>
    <s v="CARLOS EDUARDO"/>
    <s v="ADVERTENCIA"/>
    <d v="2023-02-01T00:00:00"/>
    <s v="FEVEREIRO"/>
    <m/>
    <d v="2023-02-06T00:00:00"/>
    <x v="2"/>
    <x v="1"/>
    <d v="2023-02-06T00:00:00"/>
    <x v="1"/>
    <s v="EXCESSO DE VELOCIDADE DO DIA 01/02/2023, NA ÁREA INTERNA DO ATERRO SANITÁRIO."/>
  </r>
  <r>
    <n v="122"/>
    <s v="JOCI CAETANO DE SOUZA"/>
    <x v="98"/>
    <x v="0"/>
    <d v="2022-05-14T00:00:00"/>
    <s v="0ANOS, 8MESES"/>
    <n v="0.73611111111111116"/>
    <s v="0 A 01 ANO"/>
    <x v="1"/>
    <s v="COLETA DOMICILIAR"/>
    <x v="0"/>
    <s v="CARLOS EDUARDO"/>
    <s v="ADVERTENCIA"/>
    <d v="2023-02-03T00:00:00"/>
    <s v="FEVEREIRO"/>
    <m/>
    <d v="2023-02-06T00:00:00"/>
    <x v="2"/>
    <x v="1"/>
    <d v="2023-02-06T00:00:00"/>
    <x v="1"/>
    <s v="EXCESSO DE VELOCIDADE DO DIA 03/02/2023, NA ÁREA INTERNA DO ATERRO SANITÁRIO."/>
  </r>
  <r>
    <n v="123"/>
    <s v="OSMAR FERREIRA VIEIRA NETO"/>
    <x v="99"/>
    <x v="0"/>
    <d v="2022-09-01T00:00:00"/>
    <s v="0ANOS, 5MESES"/>
    <n v="0.42777777777777776"/>
    <s v="0 A 01 ANO"/>
    <x v="1"/>
    <s v="COLETA DOMICILIAR"/>
    <x v="0"/>
    <s v="CARLOS EDUARDO"/>
    <s v="ADVERTENCIA"/>
    <d v="2023-02-02T00:00:00"/>
    <s v="FEVEREIRO"/>
    <m/>
    <d v="2023-02-03T00:00:00"/>
    <x v="2"/>
    <x v="1"/>
    <d v="2023-02-06T00:00:00"/>
    <x v="1"/>
    <s v="EXCESSO DE VELOCIDADE DO DIA 03/02/2023, NA ÁREA INTERNA DO ATERRO SANITÁRIO."/>
  </r>
  <r>
    <n v="124"/>
    <s v="WELISTON GOMES PIMENTEL"/>
    <x v="100"/>
    <x v="0"/>
    <d v="2021-07-01T00:00:00"/>
    <s v="1ANOS, 7MESES"/>
    <n v="1.625"/>
    <s v="01 A 03 ANOS"/>
    <x v="1"/>
    <s v="COLETA DOMICILIAR"/>
    <x v="0"/>
    <s v="CARLOS EDUARDO"/>
    <s v="ADVERTENCIA"/>
    <d v="2023-02-06T00:00:00"/>
    <s v="FEVEREIRO"/>
    <m/>
    <d v="2023-02-06T00:00:00"/>
    <x v="2"/>
    <x v="1"/>
    <d v="2023-02-02T00:00:00"/>
    <x v="1"/>
    <s v="EXCESSO DE VELOCIDADE DO DIA 02/02/2023, NA ÁREA INTERNA DO ATERRO SANITÁRIO."/>
  </r>
  <r>
    <n v="125"/>
    <s v="JORDEL FEITOZA E FEITOZA"/>
    <x v="92"/>
    <x v="0"/>
    <d v="2022-12-01T00:00:00"/>
    <s v="0ANOS, 2MESES"/>
    <n v="0.19166666666666668"/>
    <s v="0 A 01 ANO"/>
    <x v="0"/>
    <s v="COLETA DOMICILIAR"/>
    <x v="0"/>
    <s v="CARLOS EDUARDO"/>
    <s v="ADVERTENCIA"/>
    <d v="2023-02-08T00:00:00"/>
    <s v="FEVEREIRO"/>
    <m/>
    <d v="2023-02-09T00:00:00"/>
    <x v="2"/>
    <x v="1"/>
    <d v="2023-02-09T00:00:00"/>
    <x v="0"/>
    <s v="FALTA SEM JUSTIFICATIVA NOS DIAS 08/02/2023."/>
  </r>
  <r>
    <n v="126"/>
    <s v="JANDERSON PARENTE DA CRUZ"/>
    <x v="101"/>
    <x v="0"/>
    <d v="2022-08-12T00:00:00"/>
    <s v="0ANOS, 6MESES"/>
    <n v="0.53055555555555556"/>
    <s v="0 A 01 ANO"/>
    <x v="0"/>
    <s v="COLETA DOMICILIAR"/>
    <x v="1"/>
    <s v="ANA CAROLINA"/>
    <s v="ADVERTENCIA"/>
    <d v="2023-02-19T00:00:00"/>
    <s v="FEVEREIRO"/>
    <m/>
    <d v="2023-02-20T00:00:00"/>
    <x v="2"/>
    <x v="1"/>
    <d v="2023-02-20T00:00:00"/>
    <x v="0"/>
    <s v="FALTA INJUSTIFICADA EM 19/02/2023, COLABORADOR ALEGA ESTAR COM DOR NA BARRIGA."/>
  </r>
  <r>
    <n v="127"/>
    <s v="KAIQUE SANTOS MONTEIRO"/>
    <x v="102"/>
    <x v="0"/>
    <d v="2021-10-18T00:00:00"/>
    <s v="1ANOS, 3MESES"/>
    <n v="1.3444444444444446"/>
    <s v="01 A 03 ANOS"/>
    <x v="1"/>
    <s v="COLETA DOMICILIAR"/>
    <x v="0"/>
    <s v="CARLOS EDUARDO"/>
    <s v="ADVERTENCIA"/>
    <d v="2023-02-14T00:00:00"/>
    <s v="FEVEREIRO"/>
    <m/>
    <d v="2023-02-16T00:00:00"/>
    <x v="2"/>
    <x v="1"/>
    <d v="2023-02-16T00:00:00"/>
    <x v="5"/>
    <s v="NÃO COMUNICOU O SINISTRO DO DIA 14/02/2023."/>
  </r>
  <r>
    <n v="128"/>
    <s v="ANDRÉ GILBERTO TAVARES CHAVES"/>
    <x v="66"/>
    <x v="0"/>
    <d v="2017-02-02T00:00:00"/>
    <s v="6ANOS, 0MESES"/>
    <n v="6.1305555555555555"/>
    <s v="MAIS DE 5 ANOS"/>
    <x v="1"/>
    <s v="COLETA DOMICILIAR"/>
    <x v="0"/>
    <s v="CARLOS EDUARDO"/>
    <s v="ADVERTENCIA"/>
    <d v="2023-02-18T00:00:00"/>
    <s v="FEVEREIRO"/>
    <m/>
    <d v="2023-02-18T00:00:00"/>
    <x v="2"/>
    <x v="1"/>
    <d v="2023-02-18T00:00:00"/>
    <x v="7"/>
    <s v="ARRUMAÇÃO NO ROTEIRO DIA 18/02/2023."/>
  </r>
  <r>
    <n v="129"/>
    <s v="JOÃO MARCOS DE SOUZA CASTRO"/>
    <x v="51"/>
    <x v="0"/>
    <d v="2019-10-01T00:00:00"/>
    <s v="3ANOS, 4MESES"/>
    <n v="3.4472222222222224"/>
    <s v="03 A 05 ANOS"/>
    <x v="0"/>
    <s v="COLETA DOMICILIAR"/>
    <x v="1"/>
    <s v="ANA CAROLINA"/>
    <s v="ADVERTENCIA"/>
    <d v="2023-02-23T00:00:00"/>
    <s v="FEVEREIRO"/>
    <m/>
    <d v="2023-02-23T00:00:00"/>
    <x v="2"/>
    <x v="1"/>
    <d v="2023-02-23T00:00:00"/>
    <x v="2"/>
    <s v="COLABORADOR CHEGOU ATRASADO NA DATA DE HOJE AS 06:27H, JÉ SENDO SIDP ORIENTADO QUANTO AO HORÁRIO PADRÃO AS 06:00H."/>
  </r>
  <r>
    <n v="130"/>
    <s v="RAILSON GOMES MAIA"/>
    <x v="73"/>
    <x v="0"/>
    <d v="2021-06-04T00:00:00"/>
    <s v="1ANOS, 8MESES"/>
    <n v="1.7388888888888889"/>
    <s v="01 A 03 ANOS"/>
    <x v="0"/>
    <s v="COLETA DOMICILIAR"/>
    <x v="1"/>
    <s v="ANA CAROLINA"/>
    <s v="ADVERTENCIA"/>
    <d v="2023-02-20T00:00:00"/>
    <s v="FEVEREIRO"/>
    <m/>
    <d v="2023-02-20T00:00:00"/>
    <x v="2"/>
    <x v="1"/>
    <d v="2023-02-20T00:00:00"/>
    <x v="6"/>
    <s v="COLABORADOR ESTAVA EXECUTANDO AS ATIVIDADES DE COLETA COM USO INDEVIDO DO FARDAMENTO, CALÇAS POR DENTRO DAS MEIAS (MEIAS ATÉ O JOELHO). FOI CONVERSADO COM O AGENTE NO MOMENTO E ELE NÃO JUSTIFICOU O MOTIVO E PERMANECEU CALADO."/>
  </r>
  <r>
    <n v="131"/>
    <s v="EULONIO SALES VIANA"/>
    <x v="103"/>
    <x v="0"/>
    <d v="2021-08-09T00:00:00"/>
    <s v="1ANOS, 6MESES"/>
    <n v="1.5527777777777778"/>
    <s v="01 A 03 ANOS"/>
    <x v="0"/>
    <s v="COLETA DOMICILIAR"/>
    <x v="0"/>
    <s v="CARLOS EDUARDO"/>
    <s v="SUSPENSÃO"/>
    <d v="2023-02-19T00:00:00"/>
    <s v="FEVEREIRO"/>
    <m/>
    <d v="2023-02-20T00:00:00"/>
    <x v="2"/>
    <x v="1"/>
    <d v="2023-02-21T00:00:00"/>
    <x v="0"/>
    <s v="FALTA SEM JUSTIFICATIVA NO DIA 19/02/2023 (DOMINGO)"/>
  </r>
  <r>
    <n v="132"/>
    <s v="ALESSANDRO FERREIRA RODRIGUES"/>
    <x v="104"/>
    <x v="0"/>
    <d v="2021-09-01T00:00:00"/>
    <s v="1ANOS, 5MESES"/>
    <n v="1.4888888888888889"/>
    <s v="01 A 03 ANOS"/>
    <x v="0"/>
    <s v="COLETA DOMICILIAR"/>
    <x v="0"/>
    <s v="CARLOS EDUARDO"/>
    <s v="SUSPENSÃO"/>
    <d v="2023-02-19T00:00:00"/>
    <s v="FEVEREIRO"/>
    <m/>
    <d v="2023-02-20T00:00:00"/>
    <x v="2"/>
    <x v="1"/>
    <d v="2023-02-21T00:00:00"/>
    <x v="0"/>
    <s v="FALTA SEM JUTIFICATIVA NO DIA 19/02/2023 (DOMINGO)"/>
  </r>
  <r>
    <n v="133"/>
    <s v="IGOMAR PEREIRA DE SOUZA"/>
    <x v="105"/>
    <x v="0"/>
    <d v="2022-11-03T00:00:00"/>
    <s v="0ANOS, 3MESES"/>
    <n v="0.30833333333333335"/>
    <s v="0 A 01 ANO"/>
    <x v="0"/>
    <s v="COLETA DOMICILIAR"/>
    <x v="1"/>
    <s v="CARLOS EDUARDO"/>
    <s v="SUSPENSÃO"/>
    <d v="2023-02-22T00:00:00"/>
    <s v="FEVEREIRO"/>
    <m/>
    <d v="2023-02-23T00:00:00"/>
    <x v="2"/>
    <x v="1"/>
    <d v="2023-02-24T00:00:00"/>
    <x v="0"/>
    <s v="FALTA INJUSTIFICADA NOS DIAS 20/02, 21/02 E 22/02/23, COLABORADOR APRESENTOU ATESTADO FORA DO PRAZO."/>
  </r>
  <r>
    <n v="134"/>
    <s v="WALBERSON DE SOUZA"/>
    <x v="94"/>
    <x v="0"/>
    <d v="2022-09-01T00:00:00"/>
    <s v="0ANOS, 5MESES"/>
    <n v="0.4861111111111111"/>
    <s v="0 A 01 ANO"/>
    <x v="0"/>
    <s v="COLETA DOMICILIAR"/>
    <x v="0"/>
    <s v="CARLOS EDUARDO"/>
    <s v="SUSPENSÃO"/>
    <d v="2023-02-23T00:00:00"/>
    <s v="FEVEREIRO"/>
    <m/>
    <d v="2023-02-24T00:00:00"/>
    <x v="2"/>
    <x v="1"/>
    <d v="2023-02-25T00:00:00"/>
    <x v="0"/>
    <s v="FALTA SEM JUSTIFICATIVA DO DIA 23/02/2023."/>
  </r>
  <r>
    <n v="135"/>
    <s v="RAILSON GOMES MAIA"/>
    <x v="73"/>
    <x v="0"/>
    <d v="2021-06-04T00:00:00"/>
    <s v="1ANOS, 8MESES"/>
    <n v="1.75"/>
    <s v="01 A 03 ANOS"/>
    <x v="0"/>
    <s v="COLETA DOMICILIAR"/>
    <x v="1"/>
    <s v="ANA CAROLINA"/>
    <s v="SUSPENSÃO"/>
    <d v="2023-02-24T00:00:00"/>
    <s v="FEVEREIRO"/>
    <m/>
    <d v="2023-02-25T00:00:00"/>
    <x v="2"/>
    <x v="1"/>
    <d v="2023-03-02T00:00:00"/>
    <x v="0"/>
    <s v="FALTA INJUSTIFICADA EM 24/02/2023, COLABORADOR APRESENTOU DECLARAÇÃO FORA DO PRAZO."/>
  </r>
  <r>
    <n v="136"/>
    <s v="JORDEL FEITOZA E FEITOZA"/>
    <x v="92"/>
    <x v="0"/>
    <d v="2022-12-01T00:00:00"/>
    <s v="0ANOS, 2MESES"/>
    <n v="0.24722222222222223"/>
    <s v="0 A 01 ANO"/>
    <x v="0"/>
    <s v="COLETA DOMICILIAR"/>
    <x v="0"/>
    <s v="CARLOS EDUARDO"/>
    <s v="SUSPENSÃO"/>
    <d v="2023-02-28T00:00:00"/>
    <s v="FEVEREIRO"/>
    <m/>
    <d v="2023-02-28T00:00:00"/>
    <x v="2"/>
    <x v="1"/>
    <d v="2023-03-01T00:00:00"/>
    <x v="0"/>
    <s v="FALTOU AO TRABALHO DIA 27 E 28/02/2023, SEM JUSTIFICATIVA."/>
  </r>
  <r>
    <n v="137"/>
    <s v="MARCELO FERREIRA PONTES"/>
    <x v="106"/>
    <x v="0"/>
    <d v="2022-10-03T00:00:00"/>
    <s v="0ANOS, 4MESES"/>
    <n v="0.41388888888888886"/>
    <s v="0 A 01 ANO"/>
    <x v="0"/>
    <s v="COLETA DOMICILIAR"/>
    <x v="1"/>
    <s v="ANA CAROLINA"/>
    <s v="SUSPENSÃO"/>
    <d v="2023-03-01T00:00:00"/>
    <s v="MARÇO"/>
    <m/>
    <d v="2023-03-02T00:00:00"/>
    <x v="3"/>
    <x v="1"/>
    <d v="2023-03-05T00:00:00"/>
    <x v="0"/>
    <s v="FALTA INJUSTIFICADA EM 01/03/2023, COLABORADOR INFORMA QUE ESTÁ COM DORES NO DENTE, PORÉM NÃO BUSCOU ATENDIMENTO."/>
  </r>
  <r>
    <n v="138"/>
    <s v="RANYELLE OLIVEIRA AZIZE"/>
    <x v="107"/>
    <x v="0"/>
    <d v="2023-01-12T00:00:00"/>
    <s v="0ANOS, 1MESES"/>
    <n v="0.10833333333333334"/>
    <s v="0 A 01 ANO"/>
    <x v="1"/>
    <s v="COLETA DOMICILIAR"/>
    <x v="0"/>
    <s v="CARLOS EDUARDO"/>
    <s v="ADVERTENCIA"/>
    <d v="2023-02-20T00:00:00"/>
    <s v="FEVEREIRO"/>
    <m/>
    <d v="2023-02-25T00:00:00"/>
    <x v="2"/>
    <x v="1"/>
    <d v="2023-02-25T00:00:00"/>
    <x v="5"/>
    <s v="NÃO COMUNICOU O SINISTRO DO DIA 13/02/2023."/>
  </r>
  <r>
    <n v="139"/>
    <s v="JANDERSON LOURENCO DA SILVA"/>
    <x v="108"/>
    <x v="0"/>
    <d v="2021-10-13T00:00:00"/>
    <s v="1ANOS, 4MESES"/>
    <n v="1.3972222222222221"/>
    <s v="01 A 03 ANOS"/>
    <x v="1"/>
    <s v="COLETA DOMICILIAR"/>
    <x v="0"/>
    <s v="CARLOS EDUARDO"/>
    <s v="ADVERTENCIA"/>
    <d v="2023-02-28T00:00:00"/>
    <s v="FEVEREIRO"/>
    <m/>
    <d v="2023-03-03T00:00:00"/>
    <x v="3"/>
    <x v="1"/>
    <d v="2023-03-03T00:00:00"/>
    <x v="1"/>
    <s v="EXCEDEU A VELOCIDADE DENTRO DO ATERRO NO DIA 28.02.2023/KM 20,24."/>
  </r>
  <r>
    <n v="140"/>
    <s v="JOSÉ UCHOA DA SILVA"/>
    <x v="97"/>
    <x v="0"/>
    <d v="2013-02-08T00:00:00"/>
    <s v="10ANOS, 0MESES"/>
    <n v="10.205555555555556"/>
    <s v="MAIS DE 5 ANOS"/>
    <x v="1"/>
    <s v="COLETA DOMICILIAR"/>
    <x v="0"/>
    <s v="CARLOS EDUARDO"/>
    <s v="ADVERTENCIA"/>
    <d v="2023-03-02T00:00:00"/>
    <s v="MARÇO"/>
    <m/>
    <d v="2023-03-03T00:00:00"/>
    <x v="3"/>
    <x v="1"/>
    <d v="2023-03-03T00:00:00"/>
    <x v="1"/>
    <s v="EXCEDEU A VELOCIDADE PERMITIDA DENTRO DO ATERRO NO DIA "/>
  </r>
  <r>
    <n v="141"/>
    <s v="RAIRO TEIXEIRA LEÃO"/>
    <x v="41"/>
    <x v="0"/>
    <d v="2023-01-12T00:00:00"/>
    <s v="0ANOS, 1MESES"/>
    <n v="0.1361111111111111"/>
    <s v="0 A 01 ANO"/>
    <x v="1"/>
    <s v="COLETA DOMICILIAR"/>
    <x v="0"/>
    <s v="CARLOS EDUARDO"/>
    <s v="ADVERTENCIA"/>
    <d v="2023-03-02T00:00:00"/>
    <s v="MARÇO"/>
    <m/>
    <d v="2023-03-03T00:00:00"/>
    <x v="3"/>
    <x v="1"/>
    <d v="2023-03-03T00:00:00"/>
    <x v="1"/>
    <s v="EXCEDEU A VELOCIDADE PERMITIDA DENTRO DO ATERRO NO DIA 02.03.2023 / KM 20,25"/>
  </r>
  <r>
    <n v="142"/>
    <s v="EDILSINHO SILVA DA SILVA"/>
    <x v="109"/>
    <x v="0"/>
    <d v="2021-09-01T00:00:00"/>
    <s v="1ANOS, 6MESES"/>
    <n v="1.5194444444444444"/>
    <s v="01 A 03 ANOS"/>
    <x v="1"/>
    <s v="COLETA DOMICILIAR"/>
    <x v="0"/>
    <s v="CARLOS EDUARDO"/>
    <s v="ADVERTENCIA"/>
    <d v="2023-03-02T00:00:00"/>
    <s v="MARÇO"/>
    <m/>
    <d v="2023-03-03T00:00:00"/>
    <x v="3"/>
    <x v="1"/>
    <d v="2023-03-03T00:00:00"/>
    <x v="1"/>
    <s v="EXCEDEU A VELOCIDADE PERMITIDA DENTRO DO ATERRO NO DIA 02.03.2023 / KM 20,25"/>
  </r>
  <r>
    <n v="143"/>
    <s v="ANDRÉ GILBERTO TAVARES CHAVES"/>
    <x v="66"/>
    <x v="0"/>
    <d v="2017-02-02T00:00:00"/>
    <s v="6ANOS, 0MESES"/>
    <n v="6.1583333333333332"/>
    <s v="MAIS DE 5 ANOS"/>
    <x v="1"/>
    <s v="COLETA DOMICILIAR"/>
    <x v="0"/>
    <s v="CARLOS EDUARDO"/>
    <s v="ADVERTENCIA"/>
    <d v="2023-02-28T00:00:00"/>
    <s v="FEVEREIRO"/>
    <m/>
    <d v="2023-03-03T00:00:00"/>
    <x v="3"/>
    <x v="1"/>
    <d v="2023-03-03T00:00:00"/>
    <x v="1"/>
    <s v="EXCEDEU A VELOCIDADE DENTRO DO ATERRO NO DIA 28/02/2023 / KM 20,25"/>
  </r>
  <r>
    <n v="144"/>
    <s v="CLODOMIRO SILVEIRA FILHO"/>
    <x v="110"/>
    <x v="0"/>
    <d v="2017-12-05T00:00:00"/>
    <s v="5ANOS, 1MESES"/>
    <n v="5.2361111111111107"/>
    <s v="MAIS DE 5 ANOS"/>
    <x v="1"/>
    <s v="COLETA DOMICILIAR"/>
    <x v="0"/>
    <s v="CARLOS EDUARDO"/>
    <s v="ADVERTENCIA"/>
    <d v="2023-02-02T00:00:00"/>
    <s v="FEVEREIRO"/>
    <m/>
    <d v="2023-03-03T00:00:00"/>
    <x v="3"/>
    <x v="1"/>
    <d v="2023-03-03T00:00:00"/>
    <x v="1"/>
    <s v="EXCEDEU A VELOCIDADE DENTRO DO ATERRO NO DIA 28/02/2023 / KM 20, 29"/>
  </r>
  <r>
    <n v="145"/>
    <s v="DANILO CUNHA DOS SANTOS"/>
    <x v="111"/>
    <x v="0"/>
    <d v="2022-03-07T00:00:00"/>
    <s v="0ANOS, 11MESES"/>
    <n v="1.0111111111111111"/>
    <s v="01 A 03 ANOS"/>
    <x v="0"/>
    <s v="COLETA DOMICILIAR"/>
    <x v="1"/>
    <s v="ANA CAROLINA"/>
    <s v="ADVERTENCIA"/>
    <d v="2023-03-06T00:00:00"/>
    <s v="MARÇO"/>
    <m/>
    <d v="2023-03-07T00:00:00"/>
    <x v="3"/>
    <x v="1"/>
    <d v="2023-03-07T00:00:00"/>
    <x v="0"/>
    <s v="FALTA INJUSTIFICADA EM 06/03/2023, COLABORADOR INFORMA QUE FOI BUSCAR ATENDIMENTO, PORÉM NÃO TEM ATESTADO MÉDICO."/>
  </r>
  <r>
    <n v="146"/>
    <s v="EULONIO SALES VIANA"/>
    <x v="103"/>
    <x v="0"/>
    <d v="2021-08-09T00:00:00"/>
    <s v="1ANOS, 6MESES"/>
    <n v="1.5944444444444446"/>
    <s v="01 A 03 ANOS"/>
    <x v="0"/>
    <s v="COLETA DOMICILIAR"/>
    <x v="0"/>
    <s v="CARLOS EDUARDO"/>
    <s v="SUSPENSÃO"/>
    <d v="2023-03-06T00:00:00"/>
    <s v="MARÇO"/>
    <m/>
    <d v="2023-03-06T00:00:00"/>
    <x v="3"/>
    <x v="1"/>
    <d v="2023-03-09T00:00:00"/>
    <x v="6"/>
    <s v="SE NEGOU A CONTINUAR O ROTEIRO COM DOIS, POIS O TERCEIRO AGENTE PASSOU MAU DO ESTÔMAGO E FOI BUSCAR ATENDIMENTO."/>
  </r>
  <r>
    <n v="147"/>
    <s v="DIOGO DA SILVA SANTOS"/>
    <x v="112"/>
    <x v="0"/>
    <d v="2021-03-17T00:00:00"/>
    <s v="1ANOS, 11MESES"/>
    <n v="1.9944444444444445"/>
    <s v="01 A 03 ANOS"/>
    <x v="0"/>
    <s v="COLETA DOMICILIAR"/>
    <x v="0"/>
    <s v="CARLOS EDUARDO"/>
    <s v="SUSPENSÃO"/>
    <d v="2023-03-05T00:00:00"/>
    <s v="MARÇO"/>
    <m/>
    <d v="2023-03-06T00:00:00"/>
    <x v="3"/>
    <x v="1"/>
    <d v="2023-03-11T00:00:00"/>
    <x v="0"/>
    <s v="FALTA SEM JUSTIFICATIVA NO DIA 05/03/2023 (DOMINGO)"/>
  </r>
  <r>
    <n v="148"/>
    <s v="NAUM DA SILVA CASTRO ALFAIA"/>
    <x v="36"/>
    <x v="0"/>
    <d v="2022-10-03T00:00:00"/>
    <s v="0ANOS, 5MESES"/>
    <n v="0.42499999999999999"/>
    <s v="0 A 01 ANO"/>
    <x v="0"/>
    <s v="COLETA DOMICILIAR"/>
    <x v="0"/>
    <s v="CARLOS EDUARDO"/>
    <s v="ADVERTENCIA"/>
    <d v="2023-03-05T00:00:00"/>
    <s v="MARÇO"/>
    <m/>
    <d v="2023-03-06T00:00:00"/>
    <x v="3"/>
    <x v="1"/>
    <d v="2023-03-06T00:00:00"/>
    <x v="0"/>
    <s v="FALTA SEM JUSTIFICATIVA NO DIA DO PLANTÃO, 05/03/2023 (DOMINGO)"/>
  </r>
  <r>
    <n v="149"/>
    <s v="EUDES DA SILVA PINTO"/>
    <x v="113"/>
    <x v="0"/>
    <d v="2020-06-01T00:00:00"/>
    <s v="2ANOS, 9MESES"/>
    <n v="2.7888888888888888"/>
    <s v="01 A 03 ANOS"/>
    <x v="1"/>
    <s v="COLETA DOMICILIAR"/>
    <x v="0"/>
    <s v="CARLOS EDUARDO"/>
    <s v="ADVERTENCIA"/>
    <d v="2023-03-02T00:00:00"/>
    <s v="MARÇO"/>
    <m/>
    <d v="2023-03-03T00:00:00"/>
    <x v="3"/>
    <x v="1"/>
    <d v="2023-03-03T00:00:00"/>
    <x v="1"/>
    <s v="EXCEDEU A VELOCIDADE PERMITIDA DENTRO DO ATERRO NO DIA 02/03/2023 / XKM 20, 37."/>
  </r>
  <r>
    <n v="150"/>
    <s v="BRUNO MELO DA GRACA"/>
    <x v="30"/>
    <x v="0"/>
    <d v="2022-09-01T00:00:00"/>
    <s v="0ANOS, 6MESES"/>
    <n v="0.53333333333333333"/>
    <s v="0 A 01 ANO"/>
    <x v="0"/>
    <s v="COLETA DOMICILIAR"/>
    <x v="1"/>
    <s v="ANA CAROLINA"/>
    <s v="ADVERTENCIA"/>
    <d v="2023-03-12T00:00:00"/>
    <s v="MARÇO"/>
    <m/>
    <d v="2023-03-13T00:00:00"/>
    <x v="3"/>
    <x v="1"/>
    <d v="2023-03-13T00:00:00"/>
    <x v="0"/>
    <s v="FALTA INJUSTIFICADA EM 12/03/2023, COLABORADOR INFORMA QUE PERDEU O HORÁRIO."/>
  </r>
  <r>
    <n v="151"/>
    <s v="THIAGO MAR DE SÁ"/>
    <x v="19"/>
    <x v="0"/>
    <d v="2022-06-15T00:00:00"/>
    <s v="0ANOS, 8MESES"/>
    <n v="0.75"/>
    <s v="0 A 01 ANO"/>
    <x v="0"/>
    <s v="COLETA DOMICILIAR"/>
    <x v="1"/>
    <s v="ANA CAROLINA"/>
    <s v="ADVERTENCIA"/>
    <d v="2023-03-12T00:00:00"/>
    <s v="MARÇO"/>
    <m/>
    <d v="2023-03-13T00:00:00"/>
    <x v="3"/>
    <x v="1"/>
    <d v="2023-03-13T00:00:00"/>
    <x v="0"/>
    <s v="FALTA INJUSTIFICADA EM 12/03/2023, COLABORADOR INFORMA QUE NÃO TINHA QUEM FICASSE COM O FILHO."/>
  </r>
  <r>
    <n v="152"/>
    <s v="DOUGLAS ALBERTO DA SILVA E SILVA"/>
    <x v="114"/>
    <x v="3"/>
    <d v="2021-08-02T00:00:00"/>
    <s v="1ANOS, 7MESES"/>
    <n v="1.6138888888888889"/>
    <s v="01 A 03 ANOS"/>
    <x v="5"/>
    <s v="EDUCAÇÃO AMBIENTAL"/>
    <x v="3"/>
    <s v="ELISÂNGELA COSTA"/>
    <s v="ADVERTENCIA"/>
    <d v="2023-03-06T00:00:00"/>
    <s v="MARÇO"/>
    <m/>
    <d v="2023-03-10T00:00:00"/>
    <x v="3"/>
    <x v="1"/>
    <d v="2023-03-06T00:00:00"/>
    <x v="0"/>
    <s v="O APRENDIZ FALTOU NO DIA 06/03/2023 SEM JUSTIFICATIVA NO CURSO DE APRENDIZAGEM/ADCAM."/>
  </r>
  <r>
    <n v="153"/>
    <s v="BRUNO JEAN OLIVEIRA DA COSTA"/>
    <x v="115"/>
    <x v="0"/>
    <d v="2019-10-04T00:00:00"/>
    <s v="3ANOS, 5MESES"/>
    <n v="3.4805555555555556"/>
    <s v="03 A 05 ANOS"/>
    <x v="1"/>
    <s v="COLETA DOMICILIAR"/>
    <x v="0"/>
    <s v="CARLOS EDUARDO"/>
    <s v="ADVERTENCIA"/>
    <d v="2023-03-10T00:00:00"/>
    <s v="MARÇO"/>
    <m/>
    <d v="2023-03-13T00:00:00"/>
    <x v="3"/>
    <x v="1"/>
    <d v="2023-03-13T00:00:00"/>
    <x v="1"/>
    <s v="EXCESSO DE VELOCIDADE 75 KM, CC 705 NO DIA 10/03/2023 AS 00:14 EM VIA PÚBLICA."/>
  </r>
  <r>
    <n v="154"/>
    <s v="MATHEUS DE ARAÚJO NOGUEIRA"/>
    <x v="116"/>
    <x v="3"/>
    <d v="2021-10-04T00:00:00"/>
    <s v="1ANOS, 5MESES"/>
    <n v="1.4777777777777779"/>
    <s v="01 A 03 ANOS"/>
    <x v="5"/>
    <s v="EDUCAÇÃO AMBIENTAL"/>
    <x v="1"/>
    <s v="ELISÂNGELA COSTA"/>
    <s v="ADVERTENCIA"/>
    <d v="2023-03-20T00:00:00"/>
    <s v="MARÇO"/>
    <m/>
    <d v="2023-03-17T00:00:00"/>
    <x v="3"/>
    <x v="1"/>
    <d v="2023-03-20T00:00:00"/>
    <x v="0"/>
    <s v="FALTA INJUSTIFICADA EM 17/03/2023, COLABORADOR FOI ORIENTADO A BUSCAR ATENDIMENTO MÉDICO, PORÉM NÃO APRESENTOU NENHUMA JUSTIFICATIVA."/>
  </r>
  <r>
    <n v="155"/>
    <s v="ADEILTON GONCALVES DA SILVA"/>
    <x v="117"/>
    <x v="0"/>
    <d v="2021-11-18T00:00:00"/>
    <s v="1ANOS, 4MESES"/>
    <n v="1.3472222222222223"/>
    <s v="01 A 03 ANOS"/>
    <x v="0"/>
    <s v="COLETA DOMICILIAR"/>
    <x v="1"/>
    <s v="ANA CAROLINA"/>
    <s v="ADVERTENCIA"/>
    <d v="2023-03-18T00:00:00"/>
    <s v="MARÇO"/>
    <m/>
    <d v="2023-03-20T00:00:00"/>
    <x v="3"/>
    <x v="1"/>
    <d v="2023-03-20T00:00:00"/>
    <x v="0"/>
    <s v="FALTA INJUSTIFICADA EM 18/03/2023, COLABORADOR INFORMA QUE FOI AO MÉDICO PORÉM NÃO TEM ATESTADO MÉDICO."/>
  </r>
  <r>
    <n v="156"/>
    <s v="ANTÔNIO LUIS RIBEIRO ALEXANDRE"/>
    <x v="82"/>
    <x v="1"/>
    <d v="2022-09-01T00:00:00"/>
    <s v="0ANOS, 6MESES"/>
    <n v="0.55277777777777781"/>
    <s v="0 A 01 ANO"/>
    <x v="0"/>
    <s v="COLETA DOMICILIAR"/>
    <x v="0"/>
    <s v="CARLOS EDUARDO"/>
    <s v="ADVERTENCIA"/>
    <d v="2023-03-19T00:00:00"/>
    <s v="MARÇO"/>
    <m/>
    <d v="2023-03-20T00:00:00"/>
    <x v="3"/>
    <x v="1"/>
    <d v="2023-03-20T00:00:00"/>
    <x v="2"/>
    <s v="CHEGOU ATRASADO NO DOMINGO DIA 19/03/2023."/>
  </r>
  <r>
    <n v="157"/>
    <s v="JUSSARA ROCHA DA SILVA"/>
    <x v="118"/>
    <x v="0"/>
    <d v="2021-12-09T00:00:00"/>
    <s v="1ANOS, 3MESES"/>
    <n v="1.288888888888889"/>
    <s v="01 A 03 ANOS"/>
    <x v="4"/>
    <s v="EDUCAÇÃO AMBIENTAL"/>
    <x v="1"/>
    <s v="ELISÂNGELA COSTA"/>
    <s v="ADVERTENCIA"/>
    <d v="2023-03-18T00:00:00"/>
    <s v="MARÇO"/>
    <m/>
    <d v="2023-03-22T00:00:00"/>
    <x v="3"/>
    <x v="1"/>
    <d v="2023-03-22T00:00:00"/>
    <x v="0"/>
    <s v="FALTA NÃO JUSTIFICADA NO DIA 18/03/2023, INFORMOU QUE FOI BUSCAR ATENDIMENTO, PORÉM NÃO APRESENTOU NENHUM DOCUMENTO."/>
  </r>
  <r>
    <n v="158"/>
    <s v="ADRIANO WALBEG DA SILVA PINTO"/>
    <x v="119"/>
    <x v="0"/>
    <d v="2022-06-01T00:00:00"/>
    <s v="0ANOS, 9MESES"/>
    <n v="0.81388888888888888"/>
    <s v="0 A 01 ANO"/>
    <x v="1"/>
    <s v="COLETA DOMICILIAR"/>
    <x v="0"/>
    <s v="CARLOS EDUARDO"/>
    <s v="ADVERTENCIA"/>
    <d v="2023-03-21T00:00:00"/>
    <s v="MARÇO"/>
    <m/>
    <d v="2023-03-21T00:00:00"/>
    <x v="3"/>
    <x v="1"/>
    <d v="2023-03-21T00:00:00"/>
    <x v="1"/>
    <s v="EXCESSO DE VELOCIDADE 75 KM, CC 01 - 702-20, NO DIA 21/03/2023 AS 00:00 HS... EM VIA PÚBLICA."/>
  </r>
  <r>
    <n v="159"/>
    <s v="DAVI SOUSA DA COSTA"/>
    <x v="120"/>
    <x v="0"/>
    <d v="2022-06-15T00:00:00"/>
    <s v="0ANOS, 9MESES"/>
    <n v="0.78333333333333333"/>
    <s v="0 A 01 ANO"/>
    <x v="0"/>
    <s v="COLETA DOMICILIAR"/>
    <x v="1"/>
    <s v="JOÃO PEDRO"/>
    <s v="ADVERTENCIA"/>
    <d v="2023-03-24T00:00:00"/>
    <s v="MARÇO"/>
    <m/>
    <d v="2023-03-24T00:00:00"/>
    <x v="3"/>
    <x v="1"/>
    <d v="2023-03-24T00:00:00"/>
    <x v="5"/>
    <s v="COLABORADOR VEM UTILIZANDO O EPI IRREGULAR, FAZ USO DO BONÉ DESCARACTERIZADO FORA DOS PADRÕES DA EMPRESA."/>
  </r>
  <r>
    <n v="160"/>
    <s v="RAILSON GOMES MAIA"/>
    <x v="73"/>
    <x v="0"/>
    <d v="2021-06-04T00:00:00"/>
    <s v="1ANOS, 9MESES"/>
    <n v="1.8333333333333333"/>
    <s v="01 A 03 ANOS"/>
    <x v="0"/>
    <s v="COLETA DOMICILIAR"/>
    <x v="1"/>
    <s v="JOÃO PEDRO"/>
    <s v="ADVERTENCIA"/>
    <d v="2023-03-26T00:00:00"/>
    <s v="MARÇO"/>
    <m/>
    <d v="2023-03-25T00:00:00"/>
    <x v="3"/>
    <x v="1"/>
    <d v="2023-03-26T00:00:00"/>
    <x v="5"/>
    <s v="COLABORADOR VEM SE RECUSANDO A UTILIZAR OS EPI´S (BONE E MANGAS DA BLUSA) DE FORMA ADEQUADA NA EXECUÇÃO DE SUAS ATIVIDADES, ABORDAGEM FEITA PELO FISCAL E AINDA ASSIM HOUVE A RECUSA POR PARTE DO COLABORADOR."/>
  </r>
  <r>
    <n v="161"/>
    <s v="EUDES DA SILVA PINTO"/>
    <x v="113"/>
    <x v="0"/>
    <d v="2020-06-01T00:00:00"/>
    <s v="2ANOS, 9MESES"/>
    <n v="2.8472222222222223"/>
    <s v="01 A 03 ANOS"/>
    <x v="0"/>
    <s v="COLETA DOMICILIAR"/>
    <x v="0"/>
    <s v="CARLOS EDUARDO"/>
    <s v="ADVERTENCIA"/>
    <d v="2023-03-23T00:00:00"/>
    <s v="MARÇO"/>
    <m/>
    <d v="2023-03-23T00:00:00"/>
    <x v="3"/>
    <x v="1"/>
    <d v="2023-03-23T00:00:00"/>
    <x v="1"/>
    <s v="EXCESSO DE VELOCIDADE 74 KM, CC 01-697-20, NO DIA 23/03/2023 AS 00.00.07 HS... EM VIA PÚBLICA."/>
  </r>
  <r>
    <n v="162"/>
    <s v="BRUNO JEAN OLIVEIRA DA COSTA"/>
    <x v="115"/>
    <x v="0"/>
    <d v="2019-10-04T00:00:00"/>
    <s v="3ANOS, 5MESES"/>
    <n v="3.5333333333333332"/>
    <s v="03 A 05 ANOS"/>
    <x v="1"/>
    <s v="COLETA DOMICILIAR"/>
    <x v="0"/>
    <s v="CARLOS EDUARDO"/>
    <s v="ADVERTENCIA"/>
    <d v="2023-03-29T00:00:00"/>
    <s v="MARÇO"/>
    <m/>
    <d v="2023-03-29T00:00:00"/>
    <x v="3"/>
    <x v="1"/>
    <d v="2023-03-29T00:00:00"/>
    <x v="5"/>
    <s v="NÃO COMUNICOU AO FISCAL NO ATO DO SINISTRO."/>
  </r>
  <r>
    <n v="163"/>
    <s v="MAILSON GOMES MAIA"/>
    <x v="121"/>
    <x v="0"/>
    <d v="2022-12-07T00:00:00"/>
    <s v="0ANOS, 3MESES"/>
    <n v="0.30277777777777776"/>
    <s v="0 A 01 ANO"/>
    <x v="1"/>
    <s v="COLETA DOMICILIAR"/>
    <x v="0"/>
    <s v="JOÃO PEDRO"/>
    <s v="ADVERTENCIA"/>
    <d v="2023-03-26T00:00:00"/>
    <s v="MARÇO"/>
    <m/>
    <d v="2023-03-29T00:00:00"/>
    <x v="3"/>
    <x v="1"/>
    <d v="2023-03-29T00:00:00"/>
    <x v="1"/>
    <s v="COLABORADOR EXCEDEU O LIMITE DE VELOCIDADE PERMITIDA PELA EMPRESA, CHEGANDO A 74 KM NO DIA 26/03 ÁS 12:01."/>
  </r>
  <r>
    <n v="164"/>
    <s v="MAILSON GOMES MAIA"/>
    <x v="121"/>
    <x v="0"/>
    <d v="2022-12-07T00:00:00"/>
    <s v="0ANOS, 3MESES"/>
    <n v="0.29444444444444445"/>
    <s v="0 A 01 ANO"/>
    <x v="1"/>
    <s v="COLETA DOMICILIAR"/>
    <x v="0"/>
    <s v="JOÃO PEDRO"/>
    <s v="ADVERTENCIA"/>
    <d v="2023-03-23T00:00:00"/>
    <s v="MARÇO"/>
    <m/>
    <d v="2023-03-29T00:00:00"/>
    <x v="3"/>
    <x v="1"/>
    <d v="2023-03-29T00:00:00"/>
    <x v="1"/>
    <s v="COLABORADOR EXCEDEU O LIMITE DE VELOCIDADE PERMITIDO PELA MEPRESSA, CHEGANDO A 77KM NO DIA 23/03 ÁS 10:54."/>
  </r>
  <r>
    <n v="165"/>
    <s v="IOMAR CASTRO DA COSTA JUNIOR"/>
    <x v="96"/>
    <x v="0"/>
    <d v="2021-02-17T00:00:00"/>
    <s v="2ANOS, 1MESES"/>
    <n v="2.1222222222222222"/>
    <s v="01 A 03 ANOS"/>
    <x v="1"/>
    <s v="COLETA DOMICILIAR"/>
    <x v="1"/>
    <s v="ANA CAROLINA"/>
    <s v="ADVERTENCIA"/>
    <d v="2023-03-23T00:00:00"/>
    <s v="MARÇO"/>
    <m/>
    <d v="2023-03-25T00:00:00"/>
    <x v="3"/>
    <x v="1"/>
    <d v="2023-03-25T00:00:00"/>
    <x v="1"/>
    <s v="COLABORADOR EXCEDEU O LIMITE DE VELOCIDADE PERMITIDO PELA EMPRESA, CHEGANDO A 85 KM NO DIA 23/03 AS 12:45H."/>
  </r>
  <r>
    <n v="166"/>
    <s v="RODRIGO ALMEIDA LOPES"/>
    <x v="122"/>
    <x v="0"/>
    <d v="2021-03-13T00:00:00"/>
    <s v="2ANOS, 0MESES"/>
    <n v="2.0555555555555554"/>
    <s v="01 A 03 ANOS"/>
    <x v="1"/>
    <s v="COLETA DOMICILIAR"/>
    <x v="1"/>
    <s v="JOÃO PEDRO"/>
    <s v="ADVERTENCIA"/>
    <d v="2023-03-23T00:00:00"/>
    <s v="MARÇO"/>
    <m/>
    <d v="2023-03-25T00:00:00"/>
    <x v="3"/>
    <x v="1"/>
    <d v="2023-03-25T00:00:00"/>
    <x v="1"/>
    <s v="COLABORADOR EXCEDEU O LIMITE DE VELOCIDADE PERMITIDO PELA EMPRESA, CHEGANDO A 72 KM NO DIA 23/03 AS 16:54H."/>
  </r>
  <r>
    <n v="167"/>
    <s v="THIAGO MAR DE SÁ"/>
    <x v="19"/>
    <x v="0"/>
    <d v="2022-06-15T00:00:00"/>
    <s v="0ANOS, 9MESES"/>
    <n v="0.8"/>
    <s v="0 A 01 ANO"/>
    <x v="0"/>
    <s v="COLETA DOMICILIAR"/>
    <x v="1"/>
    <s v="ANA CAROLINA"/>
    <s v="ADVERTENCIA"/>
    <d v="2023-03-30T00:00:00"/>
    <s v="MARÇO"/>
    <m/>
    <d v="2023-03-30T00:00:00"/>
    <x v="3"/>
    <x v="1"/>
    <d v="2023-03-30T00:00:00"/>
    <x v="7"/>
    <s v="COLABORADOR ESTAVA FAZENDO ARRUMAÇÃO DE LIXO NO SETOR, SITUAÇÃO IDENTIFICADA E ASSUMIDA PELO AGENTE DE COLETA."/>
  </r>
  <r>
    <n v="168"/>
    <s v="PETHERSON MATHEUS DOS SANTOS COSTA"/>
    <x v="123"/>
    <x v="0"/>
    <d v="2021-06-01T00:00:00"/>
    <s v="1ANOS, 9MESES"/>
    <n v="1.8472222222222223"/>
    <s v="01 A 03 ANOS"/>
    <x v="0"/>
    <s v="COLETA DOMICILIAR"/>
    <x v="0"/>
    <s v="CARLOS EDUARDO"/>
    <s v="ADVERTENCIA"/>
    <d v="2023-03-28T00:00:00"/>
    <s v="MARÇO"/>
    <m/>
    <d v="2023-03-29T00:00:00"/>
    <x v="3"/>
    <x v="1"/>
    <d v="2023-03-29T00:00:00"/>
    <x v="0"/>
    <s v="FALTA SEM JUSTIFICATIVA NO DIA 28/03/2023."/>
  </r>
  <r>
    <n v="169"/>
    <s v="ANA PAULA CARDOSO GUIMARÃES"/>
    <x v="124"/>
    <x v="0"/>
    <d v="2020-01-17T00:00:00"/>
    <s v="3ANOS, 2MESES"/>
    <n v="3.25"/>
    <s v="03 A 05 ANOS"/>
    <x v="4"/>
    <s v="EDUCAÇÃO AMBIENTAL"/>
    <x v="1"/>
    <s v="ELISANGELA COSTA"/>
    <s v="ADVERTENCIA"/>
    <d v="2023-04-01T00:00:00"/>
    <s v="ABRIL"/>
    <m/>
    <d v="2023-04-03T00:00:00"/>
    <x v="4"/>
    <x v="1"/>
    <d v="2023-04-03T00:00:00"/>
    <x v="0"/>
    <s v="FALTA INJUSTIFICADA NO DIA 01/04/2023, DISSE QUE ESTAVA CANSADA DA SEMANA E NÃO SE SENTIA BEM PARA TRABALHAR."/>
  </r>
  <r>
    <n v="170"/>
    <s v="CLAUDIONOR CONCEIÇÃO DA SILVA"/>
    <x v="125"/>
    <x v="1"/>
    <d v="2023-03-08T00:00:00"/>
    <s v="0ANOS, 0MESES"/>
    <n v="6.3888888888888884E-2"/>
    <s v="0 A 01 ANO"/>
    <x v="0"/>
    <s v="COLETA DOMICILIAR"/>
    <x v="1"/>
    <s v="JOÃO PEDRO"/>
    <s v="ADVERTENCIA"/>
    <d v="2023-03-31T00:00:00"/>
    <s v="MARÇO"/>
    <m/>
    <d v="2023-03-31T00:00:00"/>
    <x v="3"/>
    <x v="1"/>
    <d v="2023-03-31T00:00:00"/>
    <x v="7"/>
    <s v="COLABORADOR FOI IDENTIFICADO FAZENDO ARRUMAÇÃO DE LIXO NO SETOR 90.1.114 FORA DOS PADRÕES OPERACIONAIS."/>
  </r>
  <r>
    <n v="171"/>
    <s v="PEDRO IGOR FIDELIS FELICIANO "/>
    <x v="126"/>
    <x v="0"/>
    <d v="2022-02-14T00:00:00"/>
    <s v="1ANOS, 1MESES"/>
    <n v="1.1388888888888888"/>
    <s v="01 A 03 ANOS"/>
    <x v="0"/>
    <s v="COLETA DOMICILIAR"/>
    <x v="1"/>
    <s v="JOÃO PEDRO"/>
    <s v="ADVERTENCIA"/>
    <d v="2023-03-31T00:00:00"/>
    <s v="MARÇO"/>
    <m/>
    <d v="2023-03-31T00:00:00"/>
    <x v="3"/>
    <x v="1"/>
    <d v="2023-03-31T00:00:00"/>
    <x v="7"/>
    <s v="COLABORADOR FOI IDENTIFICADO FAZENDO ARRUMAÇÃO DE LIXO NO SETOR 90.1.114 FORA DOS PADRÕES OPERACIONAIS."/>
  </r>
  <r>
    <n v="172"/>
    <s v="DERICK PRAXEDES DA MOTA"/>
    <x v="127"/>
    <x v="0"/>
    <d v="2021-11-18T00:00:00"/>
    <s v="1ANOS, 4MESES"/>
    <n v="1.3916666666666666"/>
    <s v="01 A 03 ANOS"/>
    <x v="0"/>
    <s v="COLETA DOMICILIAR"/>
    <x v="1"/>
    <s v="JOÃO PEDRO"/>
    <s v="SUSPENSÃO"/>
    <d v="2023-04-03T00:00:00"/>
    <s v="ABRIL"/>
    <m/>
    <d v="2023-04-03T00:00:00"/>
    <x v="4"/>
    <x v="1"/>
    <d v="2023-04-06T00:00:00"/>
    <x v="0"/>
    <s v="FALTA INJUSTIFICADA DIA 01/04/2023, COLABORADOR INFORMA QUE NECESSITOU LEVAR O IRMÃO AO MÉDICO POIS ESTAVA COM ALERGIA, PORÉM NÃO APRESENTOU NENHUM DOCUMENTO."/>
  </r>
  <r>
    <n v="173"/>
    <s v="ALVARO FILHO DA SILVA SANTOS"/>
    <x v="53"/>
    <x v="0"/>
    <d v="2020-10-05T00:00:00"/>
    <s v="2ANOS, 5MESES"/>
    <n v="2.5222222222222221"/>
    <s v="01 A 03 ANOS"/>
    <x v="0"/>
    <s v="COLETA DOMICILIAR"/>
    <x v="1"/>
    <s v="JOÃO PEDRO"/>
    <s v="SUSPENSÃO"/>
    <d v="2023-04-01T00:00:00"/>
    <s v="ABRIL"/>
    <m/>
    <d v="2023-04-03T00:00:00"/>
    <x v="4"/>
    <x v="1"/>
    <d v="2023-04-06T00:00:00"/>
    <x v="0"/>
    <s v="FALTA INJUSTIFICADA DIA 01/04/2023, COLABORADOR INFORMA QUE NÃO ESTAVA SE SENTINDO BEM, PORÉM NÃO PROCUROU ATENDIMENTO."/>
  </r>
  <r>
    <n v="174"/>
    <s v="EDUARDO SILVA DE OLIVEIRA"/>
    <x v="128"/>
    <x v="1"/>
    <d v="2022-12-07T00:00:00"/>
    <s v="0ANOS, 3MESES"/>
    <n v="0.32222222222222224"/>
    <s v="0 A 01 ANO"/>
    <x v="0"/>
    <s v="COLETA DOMICILIAR"/>
    <x v="0"/>
    <s v="CARLOS EDUARDO"/>
    <s v="ADVERTENCIA"/>
    <d v="2023-04-02T00:00:00"/>
    <s v="ABRIL"/>
    <m/>
    <d v="2023-04-03T00:00:00"/>
    <x v="4"/>
    <x v="1"/>
    <d v="2023-04-03T00:00:00"/>
    <x v="0"/>
    <s v="FALTOU NO DIA 02/04/2023, PLANTÃO DE DOMINGO E SEM JUSTIFICATIVA."/>
  </r>
  <r>
    <n v="175"/>
    <s v="EULONIO SALES VIANA "/>
    <x v="103"/>
    <x v="0"/>
    <d v="2021-08-09T00:00:00"/>
    <s v="1ANOS, 7MESES"/>
    <n v="1.6666666666666667"/>
    <s v="01 A 03 ANOS"/>
    <x v="0"/>
    <s v="COLETA DOMICILIAR"/>
    <x v="0"/>
    <s v="CARLOS EDUARDO"/>
    <s v="SUSPENSÃO"/>
    <d v="2023-04-01T00:00:00"/>
    <s v="ABRIL"/>
    <m/>
    <d v="2023-04-03T00:00:00"/>
    <x v="4"/>
    <x v="1"/>
    <d v="2023-04-08T00:00:00"/>
    <x v="0"/>
    <s v="FALTOU DOIS DIAS 31/03 E 01/04/2023, SEM JUSTIFICATIVA."/>
  </r>
  <r>
    <n v="176"/>
    <s v="NATANAEL SERRAO MARTINS"/>
    <x v="129"/>
    <x v="0"/>
    <d v="2022-06-01T00:00:00"/>
    <s v="0ANOS, 10MESES"/>
    <n v="0.85277777777777775"/>
    <s v="0 A 01 ANO"/>
    <x v="0"/>
    <s v="COLETA DOMICILIAR"/>
    <x v="0"/>
    <s v="CARLOS EDUARDO"/>
    <s v="ADVERTENCIA"/>
    <d v="2023-04-04T00:00:00"/>
    <s v="ABRIL"/>
    <m/>
    <d v="2023-04-04T00:00:00"/>
    <x v="4"/>
    <x v="1"/>
    <d v="2023-04-04T00:00:00"/>
    <x v="0"/>
    <s v="FALTOU NO DIA 03/04/2023, SEM JUSTIFICATIVA, APRESENTOU UMA DECLARAÇÃO DE COMPARECIMENTO DO DIA 03/04 NO HORÁRIO DE 22:00 ÀS 23:00, NO DIA 04/04/2023."/>
  </r>
  <r>
    <n v="177"/>
    <s v="JHON CLEY BARBOSA DA SILVA"/>
    <x v="80"/>
    <x v="0"/>
    <d v="2022-11-03T00:00:00"/>
    <s v="0ANOS, 4MESES"/>
    <n v="0.41388888888888886"/>
    <s v="0 A 01 ANO"/>
    <x v="0"/>
    <s v="COLETA DOMICILIAR"/>
    <x v="1"/>
    <s v="JOÃO PEDRO"/>
    <s v="ADVERTENCIA"/>
    <d v="2023-04-01T00:00:00"/>
    <s v="ABRIL"/>
    <m/>
    <d v="2023-04-05T00:00:00"/>
    <x v="4"/>
    <x v="1"/>
    <d v="2023-04-05T00:00:00"/>
    <x v="0"/>
    <s v="COLABORADOR NÃO COMPARECEU AO TRABALHO NO DIA 01/04/2023, O MESMO NÃO APRESENTOU JUSTIFICATIVA."/>
  </r>
  <r>
    <n v="178"/>
    <s v="RONADE DIMAS GONZAGA"/>
    <x v="130"/>
    <x v="0"/>
    <d v="2021-10-04T00:00:00"/>
    <s v="1ANOS, 6MESES"/>
    <n v="1.5222222222222221"/>
    <s v="01 A 03 ANOS"/>
    <x v="0"/>
    <s v="COLETA DOMICILIAR"/>
    <x v="1"/>
    <s v="JOÃO PEDRO"/>
    <s v="ADVERTENCIA"/>
    <d v="2023-04-05T00:00:00"/>
    <s v="ABRIL"/>
    <m/>
    <d v="2023-04-05T00:00:00"/>
    <x v="4"/>
    <x v="1"/>
    <d v="2023-04-05T00:00:00"/>
    <x v="7"/>
    <s v="AGENTE DE COLETA REALIZANDO ARRUMAÇÃO NO LIXO 90.1.109 NA ABORDAGEM FEITA PELO FISCAL E COM INDICIOS DE EMBRIAGUEZ."/>
  </r>
  <r>
    <n v="179"/>
    <s v="RONADE DIMAS GONZAGA"/>
    <x v="130"/>
    <x v="0"/>
    <d v="2021-10-04T00:00:00"/>
    <s v="1ANOS, 6MESES"/>
    <n v="1.5222222222222221"/>
    <s v="01 A 03 ANOS"/>
    <x v="0"/>
    <s v="COLETA DOMICILIAR"/>
    <x v="1"/>
    <s v="JOÃO PEDRO"/>
    <s v="ADVERTENCIA"/>
    <d v="2023-04-05T00:00:00"/>
    <s v="ABRIL"/>
    <m/>
    <d v="2023-04-05T00:00:00"/>
    <x v="4"/>
    <x v="1"/>
    <d v="2023-04-05T00:00:00"/>
    <x v="7"/>
    <s v="AGENTE DE COLETA REALIZANDO ARRUMAÇÃO NO LIXO 90.1.109 NA ABOORDAGEM PELO FISCAL E COM INDICIOS DE EMBRIAGUEZ."/>
  </r>
  <r>
    <n v="180"/>
    <s v="NATANAEL SERRAO MARTINS"/>
    <x v="129"/>
    <x v="0"/>
    <d v="2022-06-01T00:00:00"/>
    <s v="0ANOS, 10MESES"/>
    <n v="0.85833333333333328"/>
    <s v="0 A 01 ANO"/>
    <x v="0"/>
    <s v="COLETA DOMICILIAR"/>
    <x v="0"/>
    <s v="CARLOS EDUARDO"/>
    <s v="SUSPENSÃO"/>
    <d v="2023-04-06T00:00:00"/>
    <s v="ABRIL"/>
    <m/>
    <d v="2023-04-06T00:00:00"/>
    <x v="4"/>
    <x v="1"/>
    <d v="2023-04-07T00:00:00"/>
    <x v="5"/>
    <s v="ESTAVA DE MAU PROCEDIMENTO EM RELAÇÃO A COLETA NO MICRO COLETOR 824, O MOTORISTA RECLAMOU DO MESMO QUE ESTAVA JOGANDO O LIXO DE QUALQUER JEITO E SE NEGANDO A JUNTAR O DERRAME, O FISCAL DA AREA FOI ACIONADO E O AGENTE SE ALTEROU DESRESPEITANDO O SEU SUPERIOR IMEDIATO."/>
  </r>
  <r>
    <n v="181"/>
    <s v="PEDRO IGOR FIDELIS FELICIANO "/>
    <x v="126"/>
    <x v="0"/>
    <d v="2022-02-14T00:00:00"/>
    <s v="1ANOS, 1MESES"/>
    <n v="1.175"/>
    <s v="01 A 03 ANOS"/>
    <x v="0"/>
    <s v="COLETA DOMICILIAR"/>
    <x v="1"/>
    <s v="JOÃO PEDRO"/>
    <s v="ADVERTENCIA"/>
    <d v="2023-04-13T00:00:00"/>
    <s v="ABRIL"/>
    <m/>
    <d v="2023-04-13T00:00:00"/>
    <x v="4"/>
    <x v="1"/>
    <d v="2023-04-13T00:00:00"/>
    <x v="2"/>
    <s v="COLABORADOR VEM CHEGANDO ATRASADO COM FREQUÊNCIA (PONTUADO NOS DIAS 04/04, 05/04 E 06/04, 12/04 E 13/04) SEM APRESENTAR JUSTIFICATIVA."/>
  </r>
  <r>
    <n v="182"/>
    <s v="MAX MODESTO CASTRO "/>
    <x v="131"/>
    <x v="0"/>
    <d v="2021-03-08T00:00:00"/>
    <s v="2ANOS, 0MESES"/>
    <n v="2.0916666666666668"/>
    <s v="01 A 03 ANOS"/>
    <x v="0"/>
    <s v="COLETA DOMICILIAR"/>
    <x v="1"/>
    <s v="JOÃO PEDRO"/>
    <s v="ADVERTENCIA"/>
    <d v="2023-03-31T00:00:00"/>
    <s v="MARÇO"/>
    <m/>
    <d v="2023-03-30T00:00:00"/>
    <x v="3"/>
    <x v="1"/>
    <d v="2023-03-30T00:00:00"/>
    <x v="5"/>
    <s v="COLABORADOR NÃO CUMPRIU COM O PROCEDIMENTO EM DESLOCAMENTO NO SETOR, CONFORME PO-08 (EM DESLOCAMENTO OS AGENTES DEVEM IR NA CABINE.) ONDE OCORREU UM SINISTRO DE TRÊNSITO TENDO VÁRIOS AGENTES ACIDENDATOS, POIS ESTAVA NO ESTRIBO DO CAMINHÃO."/>
  </r>
  <r>
    <n v="183"/>
    <s v="RAIMUNDO DE LIMA GORGONHO"/>
    <x v="132"/>
    <x v="0"/>
    <d v="2013-04-01T00:00:00"/>
    <s v="9ANOS, 11MESES"/>
    <n v="10.138888888888889"/>
    <s v="MAIS DE 5 ANOS"/>
    <x v="1"/>
    <s v="COLETA DOMICILIAR"/>
    <x v="1"/>
    <s v="JOÃO PEDRO"/>
    <s v="ADVERTENCIA"/>
    <d v="2023-03-30T00:00:00"/>
    <s v="MARÇO"/>
    <m/>
    <d v="2023-03-30T00:00:00"/>
    <x v="3"/>
    <x v="1"/>
    <d v="2023-03-30T00:00:00"/>
    <x v="5"/>
    <s v="MOTORISTA NÃO SE FEZ CUMPRIR COM O PROCEDIMENTO EM DESLOCAMENTO NO SETOR, CONFORME PO-08 (EM PROCEDIMENTO, OS AGENTES DE COLETA DEVEM IR NA CABINE.) ONDE OCORREU UM SINISTRO DE TRÂNSITO TENDO AGENTES ACIDENTADOS."/>
  </r>
  <r>
    <n v="184"/>
    <s v="GEOVANNY MONTEIRO DOS SANTOS "/>
    <x v="133"/>
    <x v="1"/>
    <d v="2023-03-16T00:00:00"/>
    <s v="0ANOS, 0MESES"/>
    <n v="5.5555555555555552E-2"/>
    <s v="0 A 01 ANO"/>
    <x v="0"/>
    <s v="COLETA DOMICILIAR"/>
    <x v="1"/>
    <s v="JOÃO PEDRO"/>
    <s v="ADVERTENCIA"/>
    <d v="2023-04-05T00:00:00"/>
    <s v="ABRIL"/>
    <m/>
    <d v="2023-04-05T00:00:00"/>
    <x v="4"/>
    <x v="1"/>
    <d v="2023-04-05T00:00:00"/>
    <x v="5"/>
    <s v="COLABORADOR NÃO CUMPRIU COM O PROCEDIMENTO EM DESLOCAMENTO NO SETOR, CONFORME PO-08 (EM DESLOCAMENTO OS AGENTES DEVEM IR NA CABINE.) ONDE OCORREU UM SINISTRO DE TRÊNSITO TENDO VÁRIOS AGENTES ACIDENDATOS, POIS ESTAVA NO ESTRIBO DO CAMINHÃO."/>
  </r>
  <r>
    <n v="185"/>
    <s v="WAGNER GOMES DA LUZ"/>
    <x v="76"/>
    <x v="0"/>
    <d v="2021-05-03T00:00:00"/>
    <s v="1ANOS, 11MESES"/>
    <n v="1.9694444444444446"/>
    <s v="01 A 03 ANOS"/>
    <x v="0"/>
    <s v="COLETA DOMICILIAR"/>
    <x v="1"/>
    <s v="JOÃO PEDRO"/>
    <s v="ADVERTENCIA"/>
    <d v="2023-04-12T00:00:00"/>
    <s v="ABRIL"/>
    <m/>
    <d v="2023-04-12T00:00:00"/>
    <x v="4"/>
    <x v="1"/>
    <d v="2023-04-12T00:00:00"/>
    <x v="5"/>
    <s v="COLABORADOR NÃO CUMPRIU COM O PROCEDIMENTO EM DESLOCAMENTO NO SETOR, CONFORME PO-08 (EM DESLOCAMENTO OS AGENTES DEVEM IR NA CABINE.) ONDE OCORREU UM SINISTRO DE TRÊNSITO TENDO VÁRIOS AGENTES ACIDENDATOS, POIS ESTAVA NO ESTRIBO DO CAMINHÃO."/>
  </r>
  <r>
    <n v="186"/>
    <s v="PEDRO IGOR FIDELIS FELICIANO"/>
    <x v="126"/>
    <x v="0"/>
    <d v="2022-02-14T00:00:00"/>
    <s v="1ANOS, 1MESES"/>
    <n v="1.1722222222222223"/>
    <s v="01 A 03 ANOS"/>
    <x v="0"/>
    <s v="COLETA DOMICILIAR"/>
    <x v="1"/>
    <s v="JOÃO PEDRO"/>
    <s v="ADVERTENCIA"/>
    <d v="2023-04-12T00:00:00"/>
    <s v="ABRIL"/>
    <m/>
    <d v="2023-04-13T00:00:00"/>
    <x v="4"/>
    <x v="1"/>
    <d v="2023-04-13T00:00:00"/>
    <x v="2"/>
    <s v="COLABORADOR VEM CHEGANDO ATRASADO COM FREQUÊNCIA (PONTUADO NOS DIA 04/04, 05/04 E 06/04, 12/04 E 13/04) SEM APRESENTAR QUALQUER JUSTIFICATIVA."/>
  </r>
  <r>
    <n v="187"/>
    <s v="MAURICIO WAGNER DA SILVA VASCONCELO"/>
    <x v="134"/>
    <x v="0"/>
    <d v="2020-08-10T00:00:00"/>
    <s v="2ANOS, 8MESES"/>
    <n v="2.7027777777777779"/>
    <s v="01 A 03 ANOS"/>
    <x v="1"/>
    <s v="COLETA DOMICILIAR"/>
    <x v="0"/>
    <s v="JOÃO PEDRO"/>
    <s v="ADVERTENCIA"/>
    <d v="2023-04-10T00:00:00"/>
    <s v="ABRIL"/>
    <m/>
    <d v="2023-04-15T00:00:00"/>
    <x v="4"/>
    <x v="1"/>
    <d v="2023-04-15T00:00:00"/>
    <x v="1"/>
    <s v="MOTORISTA EXCEDEU A VELOCIDADE PERMITIDO PELA EMPRESA, CHEGANDO A 71 K, NO DIA 10/04/2023 AS 15:47."/>
  </r>
  <r>
    <n v="188"/>
    <s v="ALESSON FARIAS DE ARAÚJO "/>
    <x v="135"/>
    <x v="1"/>
    <d v="2023-03-16T00:00:00"/>
    <s v="0ANOS, 1MESES"/>
    <n v="8.611111111111111E-2"/>
    <s v="0 A 01 ANO"/>
    <x v="0"/>
    <s v="COLETA DOMICILIAR"/>
    <x v="0"/>
    <s v="ANA CAROLINA"/>
    <s v="ADVERTENCIA"/>
    <d v="2023-04-16T00:00:00"/>
    <s v="ABRIL"/>
    <m/>
    <d v="2023-04-17T00:00:00"/>
    <x v="4"/>
    <x v="1"/>
    <d v="2023-04-17T00:00:00"/>
    <x v="0"/>
    <s v="FALTOU AO SERVIÇO NO DIA 16/04/2023, ESCALA DE DOMINGO COLABORADOR INFORMA QUE NÃO SABIA O HORÁRIO DO ÔNIBUS, E DEVIDO A ISSO NÃO CONSEGUIU CHEGAR A EMPRESA NO HORÁRIO ESTIPULADO."/>
  </r>
  <r>
    <n v="189"/>
    <s v="RAILSON GOMES MAIA"/>
    <x v="73"/>
    <x v="1"/>
    <d v="2021-06-04T00:00:00"/>
    <s v="1ANOS, 10MESES"/>
    <n v="1.9166666666666667"/>
    <s v="01 A 03 ANOS"/>
    <x v="0"/>
    <s v="COLETA DOMICILIAR"/>
    <x v="1"/>
    <s v="JOSÉ ADELMAR"/>
    <s v="SUSPENSÃO"/>
    <d v="2023-04-25T00:00:00"/>
    <s v="ABRIL"/>
    <m/>
    <d v="2023-04-25T00:00:00"/>
    <x v="4"/>
    <x v="1"/>
    <d v="2023-05-02T00:00:00"/>
    <x v="0"/>
    <s v="NO DIA 24/04/2023, O COLABORADOR SOLICITOU ATENDIMENTO MÉDICO, O FISCAL PRESTOU ATENDIMENTO LEVANDO O MESMO PRA SER ATENDIDO NA UPA DA CAMAPUÃ, NO DIA 28/04/2023, O MESMO NÃO APRESENTOU NENHUM DOCUMENTO COMPROVANDO QUE FOI ATENDIDO CARACTERIZANDO FALTA NO DIA 24/04/2023."/>
  </r>
  <r>
    <n v="190"/>
    <s v="JORGE LUIZ DE SOUZA VIEIRA"/>
    <x v="136"/>
    <x v="0"/>
    <d v="2020-08-03T00:00:00"/>
    <s v="2ANOS, 8MESES"/>
    <n v="2.7527777777777778"/>
    <s v="01 A 03 ANOS"/>
    <x v="1"/>
    <s v="COLETA DOMICILIAR"/>
    <x v="1"/>
    <s v="JOSÉ ADELMAR"/>
    <s v="ADVERTENCIA"/>
    <d v="2023-04-21T00:00:00"/>
    <s v="ABRIL"/>
    <m/>
    <d v="2023-04-22T00:00:00"/>
    <x v="4"/>
    <x v="1"/>
    <d v="2023-04-22T00:00:00"/>
    <x v="5"/>
    <s v="NO DIA 21/04/2023 O MOTORISTA AO SAIR DA EMPRESA FOI DA UMA RÉ NO VEÍCULO NÃO PRESTOU ATENÇÃO NO OUTRO VEÍCULO QUE ESTAVA ATRÁS E VEIO BATER NO PARACHOQUE DIANTEIRO DO VEÍCULO QUE ESTAVA ESTACIONADO ATRÁS."/>
  </r>
  <r>
    <n v="191"/>
    <s v="RAILSON GOMES MAIA"/>
    <x v="73"/>
    <x v="0"/>
    <d v="2021-06-04T00:00:00"/>
    <s v="1ANOS, 10MESES"/>
    <n v="1.913888888888889"/>
    <s v="01 A 03 ANOS"/>
    <x v="0"/>
    <s v="COLETA DOMICILIAR"/>
    <x v="1"/>
    <s v="JOSÉ ADELMAR"/>
    <s v="SUSPENSÃO"/>
    <d v="2023-04-24T00:00:00"/>
    <s v="ABRIL"/>
    <m/>
    <d v="2023-04-25T00:00:00"/>
    <x v="4"/>
    <x v="1"/>
    <d v="2023-05-02T00:00:00"/>
    <x v="0"/>
    <s v="NO DIA 24/04/2023, O COLABORADOR SOLICITOU ATENDIMENTO MÉDICO, O FISCAL PRESTOU ATENDIMENTO LEVANDO O MESMO PRA SER ATENDIDO NA UPA DA CAMAPUÃ, NO DIA 25/04/2023, O MESMO NÃO APRESENTOU NENHUM DOCUMENTO COMPROVANDO QUE FOI ATENDIDO CARACTERIZANDO FALTA NO DIA 24/04/2023."/>
  </r>
  <r>
    <n v="192"/>
    <s v="EDUARDO JAIME COSTA E SILVA FILHO"/>
    <x v="137"/>
    <x v="0"/>
    <d v="2023-01-12T00:00:00"/>
    <s v="0ANOS, 3MESES"/>
    <n v="0.27500000000000002"/>
    <s v="0 A 01 ANO"/>
    <x v="1"/>
    <s v="COLETA DOMICILIAR"/>
    <x v="0"/>
    <s v="JOÃO PEDRO"/>
    <s v="ADVERTENCIA"/>
    <d v="2023-04-21T00:00:00"/>
    <s v="ABRIL"/>
    <m/>
    <d v="2023-04-25T00:00:00"/>
    <x v="4"/>
    <x v="1"/>
    <d v="2023-04-25T00:00:00"/>
    <x v="1"/>
    <s v="EXCESSO DE VELOCIDADE NO DIA 21/04/2023 AS 14:13, CHEGANDO A 73 KM."/>
  </r>
  <r>
    <n v="193"/>
    <s v="ALVARO FILHO DA SILVA SANTOS"/>
    <x v="53"/>
    <x v="0"/>
    <d v="2020-10-04T00:00:00"/>
    <s v="2ANOS, 6MESES"/>
    <n v="2.5944444444444446"/>
    <s v="01 A 03 ANOS"/>
    <x v="0"/>
    <s v="COLETA DOMICILIAR"/>
    <x v="1"/>
    <s v="JOSÉ ADELMAR"/>
    <s v="SUSPENSÃO"/>
    <d v="2023-04-26T00:00:00"/>
    <s v="ABRIL"/>
    <m/>
    <d v="2023-04-27T00:00:00"/>
    <x v="4"/>
    <x v="1"/>
    <d v="2023-05-02T00:00:00"/>
    <x v="0"/>
    <s v="FALTA INJUSTIFICADA NO DIA 26/04/2023, O COLABORADOR NÃO COMUNICOU SUA CHEFIA IMEDIATA."/>
  </r>
  <r>
    <n v="194"/>
    <s v="JHON CLEY BARBOSA DA SILVA"/>
    <x v="80"/>
    <x v="0"/>
    <d v="2022-11-03T00:00:00"/>
    <s v="0ANOS, 5MESES"/>
    <n v="0.48333333333333334"/>
    <s v="0 A 01 ANO"/>
    <x v="0"/>
    <s v="COLETA DOMICILIAR"/>
    <x v="1"/>
    <s v="JOSÉ ADELMAR"/>
    <s v="ADVERTENCIA"/>
    <d v="2023-04-26T00:00:00"/>
    <s v="ABRIL"/>
    <m/>
    <d v="2023-05-01T00:00:00"/>
    <x v="5"/>
    <x v="1"/>
    <d v="2023-05-01T00:00:00"/>
    <x v="0"/>
    <s v="FALTA INJUSTIFICADA NO DIA 26/04/2023, O COLABORADOR NÃO COMUNICOU SUA CHEFIA IMEDIATA."/>
  </r>
  <r>
    <n v="195"/>
    <s v="ADEILTON GONCALVES DA SILVA"/>
    <x v="117"/>
    <x v="0"/>
    <d v="2021-11-18T00:00:00"/>
    <s v="1ANOS, 5MESES"/>
    <n v="1.4638888888888888"/>
    <s v="01 A 03 ANOS"/>
    <x v="0"/>
    <s v="COLETA DOMICILIAR"/>
    <x v="1"/>
    <s v="JOSÉ ADELMAR"/>
    <s v="SUSPENSÃO"/>
    <d v="2023-04-29T00:00:00"/>
    <s v="ABRIL"/>
    <m/>
    <d v="2023-05-01T00:00:00"/>
    <x v="5"/>
    <x v="1"/>
    <d v="2023-05-02T00:00:00"/>
    <x v="0"/>
    <s v="FALTA INJUSTIFICADA NO DIA 29/04/2023, O COLABORADOR NÃO COMUNICOU SUA CHEFIA IMEDIATA."/>
  </r>
  <r>
    <n v="196"/>
    <s v="DEUSTEVAN CARNEIRO DA SILVA"/>
    <x v="138"/>
    <x v="0"/>
    <d v="2013-02-08T00:00:00"/>
    <s v="10ANOS, 2MESES"/>
    <n v="10.369444444444444"/>
    <s v="MAIS DE 5 ANOS"/>
    <x v="1"/>
    <s v="COLETA DOMICILIAR"/>
    <x v="1"/>
    <s v="JOSÉ ADELMAR"/>
    <s v="ADVERTENCIA"/>
    <d v="2023-04-30T00:00:00"/>
    <s v="ABRIL"/>
    <m/>
    <d v="2023-05-01T00:00:00"/>
    <x v="5"/>
    <x v="1"/>
    <d v="2023-05-01T00:00:00"/>
    <x v="0"/>
    <s v="FALTA INJUSTIFICADA NO DIA 30/04/2023, FALTOU A ESCALA DE DOMINGO, O COLABORADOR NÃO COMUNICOU SUA CHEFIA IMEDIATA."/>
  </r>
  <r>
    <n v="197"/>
    <s v="FRANCISCO GEOVANE CARVALHO"/>
    <x v="95"/>
    <x v="0"/>
    <d v="2020-12-04T00:00:00"/>
    <s v="2ANOS, 4MESES"/>
    <n v="2.4361111111111109"/>
    <s v="01 A 03 ANOS"/>
    <x v="0"/>
    <s v="COLETA DOMICILIAR"/>
    <x v="1"/>
    <s v="JOSÉ ADELMAR"/>
    <s v="ADVERTENCIA"/>
    <d v="2023-04-30T00:00:00"/>
    <s v="ABRIL"/>
    <m/>
    <d v="2023-05-01T00:00:00"/>
    <x v="5"/>
    <x v="1"/>
    <d v="2023-05-01T00:00:00"/>
    <x v="0"/>
    <s v="FALTA INJUSTIFICADA NO DIA 30/04/2023, FALTOU A ESCALA DE DOMINGO, O COLABORADOR NÃO COMUNICOU SUA CHEFIA IMEDIATA."/>
  </r>
  <r>
    <n v="198"/>
    <s v="RONALD WILLIAM PANTOJA REIS"/>
    <x v="139"/>
    <x v="0"/>
    <d v="2021-04-05T00:00:00"/>
    <s v="2ANOS, 0MESES"/>
    <n v="2.1027777777777779"/>
    <s v="01 A 03 ANOS"/>
    <x v="0"/>
    <s v="COLETA DOMICILIAR"/>
    <x v="1"/>
    <s v="JOSÉ ADELMAR"/>
    <s v="ADVERTENCIA"/>
    <d v="2023-05-02T00:00:00"/>
    <s v="MAIO"/>
    <m/>
    <d v="2023-05-03T00:00:00"/>
    <x v="5"/>
    <x v="1"/>
    <d v="2023-05-03T00:00:00"/>
    <x v="0"/>
    <s v="FALTA INJUSTIFICADA NO DIA 02/05/2023, O COLABORADOR NÃO COMUNICOU SUA CHEFIA IMEDIATA."/>
  </r>
  <r>
    <n v="199"/>
    <s v="GENISON NOBRE DA SILVA"/>
    <x v="140"/>
    <x v="0"/>
    <d v="2021-10-03T00:00:00"/>
    <s v="1ANOS, 6MESES"/>
    <n v="1.6"/>
    <s v="01 A 03 ANOS"/>
    <x v="0"/>
    <s v="COLETA DOMICILIAR"/>
    <x v="1"/>
    <s v="JOSÉ ADELMAR"/>
    <s v="ADVERTENCIA"/>
    <d v="2023-05-02T00:00:00"/>
    <s v="MAIO"/>
    <m/>
    <d v="2023-05-03T00:00:00"/>
    <x v="5"/>
    <x v="1"/>
    <d v="2023-05-03T00:00:00"/>
    <x v="0"/>
    <s v="FALTA INJUSTIFICADA NO DIA 02/05/2023, O COLABORADOR NÃO COMUNICOU SUA CHEFIA IMEDIATA."/>
  </r>
  <r>
    <n v="200"/>
    <s v="ROMARIO GOMES DA SILVA"/>
    <x v="141"/>
    <x v="0"/>
    <d v="2021-01-06T00:00:00"/>
    <s v="2ANOS, 3MESES"/>
    <n v="2.35"/>
    <s v="01 A 03 ANOS"/>
    <x v="0"/>
    <s v="COLETA DOMICILIAR"/>
    <x v="1"/>
    <s v="JOSÉ ADELMAR"/>
    <s v="ADVERTENCIA"/>
    <d v="2023-05-02T00:00:00"/>
    <s v="MAIO"/>
    <m/>
    <d v="2023-05-03T00:00:00"/>
    <x v="5"/>
    <x v="1"/>
    <d v="2023-05-04T00:00:00"/>
    <x v="0"/>
    <s v="FALTA INJUSTIFICADA NOS DIAS 26/04 A 02/05/2023, O COLABORADOR NÃO COMUNICOU SUA CHEFIA IMEDIATA."/>
  </r>
  <r>
    <n v="201"/>
    <s v="MARCELO FERREIRA PONTES"/>
    <x v="106"/>
    <x v="0"/>
    <d v="2022-10-03T00:00:00"/>
    <s v="0ANOS, 7MESES"/>
    <n v="0.59722222222222221"/>
    <s v="0 A 01 ANO"/>
    <x v="0"/>
    <s v="COLETA DOMICILIAR"/>
    <x v="1"/>
    <s v="JOSÉ ADELMAR"/>
    <s v="ADVERTENCIA"/>
    <d v="2023-05-06T00:00:00"/>
    <s v="MAIO"/>
    <m/>
    <d v="2023-05-08T00:00:00"/>
    <x v="5"/>
    <x v="1"/>
    <d v="2023-05-08T00:00:00"/>
    <x v="0"/>
    <s v="FALTA INJUSTIFICADA NOS DIAS 04, 05 E 06/05/2023, O COLABORADOR NÃO COMUNICOU SUA CHEFIA IMEDIATA."/>
  </r>
  <r>
    <n v="202"/>
    <s v="FABRICIO LUAM DE SOUZA LIMA"/>
    <x v="142"/>
    <x v="0"/>
    <d v="2021-10-13T00:00:00"/>
    <s v="1ANOS, 6MESES"/>
    <n v="1.586111111111111"/>
    <s v="01 A 03 ANOS"/>
    <x v="0"/>
    <s v="COLETA DOMICILIAR"/>
    <x v="1"/>
    <s v="JOSÉ ADELMAR"/>
    <s v="ADVERTENCIA"/>
    <d v="2023-05-07T00:00:00"/>
    <s v="MAIO"/>
    <m/>
    <d v="2023-05-08T00:00:00"/>
    <x v="5"/>
    <x v="1"/>
    <d v="2023-05-08T00:00:00"/>
    <x v="0"/>
    <s v="FALTA INJUSTIFICADA NO DIA 07/05/2023, O COLABORADOR NÃO COMUNICOU SUA CHEFIA IMEDIATA."/>
  </r>
  <r>
    <n v="203"/>
    <s v="EDUARDO MORAES DE SOUZA"/>
    <x v="143"/>
    <x v="0"/>
    <d v="2020-11-09T00:00:00"/>
    <s v="2ANOS, 5MESES"/>
    <n v="2.5222222222222221"/>
    <s v="01 A 03 ANOS"/>
    <x v="0"/>
    <s v="COLETA DOMICILIAR"/>
    <x v="1"/>
    <s v="JOSÉ ADELMAR"/>
    <s v="ADVERTENCIA"/>
    <d v="2023-05-06T00:00:00"/>
    <s v="MAIO"/>
    <m/>
    <d v="2023-05-08T00:00:00"/>
    <x v="5"/>
    <x v="1"/>
    <d v="2023-05-08T00:00:00"/>
    <x v="0"/>
    <s v="FALTA INJUSTIFICADA NOS DIAS 05/05 E 06/05/2023, O COLABORADOR NÃO COMUNICOU SUA CHEFIA IMEDIATA."/>
  </r>
  <r>
    <n v="204"/>
    <s v="RAYLANDER BATISTA DA SILVA"/>
    <x v="23"/>
    <x v="1"/>
    <d v="2023-04-06T00:00:00"/>
    <s v="0ANOS, 1MESES"/>
    <n v="8.611111111111111E-2"/>
    <s v="0 A 01 ANO"/>
    <x v="0"/>
    <s v="COLETA DOMICILIAR"/>
    <x v="1"/>
    <s v="JOSÉ ADELMAR"/>
    <s v="ADVERTENCIA"/>
    <d v="2023-05-07T00:00:00"/>
    <s v="MAIO"/>
    <m/>
    <d v="2023-05-08T00:00:00"/>
    <x v="5"/>
    <x v="1"/>
    <d v="2023-05-08T00:00:00"/>
    <x v="0"/>
    <s v="FALTA INJUSTIFICADA NO DIA 07/05/2023, O COLABORADOR NÃO COMUNICOU SUA CHEFIA IMEDIATA."/>
  </r>
  <r>
    <n v="205"/>
    <s v="ADEILTON GONCALVES DA SILVA"/>
    <x v="117"/>
    <x v="0"/>
    <d v="2021-11-18T00:00:00"/>
    <s v="1ANOS, 5MESES"/>
    <n v="1.4833333333333334"/>
    <s v="01 A 03 ANOS"/>
    <x v="0"/>
    <s v="COLETA DOMICILIAR"/>
    <x v="1"/>
    <s v="JOSÉ ADELMAR"/>
    <s v="SUSPENSÃO"/>
    <d v="2023-05-06T00:00:00"/>
    <s v="MAIO"/>
    <m/>
    <d v="2023-05-08T00:00:00"/>
    <x v="5"/>
    <x v="1"/>
    <d v="2023-05-11T00:00:00"/>
    <x v="0"/>
    <s v="FALTA INJUSTIFICADA NO 06/05/2023, O COLABORADOR NÃO COMUNICOU SUA CHEFIA IMEDIATA."/>
  </r>
  <r>
    <n v="206"/>
    <s v="ELIEDSON SOUZA DA SILVA"/>
    <x v="144"/>
    <x v="0"/>
    <d v="2022-09-14T00:00:00"/>
    <s v="0ANOS, 7MESES"/>
    <n v="0.64166666666666672"/>
    <s v="0 A 01 ANO"/>
    <x v="0"/>
    <s v="COLETA DOMICILIAR"/>
    <x v="1"/>
    <s v="JOSÉ ADELMAR"/>
    <s v="ADVERTENCIA"/>
    <d v="2023-05-03T00:00:00"/>
    <s v="MAIO"/>
    <m/>
    <d v="2023-05-04T00:00:00"/>
    <x v="5"/>
    <x v="1"/>
    <d v="2023-05-04T00:00:00"/>
    <x v="0"/>
    <s v="FALTA INJUSTIFICADA NO DIA 03/05/2023, O COLABORADOR NÃO COMUNICOU SUA CHEFIA IMEDIATA."/>
  </r>
  <r>
    <n v="207"/>
    <s v="NAUM DA SILVA CASTRO ALFAIA"/>
    <x v="36"/>
    <x v="0"/>
    <d v="2022-10-03T00:00:00"/>
    <s v="0ANOS, 7MESES"/>
    <n v="0.58888888888888891"/>
    <s v="0 A 01 ANO"/>
    <x v="0"/>
    <s v="COLETA DOMICILIAR"/>
    <x v="0"/>
    <s v="JOÃO PEDRO"/>
    <s v="SUSPENSÃO"/>
    <d v="2023-05-03T00:00:00"/>
    <s v="MAIO"/>
    <m/>
    <d v="2023-05-04T00:00:00"/>
    <x v="5"/>
    <x v="1"/>
    <d v="2023-05-05T00:00:00"/>
    <x v="0"/>
    <s v="COLABORADOR FALTOU SEM JUSTIFICATIVA NOS DIAS 29/04, 01/05, 02/05 E 03/05."/>
  </r>
  <r>
    <n v="208"/>
    <s v="FRANCIOMAR OLIVEIRA DA SILVA"/>
    <x v="145"/>
    <x v="0"/>
    <d v="2023-02-15T00:00:00"/>
    <s v="0ANOS, 2MESES"/>
    <n v="0.22500000000000001"/>
    <s v="0 A 01 ANO"/>
    <x v="6"/>
    <s v="MANUTENÇÃO"/>
    <x v="1"/>
    <s v="MARCELO MARINHO"/>
    <s v="ADVERTENCIA"/>
    <d v="2023-05-07T00:00:00"/>
    <s v="MAIO"/>
    <m/>
    <d v="2023-05-08T00:00:00"/>
    <x v="5"/>
    <x v="1"/>
    <d v="2023-05-08T00:00:00"/>
    <x v="5"/>
    <s v="ALEGOU TER SE ACIDENTADO PORÉM NÃO CUMPRIU OS PROCEDIMENTOS DE SEGURANÇA DO TRABALHO."/>
  </r>
  <r>
    <n v="209"/>
    <s v="FRANCIOMAR OLIVEIRA DA SILVA"/>
    <x v="145"/>
    <x v="0"/>
    <d v="2023-02-15T00:00:00"/>
    <s v="0ANOS, 2MESES"/>
    <n v="0.22222222222222221"/>
    <s v="0 A 01 ANO"/>
    <x v="6"/>
    <s v="MANUTENÇÃO"/>
    <x v="1"/>
    <s v="MARCELO MARINHO"/>
    <s v="ADVERTENCIA"/>
    <d v="2023-05-06T00:00:00"/>
    <s v="MAIO"/>
    <m/>
    <d v="2023-05-08T00:00:00"/>
    <x v="5"/>
    <x v="1"/>
    <d v="2023-05-08T00:00:00"/>
    <x v="0"/>
    <s v="FALTA SEM JUSTIFICATIVA."/>
  </r>
  <r>
    <n v="210"/>
    <s v="JACKSON DOS SANTOS REIS"/>
    <x v="146"/>
    <x v="1"/>
    <d v="2023-03-16T00:00:00"/>
    <s v="0ANOS, 1MESES"/>
    <n v="0.14722222222222223"/>
    <s v="0 A 01 ANO"/>
    <x v="0"/>
    <s v="COLETA DOMICILIAR"/>
    <x v="0"/>
    <s v="JOÃO PEDRO"/>
    <s v="ADVERTENCIA"/>
    <d v="2023-05-08T00:00:00"/>
    <s v="MAIO"/>
    <m/>
    <d v="2023-05-08T00:00:00"/>
    <x v="5"/>
    <x v="1"/>
    <d v="2023-05-08T00:00:00"/>
    <x v="0"/>
    <s v="COLABORADOR FALTOU SEM JUSTIFICATIVA NO DOMINGO 07/05."/>
  </r>
  <r>
    <n v="211"/>
    <s v="RAIR BARROSO DA SILVA"/>
    <x v="32"/>
    <x v="0"/>
    <d v="2022-12-01T00:00:00"/>
    <s v="0ANOS, 4MESES"/>
    <n v="0.41666666666666669"/>
    <s v="0 A 01 ANO"/>
    <x v="0"/>
    <s v="COLETA DOMICILIAR"/>
    <x v="0"/>
    <s v="JOÃO PEDRO"/>
    <s v="ADVERTENCIA"/>
    <d v="2023-04-30T00:00:00"/>
    <s v="ABRIL"/>
    <m/>
    <d v="2023-05-08T00:00:00"/>
    <x v="5"/>
    <x v="1"/>
    <d v="2023-05-08T00:00:00"/>
    <x v="5"/>
    <s v="COLABORADOR NÃO USOU AS DEVIDAS FERRAMENTAS PARA A COLETA (PÁ E VASSOURA), EM RAZÃO DISSO, O MESMO SE FERIU NO DIA 30/04, GERANDO AFASTAMENTO."/>
  </r>
  <r>
    <n v="212"/>
    <s v="PABLO DIAS COUTINHO"/>
    <x v="147"/>
    <x v="1"/>
    <d v="2023-03-16T00:00:00"/>
    <s v="0ANOS, 1MESES"/>
    <n v="0.1388888888888889"/>
    <s v="0 A 01 ANO"/>
    <x v="0"/>
    <s v="COLETA DOMICILIAR"/>
    <x v="0"/>
    <s v="JOÃO PEDRO"/>
    <s v="SUSPENSÃO"/>
    <d v="2023-05-05T00:00:00"/>
    <s v="MAIO"/>
    <m/>
    <d v="2023-05-09T00:00:00"/>
    <x v="5"/>
    <x v="1"/>
    <d v="2023-05-10T00:00:00"/>
    <x v="0"/>
    <s v="COLABORADOR FALTOU SEM JUSTIFICATIVA NO DIA 30/04, 03/05 E 05/05."/>
  </r>
  <r>
    <n v="213"/>
    <s v="ALESSON FARIAS DE ARAÚJO "/>
    <x v="135"/>
    <x v="1"/>
    <d v="2023-03-16T00:00:00"/>
    <s v="0ANOS, 1MESES"/>
    <n v="0.13055555555555556"/>
    <s v="0 A 01 ANO"/>
    <x v="0"/>
    <s v="COLETA DOMICILIAR"/>
    <x v="0"/>
    <s v="JOÃO PEDRO"/>
    <s v="ADVERTENCIA"/>
    <d v="2023-05-02T00:00:00"/>
    <s v="MAIO"/>
    <m/>
    <d v="2023-05-07T00:00:00"/>
    <x v="5"/>
    <x v="1"/>
    <d v="2023-05-07T00:00:00"/>
    <x v="0"/>
    <s v="COLABORADOR FALTOU SEM JUSTIFICATIVA NOS DIAS 02/05."/>
  </r>
  <r>
    <n v="214"/>
    <s v="TARCILO GONZAGA DOS SANTOS"/>
    <x v="148"/>
    <x v="0"/>
    <d v="2021-01-06T00:00:00"/>
    <s v="2ANOS, 4MESES"/>
    <n v="2.3833333333333333"/>
    <s v="01 A 03 ANOS"/>
    <x v="0"/>
    <s v="COLETA DOMICILIAR"/>
    <x v="0"/>
    <s v="JOÃO PEDRO"/>
    <s v="SUSPENSÃO"/>
    <d v="2023-05-14T00:00:00"/>
    <s v="MAIO"/>
    <m/>
    <d v="2023-05-15T00:00:00"/>
    <x v="5"/>
    <x v="1"/>
    <d v="2023-05-16T00:00:00"/>
    <x v="0"/>
    <s v="COLABORADOR FALTOU SEM JUSTIFICATIVA NO DIA 14/05/2023."/>
  </r>
  <r>
    <n v="215"/>
    <s v="EUDES DA SILVA PINTO"/>
    <x v="113"/>
    <x v="0"/>
    <d v="2020-06-01T00:00:00"/>
    <s v="2ANOS, 11MESES"/>
    <n v="2.9916666666666667"/>
    <s v="01 A 03 ANOS"/>
    <x v="1"/>
    <s v="COLETA DOMICILIAR"/>
    <x v="0"/>
    <s v="JOÃO PEDRO"/>
    <s v="ADVERTENCIA"/>
    <d v="2023-05-14T00:00:00"/>
    <s v="MAIO"/>
    <m/>
    <d v="2023-05-15T00:00:00"/>
    <x v="5"/>
    <x v="1"/>
    <d v="2023-05-15T00:00:00"/>
    <x v="0"/>
    <s v="COLABORADOR FALTOU SEM JUSTIFICATIVA NO DIA 14/05/2023."/>
  </r>
  <r>
    <n v="216"/>
    <s v="SERGIO RAFAEL FERREIRA FREIRE"/>
    <x v="149"/>
    <x v="1"/>
    <d v="2023-05-05T00:00:00"/>
    <s v="0ANOS, 0MESES"/>
    <n v="2.5000000000000001E-2"/>
    <s v="0 A 01 ANO"/>
    <x v="0"/>
    <s v="COLETA DOMICILIAR"/>
    <x v="1"/>
    <s v="JOSÉ ADELMAR"/>
    <s v="ADVERTENCIA"/>
    <d v="2023-05-14T00:00:00"/>
    <s v="MAIO"/>
    <m/>
    <d v="2023-05-16T00:00:00"/>
    <x v="5"/>
    <x v="1"/>
    <d v="2023-05-16T00:00:00"/>
    <x v="0"/>
    <s v="FALTA INJUSTIFICADA NO DIA 14/05/2023 O COLABORADOR NÃO COMUNICOU SUA CHEFIA IMEDIATA."/>
  </r>
  <r>
    <n v="217"/>
    <s v="GIAN DOMINGOS SAMPAIO CASTRO"/>
    <x v="150"/>
    <x v="0"/>
    <d v="2020-02-04T00:00:00"/>
    <s v="3ANOS, 3MESES"/>
    <n v="3.3222222222222224"/>
    <s v="03 A 05 ANOS"/>
    <x v="0"/>
    <s v="COLETA DOMICILIAR"/>
    <x v="1"/>
    <s v="JOSÉ ADELMAR"/>
    <s v="ADVERTENCIA"/>
    <d v="2023-05-15T00:00:00"/>
    <s v="MAIO"/>
    <m/>
    <d v="2023-05-16T00:00:00"/>
    <x v="5"/>
    <x v="1"/>
    <d v="2023-05-16T00:00:00"/>
    <x v="0"/>
    <s v="FALTA INSJUTIFICADA NO DIA 15/05/2023, O COLABORADOR NÃO COMUNICOU SUA CHEFIA IMEDIATA."/>
  </r>
  <r>
    <n v="218"/>
    <s v="FELIPE AUGUSTO BATISTA GOMES"/>
    <x v="151"/>
    <x v="1"/>
    <d v="2023-03-08T00:00:00"/>
    <s v="0ANOS, 1MESES"/>
    <n v="0.16666666666666666"/>
    <s v="0 A 01 ANO"/>
    <x v="0"/>
    <s v="COLETA DOMICILIAR"/>
    <x v="1"/>
    <s v="JOSÉ ADELMAR"/>
    <s v="ADVERTENCIA"/>
    <d v="2023-05-07T00:00:00"/>
    <s v="MAIO"/>
    <m/>
    <d v="2023-05-12T00:00:00"/>
    <x v="5"/>
    <x v="1"/>
    <d v="2023-05-12T00:00:00"/>
    <x v="0"/>
    <s v="FALTA INJUSTIFICADA NOS DIAS 29/04 E 05, 06, 07/05/2023 O COLABORADOR NÃO COMUNICOU SUA CHEFIA IMEDIATA."/>
  </r>
  <r>
    <n v="219"/>
    <s v="EULONIO SALES VIANA "/>
    <x v="103"/>
    <x v="0"/>
    <d v="2021-08-09T00:00:00"/>
    <s v="1ANOS, 8MESES"/>
    <n v="1.7527777777777778"/>
    <s v="01 A 03 ANOS"/>
    <x v="0"/>
    <s v="COLETA DOMICILIAR"/>
    <x v="0"/>
    <s v="JOÃO PEDRO"/>
    <s v="SUSPENSÃO"/>
    <d v="2023-05-02T00:00:00"/>
    <s v="MAIO"/>
    <m/>
    <d v="2023-05-03T00:00:00"/>
    <x v="5"/>
    <x v="1"/>
    <d v="2023-05-10T00:00:00"/>
    <x v="0"/>
    <s v="COLABORADOR FALTOU SEM JUSTIFICATIVA NO DIA 02/05/2023."/>
  </r>
  <r>
    <n v="220"/>
    <s v="EMERSON DO CANTO EVANGELISTA"/>
    <x v="15"/>
    <x v="0"/>
    <d v="2022-12-01T00:00:00"/>
    <s v="0ANOS, 5MESES"/>
    <n v="0.46666666666666667"/>
    <s v="0 A 01 ANO"/>
    <x v="0"/>
    <s v="COLETA DOMICILIAR"/>
    <x v="1"/>
    <s v="JOSÉ ADELMAR"/>
    <s v="ADVERTENCIA"/>
    <d v="2023-05-18T00:00:00"/>
    <s v="MAIO"/>
    <m/>
    <d v="2023-05-19T00:00:00"/>
    <x v="5"/>
    <x v="1"/>
    <d v="2023-05-19T00:00:00"/>
    <x v="0"/>
    <s v="FALTA INJUSTIFICADA NO DIA 18/05/2023, O COLABORADOR NÃO COMUNICOU SUA CHEFIA IMEDIATA."/>
  </r>
  <r>
    <n v="221"/>
    <s v="CARLOS LOBO VIANA"/>
    <x v="152"/>
    <x v="1"/>
    <d v="2023-03-16T00:00:00"/>
    <s v="0ANOS, 2MESES"/>
    <n v="0.18333333333333332"/>
    <s v="0 A 01 ANO"/>
    <x v="0"/>
    <s v="COLETA DOMICILIAR"/>
    <x v="1"/>
    <s v="JOSÉ ADELMAR"/>
    <s v="ADVERTENCIA"/>
    <d v="2023-05-21T00:00:00"/>
    <s v="MAIO"/>
    <m/>
    <d v="2023-05-21T00:00:00"/>
    <x v="5"/>
    <x v="1"/>
    <d v="2023-05-22T00:00:00"/>
    <x v="0"/>
    <s v="O COLABORADOR FALTOU NO DIA 21/05/2023, NÃO COMUNICOU SUA CHEFIA IMEDIATA."/>
  </r>
  <r>
    <n v="222"/>
    <s v="MAURICIO AUGUSTO QUEIROZ DE ARAÚJO"/>
    <x v="71"/>
    <x v="0"/>
    <d v="2022-12-01T00:00:00"/>
    <s v="0ANOS, 5MESES"/>
    <n v="0.46944444444444444"/>
    <s v="0 A 01 ANO"/>
    <x v="0"/>
    <s v="COLETA DOMICILIAR"/>
    <x v="0"/>
    <s v="JOÃO PEDRO"/>
    <s v="ADVERTENCIA"/>
    <d v="2023-05-19T00:00:00"/>
    <s v="MAIO"/>
    <m/>
    <d v="2023-05-19T00:00:00"/>
    <x v="5"/>
    <x v="1"/>
    <d v="2023-05-19T00:00:00"/>
    <x v="5"/>
    <s v="COLABORADOR ESTAVA EM DESLOCAMENTO EM CIMA DO COXO, EM DESACORDO COM A PO-08."/>
  </r>
  <r>
    <n v="223"/>
    <s v="ANTÔNIO LUIS RIBEIRO ALEXANDRE"/>
    <x v="82"/>
    <x v="0"/>
    <d v="2022-09-01T00:00:00"/>
    <s v="0ANOS, 8MESES"/>
    <n v="0.72222222222222221"/>
    <s v="0 A 01 ANO"/>
    <x v="0"/>
    <s v="COLETA DOMICILIAR"/>
    <x v="0"/>
    <s v="JOÃO PEDRO"/>
    <s v="ADVERTENCIA"/>
    <d v="2023-05-19T00:00:00"/>
    <s v="MAIO"/>
    <m/>
    <d v="2023-05-19T00:00:00"/>
    <x v="5"/>
    <x v="1"/>
    <d v="2023-05-19T00:00:00"/>
    <x v="5"/>
    <s v="COLABORADOR EM DESACORDO COM A PO-08 ACIONOU O COMANDO DIANTEIRO, SE ACIDENTANDO E COLOCANDO SUA SEGURANÇA E DOS DEMAIS EM RISCO."/>
  </r>
  <r>
    <n v="224"/>
    <s v="WYGUINER PRINTIS DA CRUZ"/>
    <x v="153"/>
    <x v="1"/>
    <d v="2023-03-08T00:00:00"/>
    <s v="0ANOS, 2MESES"/>
    <n v="0.18611111111111112"/>
    <s v="0 A 01 ANO"/>
    <x v="0"/>
    <s v="COLETA DOMICILIAR"/>
    <x v="0"/>
    <s v="JOÃO PEDRO"/>
    <s v="ADVERTENCIA"/>
    <d v="2023-05-14T00:00:00"/>
    <s v="MAIO"/>
    <m/>
    <d v="2023-05-19T00:00:00"/>
    <x v="5"/>
    <x v="1"/>
    <d v="2023-05-19T00:00:00"/>
    <x v="0"/>
    <s v="COLABORADOR FALTOU SEM JUSTIFICATIVA NOS DIAS 13/05 R 14/05."/>
  </r>
  <r>
    <n v="225"/>
    <s v="NAUM DA SILVA CASTRO ALFAIA"/>
    <x v="36"/>
    <x v="0"/>
    <d v="2022-10-03T00:00:00"/>
    <s v="0ANOS, 7MESES"/>
    <n v="0.63611111111111107"/>
    <s v="0 A 01 ANO"/>
    <x v="0"/>
    <s v="COLETA DOMICILIAR"/>
    <x v="0"/>
    <s v="JOÃO PEDRO"/>
    <s v="ADVERTENCIA"/>
    <d v="2023-05-20T00:00:00"/>
    <s v="MAIO"/>
    <m/>
    <d v="2023-05-20T00:00:00"/>
    <x v="5"/>
    <x v="1"/>
    <d v="2023-05-20T00:00:00"/>
    <x v="5"/>
    <s v="AGENTE DE COLETA FOI FLAGRADO ATRAVÉS DE UMA DENÚNCIA DO GSUBOP (COMPROVADA EM VÍDEOS DE CÂMERAS DE SEGURANÇA) ESCONDENDO O LIXO, O MESMO ASSUME A AUTORIA E RELATA QUE FEZ DEVIDO O MOTORISTA JÁ TER PASSADO O PONTO COM O CAMINHÃO."/>
  </r>
  <r>
    <n v="226"/>
    <s v="RAFAEL SOARES DO NASCIMENTO"/>
    <x v="154"/>
    <x v="1"/>
    <d v="2023-05-05T00:00:00"/>
    <s v="0ANOS, 0MESES"/>
    <n v="3.888888888888889E-2"/>
    <s v="0 A 01 ANO"/>
    <x v="0"/>
    <s v="COLETA DOMICILIAR"/>
    <x v="0"/>
    <s v="JOÃO PEDRO"/>
    <s v="ADVERTENCIA"/>
    <d v="2023-05-19T00:00:00"/>
    <s v="MAIO"/>
    <m/>
    <d v="2023-05-20T00:00:00"/>
    <x v="5"/>
    <x v="1"/>
    <d v="2023-05-20T00:00:00"/>
    <x v="0"/>
    <s v="AGENTE DE COLETA  FALTOU SEM JUSTIFICATIVA NO DIA 19/05/2023."/>
  </r>
  <r>
    <n v="227"/>
    <s v="RIVALDO CONDERA DO NASCIMENTO JUNIOR"/>
    <x v="5"/>
    <x v="0"/>
    <d v="2022-09-01T00:00:00"/>
    <s v="0ANOS, 8MESES"/>
    <n v="0.72499999999999998"/>
    <s v="0 A 01 ANO"/>
    <x v="0"/>
    <s v="COLETA DOMICILIAR"/>
    <x v="0"/>
    <s v="JOÃO PEDRO"/>
    <s v="ADVERTENCIA"/>
    <d v="2023-05-20T00:00:00"/>
    <s v="MAIO"/>
    <m/>
    <d v="2023-05-20T00:00:00"/>
    <x v="5"/>
    <x v="1"/>
    <d v="2023-05-20T00:00:00"/>
    <x v="6"/>
    <s v="COLABORADOR SE NEGOU A BATER UMA CAIXA DE LIXO, ALÉM DE CAUSAR PROBLEMAS COM OUTROS AGENTES DE COLETA."/>
  </r>
  <r>
    <n v="228"/>
    <s v="WARLEM CAVALCANTE RENOVATO"/>
    <x v="155"/>
    <x v="1"/>
    <d v="2023-03-08T00:00:00"/>
    <s v="0ANOS, 2MESES"/>
    <n v="0.20555555555555555"/>
    <s v="0 A 01 ANO"/>
    <x v="0"/>
    <s v="COLETA DOMICILIAR"/>
    <x v="0"/>
    <s v="JOÃO PEDRO"/>
    <s v="ADVERTENCIA"/>
    <d v="2023-05-21T00:00:00"/>
    <s v="MAIO"/>
    <m/>
    <d v="2023-05-26T00:00:00"/>
    <x v="5"/>
    <x v="1"/>
    <d v="2023-05-26T00:00:00"/>
    <x v="0"/>
    <s v="COLABORADOR FALTOU SEM JUSTIFICATIVA NO DIA 19/05, 20/05 E 21/05."/>
  </r>
  <r>
    <n v="229"/>
    <s v="EDUARDO MORAES DE SOUZA"/>
    <x v="143"/>
    <x v="0"/>
    <d v="2020-11-09T00:00:00"/>
    <s v="2ANOS, 6MESES"/>
    <n v="2.5805555555555557"/>
    <s v="01 A 03 ANOS"/>
    <x v="0"/>
    <s v="COLETA DOMICILIAR"/>
    <x v="1"/>
    <s v="JOSÉ ADELMAR"/>
    <s v="SUSPENSÃO"/>
    <d v="2023-05-27T00:00:00"/>
    <s v="MAIO"/>
    <m/>
    <d v="2023-05-27T00:00:00"/>
    <x v="5"/>
    <x v="1"/>
    <d v="2023-05-28T00:00:00"/>
    <x v="6"/>
    <s v="FOI INFORMADO VARIAS VEZES AO COLABORADOR PRA PROCURAR O ANALISTA NO FINAL DO EXPEDIENTE, O MESMO VEM DESCUMPRINDO O PROCEDIMENTO DA EMPRESA ELE VEIO E FOI EMBORA SEM FALAR COM O ANALISTA."/>
  </r>
  <r>
    <n v="230"/>
    <s v="DANIEL MACHADO DE SOUZA"/>
    <x v="156"/>
    <x v="0"/>
    <d v="2022-05-02T00:00:00"/>
    <s v="1ANOS, 0MESES"/>
    <n v="1.0833333333333333"/>
    <s v="01 A 03 ANOS"/>
    <x v="0"/>
    <s v="COLETA DOMICILIAR"/>
    <x v="1"/>
    <s v="JOSÉ ADELMAR"/>
    <s v="ADVERTENCIA"/>
    <d v="2023-05-27T00:00:00"/>
    <s v="MAIO"/>
    <m/>
    <d v="2023-05-29T00:00:00"/>
    <x v="5"/>
    <x v="1"/>
    <d v="2023-05-29T00:00:00"/>
    <x v="0"/>
    <s v="O COLABORADOR FALTOU NO DIA 27/05/2023, SEM COMUNICAR SUA CHEFIA IMEDIATA."/>
  </r>
  <r>
    <n v="231"/>
    <s v="RAIRO TEIXEIRA LEÃO"/>
    <x v="41"/>
    <x v="0"/>
    <d v="2023-01-12T00:00:00"/>
    <s v="0ANOS, 4MESES"/>
    <n v="0.375"/>
    <s v="0 A 01 ANO"/>
    <x v="1"/>
    <s v="COLETA DOMICILIAR"/>
    <x v="0"/>
    <s v="JOÃO PEDRO"/>
    <s v="ADVERTENCIA"/>
    <d v="2023-05-27T00:00:00"/>
    <s v="MAIO"/>
    <m/>
    <d v="2023-05-30T00:00:00"/>
    <x v="5"/>
    <x v="1"/>
    <d v="2023-05-30T00:00:00"/>
    <x v="1"/>
    <s v="COLABORADOR EXCEDEU O LIMITE DE VELOCIDADE NO DIA 27/05 CHEGANDO Á 73 KM/H."/>
  </r>
  <r>
    <n v="232"/>
    <s v="LEONARDO DA SILVA ROCHA"/>
    <x v="3"/>
    <x v="0"/>
    <d v="2022-10-06T00:00:00"/>
    <s v="0ANOS, 7MESES"/>
    <n v="0.63055555555555554"/>
    <s v="0 A 01 ANO"/>
    <x v="0"/>
    <s v="COLETA DOMICILIAR"/>
    <x v="0"/>
    <s v="JOÃO PEDRO"/>
    <s v="ADVERTENCIA"/>
    <d v="2023-05-21T00:00:00"/>
    <s v="MAIO"/>
    <m/>
    <d v="2023-06-01T00:00:00"/>
    <x v="6"/>
    <x v="1"/>
    <d v="2023-06-01T00:00:00"/>
    <x v="0"/>
    <s v="COLABORADOR FALTOU SEM JUSTIFICATIVA NOS DIAS 20/05 E 21/05."/>
  </r>
  <r>
    <n v="233"/>
    <s v="GABRIEL REMEDIOS DOS SANTOS OLIVEIRA"/>
    <x v="157"/>
    <x v="0"/>
    <d v="2023-03-08T00:00:00"/>
    <s v="0ANOS, 2MESES"/>
    <n v="0.2361111111111111"/>
    <s v="0 A 01 ANO"/>
    <x v="0"/>
    <s v="COLETA DOMICILIAR"/>
    <x v="0"/>
    <s v="JOÃO PEDRO"/>
    <s v="ADVERTENCIA"/>
    <d v="2023-06-01T00:00:00"/>
    <s v="JUNHO"/>
    <m/>
    <d v="2023-06-02T00:00:00"/>
    <x v="6"/>
    <x v="1"/>
    <d v="2023-06-02T00:00:00"/>
    <x v="0"/>
    <s v="COLABORADOR FALTOU SEM JUSTIFICATIVA NOS DIAS 31/05 E 01/06."/>
  </r>
  <r>
    <n v="234"/>
    <s v="EDUARDO MORAES DE SOUZA"/>
    <x v="143"/>
    <x v="0"/>
    <d v="2020-11-09T00:00:00"/>
    <s v="2ANOS, 6MESES"/>
    <n v="2.5916666666666668"/>
    <s v="01 A 03 ANOS"/>
    <x v="0"/>
    <s v="COLETA DOMICILIAR"/>
    <x v="1"/>
    <s v="JOSÉ ADELMAR"/>
    <s v="SUSPENSÃO"/>
    <d v="2023-05-31T00:00:00"/>
    <s v="MAIO"/>
    <m/>
    <d v="2023-06-01T00:00:00"/>
    <x v="6"/>
    <x v="1"/>
    <d v="2023-06-04T00:00:00"/>
    <x v="0"/>
    <s v="O COLABORADOR FALTOU NO DIA 31/05/2023 SEM COMUNICAR SUA CHEFIA IMEDIATA."/>
  </r>
  <r>
    <n v="235"/>
    <s v="RAIMUNDO ALMEIDA FLORENTINO"/>
    <x v="158"/>
    <x v="1"/>
    <d v="2023-05-05T00:00:00"/>
    <s v="0ANOS, 0MESES"/>
    <n v="7.7777777777777779E-2"/>
    <s v="0 A 01 ANO"/>
    <x v="0"/>
    <s v="COLETA DOMICILIAR"/>
    <x v="1"/>
    <s v="JOSÉ ADELMAR"/>
    <s v="ADVERTENCIA"/>
    <d v="2023-06-02T00:00:00"/>
    <s v="JUNHO"/>
    <m/>
    <d v="2023-06-03T00:00:00"/>
    <x v="6"/>
    <x v="1"/>
    <d v="2023-06-03T00:00:00"/>
    <x v="0"/>
    <s v="O COLABORADOR FALTOU NO DIA 02/06/2023 SEM COMUNICAR SUA CHEFIA IMEDIATA."/>
  </r>
  <r>
    <n v="236"/>
    <s v="GUSTAVO HENRIQUE DIAS CAVALCANTE"/>
    <x v="159"/>
    <x v="1"/>
    <d v="2023-05-05T00:00:00"/>
    <s v="0ANOS, 1MESES"/>
    <n v="8.611111111111111E-2"/>
    <s v="0 A 01 ANO"/>
    <x v="0"/>
    <s v="COLETA DOMICILIAR"/>
    <x v="1"/>
    <s v="JOSÉ ADELMAR"/>
    <s v="ADVERTENCIA"/>
    <d v="2023-06-05T00:00:00"/>
    <s v="JUNHO"/>
    <m/>
    <d v="2023-06-06T00:00:00"/>
    <x v="6"/>
    <x v="1"/>
    <d v="2023-06-06T00:00:00"/>
    <x v="0"/>
    <s v="O COLABORADOR FALTOU NOS DIAS 03/06/2023 E 05/06/2023 SEM COMUNICAR SUA CHEFIA IMEDIATA."/>
  </r>
  <r>
    <n v="237"/>
    <s v="WENDELL FRANCO GIBSON"/>
    <x v="67"/>
    <x v="0"/>
    <d v="2022-11-03T00:00:00"/>
    <s v="0ANOS, 7MESES"/>
    <n v="0.58888888888888891"/>
    <s v="0 A 01 ANO"/>
    <x v="0"/>
    <s v="COLETA DOMICILIAR"/>
    <x v="0"/>
    <s v="JOÃO PEDRO"/>
    <s v="ADVERTENCIA"/>
    <d v="2023-06-03T00:00:00"/>
    <s v="JUNHO"/>
    <m/>
    <d v="2023-06-05T00:00:00"/>
    <x v="6"/>
    <x v="1"/>
    <d v="2023-06-05T00:00:00"/>
    <x v="0"/>
    <s v="COLABORADOR FALTOU SEM JUSTIFICATIVA NO DIA 03/06/2023."/>
  </r>
  <r>
    <n v="238"/>
    <s v="EDILSON LUIZ CARVALHO DE OLIVEIRA"/>
    <x v="33"/>
    <x v="0"/>
    <d v="2022-01-17T00:00:00"/>
    <s v="1ANOS, 4MESES"/>
    <n v="1.3972222222222221"/>
    <s v="01 A 03 ANOS"/>
    <x v="0"/>
    <s v="COLETA DOMICILIAR"/>
    <x v="0"/>
    <s v="JOÃO PEDRO"/>
    <s v="ADVERTENCIA"/>
    <d v="2023-06-04T00:00:00"/>
    <s v="JUNHO"/>
    <m/>
    <d v="2023-06-05T00:00:00"/>
    <x v="6"/>
    <x v="1"/>
    <d v="2023-06-05T00:00:00"/>
    <x v="0"/>
    <s v="COLABORADOR FALTOU SEM JUSTIFICATIVA NO PLANTÃO DE DOMINGO 04/06/2023."/>
  </r>
  <r>
    <n v="239"/>
    <s v="FRANCISCO MAGNO DE ALMEIDA OLIVEIRA"/>
    <x v="160"/>
    <x v="0"/>
    <d v="2022-10-06T00:00:00"/>
    <s v="0ANOS, 7MESES"/>
    <n v="0.66666666666666663"/>
    <s v="0 A 01 ANO"/>
    <x v="0"/>
    <s v="COLETA DOMICILIAR"/>
    <x v="0"/>
    <s v="JOÃO PEDRO"/>
    <s v="ADVERTENCIA"/>
    <d v="2023-06-03T00:00:00"/>
    <s v="JUNHO"/>
    <m/>
    <d v="2023-06-05T00:00:00"/>
    <x v="6"/>
    <x v="1"/>
    <d v="2023-06-05T00:00:00"/>
    <x v="0"/>
    <s v="COLABORADOR FALTOU SEM JUSTIFICATIVA NO DIA 31/05 AO 03/06/2023."/>
  </r>
  <r>
    <n v="240"/>
    <s v="RAYLANDER BATISTA DA SILVA"/>
    <x v="23"/>
    <x v="1"/>
    <d v="2022-04-06T00:00:00"/>
    <s v="1ANOS, 1MESES"/>
    <n v="1.1777777777777778"/>
    <s v="01 A 03 ANOS"/>
    <x v="0"/>
    <s v="COLETA DOMICILIAR"/>
    <x v="1"/>
    <s v="JOSÉ ADELMAR"/>
    <s v="ADVERTENCIA"/>
    <d v="2023-06-04T00:00:00"/>
    <s v="JUNHO"/>
    <m/>
    <d v="2023-06-05T00:00:00"/>
    <x v="6"/>
    <x v="1"/>
    <d v="2023-06-05T00:00:00"/>
    <x v="0"/>
    <s v="COLABORADOR FALTOU NOS DIAS 03/06 E 04/06/2023 SEM COMUNICAR SUA CHEFIA IMEDIATA."/>
  </r>
  <r>
    <n v="241"/>
    <s v="ALESSANDRO BRITO AMORIM"/>
    <x v="161"/>
    <x v="0"/>
    <d v="2022-11-03T00:00:00"/>
    <s v="0ANOS, 7MESES"/>
    <n v="0.59166666666666667"/>
    <s v="0 A 01 ANO"/>
    <x v="0"/>
    <s v="COLETA DOMICILIAR"/>
    <x v="0"/>
    <s v="JOÃO PEDRO"/>
    <s v="ADVERTENCIA"/>
    <d v="2023-06-04T00:00:00"/>
    <s v="JUNHO"/>
    <m/>
    <d v="2023-06-06T00:00:00"/>
    <x v="6"/>
    <x v="1"/>
    <d v="2023-06-06T00:00:00"/>
    <x v="0"/>
    <s v="COLABORADOR FALTOU SEM JUSTIFICATIVA NO DOMINGO DIA 04/06."/>
  </r>
  <r>
    <n v="242"/>
    <s v="JAMES MARINIS DA CRUZ"/>
    <x v="162"/>
    <x v="1"/>
    <d v="2023-05-05T00:00:00"/>
    <s v="0ANOS, 0MESES"/>
    <n v="7.4999999999999997E-2"/>
    <s v="0 A 01 ANO"/>
    <x v="0"/>
    <s v="COLETA DOMICILIAR"/>
    <x v="1"/>
    <s v="JOSÉ ADELMAR"/>
    <s v="ADVERTENCIA"/>
    <d v="2023-06-01T00:00:00"/>
    <s v="JUNHO"/>
    <m/>
    <d v="2023-06-07T00:00:00"/>
    <x v="6"/>
    <x v="1"/>
    <d v="2023-06-01T00:00:00"/>
    <x v="0"/>
    <s v="O COLABORADOR FALTOU NO DIA 01/06/2023 SEM COMUNICAR SUA CHEFIA IMEDIATA."/>
  </r>
  <r>
    <n v="243"/>
    <s v="CARLOS LOBO VIANA"/>
    <x v="152"/>
    <x v="1"/>
    <d v="2023-03-16T00:00:00"/>
    <s v="0ANOS, 2MESES"/>
    <n v="0.24166666666666667"/>
    <s v="0 A 01 ANO"/>
    <x v="0"/>
    <s v="COLETA DOMICILIAR"/>
    <x v="1"/>
    <s v="JOSÉ ADELMAR"/>
    <s v="SUSPENSÃO"/>
    <d v="2023-06-11T00:00:00"/>
    <s v="JUNHO"/>
    <m/>
    <d v="2023-06-12T00:00:00"/>
    <x v="6"/>
    <x v="1"/>
    <d v="2023-06-13T00:00:00"/>
    <x v="0"/>
    <s v="O COLABORADOR FALTOU NO DIA 11/06/2023 SEM COMUNICAR SUA CHEFIA IMEDIATA."/>
  </r>
  <r>
    <n v="244"/>
    <s v="WILKER BRAGA GOMES"/>
    <x v="163"/>
    <x v="1"/>
    <d v="2022-11-03T00:00:00"/>
    <s v="0ANOS, 7MESES"/>
    <n v="0.59166666666666667"/>
    <s v="0 A 01 ANO"/>
    <x v="0"/>
    <s v="COLETA DOMICILIAR"/>
    <x v="0"/>
    <s v="JOÃO PEDRO"/>
    <s v="ADVERTENCIA"/>
    <d v="2023-06-04T00:00:00"/>
    <s v="JUNHO"/>
    <m/>
    <d v="2023-06-07T00:00:00"/>
    <x v="6"/>
    <x v="1"/>
    <d v="2023-06-04T00:00:00"/>
    <x v="0"/>
    <s v="COLABORADOR FALTOU SEM JUSTIFICATIVA NO DOMINGO DIA 04/06."/>
  </r>
  <r>
    <n v="245"/>
    <s v="THAISSA CUNHA DOS SANTOS"/>
    <x v="164"/>
    <x v="3"/>
    <d v="2021-09-01T00:00:00"/>
    <s v="1ANOS, 9MESES"/>
    <n v="1.7861111111111112"/>
    <s v="01 A 03 ANOS"/>
    <x v="5"/>
    <s v="EDUCAÇÃO AMBIENTAL"/>
    <x v="4"/>
    <s v="ELISÂNGELA COSTA"/>
    <s v="ADVERTENCIA"/>
    <d v="2023-06-06T00:00:00"/>
    <s v="JUNHO"/>
    <m/>
    <d v="2023-06-09T00:00:00"/>
    <x v="6"/>
    <x v="1"/>
    <d v="2023-06-09T00:00:00"/>
    <x v="0"/>
    <s v="FALTA NÃO JUSTIFICADA NO DIA 06/06/2023 NO CURSO DE APRENDIZAGEM, INFORMOU QUE FOI BUSCAR ATENDIMENTO, PORÉM NÃO APRESENTOU NENHUM DOCUMENTO."/>
  </r>
  <r>
    <n v="246"/>
    <s v="KAIQUE SANTOS MONTEIRO"/>
    <x v="102"/>
    <x v="0"/>
    <d v="2021-10-18T00:00:00"/>
    <s v="1ANOS, 7MESES"/>
    <n v="1.6583333333333334"/>
    <s v="01 A 03 ANOS"/>
    <x v="1"/>
    <s v="COLETA DOMICILIAR"/>
    <x v="1"/>
    <s v="JOSÉ ADELMAR"/>
    <s v="ADVERTENCIA"/>
    <d v="2023-06-07T00:00:00"/>
    <s v="JUNHO"/>
    <m/>
    <d v="2023-06-07T00:00:00"/>
    <x v="6"/>
    <x v="1"/>
    <d v="2023-06-07T00:00:00"/>
    <x v="1"/>
    <s v="O MOTORISTA EXCEDEU O LIMITE DE VELOCIDADE PERMITIDO PELA EMPRESA CHEGANDO A 71 KM."/>
  </r>
  <r>
    <n v="247"/>
    <s v="RENILSON HONORATO TAVARES DOS SANTOS"/>
    <x v="165"/>
    <x v="1"/>
    <d v="2023-05-05T00:00:00"/>
    <s v="0ANOS, 1MESES"/>
    <n v="0.10277777777777777"/>
    <s v="0 A 01 ANO"/>
    <x v="0"/>
    <s v="COLETA DOMICILIAR"/>
    <x v="1"/>
    <s v="JOSÉ ADELMAR"/>
    <s v="ADVERTENCIA"/>
    <d v="2023-06-11T00:00:00"/>
    <s v="JUNHO"/>
    <m/>
    <d v="2023-06-12T00:00:00"/>
    <x v="6"/>
    <x v="1"/>
    <d v="2023-06-12T00:00:00"/>
    <x v="0"/>
    <s v="O COLABORADOR FALTOU NO DIA 11/06/2023 SEM COMUNICAR SUA CHEFIA IMEDIATA."/>
  </r>
  <r>
    <n v="248"/>
    <s v="MARCOS VINICIUS DE CASTRO RIBEIRO"/>
    <x v="166"/>
    <x v="0"/>
    <d v="2022-05-02T00:00:00"/>
    <s v="1ANOS, 1MESES"/>
    <n v="1.1194444444444445"/>
    <s v="01 A 03 ANOS"/>
    <x v="0"/>
    <s v="COLETA DOMICILIAR"/>
    <x v="1"/>
    <s v="JOSÉ ADELMAR"/>
    <s v="ADVERTENCIA"/>
    <d v="2023-06-09T00:00:00"/>
    <s v="JUNHO"/>
    <m/>
    <d v="2023-06-10T00:00:00"/>
    <x v="6"/>
    <x v="1"/>
    <d v="2023-06-10T00:00:00"/>
    <x v="0"/>
    <s v="O COLABORADOR FALTOU NO DIA 09/06/2023 SEM COMUNICAR SUA CHEFIA IMEDIATA."/>
  </r>
  <r>
    <n v="249"/>
    <s v="RAIMUNDO ALMEIDA FLORENTINO"/>
    <x v="158"/>
    <x v="1"/>
    <d v="2023-05-05T00:00:00"/>
    <s v="0ANOS, 1MESES"/>
    <n v="9.7222222222222224E-2"/>
    <s v="0 A 01 ANO"/>
    <x v="0"/>
    <s v="COLETA DOMICILIAR"/>
    <x v="1"/>
    <s v="JOSÉ ADELMAR"/>
    <s v="SUSPENSÃO"/>
    <d v="2023-06-09T00:00:00"/>
    <s v="JUNHO"/>
    <m/>
    <d v="2023-06-10T00:00:00"/>
    <x v="6"/>
    <x v="1"/>
    <d v="2023-06-11T00:00:00"/>
    <x v="0"/>
    <s v="O COLABORADOR FALTOU NO DIA 04/06 E 09/06/2023 SEM COMUNICAR SUA CHEFIA IMEDIATA."/>
  </r>
  <r>
    <n v="250"/>
    <s v="WILKER BRAGA GOMES"/>
    <x v="163"/>
    <x v="0"/>
    <d v="2022-11-03T00:00:00"/>
    <s v="0ANOS, 7MESES"/>
    <n v="0.60555555555555551"/>
    <s v="0 A 01 ANO"/>
    <x v="0"/>
    <s v="COLETA DOMICILIAR"/>
    <x v="0"/>
    <s v="JOÃO PEDRO"/>
    <s v="ADVERTENCIA"/>
    <d v="2023-06-09T00:00:00"/>
    <s v="JUNHO"/>
    <m/>
    <d v="2023-06-11T00:00:00"/>
    <x v="6"/>
    <x v="1"/>
    <d v="2023-06-11T00:00:00"/>
    <x v="0"/>
    <s v="COLABORADOR FALTOU SEM JUSTIFICATIVA NO DIA 09/06/2023."/>
  </r>
  <r>
    <n v="251"/>
    <s v="LEONAN NEGREIROS DA SILVA "/>
    <x v="167"/>
    <x v="0"/>
    <d v="2023-02-09T00:00:00"/>
    <s v="0ANOS, 4MESES"/>
    <n v="0.33888888888888891"/>
    <s v="0 A 01 ANO"/>
    <x v="1"/>
    <s v="COLETA DOMICILIAR"/>
    <x v="0"/>
    <s v="JOÃO PEDRO"/>
    <s v="ADVERTENCIA"/>
    <d v="2023-06-11T00:00:00"/>
    <s v="JUNHO"/>
    <m/>
    <d v="2023-06-12T00:00:00"/>
    <x v="6"/>
    <x v="1"/>
    <d v="2023-06-12T00:00:00"/>
    <x v="0"/>
    <s v="COLABORADOR FALTOU SEM JUSTIFICATIVA NO DIA 11/06/2023."/>
  </r>
  <r>
    <n v="252"/>
    <s v="IOMAR CASTRO DA COSTA JUNIOR"/>
    <x v="96"/>
    <x v="0"/>
    <d v="2021-02-17T00:00:00"/>
    <s v="2ANOS, 2MESES"/>
    <n v="2.2000000000000002"/>
    <s v="01 A 03 ANOS"/>
    <x v="1"/>
    <s v="COLETA DOMICILIAR"/>
    <x v="1"/>
    <s v="JOSÉ ADELMAR"/>
    <s v="ADVERTENCIA"/>
    <d v="2023-04-20T00:00:00"/>
    <s v="ABRIL"/>
    <m/>
    <d v="2023-06-10T00:00:00"/>
    <x v="6"/>
    <x v="1"/>
    <d v="2023-06-10T00:00:00"/>
    <x v="1"/>
    <s v="NO DIA 20/04/2023 O MOTORISTA ESTAVA CONDUZINDO O VEÍCULO DE PREF. 01.702-20 - EXCEDEU O LIMITE DE VELOCIDADE PERMITIDO PELA EMPRESA 75 KM."/>
  </r>
  <r>
    <n v="253"/>
    <s v="MOIZES PEREIRA"/>
    <x v="168"/>
    <x v="0"/>
    <d v="2021-04-19T00:00:00"/>
    <s v="2ANOS, 1MESES"/>
    <n v="2.1833333333333331"/>
    <s v="01 A 03 ANOS"/>
    <x v="0"/>
    <s v="COLETA DOMICILIAR"/>
    <x v="1"/>
    <s v="JOSÉ ADELMAR"/>
    <s v="ADVERTENCIA"/>
    <d v="2023-06-14T00:00:00"/>
    <s v="JUNHO"/>
    <m/>
    <d v="2023-06-15T00:00:00"/>
    <x v="6"/>
    <x v="1"/>
    <d v="2023-06-16T00:00:00"/>
    <x v="4"/>
    <s v="NO DIA 14/06/2023 O FISCAL FOI ORIENTAR O AGENTE DE COLETA SOBRE OS PROCEDIMENTOS DE COLETA E O COLABORADOR DESFERIU PALAVRAS DE BAIXO CALÃO. (OCORRENDO QUEBRA DE HIERARQUIA.)"/>
  </r>
  <r>
    <n v="254"/>
    <s v="PABLO DIAS COUTINHO"/>
    <x v="147"/>
    <x v="1"/>
    <d v="2023-03-16T00:00:00"/>
    <s v="0ANOS, 2MESES"/>
    <n v="0.24166666666666667"/>
    <s v="0 A 01 ANO"/>
    <x v="0"/>
    <s v="COLETA DOMICILIAR"/>
    <x v="0"/>
    <s v="JOÃO PEDRO"/>
    <s v="SUSPENSÃO"/>
    <d v="2023-06-11T00:00:00"/>
    <s v="JUNHO"/>
    <m/>
    <d v="2023-06-14T00:00:00"/>
    <x v="6"/>
    <x v="1"/>
    <d v="2023-06-17T00:00:00"/>
    <x v="0"/>
    <s v="COLABORADOR FALTOU SEM JUSTIFICATIVA NO DIA 11/06/2023."/>
  </r>
  <r>
    <n v="255"/>
    <s v="FABIO BRITO DOS SANTOS"/>
    <x v="10"/>
    <x v="1"/>
    <d v="2023-03-16T00:00:00"/>
    <s v="0ANOS, 3MESES"/>
    <n v="0.26111111111111113"/>
    <s v="0 A 01 ANO"/>
    <x v="7"/>
    <s v="COLETA DOMICILIAR"/>
    <x v="1"/>
    <s v="JOSÉ ADELMAR"/>
    <s v="ADVERTENCIA"/>
    <d v="2023-06-18T00:00:00"/>
    <s v="JUNHO"/>
    <m/>
    <d v="2023-06-19T00:00:00"/>
    <x v="6"/>
    <x v="1"/>
    <d v="2023-06-19T00:00:00"/>
    <x v="0"/>
    <s v="O COLABORADOR FALTOU NO DIA 18/06/2023 NO PLANTÃO DE DOMINGO SEM COMUNICAR SUA CHEFIA IMEDIATA."/>
  </r>
  <r>
    <n v="256"/>
    <s v="EDUARDO SILVA DE OLIVEIRA"/>
    <x v="128"/>
    <x v="0"/>
    <d v="2022-12-07T00:00:00"/>
    <s v="0ANOS, 6MESES"/>
    <n v="0.53333333333333333"/>
    <s v="0 A 01 ANO"/>
    <x v="0"/>
    <s v="COLETA DOMICILIAR"/>
    <x v="0"/>
    <s v="JOÃO PEDRO"/>
    <s v="ADVERTENCIA"/>
    <d v="2023-06-17T00:00:00"/>
    <s v="JUNHO"/>
    <m/>
    <d v="2023-06-18T00:00:00"/>
    <x v="6"/>
    <x v="1"/>
    <d v="2023-06-18T00:00:00"/>
    <x v="0"/>
    <s v="COLABORADOR FALTOU SEM JUSTIFICATIVA NO DIA 17/06/2023."/>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r>
    <m/>
    <m/>
    <x v="169"/>
    <x v="4"/>
    <m/>
    <m/>
    <m/>
    <m/>
    <x v="8"/>
    <m/>
    <x v="5"/>
    <m/>
    <m/>
    <m/>
    <m/>
    <m/>
    <m/>
    <x v="7"/>
    <x v="2"/>
    <m/>
    <x v="8"/>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6">
  <r>
    <n v="1"/>
    <s v="AUGUSTO CESAR DA SILVA CORREA"/>
    <n v="2770002772"/>
    <x v="0"/>
    <d v="2022-02-02T00:00:00"/>
    <s v="0ANOS, 10MESES"/>
    <n v="0.92500000000000004"/>
    <x v="0"/>
    <x v="0"/>
    <s v="COLETA DOMICILIAR"/>
    <s v="DIURNO"/>
    <s v="JOSÉ ADELMAR"/>
    <s v="ADVERTENCIA"/>
    <d v="2023-01-01T00:00:00"/>
    <x v="0"/>
    <d v="2023-01-02T00:00:00"/>
    <s v="jan/2023"/>
    <s v="JANEIRO "/>
    <x v="0"/>
    <d v="2023-01-02T00:00:00"/>
    <x v="0"/>
    <s v="O COLABORADOR FALTOU O PLANTÃO DO DIA 01/01/2023, SEM JUSTIFICATIVA A SUA CHEFIA IMEDIATA."/>
  </r>
  <r>
    <n v="2"/>
    <s v="JOÃO MARCOS DE SOUZA CASTRO"/>
    <n v="2770002134"/>
    <x v="0"/>
    <d v="2019-10-09T00:00:00"/>
    <s v="3ANOS, 2MESES"/>
    <n v="3.2777777777777777"/>
    <x v="1"/>
    <x v="0"/>
    <s v="COLETA DOMICILIAR"/>
    <s v="DIURNO"/>
    <s v="JOSÉ ADELMAR"/>
    <s v="SUSPENSÃO"/>
    <d v="2023-01-01T00:00:00"/>
    <x v="0"/>
    <d v="2023-01-02T00:00:00"/>
    <s v="jan/2023"/>
    <s v="JANEIRO "/>
    <x v="0"/>
    <d v="2023-01-05T00:00:00"/>
    <x v="0"/>
    <s v="O COLABORADOR FALTOU O PLANTÃO DO DIA 01/01/2023, SEM JUSTIFICATIVA A SUA CHEFIA IMEDIATA."/>
  </r>
  <r>
    <n v="3"/>
    <s v="NILTON NASCIMENTO QUADROS"/>
    <n v="2770002191"/>
    <x v="0"/>
    <d v="2019-11-18T00:00:00"/>
    <s v="3ANOS, 1MESES"/>
    <n v="3.1666666666666665"/>
    <x v="1"/>
    <x v="0"/>
    <s v="COLETA DOMICILIAR"/>
    <s v="DIURNO"/>
    <s v="JOSÉ ADELMAR"/>
    <s v="SUSPENSÃO"/>
    <d v="2023-01-01T00:00:00"/>
    <x v="0"/>
    <d v="2023-01-02T00:00:00"/>
    <s v="jan/2023"/>
    <s v="JANEIRO "/>
    <x v="0"/>
    <d v="2023-01-03T00:00:00"/>
    <x v="0"/>
    <s v="O COLABORADOR FALTOU O PLANTÃO DO DIA 01/01/2023, SEM JUSTIFICATIVA A SUA CHEFIA IMEDIATA."/>
  </r>
  <r>
    <n v="4"/>
    <s v="ALVARO FILHO DA SILVA SANTOS"/>
    <n v="2770002369"/>
    <x v="0"/>
    <d v="2020-10-05T00:00:00"/>
    <s v="2ANOS, 2MESES"/>
    <n v="2.2722222222222221"/>
    <x v="2"/>
    <x v="0"/>
    <s v="COLETA DOMICILIAR"/>
    <s v="DIURNO"/>
    <s v="JOSÉ ADELMAR"/>
    <s v="SUSPENSÃO"/>
    <d v="2023-01-01T00:00:00"/>
    <x v="0"/>
    <d v="2023-01-02T00:00:00"/>
    <s v="jan/2023"/>
    <s v="JANEIRO "/>
    <x v="0"/>
    <d v="2023-01-03T00:00:00"/>
    <x v="0"/>
    <s v="O COLABORADOR FALTOU O PLANTÃO DO DIA 01/01/2023, SEM JUSTIFICATIVA A SUA CHEFIA IMEDIATA."/>
  </r>
  <r>
    <n v="5"/>
    <s v="ALDENILSO RAMOS DE OLIVEIRA"/>
    <n v="2770002896"/>
    <x v="1"/>
    <d v="2022-08-12T00:00:00"/>
    <s v="0ANOS, 4MESES"/>
    <n v="0.39444444444444443"/>
    <x v="0"/>
    <x v="0"/>
    <s v="COLETA DOMICILIAR"/>
    <s v="DIURNO"/>
    <s v="JOSÉ ADELMAR"/>
    <s v="SUSPENSÃO"/>
    <d v="2023-01-01T00:00:00"/>
    <x v="0"/>
    <d v="2023-01-02T00:00:00"/>
    <s v="jan/2023"/>
    <s v="JANEIRO "/>
    <x v="0"/>
    <d v="2023-01-05T00:00:00"/>
    <x v="0"/>
    <s v="O COLABORADOR FALTOU O PLANTÃO DO DIA 01/01/2023, SEM JUSTIFICATIVA A SUA CHEFIA IMEDIATA."/>
  </r>
  <r>
    <n v="6"/>
    <s v="SIDNEY LUAN CRUZ RIBEIRO"/>
    <n v="2770002919"/>
    <x v="1"/>
    <d v="2022-09-01T00:00:00"/>
    <s v="0ANOS, 4MESES"/>
    <n v="0.33888888888888891"/>
    <x v="0"/>
    <x v="0"/>
    <s v="COLETA DOMICILIAR"/>
    <s v="DIURNO"/>
    <s v="JOSÉ ADELMAR"/>
    <s v="SUSPENSÃO"/>
    <d v="2023-01-01T00:00:00"/>
    <x v="0"/>
    <d v="2023-01-02T00:00:00"/>
    <s v="jan/2023"/>
    <s v="JANEIRO "/>
    <x v="0"/>
    <d v="2023-01-03T00:00:00"/>
    <x v="0"/>
    <s v="O COLABORADOR FALTOU O PLANTÃO DO DIA 01/01/2023, SEM JUSTIFICATIVA A SUA CHEFIA IMEDIATA."/>
  </r>
  <r>
    <n v="7"/>
    <s v="KLEITON CARDOSO DA SILVA"/>
    <n v="2770002830"/>
    <x v="0"/>
    <d v="2022-05-02T00:00:00"/>
    <s v="0ANOS, 7MESES"/>
    <n v="0.67777777777777781"/>
    <x v="0"/>
    <x v="0"/>
    <s v="COLETA DOMICILIAR"/>
    <s v="DIURNO"/>
    <s v="JOSÉ ADELMAR"/>
    <s v="SUSPENSÃO"/>
    <d v="2023-01-01T00:00:00"/>
    <x v="0"/>
    <d v="2023-01-02T00:00:00"/>
    <s v="jan/2023"/>
    <s v="JANEIRO "/>
    <x v="0"/>
    <d v="2023-01-07T00:00:00"/>
    <x v="0"/>
    <s v="O COLABORADOR FALTOU O PLANTÃO DO DIA 01/01/2023, SEM JUSTIFICATIVA A SUA CHEFIA IMEDIATA."/>
  </r>
  <r>
    <n v="8"/>
    <s v="MARCOS BATALHA FONSECA"/>
    <n v="2770003030"/>
    <x v="0"/>
    <d v="2022-12-01T00:00:00"/>
    <s v="0ANOS, 1MESES"/>
    <n v="8.611111111111111E-2"/>
    <x v="0"/>
    <x v="0"/>
    <s v="COLETA DOMICILIAR"/>
    <s v="NOTURNO"/>
    <s v="DOUGLAS ALBUQUERQUE"/>
    <s v="ADVERTENCIA"/>
    <d v="2023-01-01T00:00:00"/>
    <x v="0"/>
    <d v="2023-01-02T00:00:00"/>
    <s v="jan/2023"/>
    <s v="JANEIRO "/>
    <x v="0"/>
    <d v="2023-01-02T00:00:00"/>
    <x v="0"/>
    <s v="FALTA INJUSTIFICADA EM 01/01/2023."/>
  </r>
  <r>
    <n v="9"/>
    <s v="PEDRO SERGIO DE SOUZA CHAVES"/>
    <n v="2770002709"/>
    <x v="0"/>
    <d v="2021-11-18T00:00:00"/>
    <s v="1ANOS, 1MESES"/>
    <n v="1.1388888888888888"/>
    <x v="2"/>
    <x v="0"/>
    <s v="COLETA DOMICILIAR"/>
    <s v="DIURNO"/>
    <s v="JOSÉ ADELMAR"/>
    <s v="ADVERTENCIA"/>
    <d v="2023-01-02T00:00:00"/>
    <x v="0"/>
    <d v="2023-01-02T00:00:00"/>
    <s v="jan/2023"/>
    <s v="JANEIRO "/>
    <x v="0"/>
    <d v="2023-01-02T00:00:00"/>
    <x v="0"/>
    <s v="A COLABORADOR FALTOU NO DIA  02/01/2023, SEM JUSTIFICATIVA A SUA CHEFIA IMEDIATA."/>
  </r>
  <r>
    <n v="10"/>
    <s v="LUIZ FERNANDO MENDES VIANA"/>
    <n v="2770003038"/>
    <x v="1"/>
    <d v="2022-12-07T00:00:00"/>
    <s v="0ANOS, 0MESES"/>
    <n v="6.9444444444444448E-2"/>
    <x v="0"/>
    <x v="0"/>
    <s v="COLETA DOMICILIAR"/>
    <s v="DIURNO"/>
    <s v="JOSÉ ADELMAR"/>
    <s v="ADVERTENCIA"/>
    <d v="2023-01-01T00:00:00"/>
    <x v="0"/>
    <d v="2023-01-02T00:00:00"/>
    <s v="jan/2023"/>
    <s v="JANEIRO "/>
    <x v="0"/>
    <d v="2023-01-02T00:00:00"/>
    <x v="0"/>
    <s v="O COLABORADOR FALTOU O PLANTÃO DO DIA 01/01/2023, SEM JUSTIFICATIVA A SUA CHEFIA IMEDIATA."/>
  </r>
  <r>
    <n v="11"/>
    <s v="FABIO DE OLIVEIRA CHUNIA"/>
    <n v="2770001795"/>
    <x v="0"/>
    <d v="2017-12-05T00:00:00"/>
    <s v="5ANOS, 0MESES"/>
    <n v="5.1472222222222221"/>
    <x v="3"/>
    <x v="1"/>
    <s v="COLETA DOMICILIAR"/>
    <s v="DIURNO"/>
    <s v="JOSÉ ADELMAR"/>
    <s v="ADVERTENCIA"/>
    <d v="2023-01-01T00:00:00"/>
    <x v="0"/>
    <d v="2023-01-02T00:00:00"/>
    <s v="jan/2023"/>
    <s v="JANEIRO "/>
    <x v="0"/>
    <d v="2023-01-02T00:00:00"/>
    <x v="0"/>
    <s v="O COLABORADOR FALTOU O PLANTÃO DO DIA 01/01/2023, SEM JUSTIFICATIVA A SUA CHEFIA IMEDIATA."/>
  </r>
  <r>
    <n v="12"/>
    <s v="JOSE RAIMUNDO REIS PEREIRA"/>
    <n v="2770000297"/>
    <x v="0"/>
    <d v="2013-02-08T00:00:00"/>
    <s v="9ANOS, 10MESES"/>
    <n v="10.03888888888889"/>
    <x v="3"/>
    <x v="0"/>
    <s v="COLETA DOMICILIAR"/>
    <s v="DIURNO"/>
    <s v="JOSÉ ADELMAR"/>
    <s v="ADVERTENCIA"/>
    <d v="2023-01-01T00:00:00"/>
    <x v="0"/>
    <d v="2023-01-02T00:00:00"/>
    <s v="jan/2023"/>
    <s v="JANEIRO "/>
    <x v="0"/>
    <d v="2023-01-02T00:00:00"/>
    <x v="0"/>
    <s v="O COLABORADOR FALTOU O PLANTÃO DO DIA 01/01/2023, SEM JUSTIFICATIVA A SUA CHEFIA IMEDIATA."/>
  </r>
  <r>
    <n v="13"/>
    <s v="ISAQUE FERNANDES DA CRUZ"/>
    <n v="2770002827"/>
    <x v="0"/>
    <d v="2022-05-02T00:00:00"/>
    <s v="0ANOS, 7MESES"/>
    <n v="0.67777777777777781"/>
    <x v="0"/>
    <x v="0"/>
    <s v="COLETA DOMICILIAR"/>
    <s v="DIURNO"/>
    <s v="JOSÉ ADELMAR"/>
    <s v="ADVERTENCIA"/>
    <d v="2023-01-01T00:00:00"/>
    <x v="0"/>
    <d v="2023-01-02T00:00:00"/>
    <s v="jan/2023"/>
    <s v="JANEIRO "/>
    <x v="0"/>
    <d v="2023-01-02T00:00:00"/>
    <x v="0"/>
    <s v="O COLABORADOR FALTOU O PLANTÃO DO DIA 01/01/2023, SEM JUSTIFICATIVA A SUA CHEFIA IMEDIATA."/>
  </r>
  <r>
    <n v="14"/>
    <s v="RONALDO GONÇALVES DE LIMA"/>
    <n v="2770003031"/>
    <x v="0"/>
    <d v="2022-12-01T00:00:00"/>
    <s v="0ANOS, 1MESES"/>
    <n v="8.611111111111111E-2"/>
    <x v="0"/>
    <x v="0"/>
    <s v="COLETA DOMICILIAR"/>
    <s v="NOTURNO"/>
    <s v="DOUGLAS ALBUQUERQUE"/>
    <s v="ADVERTENCIA"/>
    <d v="2023-01-01T00:00:00"/>
    <x v="0"/>
    <d v="2023-01-02T00:00:00"/>
    <s v="jan/2023"/>
    <s v="JANEIRO "/>
    <x v="0"/>
    <d v="2023-01-02T00:00:00"/>
    <x v="0"/>
    <s v="FALTA INJUSTIFICADA EM 01/01/2023."/>
  </r>
  <r>
    <n v="15"/>
    <s v="JOSINEY CATIQUE VERAS"/>
    <n v="2770002609"/>
    <x v="0"/>
    <d v="2021-08-09T00:00:00"/>
    <s v="1ANOS, 4MESES"/>
    <n v="1.4194444444444445"/>
    <x v="2"/>
    <x v="0"/>
    <s v="COLETA DOMICILIAR"/>
    <s v="NOTURNO"/>
    <s v="JOSÉ ADELMAR"/>
    <s v="SUSPENSÃO"/>
    <d v="2023-01-02T00:00:00"/>
    <x v="0"/>
    <d v="2023-01-03T00:00:00"/>
    <s v="jan/2023"/>
    <s v="JANEIRO "/>
    <x v="0"/>
    <d v="2023-01-06T00:00:00"/>
    <x v="0"/>
    <s v="A COLABORADOR FALTOU NO DIA  02/01/2023, SEM JUSTIFICATIVA A SUA CHEFIA IMEDIATA."/>
  </r>
  <r>
    <n v="16"/>
    <s v="EDILSON LUIZ CARVALHO DE OLIVEIRA"/>
    <n v="2770002769"/>
    <x v="0"/>
    <d v="2022-01-17T00:00:00"/>
    <s v="0ANOS, 11MESES"/>
    <n v="0.97222222222222221"/>
    <x v="0"/>
    <x v="0"/>
    <s v="COLETA DOMICILIAR"/>
    <s v="NOTURNO"/>
    <s v="DOUGLAS ALBUQUERQUE"/>
    <s v="ADVERTENCIA"/>
    <d v="2023-01-02T00:00:00"/>
    <x v="0"/>
    <d v="2023-01-03T00:00:00"/>
    <s v="jan/2023"/>
    <s v="JANEIRO "/>
    <x v="0"/>
    <d v="2023-01-03T00:00:00"/>
    <x v="0"/>
    <s v="FALTA INJUSTIFICADA EM 02/01/2023."/>
  </r>
  <r>
    <n v="17"/>
    <s v="ITALO NASCIMENTO DE SOUZA"/>
    <n v="2770002875"/>
    <x v="0"/>
    <d v="2022-06-01T00:00:00"/>
    <s v="0ANOS, 7MESES"/>
    <n v="0.59722222222222221"/>
    <x v="0"/>
    <x v="0"/>
    <s v="COLETA DOMICILIAR"/>
    <s v="NOTURNO"/>
    <s v="DOUGLAS ALBUQUERQUE"/>
    <s v="SUSPENSÃO"/>
    <d v="2023-01-02T00:00:00"/>
    <x v="0"/>
    <d v="2023-01-03T00:00:00"/>
    <s v="jan/2023"/>
    <s v="JANEIRO "/>
    <x v="0"/>
    <d v="2023-01-04T00:00:00"/>
    <x v="0"/>
    <s v="FALTA INJUSTIFICADA EM 02/01/2023."/>
  </r>
  <r>
    <n v="18"/>
    <s v="ANDERSON FERNANDES DE OLIVEIRA"/>
    <n v="2770002833"/>
    <x v="0"/>
    <d v="2022-05-02T00:00:00"/>
    <s v="0ANOS, 8MESES"/>
    <n v="0.68055555555555558"/>
    <x v="0"/>
    <x v="0"/>
    <s v="COLETA DOMICILIAR"/>
    <s v="NOTURNO"/>
    <s v="DOUGLAS ALBUQUERQUE"/>
    <s v="SUSPENSÃO"/>
    <d v="2023-01-02T00:00:00"/>
    <x v="0"/>
    <d v="2023-01-03T00:00:00"/>
    <s v="jan/2023"/>
    <s v="JANEIRO "/>
    <x v="0"/>
    <d v="2023-01-08T00:00:00"/>
    <x v="0"/>
    <s v="FALTA INJUSTIFICADA EM 01/01/2023 E 02/01/2023."/>
  </r>
  <r>
    <n v="19"/>
    <s v="BRENDO FERREIRA DA SILVA"/>
    <n v="2770003013"/>
    <x v="0"/>
    <d v="2022-12-01T00:00:00"/>
    <s v="0ANOS, 1MESES"/>
    <n v="9.166666666666666E-2"/>
    <x v="0"/>
    <x v="0"/>
    <s v="COLETA DOMICILIAR"/>
    <s v="DIURNO"/>
    <s v="JOSÉ ADELMAR"/>
    <s v="ADVERTENCIA"/>
    <d v="2023-01-03T00:00:00"/>
    <x v="0"/>
    <d v="2023-01-03T00:00:00"/>
    <s v="jan/2023"/>
    <s v="JANEIRO "/>
    <x v="0"/>
    <d v="2023-01-03T00:00:00"/>
    <x v="0"/>
    <s v="O COLABORADOR FALTOU NO DIA 03/01/2023, SEM JUSTIFICATIVA A SUA CHEFIA IMEDIATA."/>
  </r>
  <r>
    <n v="20"/>
    <s v="ANDRE GILBERTO TAVARES CHAVES"/>
    <n v="2770001508"/>
    <x v="0"/>
    <d v="2017-02-02T00:00:00"/>
    <s v="5ANOS, 11MESES"/>
    <n v="6"/>
    <x v="3"/>
    <x v="1"/>
    <s v="COLETA DOMICILIAR"/>
    <s v="NOTURNO"/>
    <s v="DOUGLAS ALBUQUERQUE"/>
    <s v="ADVERTENCIA"/>
    <d v="2023-01-02T00:00:00"/>
    <x v="0"/>
    <d v="2023-01-04T00:00:00"/>
    <s v="jan/2023"/>
    <s v="JANEIRO "/>
    <x v="0"/>
    <d v="2023-01-04T00:00:00"/>
    <x v="1"/>
    <s v="EXCESSO DE VELOCIDADE (78KM/H) CC 695 EM 02/01/2023."/>
  </r>
  <r>
    <n v="21"/>
    <s v="WENDELL FRANCO GIBSON"/>
    <n v="2770002973"/>
    <x v="1"/>
    <d v="2022-11-03T00:00:00"/>
    <s v="0ANOS, 1MESES"/>
    <n v="0.16388888888888889"/>
    <x v="0"/>
    <x v="0"/>
    <s v="COLETA DOMICILIAR"/>
    <s v="NOTURNO"/>
    <s v="DOUGLAS ALBUQUERQUE"/>
    <s v="ADVERTENCIA"/>
    <d v="2023-01-01T00:00:00"/>
    <x v="0"/>
    <d v="2023-01-04T00:00:00"/>
    <s v="jan/2023"/>
    <s v="JANEIRO "/>
    <x v="0"/>
    <d v="2023-01-04T00:00:00"/>
    <x v="0"/>
    <s v="FALTA INJUSTIFICADA EM 01/01/2023 – CONTRATO PARCIAL (DOM./SEG./TER.)"/>
  </r>
  <r>
    <n v="22"/>
    <s v="DIEGO DA SILVA MAQUINE"/>
    <n v="2770003026"/>
    <x v="0"/>
    <d v="2022-12-01T00:00:00"/>
    <s v="0ANOS, 1MESES"/>
    <n v="9.166666666666666E-2"/>
    <x v="0"/>
    <x v="0"/>
    <s v="COLETA DOMICILIAR"/>
    <s v="NOTURNO"/>
    <s v="DOUGLAS ALBUQUERQUE"/>
    <s v="SUSPENSÃO"/>
    <d v="2023-01-03T00:00:00"/>
    <x v="0"/>
    <d v="2023-01-04T00:00:00"/>
    <s v="jan/2023"/>
    <s v="JANEIRO "/>
    <x v="0"/>
    <d v="2023-01-05T00:00:00"/>
    <x v="0"/>
    <s v="FALTA INJUSTIFICADA EM 02/01/2023 E 03/01/2023."/>
  </r>
  <r>
    <n v="23"/>
    <s v="DANIEL PEREIRA MARQUES"/>
    <n v="2770002535"/>
    <x v="0"/>
    <d v="2021-05-02T00:00:00"/>
    <s v="1ANOS, 8MESES"/>
    <n v="1.7027777777777777"/>
    <x v="2"/>
    <x v="1"/>
    <s v="COLETA DOMICILIAR"/>
    <s v="DIURNO"/>
    <s v="JOSÉ ADELMAR"/>
    <s v="ADVERTENCIA"/>
    <d v="2023-01-05T00:00:00"/>
    <x v="0"/>
    <d v="2023-01-05T00:00:00"/>
    <s v="jan/2023"/>
    <s v="JANEIRO "/>
    <x v="0"/>
    <d v="2023-01-05T00:00:00"/>
    <x v="1"/>
    <s v="EXCEDEU A LIMITE DE VELOCIDADE PERMITIDA PELA EMPRESA CHEGANDO E 72 KM."/>
  </r>
  <r>
    <n v="24"/>
    <s v="FRANCINEL DE ALENCAR DA COSTA"/>
    <n v="2770003008"/>
    <x v="0"/>
    <d v="2022-11-09T00:00:00"/>
    <s v="0ANOS, 1MESES"/>
    <n v="0.16111111111111112"/>
    <x v="0"/>
    <x v="0"/>
    <s v="COLETA EM ÁREA DE DIFÍCIL ACESSO II"/>
    <s v="DIURNO"/>
    <s v="LUIZ HENRIQUE"/>
    <s v="ADVERTENCIA"/>
    <d v="2023-01-06T00:00:00"/>
    <x v="0"/>
    <d v="2023-01-06T00:00:00"/>
    <s v="jan/2023"/>
    <s v="JANEIRO "/>
    <x v="0"/>
    <d v="2023-01-06T00:00:00"/>
    <x v="2"/>
    <s v="COLABORADOR REGISTROU A FOTO NO INÍCIO DO EXPEDIENTE DE TRABALHO, E NÃO RETORNOU OS CONTATOS DOS FISCAIS NO PERÍODO DA MANHA."/>
  </r>
  <r>
    <n v="25"/>
    <s v="MAURICIO AUGUSTO QUEIROZ DE OLIVEIRA"/>
    <n v="2770003042"/>
    <x v="1"/>
    <d v="2022-12-07T00:00:00"/>
    <s v="0ANOS, 1MESES"/>
    <n v="9.166666666666666E-2"/>
    <x v="0"/>
    <x v="0"/>
    <s v="COLETA DOMICILIAR"/>
    <s v="NOTURNO"/>
    <s v="DOUGLAS ALBUQUERQUE"/>
    <s v="ADVERTENCIA"/>
    <d v="2023-01-09T00:00:00"/>
    <x v="0"/>
    <d v="2023-01-09T00:00:00"/>
    <s v="jan/2023"/>
    <s v="JANEIRO "/>
    <x v="0"/>
    <d v="2023-01-09T00:00:00"/>
    <x v="3"/>
    <s v="OPERAR ALAVANCA DO CC 729 – ROTA: 90.3.120 (PETRÓPOLIS) SEM EXPERIÊNCIA RESULTANDO EM ABERTURA DA COLETA DO CARRO DO SETOR."/>
  </r>
  <r>
    <n v="26"/>
    <s v="KAIRON CASTRO DOS SANTOS"/>
    <n v="2770002602"/>
    <x v="0"/>
    <d v="2021-07-14T00:00:00"/>
    <s v="1ANOS, 5MESES"/>
    <n v="1.5111111111111111"/>
    <x v="2"/>
    <x v="0"/>
    <s v="COLETA DOMICILIAR"/>
    <s v="NOTURNO"/>
    <s v="DOUGLAS ALBUQUERQUE"/>
    <s v="SUSPENSÃO"/>
    <d v="2023-01-09T00:00:00"/>
    <x v="0"/>
    <d v="2023-01-10T00:00:00"/>
    <s v="jan/2023"/>
    <s v="JANEIRO "/>
    <x v="0"/>
    <d v="2023-01-15T00:00:00"/>
    <x v="0"/>
    <s v="FALTA INJUSTIFICADA EM 09/01/2023."/>
  </r>
  <r>
    <n v="27"/>
    <s v="RAILSON GOMES MAIA"/>
    <n v="2770002569"/>
    <x v="0"/>
    <d v="2021-06-04T00:00:00"/>
    <s v="1ANOS, 7MESES"/>
    <n v="1.625"/>
    <x v="2"/>
    <x v="0"/>
    <s v="COLETA DOMICILIAR"/>
    <s v="DIURNO"/>
    <s v="JOSÉ ADELMAR"/>
    <s v="SUSPENSÃO"/>
    <d v="2023-01-10T00:00:00"/>
    <x v="0"/>
    <d v="2023-01-11T00:00:00"/>
    <s v="jan/2023"/>
    <s v="JANEIRO "/>
    <x v="0"/>
    <d v="2023-01-12T00:00:00"/>
    <x v="0"/>
    <s v="O COLABORADOR FALTOU NO DIA 10/01/2023, SEM JUSTIFICATIVA A SUA CHEFIA IMEDIATA."/>
  </r>
  <r>
    <n v="28"/>
    <s v="FELIPE DA COSTA RAMOS"/>
    <n v="2770003039"/>
    <x v="1"/>
    <d v="2022-12-07T00:00:00"/>
    <s v="0ANOS, 1MESES"/>
    <n v="0.10833333333333334"/>
    <x v="0"/>
    <x v="0"/>
    <s v="COLETA DOMICILIAR"/>
    <s v="DIURNO"/>
    <s v="JOSÉ ADELMAR"/>
    <s v="ADVERTENCIA"/>
    <d v="2023-01-15T00:00:00"/>
    <x v="0"/>
    <d v="2023-01-16T00:00:00"/>
    <s v="jan/2023"/>
    <s v="JANEIRO "/>
    <x v="0"/>
    <d v="2023-01-16T00:00:00"/>
    <x v="0"/>
    <s v="O COLABORADOR FALTOU O PLANTÃO DO DIA 15/01/2023, SEM JUSTIFICATIVA A SUA CHEFIA IMEDIATA."/>
  </r>
  <r>
    <n v="29"/>
    <s v="WENDERSON VIEIRA BARROS"/>
    <n v="2770001875"/>
    <x v="0"/>
    <d v="2018-07-17T00:00:00"/>
    <s v="4ANOS, 6MESES"/>
    <n v="4.572222222222222"/>
    <x v="1"/>
    <x v="2"/>
    <s v="CEU"/>
    <s v="NOTURNO"/>
    <s v="CARLOS EDUARDO"/>
    <s v="ADVERTENCIA"/>
    <d v="2023-01-18T00:00:00"/>
    <x v="0"/>
    <d v="2023-01-18T00:00:00"/>
    <s v="jan/2023"/>
    <s v="JANEIRO "/>
    <x v="0"/>
    <d v="2023-01-18T00:00:00"/>
    <x v="4"/>
    <s v="CHEGAR ATRASADO NO DIA 18/01/2023."/>
  </r>
  <r>
    <n v="30"/>
    <s v="ANDRE LUIZ JESUS DE SOUZA"/>
    <n v="2770000172"/>
    <x v="0"/>
    <d v="2013-02-08T00:00:00"/>
    <s v="9ANOS, 11MESES"/>
    <n v="10.088888888888889"/>
    <x v="3"/>
    <x v="1"/>
    <s v="COLETA DOMICILIAR"/>
    <s v="DIURNO"/>
    <s v="JOSÉ ADELMAR"/>
    <s v="ADVERTENCIA"/>
    <d v="2023-01-19T00:00:00"/>
    <x v="0"/>
    <d v="2023-01-19T00:00:00"/>
    <s v="jan/2023"/>
    <s v="JANEIRO "/>
    <x v="0"/>
    <d v="2023-01-19T00:00:00"/>
    <x v="3"/>
    <s v="O MOTORISTA ESTAVA DANDO RÉ NO CAMINHÃO COM O COLABORADOR EM CIMA DO ESTRIBO DO CAMINÃO."/>
  </r>
  <r>
    <n v="31"/>
    <s v="WAGNER GOMES DA LUZ"/>
    <n v="2770002520"/>
    <x v="0"/>
    <d v="2021-05-03T00:00:00"/>
    <s v="1ANOS, 8MESES"/>
    <n v="1.7388888888888889"/>
    <x v="2"/>
    <x v="0"/>
    <s v="COLETA DOMICILIAR"/>
    <s v="DIURNO"/>
    <s v="JOSÉ ADELMAR"/>
    <s v="ADVERTENCIA"/>
    <d v="2023-01-19T00:00:00"/>
    <x v="0"/>
    <d v="2023-01-19T00:00:00"/>
    <s v="jan/2023"/>
    <s v="JANEIRO "/>
    <x v="0"/>
    <d v="2023-01-19T00:00:00"/>
    <x v="3"/>
    <s v="O COLABORADOR ESTAVA EM CIMA DO ESTRIBO NA HORA QUE O CAMINÃO ESTAVA DANDO RÉ."/>
  </r>
  <r>
    <n v="32"/>
    <s v="RODRIGO BARROSO PEREIRA"/>
    <n v="2770002273"/>
    <x v="0"/>
    <d v="2020-06-01T00:00:00"/>
    <s v="2ANOS, 7MESES"/>
    <n v="2.6694444444444443"/>
    <x v="2"/>
    <x v="1"/>
    <s v="COLETA DOMICILIAR"/>
    <s v="DIURNO"/>
    <s v="JOSÉ ADELMAR"/>
    <s v="ADVERTENCIA"/>
    <d v="2023-01-18T00:00:00"/>
    <x v="0"/>
    <d v="2023-01-19T00:00:00"/>
    <s v="jan/2023"/>
    <s v="JANEIRO "/>
    <x v="0"/>
    <d v="2023-01-19T00:00:00"/>
    <x v="1"/>
    <s v="EXCESSO DE VELOCIDADE ACIMA DE 70 KM, NO DIA 18/01/23."/>
  </r>
  <r>
    <n v="33"/>
    <s v="FRANCISCO ORLEILSON RODRIGUES ESTEVÃO"/>
    <n v="2770002172"/>
    <x v="0"/>
    <d v="2019-11-18T00:00:00"/>
    <s v="3ANOS, 2MESES"/>
    <n v="3.2166666666666668"/>
    <x v="1"/>
    <x v="1"/>
    <s v="COLETA DOMICILIAR"/>
    <s v="DIURNO"/>
    <s v="JOSÉ ADELMAR"/>
    <s v="ADVERTENCIA"/>
    <d v="2023-01-19T00:00:00"/>
    <x v="0"/>
    <d v="2023-01-19T00:00:00"/>
    <s v="jan/2023"/>
    <s v="JANEIRO "/>
    <x v="0"/>
    <d v="2023-01-19T00:00:00"/>
    <x v="1"/>
    <s v="EXCESSO DE VELOCIDADE ACIMA DE 70 KM, NO DIA 19/01/23."/>
  </r>
  <r>
    <n v="34"/>
    <s v="MANUEL MONTEIRO DE OLIVEIRA FILHO"/>
    <n v="2770000934"/>
    <x v="0"/>
    <d v="2013-11-14T00:00:00"/>
    <s v="9ANOS, 2MESES"/>
    <n v="9.3027777777777771"/>
    <x v="3"/>
    <x v="0"/>
    <s v="COLETA DOMICILIAR"/>
    <s v="DIURNO"/>
    <s v="JOSÉ ADELMAR"/>
    <s v="SUSPENSÃO"/>
    <d v="2023-01-15T00:00:00"/>
    <x v="0"/>
    <d v="2023-01-20T00:00:00"/>
    <s v="jan/2023"/>
    <s v="JANEIRO "/>
    <x v="0"/>
    <d v="2023-01-21T00:00:00"/>
    <x v="3"/>
    <s v="POR NÃO CUMPRIR O PROCEDIMENTO DE RÉ NA DATA DO DIA 15/01/2023, FICANDO EM CIMA DO ESTRIBO ENQUANTO O MOTORISTA ESTAVA DANDO RÉ."/>
  </r>
  <r>
    <n v="35"/>
    <s v="JHON CLEY BARBOSA DA SILVA"/>
    <n v="2770002988"/>
    <x v="0"/>
    <d v="2022-11-03T00:00:00"/>
    <s v="0ANOS, 2MESES"/>
    <n v="0.20277777777777778"/>
    <x v="0"/>
    <x v="0"/>
    <s v="COLETA DOMICILIAR"/>
    <s v="DIURNO"/>
    <s v="JOSÉ ADELMAR"/>
    <s v="SUSPENSÃO"/>
    <d v="2023-01-15T00:00:00"/>
    <x v="0"/>
    <d v="2023-01-20T00:00:00"/>
    <s v="jan/2023"/>
    <s v="JANEIRO "/>
    <x v="0"/>
    <d v="2023-01-21T00:00:00"/>
    <x v="3"/>
    <s v="POR NÃO CUMPRIR O PROCEDIMENTO DE RÉ NA DATA DO DIA 15/01/2023, FICANDO EM CIMA DO ESTRIBO ENQUANTO O MOTORISTA ESTAVA DANDO RÉ."/>
  </r>
  <r>
    <n v="36"/>
    <s v="JANDERSON SAMPAIO DE AGUIAR"/>
    <n v="2770002434"/>
    <x v="0"/>
    <d v="2020-12-04T00:00:00"/>
    <s v="2ANOS, 1MESES"/>
    <n v="2.1444444444444444"/>
    <x v="2"/>
    <x v="1"/>
    <s v="COLETA DOMICILIAR"/>
    <s v="DIURNO"/>
    <s v="JOSÉ ADELMAR"/>
    <s v="SUSPENSÃO"/>
    <d v="2023-01-15T00:00:00"/>
    <x v="0"/>
    <d v="2023-01-20T00:00:00"/>
    <s v="jan/2023"/>
    <s v="JANEIRO "/>
    <x v="0"/>
    <d v="2023-01-21T00:00:00"/>
    <x v="3"/>
    <s v="POR NÃO CUMPRIR O PROCEDIMENTO DE RÉ NA DATA DO DIA 15/01/2023, ONDE OS GARÍS ESTAVAM NO ESTRIBO O MESMO ESTAVA EM MANOBRA DE RÉ."/>
  </r>
  <r>
    <n v="37"/>
    <s v="WENDERSON VIEIRA BARROS"/>
    <n v="2770001875"/>
    <x v="0"/>
    <d v="2018-07-17T00:00:00"/>
    <s v="4ANOS, 6MESES"/>
    <n v="4.5777777777777775"/>
    <x v="1"/>
    <x v="3"/>
    <s v="COLETA DOMICILIAR"/>
    <s v="NOTURNO"/>
    <s v="CARLOS EDUARDO"/>
    <s v="SUSPENSÃO"/>
    <d v="2023-01-20T00:00:00"/>
    <x v="0"/>
    <d v="2023-01-20T00:00:00"/>
    <s v="jan/2023"/>
    <s v="JANEIRO "/>
    <x v="0"/>
    <d v="2023-01-21T00:00:00"/>
    <x v="2"/>
    <s v="DESCUMPRIR ORDEM DO GESTOR 20/01/2023, FOI SOLICITADO QUE O FUNCIONÁRIO REALIZA-SE MAPEAMENTO DO SETOR SANTA INES NAS RUAS A, B, C, E E AV. Q, ONDE O MESMO SE NEGOU A REALIZAR A TAREFA, APÓS ESSE OCORRIDO FOI ORIENTADO PELA CHEFIA IMEDIATA PARA RETORNAR Á GARAGEM, MAS NOVAMENTE A SOLICITAÇÃO NÃO FOI ATENDIDA."/>
  </r>
  <r>
    <n v="38"/>
    <s v="ANTONIO LUIS RIBEIRO ALEXANDRE"/>
    <n v="2770002929"/>
    <x v="0"/>
    <d v="2022-09-01T00:00:00"/>
    <s v="0ANOS, 4MESES"/>
    <n v="0.3972222222222222"/>
    <x v="0"/>
    <x v="0"/>
    <s v="COLETA DOMICILIAR"/>
    <s v="NOTURNO"/>
    <s v="DOUGLAS ALBUQUERQUE"/>
    <s v="ADVERTENCIA"/>
    <d v="2023-01-22T00:00:00"/>
    <x v="0"/>
    <d v="2023-01-23T00:00:00"/>
    <s v="jan/2023"/>
    <s v="JANEIRO "/>
    <x v="0"/>
    <d v="2023-01-23T00:00:00"/>
    <x v="0"/>
    <s v="FALTA INJUSTIFICADA EM 22/01/2023."/>
  </r>
  <r>
    <n v="39"/>
    <s v="HELIO REIS DE FREITAS"/>
    <n v="2770002422"/>
    <x v="0"/>
    <d v="2020-12-01T00:00:00"/>
    <s v="2ANOS, 1MESES"/>
    <n v="2.1694444444444443"/>
    <x v="2"/>
    <x v="0"/>
    <s v="COLETA DOMICILIAR"/>
    <s v="NOTURNO"/>
    <s v="DOUGLAS ALBUQUERQUE"/>
    <s v="ADVERTENCIA"/>
    <d v="2023-01-21T00:00:00"/>
    <x v="0"/>
    <d v="2023-01-23T00:00:00"/>
    <s v="jan/2023"/>
    <s v="JANEIRO "/>
    <x v="0"/>
    <d v="2023-01-23T00:00:00"/>
    <x v="0"/>
    <s v="FALTA INJUSTIFICADA EM 21/01/2023."/>
  </r>
  <r>
    <n v="40"/>
    <s v="FRANCINEL DE ALENCAR DA COSTA"/>
    <n v="2770003008"/>
    <x v="0"/>
    <d v="2022-11-09T00:00:00"/>
    <s v="0ANOS, 2MESES"/>
    <n v="0.20833333333333334"/>
    <x v="0"/>
    <x v="0"/>
    <s v="COLETA EM ÁREA DE DIFÍCIL ACESSO II"/>
    <s v="DIURNO"/>
    <s v="JOSÉ ADELMAR"/>
    <s v="SUSPENSÃO"/>
    <d v="2023-01-23T00:00:00"/>
    <x v="0"/>
    <d v="2023-01-23T00:00:00"/>
    <s v="jan/2023"/>
    <s v="JANEIRO "/>
    <x v="0"/>
    <d v="2023-01-24T00:00:00"/>
    <x v="0"/>
    <s v="O COLABORADOR FALTOU AO TRABALHO NO DIA 23/01/2023."/>
  </r>
  <r>
    <n v="41"/>
    <s v="MARCOS VINICIUS OLIVEIRA DOS SANTOS"/>
    <n v="2770002993"/>
    <x v="0"/>
    <d v="2022-11-03T00:00:00"/>
    <s v="0ANOS, 2MESES"/>
    <n v="0.22222222222222221"/>
    <x v="0"/>
    <x v="0"/>
    <s v="COLETA DOMICILIAR"/>
    <s v="DIURNO"/>
    <s v="JOSÉ ADELMAR"/>
    <s v="ADVERTENCIA"/>
    <d v="2023-01-22T00:00:00"/>
    <x v="0"/>
    <d v="2023-01-23T00:00:00"/>
    <s v="jan/2023"/>
    <s v="JANEIRO "/>
    <x v="0"/>
    <d v="2023-01-22T00:00:00"/>
    <x v="3"/>
    <s v="O COLABORADOR DESCUMPRIU O PROCEDIMENTO DE RÉ NO DIA 22/01/2023 ONDE O MESMO NÃO ESTAVA APENAS ORIENTANDO NO PROCEDIMENTO DE RÉ COMO TAMBÉM COLETANDO LIXO AO MESMO TEMPO."/>
  </r>
  <r>
    <n v="42"/>
    <s v="ADSON DO NASCIMENTO SOUZA"/>
    <n v="2770002992"/>
    <x v="1"/>
    <d v="2022-11-03T00:00:00"/>
    <s v="0ANOS, 2MESES"/>
    <n v="0.22222222222222221"/>
    <x v="0"/>
    <x v="0"/>
    <s v="COLETA DOMICILIAR"/>
    <s v="DIURNO"/>
    <s v="JOSÉ ADELMAR"/>
    <s v="ADVERTENCIA"/>
    <d v="2023-01-22T00:00:00"/>
    <x v="0"/>
    <d v="2023-01-23T00:00:00"/>
    <s v="jan/2023"/>
    <s v="JANEIRO "/>
    <x v="0"/>
    <d v="2023-01-23T00:00:00"/>
    <x v="3"/>
    <s v="O COLABORADOR DESCUMPRIU O PROCEDIMENTO DE RÉ NO DIA 22/01/2023 ONDE O MESMO NÃO ESTAVA APENAS ORIENTANDO NO PROCEDIMENTO DE RÉ COMO TAMBÉM COLETANDO LIXO AO MESMO TEMPO."/>
  </r>
  <r>
    <n v="43"/>
    <s v="VANDERLAN COMES SOUZA"/>
    <n v="2770002492"/>
    <x v="0"/>
    <d v="2021-03-17T00:00:00"/>
    <s v="1ANOS, 10MESES"/>
    <n v="1.8805555555555555"/>
    <x v="2"/>
    <x v="1"/>
    <s v="COLETA DOMICILIAR"/>
    <s v="DIURNO"/>
    <s v="JOSÉ ADELMAR"/>
    <s v="ADVERTENCIA"/>
    <d v="2023-01-23T00:00:00"/>
    <x v="0"/>
    <d v="2023-01-23T00:00:00"/>
    <s v="jan/2023"/>
    <s v="JANEIRO "/>
    <x v="0"/>
    <d v="2023-01-23T00:00:00"/>
    <x v="3"/>
    <s v="O MOTORISTA DEIXOU DE CUMPRIR O PROCEDIMENTO DE RÉ NO DIA 23/01/2023, AO DAR UMA RÉ NÃO SE ATENTOU PELA ORIENTAÇÃO DO AGENTE QUE ESTAVA ORIENTANDO E VEIO BATER NA MURETA DO JARDIM."/>
  </r>
  <r>
    <n v="44"/>
    <s v="ANDERSON GIBSON FRANCO"/>
    <n v="2770003056"/>
    <x v="0"/>
    <d v="2023-01-12T00:00:00"/>
    <s v="0ANOS, 0MESES"/>
    <n v="2.7777777777777776E-2"/>
    <x v="0"/>
    <x v="1"/>
    <s v="COLETA DOMICILIAR"/>
    <s v="DIURNO"/>
    <s v="JOSÉ ADELMAR"/>
    <s v="ADVERTENCIA"/>
    <d v="2023-01-22T00:00:00"/>
    <x v="0"/>
    <d v="2023-01-23T00:00:00"/>
    <s v="jan/2023"/>
    <s v="JANEIRO "/>
    <x v="0"/>
    <d v="2023-04-23T00:00:00"/>
    <x v="3"/>
    <s v="O MOTORISTA DEIXOU DE CUMPRIR O PROCEDIMENTO DE RÉ NO DIA 22/01/2023, ONDE NÃO ESTAVA SENDO ORIENTADO APENAS POR 1, ELE ESTAVA SENDO ORIENTADO POR DOIS GARÍS DESVIANDO A ATENÇÃO PARA FOCAR APENAS 1, ASSIM DESCUMPRINDO O PROCEDIMENTO ALÉM DOS GARÍS ESTAREM COLETANDO E ORIENTANDO AO MESMO TEMPO."/>
  </r>
  <r>
    <n v="45"/>
    <s v="ADRIANO ROCHA DE PAULA"/>
    <n v="2770002055"/>
    <x v="0"/>
    <d v="2017-05-14T00:00:00"/>
    <s v="5ANOS, 8MESES"/>
    <n v="5.7777777777777777"/>
    <x v="3"/>
    <x v="0"/>
    <s v="COLETA DOMICILIAR"/>
    <s v="NOTURNO"/>
    <s v="DOUGLAS ALBUQUERQUE"/>
    <s v="SUSPENSÃO"/>
    <d v="2023-01-23T00:00:00"/>
    <x v="0"/>
    <d v="2023-01-24T00:00:00"/>
    <s v="jan/2023"/>
    <s v="JANEIRO "/>
    <x v="0"/>
    <d v="2023-01-29T00:00:00"/>
    <x v="0"/>
    <s v="FALTA INJUSTIFICADA EM 23/01/2023."/>
  </r>
  <r>
    <n v="46"/>
    <s v="ELADYO DE SALES RIBEIRO"/>
    <n v="2770000085"/>
    <x v="0"/>
    <d v="2013-02-08T00:00:00"/>
    <s v="9ANOS, 11MESES"/>
    <n v="10.102777777777778"/>
    <x v="3"/>
    <x v="1"/>
    <s v="COLETA DOMICILIAR"/>
    <s v="DIURNO"/>
    <s v="JOSÉ ADELMAR"/>
    <s v="ADVERTENCIA"/>
    <d v="2023-01-24T00:00:00"/>
    <x v="0"/>
    <d v="2023-01-24T00:00:00"/>
    <s v="jan/2023"/>
    <s v="JANEIRO "/>
    <x v="0"/>
    <d v="2023-01-24T00:00:00"/>
    <x v="1"/>
    <s v="EXCESSO DE VELOCIDADE ACIMA DE 70 KM, NO DIA 24/01/2023."/>
  </r>
  <r>
    <n v="47"/>
    <s v="FRANCINEL DE ALENCAR DA COSTA"/>
    <n v="2770003008"/>
    <x v="0"/>
    <d v="2022-11-09T00:00:00"/>
    <s v="0ANOS, 2MESES"/>
    <n v="0.21388888888888888"/>
    <x v="0"/>
    <x v="0"/>
    <s v="COLETA EM ÁREA DE DIFÍCIL ACESSO II"/>
    <s v="DIURNO"/>
    <s v="JOSÉ ADELMAR"/>
    <s v="SUSPENSÃO"/>
    <d v="2023-01-25T00:00:00"/>
    <x v="0"/>
    <d v="2023-01-25T00:00:00"/>
    <s v="jan/2023"/>
    <s v="JANEIRO "/>
    <x v="0"/>
    <d v="2023-01-28T00:00:00"/>
    <x v="4"/>
    <s v="O COLABORADOR CHEGOU ATRASADO AO TRABALHO NO DIA 25/01/2023, SEM JUSTIFICAR A SUA CHEFIA IMEDIATA."/>
  </r>
  <r>
    <n v="48"/>
    <s v="FRANCINEL DE ALENCAR DA COSTA"/>
    <n v="2770003008"/>
    <x v="0"/>
    <d v="2022-11-09T00:00:00"/>
    <s v="0ANOS, 2MESES"/>
    <n v="0.22222222222222221"/>
    <x v="0"/>
    <x v="0"/>
    <s v="COLETA EM ÁREA DE DIFÍCIL ACESSO II"/>
    <s v="DIURNO"/>
    <s v="JOSÉ ADELMAR"/>
    <s v="SUSPENSÃO"/>
    <d v="2023-01-28T00:00:00"/>
    <x v="0"/>
    <d v="2023-01-28T00:00:00"/>
    <s v="jan/2023"/>
    <s v="JANEIRO "/>
    <x v="0"/>
    <d v="2023-02-02T00:00:00"/>
    <x v="0"/>
    <s v="O COLABORADOR FALTOU NO DIA 28/01/2023, SEM JUSTIFICATIFICAR A SUA CHEFIA IMEDIATA."/>
  </r>
  <r>
    <n v="49"/>
    <s v="DENILSON AFONSO DA SILVA LIMA"/>
    <n v="2770002820"/>
    <x v="0"/>
    <d v="2022-04-14T00:00:00"/>
    <s v="0ANOS, 9MESES"/>
    <n v="0.80555555555555558"/>
    <x v="0"/>
    <x v="0"/>
    <s v="COLETA DOMICILIAR"/>
    <s v="DIURNO"/>
    <s v="JOSÉ ADELMAR"/>
    <s v="SUSPENSÃO"/>
    <d v="2023-01-29T00:00:00"/>
    <x v="0"/>
    <d v="2023-01-30T00:00:00"/>
    <s v="jan/2023"/>
    <s v="JANEIRO "/>
    <x v="0"/>
    <d v="2023-02-06T00:00:00"/>
    <x v="0"/>
    <s v="O COLABORADOR FALTOU O PLANTÃO DO DIA 29/01/2023, SEM JUSTIFICAR A SUA CHEFIA IMEDIATA."/>
  </r>
  <r>
    <n v="50"/>
    <s v="CARLOS ALBERTO PERES DE OLIVEIRA"/>
    <n v="2770003011"/>
    <x v="0"/>
    <d v="2022-12-01T00:00:00"/>
    <s v="0ANOS, 1MESES"/>
    <n v="0.16666666666666666"/>
    <x v="0"/>
    <x v="0"/>
    <s v="COLETA DOMICILIAR"/>
    <s v="DIURNO"/>
    <s v="JOSÉ ADELMAR"/>
    <s v="ADVERTENCIA"/>
    <d v="2023-01-30T00:00:00"/>
    <x v="0"/>
    <d v="2023-01-30T00:00:00"/>
    <s v="jan/2023"/>
    <s v="JANEIRO "/>
    <x v="0"/>
    <d v="2023-01-30T00:00:00"/>
    <x v="3"/>
    <s v="COLABORADOR FOI FLAGRADO NO DIA 30/01/2023 - FAZENDO ARRUMAÇÃO NO ROTEIRO 90.1.127 (PARQUE DAS GARÇAS)."/>
  </r>
  <r>
    <n v="51"/>
    <s v="DANIEL MENES PERES"/>
    <n v="2770002204"/>
    <x v="0"/>
    <d v="2020-02-01T00:00:00"/>
    <s v="2ANOS, 11MESES"/>
    <n v="3.0388888888888888"/>
    <x v="1"/>
    <x v="0"/>
    <s v="COLETA DOMICILIAR"/>
    <s v="DIURNO"/>
    <s v="JOSÉ ADELMAR"/>
    <s v="ADVERTENCIA"/>
    <d v="2023-01-30T00:00:00"/>
    <x v="0"/>
    <d v="2023-01-30T00:00:00"/>
    <s v="jan/2023"/>
    <s v="JANEIRO "/>
    <x v="0"/>
    <d v="2023-01-30T00:00:00"/>
    <x v="3"/>
    <s v="COLABORADOR FOI FLAGRADO NO DIA 30/01/2023 - FAZENDO ARRUMAÇÃO NO ROTEIRO 90.1.127 (PARQUE DAS GARÇAS)."/>
  </r>
  <r>
    <n v="52"/>
    <s v="FRANCISCO GEOVANE CARVALHO"/>
    <n v="2770002430"/>
    <x v="0"/>
    <d v="2020-12-04T00:00:00"/>
    <s v="2ANOS, 1MESES"/>
    <n v="2.1861111111111109"/>
    <x v="2"/>
    <x v="0"/>
    <s v="COLETA DOMICILIAR"/>
    <s v="DIURNO"/>
    <s v="JOSÉ ADELMAR"/>
    <s v="ADVERTENCIA"/>
    <d v="2023-01-30T00:00:00"/>
    <x v="0"/>
    <d v="2023-01-30T00:00:00"/>
    <s v="jan/2023"/>
    <s v="JANEIRO "/>
    <x v="0"/>
    <d v="2023-01-30T00:00:00"/>
    <x v="3"/>
    <s v="COLABORADOR FOI FLAGRADO NO DIA 30/01/2023 - FAZENDO ARRUMAÇÃO NO ROTEIRO 90.1.127 (PARQUE DAS GARÇAS)."/>
  </r>
  <r>
    <n v="53"/>
    <s v="IOMAR CASTRO DA COSTA JUNIOR"/>
    <n v="2770002470"/>
    <x v="0"/>
    <d v="2021-02-17T00:00:00"/>
    <s v="1ANOS, 11MESES"/>
    <n v="1.9777777777777779"/>
    <x v="2"/>
    <x v="1"/>
    <s v="COLETA DOMICILIAR"/>
    <s v="DIURNO"/>
    <s v="JOSÉ ADELMAR"/>
    <s v="ADVERTENCIA"/>
    <d v="2023-01-30T00:00:00"/>
    <x v="0"/>
    <d v="2023-01-30T00:00:00"/>
    <s v="jan/2023"/>
    <s v="JANEIRO "/>
    <x v="0"/>
    <d v="2023-01-30T00:00:00"/>
    <x v="3"/>
    <s v="O COLABORADOR DEIXOU DE CUMPRIR O PROCEDIMENTO E FOI FLAGRADO REALIZANDO ARRUMAÇÃO NO ROTEIRO NA DATA 30/01/2023 - ROTEIRO 90.1.127 (PARQUE DAS GARÇAS)."/>
  </r>
  <r>
    <n v="54"/>
    <s v="DONIELSON PEREIRA DA SILVA"/>
    <n v="2770002265"/>
    <x v="0"/>
    <d v="2020-05-12T00:00:00"/>
    <s v="2ANOS, 8MESES"/>
    <n v="2.7611111111111111"/>
    <x v="2"/>
    <x v="1"/>
    <s v="COLETA DOMICILIAR"/>
    <s v="NOTURNO"/>
    <s v="LUIZ HENRIQUE"/>
    <s v="SUSPENSÃO"/>
    <d v="2023-01-31T00:00:00"/>
    <x v="0"/>
    <d v="2023-01-31T00:00:00"/>
    <s v="jan/2023"/>
    <s v="JANEIRO "/>
    <x v="0"/>
    <d v="2023-01-01T00:00:00"/>
    <x v="3"/>
    <s v="COLABORADOR NÃO SEGUIU O PROCEDIMENTO AO ENTRAR NA AV. CRUZEIRO ONDE A TRAFEGABILIDADE SE ENCONTRAVA IRREGULAR COM BASTANTE LAMA E BURACOS, PODENDO OCASIONAR UM ACIDENTE."/>
  </r>
  <r>
    <n v="55"/>
    <s v="ANDERSON CASTRO FREITAS"/>
    <n v="2770003229"/>
    <x v="0"/>
    <d v="2023-09-13T00:00:00"/>
    <s v="0ANOS, 1MESES"/>
    <n v="0.1361111111111111"/>
    <x v="0"/>
    <x v="1"/>
    <s v="COLETA DOMICILIAR"/>
    <s v="NOTURNO"/>
    <s v="JOÃO PEDRO"/>
    <s v="ADVERTENCIA"/>
    <d v="2023-11-01T00:00:00"/>
    <x v="1"/>
    <d v="2023-02-01T00:00:00"/>
    <s v="fev/2023"/>
    <s v="FEVEREIRO"/>
    <x v="0"/>
    <d v="2023-11-02T00:00:00"/>
    <x v="1"/>
    <s v="NO DIA 01/11/2023 AS 00:28 O COLABORADOR EXCEDEU O LIMITE DE VELOCIDADE CHEGANDO À 74 KM/H."/>
  </r>
  <r>
    <n v="56"/>
    <s v="JORDEL FEITOZA E FEITOZA"/>
    <n v="2770003029"/>
    <x v="0"/>
    <d v="2022-12-01T00:00:00"/>
    <s v="0ANOS, 2MESES"/>
    <n v="0.17222222222222222"/>
    <x v="0"/>
    <x v="0"/>
    <s v="COLETA DOMICILIAR"/>
    <s v="NOTURNO"/>
    <s v="CARLOS EDUARDO"/>
    <s v="ADVERTENCIA"/>
    <d v="2023-02-01T00:00:00"/>
    <x v="2"/>
    <d v="2023-02-02T00:00:00"/>
    <s v="fev/2023"/>
    <s v="FEVEREIRO"/>
    <x v="0"/>
    <d v="2023-02-02T00:00:00"/>
    <x v="0"/>
    <s v="ADVERTÊNCIA POR ESCRITA, FALTA SEM JUSTIFICATIVA. (31/01 A 01/02/2023)."/>
  </r>
  <r>
    <n v="57"/>
    <s v="OSMAR FERREIRA VIEIRA NETO"/>
    <n v="2770002935"/>
    <x v="0"/>
    <d v="2022-09-01T00:00:00"/>
    <s v="0ANOS, 5MESES"/>
    <n v="0.42777777777777776"/>
    <x v="0"/>
    <x v="1"/>
    <s v="COLETA DOMICILIAR"/>
    <s v="NOTURNO"/>
    <s v="CARLOS EDUARDO"/>
    <s v="ADVERTENCIA"/>
    <d v="2023-02-02T00:00:00"/>
    <x v="2"/>
    <d v="2023-02-03T00:00:00"/>
    <s v="fev/2023"/>
    <s v="FEVEREIRO"/>
    <x v="0"/>
    <d v="2023-02-06T00:00:00"/>
    <x v="1"/>
    <s v="EXCESSO DE VELOCIDADE DO DIA 03/02/2023, NA ÁREA INTERNA DO ATERRO SANITÁRIO."/>
  </r>
  <r>
    <n v="58"/>
    <s v="BRENDA EMYLLIS DE SOUZA XAVIER"/>
    <n v="2770002211"/>
    <x v="0"/>
    <d v="2020-02-04T00:00:00"/>
    <s v="3ANOS, 0MESES"/>
    <n v="3.0444444444444443"/>
    <x v="1"/>
    <x v="4"/>
    <s v="EDUCAÇÃO AMBIENTAL"/>
    <s v="COMERCIAL"/>
    <s v="ELISÂNGELA COSTA"/>
    <s v="ADVERTENCIA"/>
    <d v="2023-02-04T00:00:00"/>
    <x v="2"/>
    <d v="2023-02-06T00:00:00"/>
    <s v="fev/2023"/>
    <s v="FEVEREIRO"/>
    <x v="0"/>
    <d v="2023-02-06T00:00:00"/>
    <x v="0"/>
    <s v="FALTA NÃO JUSTIFICADA NO DIA 04/02/2023."/>
  </r>
  <r>
    <n v="59"/>
    <s v="KAIRON CASTRO DOS SANTOS"/>
    <n v="2770002602"/>
    <x v="0"/>
    <d v="2021-07-14T00:00:00"/>
    <s v="1ANOS, 6MESES"/>
    <n v="1.5833333333333333"/>
    <x v="2"/>
    <x v="0"/>
    <s v="COLETA DOMICILIAR"/>
    <s v="NOTURNO"/>
    <s v="CARLOS EDUARDO"/>
    <s v="SUSPENSÃO"/>
    <d v="2023-02-04T00:00:00"/>
    <x v="2"/>
    <d v="2023-02-06T00:00:00"/>
    <s v="fev/2023"/>
    <s v="FEVEREIRO"/>
    <x v="0"/>
    <d v="2023-02-13T00:00:00"/>
    <x v="0"/>
    <s v="FALTOU SÁBADO DIA (04/02/2023), SEM JUSTIFICATIVA."/>
  </r>
  <r>
    <n v="60"/>
    <s v="WALBERSON DE SOUZA"/>
    <n v="2770002933"/>
    <x v="0"/>
    <d v="2022-09-01T00:00:00"/>
    <s v="0ANOS, 5MESES"/>
    <n v="0.43333333333333335"/>
    <x v="0"/>
    <x v="0"/>
    <s v="COLETA DOMICILIAR"/>
    <s v="NOTURNO"/>
    <s v="CARLOS EDUARDO"/>
    <s v="SUSPENSÃO"/>
    <d v="2023-02-04T00:00:00"/>
    <x v="2"/>
    <d v="2023-02-06T00:00:00"/>
    <s v="fev/2023"/>
    <s v="FEVEREIRO"/>
    <x v="0"/>
    <d v="2023-02-09T00:00:00"/>
    <x v="0"/>
    <s v="FALTOU NO SÁBADO DIA (04/02/2023), SEM JUSTIFICATIVA."/>
  </r>
  <r>
    <n v="61"/>
    <s v="JOSÉ UCHOA DA SILVA"/>
    <n v="2770000097"/>
    <x v="0"/>
    <d v="2013-02-08T00:00:00"/>
    <s v="9ANOS, 11MESES"/>
    <n v="10.125"/>
    <x v="3"/>
    <x v="1"/>
    <s v="COLETA DOMICILIAR"/>
    <s v="NOTURNO"/>
    <s v="CARLOS EDUARDO"/>
    <s v="ADVERTENCIA"/>
    <d v="2023-02-01T00:00:00"/>
    <x v="2"/>
    <d v="2023-02-06T00:00:00"/>
    <s v="fev/2023"/>
    <s v="FEVEREIRO"/>
    <x v="0"/>
    <d v="2023-02-06T00:00:00"/>
    <x v="1"/>
    <s v="EXCESSO DE VELOCIDADE DO DIA 01/02/2023, NA ÁREA INTERNA DO ATERRO SANITÁRIO."/>
  </r>
  <r>
    <n v="62"/>
    <s v="JOCI CAETANO DE SOUZA"/>
    <n v="2770002842"/>
    <x v="0"/>
    <d v="2022-05-14T00:00:00"/>
    <s v="0ANOS, 8MESES"/>
    <n v="0.73611111111111116"/>
    <x v="0"/>
    <x v="1"/>
    <s v="COLETA DOMICILIAR"/>
    <s v="NOTURNO"/>
    <s v="CARLOS EDUARDO"/>
    <s v="ADVERTENCIA"/>
    <d v="2023-02-03T00:00:00"/>
    <x v="2"/>
    <d v="2023-02-06T00:00:00"/>
    <s v="fev/2023"/>
    <s v="FEVEREIRO"/>
    <x v="0"/>
    <d v="2023-02-06T00:00:00"/>
    <x v="1"/>
    <s v="EXCESSO DE VELOCIDADE DO DIA 03/02/2023, NA ÁREA INTERNA DO ATERRO SANITÁRIO."/>
  </r>
  <r>
    <n v="63"/>
    <s v="WELISTON GOMES PIMENTEL"/>
    <n v="2770002590"/>
    <x v="0"/>
    <d v="2021-07-01T00:00:00"/>
    <s v="1ANOS, 7MESES"/>
    <n v="1.625"/>
    <x v="2"/>
    <x v="1"/>
    <s v="COLETA DOMICILIAR"/>
    <s v="NOTURNO"/>
    <s v="CARLOS EDUARDO"/>
    <s v="ADVERTENCIA"/>
    <d v="2023-02-06T00:00:00"/>
    <x v="2"/>
    <d v="2023-02-06T00:00:00"/>
    <s v="fev/2023"/>
    <s v="FEVEREIRO"/>
    <x v="0"/>
    <d v="2023-02-02T00:00:00"/>
    <x v="1"/>
    <s v="EXCESSO DE VELOCIDADE DO DIA 02/02/2023, NA ÁREA INTERNA DO ATERRO SANITÁRIO."/>
  </r>
  <r>
    <n v="64"/>
    <s v="JORDEL FEITOZA E FEITOZA"/>
    <n v="2770003029"/>
    <x v="0"/>
    <d v="2022-12-01T00:00:00"/>
    <s v="0ANOS, 2MESES"/>
    <n v="0.19166666666666668"/>
    <x v="0"/>
    <x v="0"/>
    <s v="COLETA DOMICILIAR"/>
    <s v="NOTURNO"/>
    <s v="CARLOS EDUARDO"/>
    <s v="ADVERTENCIA"/>
    <d v="2023-02-08T00:00:00"/>
    <x v="2"/>
    <d v="2023-02-09T00:00:00"/>
    <s v="fev/2023"/>
    <s v="FEVEREIRO"/>
    <x v="0"/>
    <d v="2023-02-09T00:00:00"/>
    <x v="0"/>
    <s v="FALTA SEM JUSTIFICATIVA NOS DIAS 08/02/2023."/>
  </r>
  <r>
    <n v="65"/>
    <s v="KAIQUE SANTOS MONTEIRO"/>
    <n v="2770002686"/>
    <x v="0"/>
    <d v="2021-10-18T00:00:00"/>
    <s v="1ANOS, 3MESES"/>
    <n v="1.3444444444444446"/>
    <x v="2"/>
    <x v="1"/>
    <s v="COLETA DOMICILIAR"/>
    <s v="NOTURNO"/>
    <s v="CARLOS EDUARDO"/>
    <s v="ADVERTENCIA"/>
    <d v="2023-02-14T00:00:00"/>
    <x v="2"/>
    <d v="2023-02-16T00:00:00"/>
    <s v="fev/2023"/>
    <s v="FEVEREIRO"/>
    <x v="0"/>
    <d v="2023-02-16T00:00:00"/>
    <x v="3"/>
    <s v="NÃO COMUNICOU O SINISTRO DO DIA 14/02/2023."/>
  </r>
  <r>
    <n v="66"/>
    <s v="ANDRÉ GILBERTO TAVARES CHAVES"/>
    <n v="2770001508"/>
    <x v="0"/>
    <d v="2017-02-02T00:00:00"/>
    <s v="6ANOS, 0MESES"/>
    <n v="6.1305555555555555"/>
    <x v="3"/>
    <x v="1"/>
    <s v="COLETA DOMICILIAR"/>
    <s v="NOTURNO"/>
    <s v="CARLOS EDUARDO"/>
    <s v="ADVERTENCIA"/>
    <d v="2023-02-18T00:00:00"/>
    <x v="2"/>
    <d v="2023-02-18T00:00:00"/>
    <s v="fev/2023"/>
    <s v="FEVEREIRO"/>
    <x v="0"/>
    <d v="2023-02-18T00:00:00"/>
    <x v="3"/>
    <s v="ARRUMAÇÃO NO ROTEIRO DIA 18/02/2023."/>
  </r>
  <r>
    <n v="67"/>
    <s v="JANDERSON PARENTE DA CRUZ"/>
    <n v="2770002895"/>
    <x v="0"/>
    <d v="2022-08-12T00:00:00"/>
    <s v="0ANOS, 6MESES"/>
    <n v="0.53055555555555556"/>
    <x v="0"/>
    <x v="0"/>
    <s v="COLETA DOMICILIAR"/>
    <s v="DIURNO"/>
    <s v="ANA CAROLINA"/>
    <s v="ADVERTENCIA"/>
    <d v="2023-02-19T00:00:00"/>
    <x v="2"/>
    <d v="2023-02-20T00:00:00"/>
    <s v="fev/2023"/>
    <s v="FEVEREIRO"/>
    <x v="0"/>
    <d v="2023-02-20T00:00:00"/>
    <x v="0"/>
    <s v="FALTA INJUSTIFICADA EM 19/02/2023, COLABORADOR ALEGA ESTAR COM DOR NA BARRIGA."/>
  </r>
  <r>
    <n v="68"/>
    <s v="RAILSON GOMES MAIA"/>
    <n v="2770002569"/>
    <x v="0"/>
    <d v="2021-06-04T00:00:00"/>
    <s v="1ANOS, 8MESES"/>
    <n v="1.7388888888888889"/>
    <x v="2"/>
    <x v="0"/>
    <s v="COLETA DOMICILIAR"/>
    <s v="DIURNO"/>
    <s v="ANA CAROLINA"/>
    <s v="ADVERTENCIA"/>
    <d v="2023-02-20T00:00:00"/>
    <x v="2"/>
    <d v="2023-02-20T00:00:00"/>
    <s v="fev/2023"/>
    <s v="FEVEREIRO"/>
    <x v="0"/>
    <d v="2023-02-20T00:00:00"/>
    <x v="2"/>
    <s v="COLABORADOR ESTAVA EXECUTANDO AS ATIVIDADES DE COLETA COM USO INDEVIDO DO FARDAMENTO, CALÇAS POR DENTRO DAS MEIAS (MEIAS ATÉ O JOELHO). FOI CONVERSADO COM O AGENTE NO MOMENTO E ELE NÃO JUSTIFICOU O MOTIVO E PERMANECEU CALADO."/>
  </r>
  <r>
    <n v="69"/>
    <s v="EULONIO SALES VIANA"/>
    <n v="2770002613"/>
    <x v="0"/>
    <d v="2021-08-09T00:00:00"/>
    <s v="1ANOS, 6MESES"/>
    <n v="1.5527777777777778"/>
    <x v="2"/>
    <x v="0"/>
    <s v="COLETA DOMICILIAR"/>
    <s v="NOTURNO"/>
    <s v="CARLOS EDUARDO"/>
    <s v="SUSPENSÃO"/>
    <d v="2023-02-19T00:00:00"/>
    <x v="2"/>
    <d v="2023-02-20T00:00:00"/>
    <s v="fev/2023"/>
    <s v="FEVEREIRO"/>
    <x v="0"/>
    <d v="2023-02-21T00:00:00"/>
    <x v="0"/>
    <s v="FALTA SEM JUSTIFICATIVA NO DIA 19/02/2023 (DOMINGO)"/>
  </r>
  <r>
    <n v="70"/>
    <s v="ALESSANDRO FERREIRA RODRIGUES"/>
    <n v="2770002634"/>
    <x v="0"/>
    <d v="2021-09-01T00:00:00"/>
    <s v="1ANOS, 5MESES"/>
    <n v="1.4888888888888889"/>
    <x v="2"/>
    <x v="0"/>
    <s v="COLETA DOMICILIAR"/>
    <s v="NOTURNO"/>
    <s v="CARLOS EDUARDO"/>
    <s v="SUSPENSÃO"/>
    <d v="2023-02-19T00:00:00"/>
    <x v="2"/>
    <d v="2023-02-20T00:00:00"/>
    <s v="fev/2023"/>
    <s v="FEVEREIRO"/>
    <x v="0"/>
    <d v="2023-02-21T00:00:00"/>
    <x v="0"/>
    <s v="FALTA SEM JUTIFICATIVA NO DIA 19/02/2023 (DOMINGO)"/>
  </r>
  <r>
    <n v="71"/>
    <s v="JOÃO MARCOS DE SOUZA CASTRO"/>
    <n v="2770002134"/>
    <x v="0"/>
    <d v="2019-10-01T00:00:00"/>
    <s v="3ANOS, 4MESES"/>
    <n v="3.4472222222222224"/>
    <x v="1"/>
    <x v="0"/>
    <s v="COLETA DOMICILIAR"/>
    <s v="DIURNO"/>
    <s v="ANA CAROLINA"/>
    <s v="ADVERTENCIA"/>
    <d v="2023-02-23T00:00:00"/>
    <x v="2"/>
    <d v="2023-02-23T00:00:00"/>
    <s v="fev/2023"/>
    <s v="FEVEREIRO"/>
    <x v="0"/>
    <d v="2023-02-23T00:00:00"/>
    <x v="4"/>
    <s v="COLABORADOR CHEGOU ATRASADO NA DATA DE HOJE AS 06:27H, JÉ SENDO SIDP ORIENTADO QUANTO AO HORÁRIO PADRÃO AS 06:00H."/>
  </r>
  <r>
    <n v="72"/>
    <s v="IGOMAR PEREIRA DE SOUZA"/>
    <n v="2770002989"/>
    <x v="0"/>
    <d v="2022-11-03T00:00:00"/>
    <s v="0ANOS, 3MESES"/>
    <n v="0.30833333333333335"/>
    <x v="0"/>
    <x v="0"/>
    <s v="COLETA DOMICILIAR"/>
    <s v="DIURNO"/>
    <s v="CARLOS EDUARDO"/>
    <s v="SUSPENSÃO"/>
    <d v="2023-02-22T00:00:00"/>
    <x v="2"/>
    <d v="2023-02-23T00:00:00"/>
    <s v="fev/2023"/>
    <s v="FEVEREIRO"/>
    <x v="0"/>
    <d v="2023-02-24T00:00:00"/>
    <x v="0"/>
    <s v="FALTA INJUSTIFICADA NOS DIAS 20/02, 21/02 E 22/02/23, COLABORADOR APRESENTOU ATESTADO FORA DO PRAZO."/>
  </r>
  <r>
    <n v="73"/>
    <s v="WALBERSON DE SOUZA"/>
    <n v="2770002933"/>
    <x v="0"/>
    <d v="2022-09-01T00:00:00"/>
    <s v="0ANOS, 5MESES"/>
    <n v="0.4861111111111111"/>
    <x v="0"/>
    <x v="0"/>
    <s v="COLETA DOMICILIAR"/>
    <s v="NOTURNO"/>
    <s v="CARLOS EDUARDO"/>
    <s v="SUSPENSÃO"/>
    <d v="2023-02-23T00:00:00"/>
    <x v="2"/>
    <d v="2023-02-24T00:00:00"/>
    <s v="fev/2023"/>
    <s v="FEVEREIRO"/>
    <x v="0"/>
    <d v="2023-02-25T00:00:00"/>
    <x v="0"/>
    <s v="FALTA SEM JUSTIFICATIVA DO DIA 23/02/2023."/>
  </r>
  <r>
    <n v="74"/>
    <s v="RAILSON GOMES MAIA"/>
    <n v="2770002569"/>
    <x v="0"/>
    <d v="2021-06-04T00:00:00"/>
    <s v="1ANOS, 8MESES"/>
    <n v="1.75"/>
    <x v="2"/>
    <x v="0"/>
    <s v="COLETA DOMICILIAR"/>
    <s v="DIURNO"/>
    <s v="ANA CAROLINA"/>
    <s v="SUSPENSÃO"/>
    <d v="2023-02-24T00:00:00"/>
    <x v="2"/>
    <d v="2023-02-25T00:00:00"/>
    <s v="fev/2023"/>
    <s v="FEVEREIRO"/>
    <x v="0"/>
    <d v="2023-03-02T00:00:00"/>
    <x v="0"/>
    <s v="FALTA INJUSTIFICADA EM 24/02/2023, COLABORADOR APRESENTOU DECLARAÇÃO FORA DO PRAZO."/>
  </r>
  <r>
    <n v="75"/>
    <s v="RANYELLE OLIVEIRA AZIZE"/>
    <n v="2770003062"/>
    <x v="0"/>
    <d v="2023-01-12T00:00:00"/>
    <s v="0ANOS, 1MESES"/>
    <n v="0.10833333333333334"/>
    <x v="0"/>
    <x v="1"/>
    <s v="COLETA DOMICILIAR"/>
    <s v="NOTURNO"/>
    <s v="CARLOS EDUARDO"/>
    <s v="ADVERTENCIA"/>
    <d v="2023-02-20T00:00:00"/>
    <x v="2"/>
    <d v="2023-02-25T00:00:00"/>
    <s v="fev/2023"/>
    <s v="FEVEREIRO"/>
    <x v="0"/>
    <d v="2023-02-25T00:00:00"/>
    <x v="3"/>
    <s v="NÃO COMUNICOU O SINISTRO DO DIA 13/02/2023."/>
  </r>
  <r>
    <n v="76"/>
    <s v="JORDEL FEITOZA E FEITOZA"/>
    <n v="2770003029"/>
    <x v="0"/>
    <d v="2022-12-01T00:00:00"/>
    <s v="0ANOS, 2MESES"/>
    <n v="0.24722222222222223"/>
    <x v="0"/>
    <x v="0"/>
    <s v="COLETA DOMICILIAR"/>
    <s v="NOTURNO"/>
    <s v="CARLOS EDUARDO"/>
    <s v="SUSPENSÃO"/>
    <d v="2023-02-28T00:00:00"/>
    <x v="2"/>
    <d v="2023-02-28T00:00:00"/>
    <s v="fev/2023"/>
    <s v="FEVEREIRO"/>
    <x v="0"/>
    <d v="2023-03-01T00:00:00"/>
    <x v="0"/>
    <s v="FALTOU AO TRABALHO DIA 27 E 28/02/2023, SEM JUSTIFICATIVA."/>
  </r>
  <r>
    <n v="77"/>
    <s v="MARCELO FERREIRA PONTES"/>
    <n v="2770002952"/>
    <x v="0"/>
    <d v="2022-10-03T00:00:00"/>
    <s v="0ANOS, 4MESES"/>
    <n v="0.41388888888888886"/>
    <x v="0"/>
    <x v="0"/>
    <s v="COLETA DOMICILIAR"/>
    <s v="DIURNO"/>
    <s v="ANA CAROLINA"/>
    <s v="SUSPENSÃO"/>
    <d v="2023-03-01T00:00:00"/>
    <x v="3"/>
    <d v="2023-03-02T00:00:00"/>
    <s v="mar/2023"/>
    <s v="MARÇO"/>
    <x v="0"/>
    <d v="2023-03-05T00:00:00"/>
    <x v="0"/>
    <s v="FALTA INJUSTIFICADA EM 01/03/2023, COLABORADOR INFORMA QUE ESTÁ COM DORES NO DENTE, PORÉM NÃO BUSCOU ATENDIMENTO."/>
  </r>
  <r>
    <n v="78"/>
    <s v="JANDERSON LOURENCO DA SILVA"/>
    <n v="2770002681"/>
    <x v="0"/>
    <d v="2021-10-13T00:00:00"/>
    <s v="1ANOS, 4MESES"/>
    <n v="1.3972222222222221"/>
    <x v="2"/>
    <x v="1"/>
    <s v="COLETA DOMICILIAR"/>
    <s v="NOTURNO"/>
    <s v="CARLOS EDUARDO"/>
    <s v="ADVERTENCIA"/>
    <d v="2023-02-28T00:00:00"/>
    <x v="2"/>
    <d v="2023-03-03T00:00:00"/>
    <s v="mar/2023"/>
    <s v="MARÇO"/>
    <x v="0"/>
    <d v="2023-03-03T00:00:00"/>
    <x v="1"/>
    <s v="EXCEDEU A VELOCIDADE DENTRO DO ATERRO NO DIA 28.02.2023/KM 20,24."/>
  </r>
  <r>
    <n v="79"/>
    <s v="JOSÉ UCHOA DA SILVA"/>
    <n v="2770000097"/>
    <x v="0"/>
    <d v="2013-02-08T00:00:00"/>
    <s v="10ANOS, 0MESES"/>
    <n v="10.205555555555556"/>
    <x v="3"/>
    <x v="1"/>
    <s v="COLETA DOMICILIAR"/>
    <s v="NOTURNO"/>
    <s v="CARLOS EDUARDO"/>
    <s v="ADVERTENCIA"/>
    <d v="2023-03-02T00:00:00"/>
    <x v="3"/>
    <d v="2023-03-03T00:00:00"/>
    <s v="mar/2023"/>
    <s v="MARÇO"/>
    <x v="0"/>
    <d v="2023-03-03T00:00:00"/>
    <x v="1"/>
    <s v="EXCEDEU A VELOCIDADE PERMITIDA DENTRO DO ATERRO NO DIA "/>
  </r>
  <r>
    <n v="80"/>
    <s v="RAIRO TEIXEIRA LEÃO"/>
    <n v="2770003060"/>
    <x v="0"/>
    <d v="2023-01-12T00:00:00"/>
    <s v="0ANOS, 1MESES"/>
    <n v="0.1361111111111111"/>
    <x v="0"/>
    <x v="1"/>
    <s v="COLETA DOMICILIAR"/>
    <s v="NOTURNO"/>
    <s v="CARLOS EDUARDO"/>
    <s v="ADVERTENCIA"/>
    <d v="2023-03-02T00:00:00"/>
    <x v="3"/>
    <d v="2023-03-03T00:00:00"/>
    <s v="mar/2023"/>
    <s v="MARÇO"/>
    <x v="0"/>
    <d v="2023-03-03T00:00:00"/>
    <x v="1"/>
    <s v="EXCEDEU A VELOCIDADE PERMITIDA DENTRO DO ATERRO NO DIA 02.03.2023 / KM 20,25"/>
  </r>
  <r>
    <n v="81"/>
    <s v="EDILSINHO SILVA DA SILVA"/>
    <n v="2770002643"/>
    <x v="0"/>
    <d v="2021-09-01T00:00:00"/>
    <s v="1ANOS, 6MESES"/>
    <n v="1.5194444444444444"/>
    <x v="2"/>
    <x v="1"/>
    <s v="COLETA DOMICILIAR"/>
    <s v="NOTURNO"/>
    <s v="CARLOS EDUARDO"/>
    <s v="ADVERTENCIA"/>
    <d v="2023-03-02T00:00:00"/>
    <x v="3"/>
    <d v="2023-03-03T00:00:00"/>
    <s v="mar/2023"/>
    <s v="MARÇO"/>
    <x v="0"/>
    <d v="2023-03-03T00:00:00"/>
    <x v="1"/>
    <s v="EXCEDEU A VELOCIDADE PERMITIDA DENTRO DO ATERRO NO DIA 02.03.2023 / KM 20,25"/>
  </r>
  <r>
    <n v="82"/>
    <s v="ANDRÉ GILBERTO TAVARES CHAVES"/>
    <n v="2770001508"/>
    <x v="0"/>
    <d v="2017-02-02T00:00:00"/>
    <s v="6ANOS, 0MESES"/>
    <n v="6.1583333333333332"/>
    <x v="3"/>
    <x v="1"/>
    <s v="COLETA DOMICILIAR"/>
    <s v="NOTURNO"/>
    <s v="CARLOS EDUARDO"/>
    <s v="ADVERTENCIA"/>
    <d v="2023-02-28T00:00:00"/>
    <x v="2"/>
    <d v="2023-03-03T00:00:00"/>
    <s v="mar/2023"/>
    <s v="MARÇO"/>
    <x v="0"/>
    <d v="2023-03-03T00:00:00"/>
    <x v="1"/>
    <s v="EXCEDEU A VELOCIDADE DENTRO DO ATERRO NO DIA 28/02/2023 / KM 20,25"/>
  </r>
  <r>
    <n v="83"/>
    <s v="CLODOMIRO SILVEIRA FILHO"/>
    <n v="2770001800"/>
    <x v="0"/>
    <d v="2017-12-05T00:00:00"/>
    <s v="5ANOS, 1MESES"/>
    <n v="5.2361111111111107"/>
    <x v="3"/>
    <x v="1"/>
    <s v="COLETA DOMICILIAR"/>
    <s v="NOTURNO"/>
    <s v="CARLOS EDUARDO"/>
    <s v="ADVERTENCIA"/>
    <d v="2023-02-02T00:00:00"/>
    <x v="2"/>
    <d v="2023-03-03T00:00:00"/>
    <s v="mar/2023"/>
    <s v="MARÇO"/>
    <x v="0"/>
    <d v="2023-03-03T00:00:00"/>
    <x v="1"/>
    <s v="EXCEDEU A VELOCIDADE DENTRO DO ATERRO NO DIA 28/02/2023 / KM 20, 29"/>
  </r>
  <r>
    <n v="84"/>
    <s v="EUDES DA SILVA PINTO"/>
    <n v="2770002271"/>
    <x v="0"/>
    <d v="2020-06-01T00:00:00"/>
    <s v="2ANOS, 9MESES"/>
    <n v="2.7888888888888888"/>
    <x v="2"/>
    <x v="1"/>
    <s v="COLETA DOMICILIAR"/>
    <s v="NOTURNO"/>
    <s v="CARLOS EDUARDO"/>
    <s v="ADVERTENCIA"/>
    <d v="2023-03-02T00:00:00"/>
    <x v="3"/>
    <d v="2023-03-03T00:00:00"/>
    <s v="mar/2023"/>
    <s v="MARÇO"/>
    <x v="0"/>
    <d v="2023-03-03T00:00:00"/>
    <x v="1"/>
    <s v="EXCEDEU A VELOCIDADE PERMITIDA DENTRO DO ATERRO NO DIA 02/03/2023 / XKM 20, 37."/>
  </r>
  <r>
    <n v="85"/>
    <s v="EULONIO SALES VIANA"/>
    <n v="2770002613"/>
    <x v="0"/>
    <d v="2021-08-09T00:00:00"/>
    <s v="1ANOS, 6MESES"/>
    <n v="1.5944444444444446"/>
    <x v="2"/>
    <x v="0"/>
    <s v="COLETA DOMICILIAR"/>
    <s v="NOTURNO"/>
    <s v="CARLOS EDUARDO"/>
    <s v="SUSPENSÃO"/>
    <d v="2023-03-06T00:00:00"/>
    <x v="3"/>
    <d v="2023-03-06T00:00:00"/>
    <s v="mar/2023"/>
    <s v="MARÇO"/>
    <x v="0"/>
    <d v="2023-03-09T00:00:00"/>
    <x v="2"/>
    <s v="SE NEGOU A CONTINUAR O ROTEIRO COM DOIS, POIS O TERCEIRO AGENTE PASSOU MAU DO ESTÔMAGO E FOI BUSCAR ATENDIMENTO."/>
  </r>
  <r>
    <n v="86"/>
    <s v="DIOGO DA SILVA SANTOS"/>
    <n v="2770002486"/>
    <x v="0"/>
    <d v="2021-03-17T00:00:00"/>
    <s v="1ANOS, 11MESES"/>
    <n v="1.9944444444444445"/>
    <x v="2"/>
    <x v="0"/>
    <s v="COLETA DOMICILIAR"/>
    <s v="NOTURNO"/>
    <s v="CARLOS EDUARDO"/>
    <s v="SUSPENSÃO"/>
    <d v="2023-03-05T00:00:00"/>
    <x v="3"/>
    <d v="2023-03-06T00:00:00"/>
    <s v="mar/2023"/>
    <s v="MARÇO"/>
    <x v="0"/>
    <d v="2023-03-11T00:00:00"/>
    <x v="0"/>
    <s v="FALTA SEM JUSTIFICATIVA NO DIA 05/03/2023 (DOMINGO)"/>
  </r>
  <r>
    <n v="87"/>
    <s v="NAUM DA SILVA CASTRO ALFAIA"/>
    <n v="2770002953"/>
    <x v="0"/>
    <d v="2022-10-03T00:00:00"/>
    <s v="0ANOS, 5MESES"/>
    <n v="0.42499999999999999"/>
    <x v="0"/>
    <x v="0"/>
    <s v="COLETA DOMICILIAR"/>
    <s v="NOTURNO"/>
    <s v="CARLOS EDUARDO"/>
    <s v="ADVERTENCIA"/>
    <d v="2023-03-05T00:00:00"/>
    <x v="3"/>
    <d v="2023-03-06T00:00:00"/>
    <s v="mar/2023"/>
    <s v="MARÇO"/>
    <x v="0"/>
    <d v="2023-03-06T00:00:00"/>
    <x v="0"/>
    <s v="FALTA SEM JUSTIFICATIVA NO DIA DO PLANTÃO, 05/03/2023 (DOMINGO)"/>
  </r>
  <r>
    <n v="88"/>
    <s v="DANILO CUNHA DOS SANTOS"/>
    <n v="2770002792"/>
    <x v="0"/>
    <d v="2022-03-07T00:00:00"/>
    <s v="0ANOS, 11MESES"/>
    <n v="1.0111111111111111"/>
    <x v="2"/>
    <x v="0"/>
    <s v="COLETA DOMICILIAR"/>
    <s v="DIURNO"/>
    <s v="ANA CAROLINA"/>
    <s v="ADVERTENCIA"/>
    <d v="2023-03-06T00:00:00"/>
    <x v="3"/>
    <d v="2023-03-07T00:00:00"/>
    <s v="mar/2023"/>
    <s v="MARÇO"/>
    <x v="0"/>
    <d v="2023-03-07T00:00:00"/>
    <x v="0"/>
    <s v="FALTA INJUSTIFICADA EM 06/03/2023, COLABORADOR INFORMA QUE FOI BUSCAR ATENDIMENTO, PORÉM NÃO TEM ATESTADO MÉDICO."/>
  </r>
  <r>
    <n v="89"/>
    <s v="DOUGLAS ALBERTO DA SILVA E SILVA"/>
    <n v="2770002607"/>
    <x v="2"/>
    <d v="2021-08-02T00:00:00"/>
    <s v="1ANOS, 7MESES"/>
    <n v="1.6138888888888889"/>
    <x v="2"/>
    <x v="5"/>
    <s v="EDUCAÇÃO AMBIENTAL"/>
    <s v="DIURNO"/>
    <s v="ELISÂNGELA COSTA"/>
    <s v="ADVERTENCIA"/>
    <d v="2023-03-06T00:00:00"/>
    <x v="3"/>
    <d v="2023-03-10T00:00:00"/>
    <s v="mar/2023"/>
    <s v="MARÇO"/>
    <x v="0"/>
    <d v="2023-03-06T00:00:00"/>
    <x v="0"/>
    <s v="O APRENDIZ FALTOU NO DIA 06/03/2023 SEM JUSTIFICATIVA NO CURSO DE APRENDIZAGEM/ADCAM."/>
  </r>
  <r>
    <n v="90"/>
    <s v="BRUNO MELO DA GRACA"/>
    <n v="2770002917"/>
    <x v="0"/>
    <d v="2022-09-01T00:00:00"/>
    <s v="0ANOS, 6MESES"/>
    <n v="0.53333333333333333"/>
    <x v="0"/>
    <x v="0"/>
    <s v="COLETA DOMICILIAR"/>
    <s v="DIURNO"/>
    <s v="ANA CAROLINA"/>
    <s v="ADVERTENCIA"/>
    <d v="2023-03-12T00:00:00"/>
    <x v="3"/>
    <d v="2023-03-13T00:00:00"/>
    <s v="mar/2023"/>
    <s v="MARÇO"/>
    <x v="0"/>
    <d v="2023-03-13T00:00:00"/>
    <x v="0"/>
    <s v="FALTA INJUSTIFICADA EM 12/03/2023, COLABORADOR INFORMA QUE PERDEU O HORÁRIO."/>
  </r>
  <r>
    <n v="91"/>
    <s v="THIAGO MAR DE SÁ"/>
    <n v="2770002885"/>
    <x v="0"/>
    <d v="2022-06-15T00:00:00"/>
    <s v="0ANOS, 8MESES"/>
    <n v="0.75"/>
    <x v="0"/>
    <x v="0"/>
    <s v="COLETA DOMICILIAR"/>
    <s v="DIURNO"/>
    <s v="ANA CAROLINA"/>
    <s v="ADVERTENCIA"/>
    <d v="2023-03-12T00:00:00"/>
    <x v="3"/>
    <d v="2023-03-13T00:00:00"/>
    <s v="mar/2023"/>
    <s v="MARÇO"/>
    <x v="0"/>
    <d v="2023-03-13T00:00:00"/>
    <x v="0"/>
    <s v="FALTA INJUSTIFICADA EM 12/03/2023, COLABORADOR INFORMA QUE NÃO TINHA QUEM FICASSE COM O FILHO."/>
  </r>
  <r>
    <n v="92"/>
    <s v="BRUNO JEAN OLIVEIRA DA COSTA"/>
    <n v="2770002131"/>
    <x v="0"/>
    <d v="2019-10-04T00:00:00"/>
    <s v="3ANOS, 5MESES"/>
    <n v="3.4805555555555556"/>
    <x v="1"/>
    <x v="1"/>
    <s v="COLETA DOMICILIAR"/>
    <s v="NOTURNO"/>
    <s v="CARLOS EDUARDO"/>
    <s v="ADVERTENCIA"/>
    <d v="2023-03-10T00:00:00"/>
    <x v="3"/>
    <d v="2023-03-13T00:00:00"/>
    <s v="mar/2023"/>
    <s v="MARÇO"/>
    <x v="0"/>
    <d v="2023-03-13T00:00:00"/>
    <x v="1"/>
    <s v="EXCESSO DE VELOCIDADE 75 KM, CC 705 NO DIA 10/03/2023 AS 00:14 EM VIA PÚBLICA."/>
  </r>
  <r>
    <n v="93"/>
    <s v="MATHEUS DE ARAÚJO NOGUEIRA"/>
    <n v="2770002673"/>
    <x v="2"/>
    <d v="2021-10-04T00:00:00"/>
    <s v="1ANOS, 5MESES"/>
    <n v="1.4777777777777779"/>
    <x v="2"/>
    <x v="5"/>
    <s v="EDUCAÇÃO AMBIENTAL"/>
    <s v="DIURNO"/>
    <s v="ELISÂNGELA COSTA"/>
    <s v="ADVERTENCIA"/>
    <d v="2023-03-20T00:00:00"/>
    <x v="3"/>
    <d v="2023-03-17T00:00:00"/>
    <s v="mar/2023"/>
    <s v="MARÇO"/>
    <x v="0"/>
    <d v="2023-03-20T00:00:00"/>
    <x v="0"/>
    <s v="FALTA INJUSTIFICADA EM 17/03/2023, COLABORADOR FOI ORIENTADO A BUSCAR ATENDIMENTO MÉDICO, PORÉM NÃO APRESENTOU NENHUMA JUSTIFICATIVA."/>
  </r>
  <r>
    <n v="94"/>
    <s v="ADEILTON GONCALVES DA SILVA"/>
    <n v="2770002704"/>
    <x v="0"/>
    <d v="2021-11-18T00:00:00"/>
    <s v="1ANOS, 4MESES"/>
    <n v="1.3472222222222223"/>
    <x v="2"/>
    <x v="0"/>
    <s v="COLETA DOMICILIAR"/>
    <s v="DIURNO"/>
    <s v="ANA CAROLINA"/>
    <s v="ADVERTENCIA"/>
    <d v="2023-03-18T00:00:00"/>
    <x v="3"/>
    <d v="2023-03-20T00:00:00"/>
    <s v="mar/2023"/>
    <s v="MARÇO"/>
    <x v="0"/>
    <d v="2023-03-20T00:00:00"/>
    <x v="0"/>
    <s v="FALTA INJUSTIFICADA EM 18/03/2023, COLABORADOR INFORMA QUE FOI AO MÉDICO PORÉM NÃO TEM ATESTADO MÉDICO."/>
  </r>
  <r>
    <n v="95"/>
    <s v="ANTÔNIO LUIS RIBEIRO ALEXANDRE"/>
    <n v="2770002929"/>
    <x v="1"/>
    <d v="2022-09-01T00:00:00"/>
    <s v="0ANOS, 6MESES"/>
    <n v="0.55277777777777781"/>
    <x v="0"/>
    <x v="0"/>
    <s v="COLETA DOMICILIAR"/>
    <s v="NOTURNO"/>
    <s v="CARLOS EDUARDO"/>
    <s v="ADVERTENCIA"/>
    <d v="2023-03-19T00:00:00"/>
    <x v="3"/>
    <d v="2023-03-20T00:00:00"/>
    <s v="mar/2023"/>
    <s v="MARÇO"/>
    <x v="0"/>
    <d v="2023-03-20T00:00:00"/>
    <x v="4"/>
    <s v="CHEGOU ATRASADO NO DOMINGO DIA 19/03/2023."/>
  </r>
  <r>
    <n v="96"/>
    <s v="ADRIANO WALBEG DA SILVA PINTO"/>
    <n v="2770002881"/>
    <x v="0"/>
    <d v="2022-06-01T00:00:00"/>
    <s v="0ANOS, 9MESES"/>
    <n v="0.81388888888888888"/>
    <x v="0"/>
    <x v="1"/>
    <s v="COLETA DOMICILIAR"/>
    <s v="NOTURNO"/>
    <s v="CARLOS EDUARDO"/>
    <s v="ADVERTENCIA"/>
    <d v="2023-03-21T00:00:00"/>
    <x v="3"/>
    <d v="2023-03-21T00:00:00"/>
    <s v="mar/2023"/>
    <s v="MARÇO"/>
    <x v="0"/>
    <d v="2023-03-21T00:00:00"/>
    <x v="1"/>
    <s v="EXCESSO DE VELOCIDADE 75 KM, CC 01 - 702-20, NO DIA 21/03/2023 AS 00:00 HS... EM VIA PÚBLICA."/>
  </r>
  <r>
    <n v="97"/>
    <s v="JUSSARA ROCHA DA SILVA"/>
    <n v="2770002740"/>
    <x v="0"/>
    <d v="2021-12-09T00:00:00"/>
    <s v="1ANOS, 3MESES"/>
    <n v="1.288888888888889"/>
    <x v="2"/>
    <x v="4"/>
    <s v="EDUCAÇÃO AMBIENTAL"/>
    <s v="DIURNO"/>
    <s v="ELISÂNGELA COSTA"/>
    <s v="ADVERTENCIA"/>
    <d v="2023-03-18T00:00:00"/>
    <x v="3"/>
    <d v="2023-03-22T00:00:00"/>
    <s v="mar/2023"/>
    <s v="MARÇO"/>
    <x v="0"/>
    <d v="2023-03-22T00:00:00"/>
    <x v="0"/>
    <s v="FALTA NÃO JUSTIFICADA NO DIA 18/03/2023, INFORMOU QUE FOI BUSCAR ATENDIMENTO, PORÉM NÃO APRESENTOU NENHUM DOCUMENTO."/>
  </r>
  <r>
    <n v="98"/>
    <s v="EUDES DA SILVA PINTO"/>
    <n v="2770002271"/>
    <x v="0"/>
    <d v="2020-06-01T00:00:00"/>
    <s v="2ANOS, 9MESES"/>
    <n v="2.8472222222222223"/>
    <x v="2"/>
    <x v="1"/>
    <s v="COLETA DOMICILIAR"/>
    <s v="NOTURNO"/>
    <s v="CARLOS EDUARDO"/>
    <s v="ADVERTENCIA"/>
    <d v="2023-03-23T00:00:00"/>
    <x v="3"/>
    <d v="2023-03-23T00:00:00"/>
    <s v="mar/2023"/>
    <s v="MARÇO"/>
    <x v="0"/>
    <d v="2023-03-23T00:00:00"/>
    <x v="1"/>
    <s v="EXCESSO DE VELOCIDADE 74 KM, CC 01-697-20, NO DIA 23/03/2023 AS 00.00.07 HS... EM VIA PÚBLICA."/>
  </r>
  <r>
    <n v="99"/>
    <s v="DAVI SOUSA DA COSTA"/>
    <n v="2770002884"/>
    <x v="0"/>
    <d v="2022-06-15T00:00:00"/>
    <s v="0ANOS, 9MESES"/>
    <n v="0.78333333333333333"/>
    <x v="0"/>
    <x v="0"/>
    <s v="COLETA DOMICILIAR"/>
    <s v="DIURNO"/>
    <s v="JOÃO PEDRO"/>
    <s v="ADVERTENCIA"/>
    <d v="2023-03-24T00:00:00"/>
    <x v="3"/>
    <d v="2023-03-24T00:00:00"/>
    <s v="mar/2023"/>
    <s v="MARÇO"/>
    <x v="0"/>
    <d v="2023-03-24T00:00:00"/>
    <x v="3"/>
    <s v="COLABORADOR VEM UTILIZANDO O EPI IRREGULAR, FAZ USO DO BONÉ DESCARACTERIZADO FORA DOS PADRÕES DA EMPRESA."/>
  </r>
  <r>
    <n v="100"/>
    <s v="RAILSON GOMES MAIA"/>
    <n v="2770002569"/>
    <x v="0"/>
    <d v="2021-06-04T00:00:00"/>
    <s v="1ANOS, 9MESES"/>
    <n v="1.8333333333333333"/>
    <x v="2"/>
    <x v="0"/>
    <s v="COLETA DOMICILIAR"/>
    <s v="DIURNO"/>
    <s v="JOÃO PEDRO"/>
    <s v="ADVERTENCIA"/>
    <d v="2023-03-26T00:00:00"/>
    <x v="3"/>
    <d v="2023-03-25T00:00:00"/>
    <s v="mar/2023"/>
    <s v="MARÇO"/>
    <x v="0"/>
    <d v="2023-03-26T00:00:00"/>
    <x v="3"/>
    <s v="COLABORADOR VEM SE RECUSANDO A UTILIZAR OS EPI´S (BONE E MANGAS DA BLUSA) DE FORMA ADEQUADA NA EXECUÇÃO DE SUAS ATIVIDADES, ABORDAGEM FEITA PELO FISCAL E AINDA ASSIM HOUVE A RECUSA POR PARTE DO COLABORADOR."/>
  </r>
  <r>
    <n v="101"/>
    <s v="IOMAR CASTRO DA COSTA JUNIOR"/>
    <n v="2770002470"/>
    <x v="0"/>
    <d v="2021-02-17T00:00:00"/>
    <s v="2ANOS, 1MESES"/>
    <n v="2.1222222222222222"/>
    <x v="2"/>
    <x v="1"/>
    <s v="COLETA DOMICILIAR"/>
    <s v="DIURNO"/>
    <s v="ANA CAROLINA"/>
    <s v="ADVERTENCIA"/>
    <d v="2023-03-23T00:00:00"/>
    <x v="3"/>
    <d v="2023-03-25T00:00:00"/>
    <s v="mar/2023"/>
    <s v="MARÇO"/>
    <x v="0"/>
    <d v="2023-03-25T00:00:00"/>
    <x v="1"/>
    <s v="COLABORADOR EXCEDEU O LIMITE DE VELOCIDADE PERMITIDO PELA EMPRESA, CHEGANDO A 85 KM NO DIA 23/03 AS 12:45H."/>
  </r>
  <r>
    <n v="102"/>
    <s v="RODRIGO ALMEIDA LOPES"/>
    <n v="2770002491"/>
    <x v="0"/>
    <d v="2021-03-13T00:00:00"/>
    <s v="2ANOS, 0MESES"/>
    <n v="2.0555555555555554"/>
    <x v="2"/>
    <x v="1"/>
    <s v="COLETA DOMICILIAR"/>
    <s v="DIURNO"/>
    <s v="JOÃO PEDRO"/>
    <s v="ADVERTENCIA"/>
    <d v="2023-03-23T00:00:00"/>
    <x v="3"/>
    <d v="2023-03-25T00:00:00"/>
    <s v="mar/2023"/>
    <s v="MARÇO"/>
    <x v="0"/>
    <d v="2023-03-25T00:00:00"/>
    <x v="1"/>
    <s v="COLABORADOR EXCEDEU O LIMITE DE VELOCIDADE PERMITIDO PELA EMPRESA, CHEGANDO A 72 KM NO DIA 23/03 AS 16:54H."/>
  </r>
  <r>
    <n v="103"/>
    <s v="BRUNO JEAN OLIVEIRA DA COSTA"/>
    <n v="2770002131"/>
    <x v="0"/>
    <d v="2019-10-04T00:00:00"/>
    <s v="3ANOS, 5MESES"/>
    <n v="3.5333333333333332"/>
    <x v="1"/>
    <x v="1"/>
    <s v="COLETA DOMICILIAR"/>
    <s v="NOTURNO"/>
    <s v="CARLOS EDUARDO"/>
    <s v="ADVERTENCIA"/>
    <d v="2023-03-29T00:00:00"/>
    <x v="3"/>
    <d v="2023-03-29T00:00:00"/>
    <s v="mar/2023"/>
    <s v="MARÇO"/>
    <x v="0"/>
    <d v="2023-03-29T00:00:00"/>
    <x v="3"/>
    <s v="NÃO COMUNICOU AO FISCAL NO ATO DO SINISTRO."/>
  </r>
  <r>
    <n v="104"/>
    <s v="MAILSON GOMES MAIA"/>
    <n v="2770003046"/>
    <x v="0"/>
    <d v="2022-12-07T00:00:00"/>
    <s v="0ANOS, 3MESES"/>
    <n v="0.30277777777777776"/>
    <x v="0"/>
    <x v="1"/>
    <s v="COLETA DOMICILIAR"/>
    <s v="NOTURNO"/>
    <s v="JOÃO PEDRO"/>
    <s v="ADVERTENCIA"/>
    <d v="2023-03-26T00:00:00"/>
    <x v="3"/>
    <d v="2023-03-29T00:00:00"/>
    <s v="mar/2023"/>
    <s v="MARÇO"/>
    <x v="0"/>
    <d v="2023-03-29T00:00:00"/>
    <x v="1"/>
    <s v="COLABORADOR EXCEDEU O LIMITE DE VELOCIDADE PERMITIDA PELA EMPRESA, CHEGANDO A 74 KM NO DIA 26/03 ÁS 12:01."/>
  </r>
  <r>
    <n v="105"/>
    <s v="MAILSON GOMES MAIA"/>
    <n v="2770003046"/>
    <x v="0"/>
    <d v="2022-12-07T00:00:00"/>
    <s v="0ANOS, 3MESES"/>
    <n v="0.29444444444444445"/>
    <x v="0"/>
    <x v="1"/>
    <s v="COLETA DOMICILIAR"/>
    <s v="NOTURNO"/>
    <s v="JOÃO PEDRO"/>
    <s v="ADVERTENCIA"/>
    <d v="2023-03-23T00:00:00"/>
    <x v="3"/>
    <d v="2023-03-29T00:00:00"/>
    <s v="mar/2023"/>
    <s v="MARÇO"/>
    <x v="0"/>
    <d v="2023-03-29T00:00:00"/>
    <x v="1"/>
    <s v="COLABORADOR EXCEDEU O LIMITE DE VELOCIDADE PERMITIDO PELA MEPRESSA, CHEGANDO A 77KM NO DIA 23/03 ÁS 10:54."/>
  </r>
  <r>
    <n v="106"/>
    <s v="PETHERSON MATHEUS DOS SANTOS COSTA"/>
    <n v="2770002821"/>
    <x v="0"/>
    <d v="2021-06-01T00:00:00"/>
    <s v="1ANOS, 9MESES"/>
    <n v="1.8472222222222223"/>
    <x v="2"/>
    <x v="0"/>
    <s v="COLETA DOMICILIAR"/>
    <s v="NOTURNO"/>
    <s v="CARLOS EDUARDO"/>
    <s v="ADVERTENCIA"/>
    <d v="2023-03-28T00:00:00"/>
    <x v="3"/>
    <d v="2023-03-29T00:00:00"/>
    <s v="mar/2023"/>
    <s v="MARÇO"/>
    <x v="0"/>
    <d v="2023-03-29T00:00:00"/>
    <x v="0"/>
    <s v="FALTA SEM JUSTIFICATIVA NO DIA 28/03/2023."/>
  </r>
  <r>
    <n v="107"/>
    <s v="THIAGO MAR DE SÁ"/>
    <n v="2770002885"/>
    <x v="0"/>
    <d v="2022-06-15T00:00:00"/>
    <s v="0ANOS, 9MESES"/>
    <n v="0.8"/>
    <x v="0"/>
    <x v="0"/>
    <s v="COLETA DOMICILIAR"/>
    <s v="DIURNO"/>
    <s v="ANA CAROLINA"/>
    <s v="ADVERTENCIA"/>
    <d v="2023-03-30T00:00:00"/>
    <x v="3"/>
    <d v="2023-03-30T00:00:00"/>
    <s v="mar/2023"/>
    <s v="MARÇO"/>
    <x v="0"/>
    <d v="2023-03-30T00:00:00"/>
    <x v="3"/>
    <s v="COLABORADOR ESTAVA FAZENDO ARRUMAÇÃO DE LIXO NO SETOR, SITUAÇÃO IDENTIFICADA E ASSUMIDA PELO AGENTE DE COLETA."/>
  </r>
  <r>
    <n v="108"/>
    <s v="MAX MODESTO CASTRO "/>
    <n v="2770002482"/>
    <x v="0"/>
    <d v="2021-03-08T00:00:00"/>
    <s v="2ANOS, 0MESES"/>
    <n v="2.0916666666666668"/>
    <x v="2"/>
    <x v="0"/>
    <s v="COLETA DOMICILIAR"/>
    <s v="DIURNO"/>
    <s v="JOÃO PEDRO"/>
    <s v="ADVERTENCIA"/>
    <d v="2023-03-31T00:00:00"/>
    <x v="3"/>
    <d v="2023-03-30T00:00:00"/>
    <s v="mar/2023"/>
    <s v="MARÇO"/>
    <x v="0"/>
    <d v="2023-03-30T00:00:00"/>
    <x v="3"/>
    <s v="COLABORADOR NÃO CUMPRIU COM O PROCEDIMENTO EM DESLOCAMENTO NO SETOR, CONFORME PO-08 (EM DESLOCAMENTO OS AGENTES DEVEM IR NA CABINE.) ONDE OCORREU UM SINISTRO DE TRÊNSITO TENDO VÁRIOS AGENTES ACIDENDATOS, POIS ESTAVA NO ESTRIBO DO CAMINHÃO."/>
  </r>
  <r>
    <n v="109"/>
    <s v="RAIMUNDO DE LIMA GORGONHO"/>
    <n v="2770000705"/>
    <x v="0"/>
    <d v="2013-04-01T00:00:00"/>
    <s v="9ANOS, 11MESES"/>
    <n v="10.138888888888889"/>
    <x v="3"/>
    <x v="1"/>
    <s v="COLETA DOMICILIAR"/>
    <s v="DIURNO"/>
    <s v="JOÃO PEDRO"/>
    <s v="ADVERTENCIA"/>
    <d v="2023-03-30T00:00:00"/>
    <x v="3"/>
    <d v="2023-03-30T00:00:00"/>
    <s v="mar/2023"/>
    <s v="MARÇO"/>
    <x v="0"/>
    <d v="2023-03-30T00:00:00"/>
    <x v="3"/>
    <s v="MOTORISTA NÃO SE FEZ CUMPRIR COM O PROCEDIMENTO EM DESLOCAMENTO NO SETOR, CONFORME PO-08 (EM PROCEDIMENTO, OS AGENTES DE COLETA DEVEM IR NA CABINE.) ONDE OCORREU UM SINISTRO DE TRÂNSITO TENDO AGENTES ACIDENTADOS."/>
  </r>
  <r>
    <n v="110"/>
    <s v="CLAUDIONOR CONCEIÇÃO DA SILVA"/>
    <n v="2770003092"/>
    <x v="1"/>
    <d v="2023-03-08T00:00:00"/>
    <s v="0ANOS, 0MESES"/>
    <n v="6.3888888888888884E-2"/>
    <x v="0"/>
    <x v="0"/>
    <s v="COLETA DOMICILIAR"/>
    <s v="DIURNO"/>
    <s v="JOÃO PEDRO"/>
    <s v="ADVERTENCIA"/>
    <d v="2023-03-31T00:00:00"/>
    <x v="3"/>
    <d v="2023-03-31T00:00:00"/>
    <s v="mar/2023"/>
    <s v="MARÇO"/>
    <x v="0"/>
    <d v="2023-03-31T00:00:00"/>
    <x v="3"/>
    <s v="COLABORADOR FOI IDENTIFICADO FAZENDO ARRUMAÇÃO DE LIXO NO SETOR 90.1.114 FORA DOS PADRÕES OPERACIONAIS."/>
  </r>
  <r>
    <n v="111"/>
    <s v="PEDRO IGOR FIDELIS FELICIANO "/>
    <n v="2770002786"/>
    <x v="0"/>
    <d v="2022-02-14T00:00:00"/>
    <s v="1ANOS, 1MESES"/>
    <n v="1.1388888888888888"/>
    <x v="2"/>
    <x v="0"/>
    <s v="COLETA DOMICILIAR"/>
    <s v="DIURNO"/>
    <s v="JOÃO PEDRO"/>
    <s v="ADVERTENCIA"/>
    <d v="2023-03-31T00:00:00"/>
    <x v="3"/>
    <d v="2023-03-31T00:00:00"/>
    <s v="mar/2023"/>
    <s v="MARÇO"/>
    <x v="0"/>
    <d v="2023-03-31T00:00:00"/>
    <x v="3"/>
    <s v="COLABORADOR FOI IDENTIFICADO FAZENDO ARRUMAÇÃO DE LIXO NO SETOR 90.1.114 FORA DOS PADRÕES OPERACIONAIS."/>
  </r>
  <r>
    <n v="112"/>
    <s v="ANA PAULA CARDOSO GUIMARÃES"/>
    <n v="2770002200"/>
    <x v="0"/>
    <d v="2020-01-17T00:00:00"/>
    <s v="3ANOS, 2MESES"/>
    <n v="3.25"/>
    <x v="1"/>
    <x v="4"/>
    <s v="EDUCAÇÃO AMBIENTAL"/>
    <s v="DIURNO"/>
    <s v="ELISANGELA COSTA"/>
    <s v="ADVERTENCIA"/>
    <d v="2023-04-01T00:00:00"/>
    <x v="4"/>
    <d v="2023-04-03T00:00:00"/>
    <s v="abr/2023"/>
    <s v="ABRIL"/>
    <x v="0"/>
    <d v="2023-04-03T00:00:00"/>
    <x v="0"/>
    <s v="FALTA INJUSTIFICADA NO DIA 01/04/2023, DISSE QUE ESTAVA CANSADA DA SEMANA E NÃO SE SENTIA BEM PARA TRABALHAR."/>
  </r>
  <r>
    <n v="113"/>
    <s v="DERICK PRAXEDES DA MOTA"/>
    <n v="2770002699"/>
    <x v="0"/>
    <d v="2021-11-18T00:00:00"/>
    <s v="1ANOS, 4MESES"/>
    <n v="1.3916666666666666"/>
    <x v="2"/>
    <x v="0"/>
    <s v="COLETA DOMICILIAR"/>
    <s v="DIURNO"/>
    <s v="JOÃO PEDRO"/>
    <s v="SUSPENSÃO"/>
    <d v="2023-04-03T00:00:00"/>
    <x v="4"/>
    <d v="2023-04-03T00:00:00"/>
    <s v="abr/2023"/>
    <s v="ABRIL"/>
    <x v="0"/>
    <d v="2023-04-06T00:00:00"/>
    <x v="0"/>
    <s v="FALTA INJUSTIFICADA DIA 01/04/2023, COLABORADOR INFORMA QUE NECESSITOU LEVAR O IRMÃO AO MÉDICO POIS ESTAVA COM ALERGIA, PORÉM NÃO APRESENTOU NENHUM DOCUMENTO."/>
  </r>
  <r>
    <n v="114"/>
    <s v="ALVARO FILHO DA SILVA SANTOS"/>
    <n v="2770002369"/>
    <x v="0"/>
    <d v="2020-10-05T00:00:00"/>
    <s v="2ANOS, 5MESES"/>
    <n v="2.5222222222222221"/>
    <x v="2"/>
    <x v="0"/>
    <s v="COLETA DOMICILIAR"/>
    <s v="DIURNO"/>
    <s v="JOÃO PEDRO"/>
    <s v="SUSPENSÃO"/>
    <d v="2023-04-01T00:00:00"/>
    <x v="4"/>
    <d v="2023-04-03T00:00:00"/>
    <s v="abr/2023"/>
    <s v="ABRIL"/>
    <x v="0"/>
    <d v="2023-04-06T00:00:00"/>
    <x v="0"/>
    <s v="FALTA INJUSTIFICADA DIA 01/04/2023, COLABORADOR INFORMA QUE NÃO ESTAVA SE SENTINDO BEM, PORÉM NÃO PROCUROU ATENDIMENTO."/>
  </r>
  <r>
    <n v="115"/>
    <s v="EDUARDO SILVA DE OLIVEIRA"/>
    <n v="2770003044"/>
    <x v="1"/>
    <d v="2022-12-07T00:00:00"/>
    <s v="0ANOS, 3MESES"/>
    <n v="0.32222222222222224"/>
    <x v="0"/>
    <x v="0"/>
    <s v="COLETA DOMICILIAR"/>
    <s v="NOTURNO"/>
    <s v="CARLOS EDUARDO"/>
    <s v="ADVERTENCIA"/>
    <d v="2023-04-02T00:00:00"/>
    <x v="4"/>
    <d v="2023-04-03T00:00:00"/>
    <s v="abr/2023"/>
    <s v="ABRIL"/>
    <x v="0"/>
    <d v="2023-04-03T00:00:00"/>
    <x v="0"/>
    <s v="FALTOU NO DIA 02/04/2023, PLANTÃO DE DOMINGO E SEM JUSTIFICATIVA."/>
  </r>
  <r>
    <n v="116"/>
    <s v="EULONIO SALES VIANA "/>
    <n v="2770002613"/>
    <x v="0"/>
    <d v="2021-08-09T00:00:00"/>
    <s v="1ANOS, 7MESES"/>
    <n v="1.6666666666666667"/>
    <x v="2"/>
    <x v="0"/>
    <s v="COLETA DOMICILIAR"/>
    <s v="NOTURNO"/>
    <s v="CARLOS EDUARDO"/>
    <s v="SUSPENSÃO"/>
    <d v="2023-04-01T00:00:00"/>
    <x v="4"/>
    <d v="2023-04-03T00:00:00"/>
    <s v="abr/2023"/>
    <s v="ABRIL"/>
    <x v="0"/>
    <d v="2023-04-08T00:00:00"/>
    <x v="0"/>
    <s v="FALTOU DOIS DIAS 31/03 E 01/04/2023, SEM JUSTIFICATIVA."/>
  </r>
  <r>
    <n v="117"/>
    <s v="NATANAEL SERRAO MARTINS"/>
    <n v="2770002874"/>
    <x v="0"/>
    <d v="2022-06-01T00:00:00"/>
    <s v="0ANOS, 10MESES"/>
    <n v="0.85277777777777775"/>
    <x v="0"/>
    <x v="0"/>
    <s v="COLETA DOMICILIAR"/>
    <s v="NOTURNO"/>
    <s v="CARLOS EDUARDO"/>
    <s v="ADVERTENCIA"/>
    <d v="2023-04-04T00:00:00"/>
    <x v="4"/>
    <d v="2023-04-04T00:00:00"/>
    <s v="abr/2023"/>
    <s v="ABRIL"/>
    <x v="0"/>
    <d v="2023-04-04T00:00:00"/>
    <x v="0"/>
    <s v="FALTOU NO DIA 03/04/2023, SEM JUSTIFICATIVA, APRESENTOU UMA DECLARAÇÃO DE COMPARECIMENTO DO DIA 03/04 NO HORÁRIO DE 22:00 ÀS 23:00, NO DIA 04/04/2023."/>
  </r>
  <r>
    <n v="118"/>
    <s v="JHON CLEY BARBOSA DA SILVA"/>
    <n v="2770002988"/>
    <x v="0"/>
    <d v="2022-11-03T00:00:00"/>
    <s v="0ANOS, 4MESES"/>
    <n v="0.41388888888888886"/>
    <x v="0"/>
    <x v="0"/>
    <s v="COLETA DOMICILIAR"/>
    <s v="DIURNO"/>
    <s v="JOÃO PEDRO"/>
    <s v="ADVERTENCIA"/>
    <d v="2023-04-01T00:00:00"/>
    <x v="4"/>
    <d v="2023-04-05T00:00:00"/>
    <s v="abr/2023"/>
    <s v="ABRIL"/>
    <x v="0"/>
    <d v="2023-04-05T00:00:00"/>
    <x v="0"/>
    <s v="COLABORADOR NÃO COMPARECEU AO TRABALHO NO DIA 01/04/2023, O MESMO NÃO APRESENTOU JUSTIFICATIVA."/>
  </r>
  <r>
    <n v="119"/>
    <s v="RONADE DIMAS GONZAGA"/>
    <n v="2770002661"/>
    <x v="0"/>
    <d v="2021-10-04T00:00:00"/>
    <s v="1ANOS, 6MESES"/>
    <n v="1.5222222222222221"/>
    <x v="2"/>
    <x v="0"/>
    <s v="COLETA DOMICILIAR"/>
    <s v="DIURNO"/>
    <s v="JOÃO PEDRO"/>
    <s v="ADVERTENCIA"/>
    <d v="2023-04-05T00:00:00"/>
    <x v="4"/>
    <d v="2023-04-05T00:00:00"/>
    <s v="abr/2023"/>
    <s v="ABRIL"/>
    <x v="0"/>
    <d v="2023-04-05T00:00:00"/>
    <x v="3"/>
    <s v="AGENTE DE COLETA REALIZANDO ARRUMAÇÃO NO LIXO 90.1.109 NA ABORDAGEM FEITA PELO FISCAL E COM INDICIOS DE EMBRIAGUEZ."/>
  </r>
  <r>
    <n v="120"/>
    <s v="RONADE DIMAS GONZAGA"/>
    <n v="2770002661"/>
    <x v="0"/>
    <d v="2021-10-04T00:00:00"/>
    <s v="1ANOS, 6MESES"/>
    <n v="1.5222222222222221"/>
    <x v="2"/>
    <x v="0"/>
    <s v="COLETA DOMICILIAR"/>
    <s v="DIURNO"/>
    <s v="JOÃO PEDRO"/>
    <s v="ADVERTENCIA"/>
    <d v="2023-04-05T00:00:00"/>
    <x v="4"/>
    <d v="2023-04-05T00:00:00"/>
    <s v="abr/2023"/>
    <s v="ABRIL"/>
    <x v="0"/>
    <d v="2023-04-05T00:00:00"/>
    <x v="3"/>
    <s v="AGENTE DE COLETA REALIZANDO ARRUMAÇÃO NO LIXO 90.1.109 NA ABOORDAGEM PELO FISCAL E COM INDICIOS DE EMBRIAGUEZ."/>
  </r>
  <r>
    <n v="121"/>
    <s v="GEOVANNY MONTEIRO DOS SANTOS "/>
    <n v="2770003109"/>
    <x v="1"/>
    <d v="2023-03-16T00:00:00"/>
    <s v="0ANOS, 0MESES"/>
    <n v="5.5555555555555552E-2"/>
    <x v="0"/>
    <x v="0"/>
    <s v="COLETA DOMICILIAR"/>
    <s v="DIURNO"/>
    <s v="JOÃO PEDRO"/>
    <s v="ADVERTENCIA"/>
    <d v="2023-04-05T00:00:00"/>
    <x v="4"/>
    <d v="2023-04-05T00:00:00"/>
    <s v="abr/2023"/>
    <s v="ABRIL"/>
    <x v="0"/>
    <d v="2023-04-05T00:00:00"/>
    <x v="3"/>
    <s v="COLABORADOR NÃO CUMPRIU COM O PROCEDIMENTO EM DESLOCAMENTO NO SETOR, CONFORME PO-08 (EM DESLOCAMENTO OS AGENTES DEVEM IR NA CABINE.) ONDE OCORREU UM SINISTRO DE TRÊNSITO TENDO VÁRIOS AGENTES ACIDENDATOS, POIS ESTAVA NO ESTRIBO DO CAMINHÃO."/>
  </r>
  <r>
    <n v="122"/>
    <s v="NATANAEL SERRAO MARTINS"/>
    <n v="2770002874"/>
    <x v="0"/>
    <d v="2022-06-01T00:00:00"/>
    <s v="0ANOS, 10MESES"/>
    <n v="0.85833333333333328"/>
    <x v="0"/>
    <x v="0"/>
    <s v="COLETA DOMICILIAR"/>
    <s v="NOTURNO"/>
    <s v="CARLOS EDUARDO"/>
    <s v="SUSPENSÃO"/>
    <d v="2023-04-06T00:00:00"/>
    <x v="4"/>
    <d v="2023-04-06T00:00:00"/>
    <s v="abr/2023"/>
    <s v="ABRIL"/>
    <x v="0"/>
    <d v="2023-04-07T00:00:00"/>
    <x v="3"/>
    <s v="ESTAVA DE MAU PROCEDIMENTO EM RELAÇÃO A COLETA NO MICRO COLETOR 824, O MOTORISTA RECLAMOU DO MESMO QUE ESTAVA JOGANDO O LIXO DE QUALQUER JEITO E SE NEGANDO A JUNTAR O DERRAME, O FISCAL DA AREA FOI ACIONADO E O AGENTE SE ALTEROU DESRESPEITANDO O SEU SUPERIOR IMEDIATO."/>
  </r>
  <r>
    <n v="123"/>
    <s v="WAGNER GOMES DA LUZ"/>
    <n v="2770002520"/>
    <x v="0"/>
    <d v="2021-05-03T00:00:00"/>
    <s v="1ANOS, 11MESES"/>
    <n v="1.9694444444444446"/>
    <x v="2"/>
    <x v="0"/>
    <s v="COLETA DOMICILIAR"/>
    <s v="DIURNO"/>
    <s v="JOÃO PEDRO"/>
    <s v="ADVERTENCIA"/>
    <d v="2023-04-12T00:00:00"/>
    <x v="4"/>
    <d v="2023-04-12T00:00:00"/>
    <s v="abr/2023"/>
    <s v="ABRIL"/>
    <x v="0"/>
    <d v="2023-04-12T00:00:00"/>
    <x v="3"/>
    <s v="COLABORADOR NÃO CUMPRIU COM O PROCEDIMENTO EM DESLOCAMENTO NO SETOR, CONFORME PO-08 (EM DESLOCAMENTO OS AGENTES DEVEM IR NA CABINE.) ONDE OCORREU UM SINISTRO DE TRÊNSITO TENDO VÁRIOS AGENTES ACIDENDATOS, POIS ESTAVA NO ESTRIBO DO CAMINHÃO."/>
  </r>
  <r>
    <n v="124"/>
    <s v="PEDRO IGOR FIDELIS FELICIANO "/>
    <n v="2770002786"/>
    <x v="0"/>
    <d v="2022-02-14T00:00:00"/>
    <s v="1ANOS, 1MESES"/>
    <n v="1.175"/>
    <x v="2"/>
    <x v="0"/>
    <s v="COLETA DOMICILIAR"/>
    <s v="DIURNO"/>
    <s v="JOÃO PEDRO"/>
    <s v="ADVERTENCIA"/>
    <d v="2023-04-13T00:00:00"/>
    <x v="4"/>
    <d v="2023-04-13T00:00:00"/>
    <s v="abr/2023"/>
    <s v="ABRIL"/>
    <x v="0"/>
    <d v="2023-04-13T00:00:00"/>
    <x v="4"/>
    <s v="COLABORADOR VEM CHEGANDO ATRASADO COM FREQUÊNCIA (PONTUADO NOS DIAS 04/04, 05/04 E 06/04, 12/04 E 13/04) SEM APRESENTAR JUSTIFICATIVA."/>
  </r>
  <r>
    <n v="125"/>
    <s v="PEDRO IGOR FIDELIS FELICIANO"/>
    <n v="2770002786"/>
    <x v="0"/>
    <d v="2022-02-14T00:00:00"/>
    <s v="1ANOS, 1MESES"/>
    <n v="1.1722222222222223"/>
    <x v="2"/>
    <x v="0"/>
    <s v="COLETA DOMICILIAR"/>
    <s v="DIURNO"/>
    <s v="JOÃO PEDRO"/>
    <s v="ADVERTENCIA"/>
    <d v="2023-04-12T00:00:00"/>
    <x v="4"/>
    <d v="2023-04-13T00:00:00"/>
    <s v="abr/2023"/>
    <s v="ABRIL"/>
    <x v="0"/>
    <d v="2023-04-13T00:00:00"/>
    <x v="4"/>
    <s v="COLABORADOR VEM CHEGANDO ATRASADO COM FREQUÊNCIA (PONTUADO NOS DIA 04/04, 05/04 E 06/04, 12/04 E 13/04) SEM APRESENTAR QUALQUER JUSTIFICATIVA."/>
  </r>
  <r>
    <n v="126"/>
    <s v="MAURICIO WAGNER DA SILVA VASCONCELO"/>
    <n v="2770002331"/>
    <x v="0"/>
    <d v="2020-08-10T00:00:00"/>
    <s v="2ANOS, 8MESES"/>
    <n v="2.7027777777777779"/>
    <x v="2"/>
    <x v="1"/>
    <s v="COLETA DOMICILIAR"/>
    <s v="NOTURNO"/>
    <s v="JOÃO PEDRO"/>
    <s v="ADVERTENCIA"/>
    <d v="2023-04-10T00:00:00"/>
    <x v="4"/>
    <d v="2023-04-15T00:00:00"/>
    <s v="abr/2023"/>
    <s v="ABRIL"/>
    <x v="0"/>
    <d v="2023-04-15T00:00:00"/>
    <x v="1"/>
    <s v="MOTORISTA EXCEDEU A VELOCIDADE PERMITIDO PELA EMPRESA, CHEGANDO A 71 K, NO DIA 10/04/2023 AS 15:47."/>
  </r>
  <r>
    <n v="127"/>
    <s v="ALESSON FARIAS DE ARAÚJO "/>
    <n v="2770003111"/>
    <x v="1"/>
    <d v="2023-03-16T00:00:00"/>
    <s v="0ANOS, 1MESES"/>
    <n v="8.611111111111111E-2"/>
    <x v="0"/>
    <x v="0"/>
    <s v="COLETA DOMICILIAR"/>
    <s v="NOTURNO"/>
    <s v="ANA CAROLINA"/>
    <s v="ADVERTENCIA"/>
    <d v="2023-04-16T00:00:00"/>
    <x v="4"/>
    <d v="2023-04-17T00:00:00"/>
    <s v="abr/2023"/>
    <s v="ABRIL"/>
    <x v="0"/>
    <d v="2023-04-17T00:00:00"/>
    <x v="0"/>
    <s v="FALTOU AO SERVIÇO NO DIA 16/04/2023, ESCALA DE DOMINGO COLABORADOR INFORMA QUE NÃO SABIA O HORÁRIO DO ÔNIBUS, E DEVIDO A ISSO NÃO CONSEGUIU CHEGAR A EMPRESA NO HORÁRIO ESTIPULADO."/>
  </r>
  <r>
    <n v="128"/>
    <s v="JORGE LUIZ DE SOUZA VIEIRA"/>
    <n v="2770002321"/>
    <x v="0"/>
    <d v="2020-08-03T00:00:00"/>
    <s v="2ANOS, 8MESES"/>
    <n v="2.7527777777777778"/>
    <x v="2"/>
    <x v="1"/>
    <s v="COLETA DOMICILIAR"/>
    <s v="DIURNO"/>
    <s v="JOSÉ ADELMAR"/>
    <s v="ADVERTENCIA"/>
    <d v="2023-04-21T00:00:00"/>
    <x v="4"/>
    <d v="2023-04-22T00:00:00"/>
    <s v="abr/2023"/>
    <s v="ABRIL"/>
    <x v="0"/>
    <d v="2023-04-22T00:00:00"/>
    <x v="3"/>
    <s v="NO DIA 21/04/2023 O MOTORISTA AO SAIR DA EMPRESA FOI DA UMA RÉ NO VEÍCULO NÃO PRESTOU ATENÇÃO NO OUTRO VEÍCULO QUE ESTAVA ATRÁS E VEIO BATER NO PARACHOQUE DIANTEIRO DO VEÍCULO QUE ESTAVA ESTACIONADO ATRÁS."/>
  </r>
  <r>
    <n v="129"/>
    <s v="RAILSON GOMES MAIA"/>
    <n v="2770002569"/>
    <x v="1"/>
    <d v="2021-06-04T00:00:00"/>
    <s v="1ANOS, 10MESES"/>
    <n v="1.9166666666666667"/>
    <x v="2"/>
    <x v="0"/>
    <s v="COLETA DOMICILIAR"/>
    <s v="DIURNO"/>
    <s v="JOSÉ ADELMAR"/>
    <s v="SUSPENSÃO"/>
    <d v="2023-04-25T00:00:00"/>
    <x v="4"/>
    <d v="2023-04-25T00:00:00"/>
    <s v="abr/2023"/>
    <s v="ABRIL"/>
    <x v="0"/>
    <d v="2023-05-02T00:00:00"/>
    <x v="0"/>
    <s v="NO DIA 24/04/2023, O COLABORADOR SOLICITOU ATENDIMENTO MÉDICO, O FISCAL PRESTOU ATENDIMENTO LEVANDO O MESMO PRA SER ATENDIDO NA UPA DA CAMAPUÃ, NO DIA 28/04/2023, O MESMO NÃO APRESENTOU NENHUM DOCUMENTO COMPROVANDO QUE FOI ATENDIDO CARACTERIZANDO FALTA NO DIA 24/04/2023."/>
  </r>
  <r>
    <n v="130"/>
    <s v="RAILSON GOMES MAIA"/>
    <n v="2770002569"/>
    <x v="0"/>
    <d v="2021-06-04T00:00:00"/>
    <s v="1ANOS, 10MESES"/>
    <n v="1.913888888888889"/>
    <x v="2"/>
    <x v="0"/>
    <s v="COLETA DOMICILIAR"/>
    <s v="DIURNO"/>
    <s v="JOSÉ ADELMAR"/>
    <s v="SUSPENSÃO"/>
    <d v="2023-04-24T00:00:00"/>
    <x v="4"/>
    <d v="2023-04-25T00:00:00"/>
    <s v="abr/2023"/>
    <s v="ABRIL"/>
    <x v="0"/>
    <d v="2023-05-02T00:00:00"/>
    <x v="0"/>
    <s v="NO DIA 24/04/2023, O COLABORADOR SOLICITOU ATENDIMENTO MÉDICO, O FISCAL PRESTOU ATENDIMENTO LEVANDO O MESMO PRA SER ATENDIDO NA UPA DA CAMAPUÃ, NO DIA 25/04/2023, O MESMO NÃO APRESENTOU NENHUM DOCUMENTO COMPROVANDO QUE FOI ATENDIDO CARACTERIZANDO FALTA NO DIA 24/04/2023."/>
  </r>
  <r>
    <n v="131"/>
    <s v="EDUARDO JAIME COSTA E SILVA FILHO"/>
    <n v="2770003063"/>
    <x v="0"/>
    <d v="2023-01-12T00:00:00"/>
    <s v="0ANOS, 3MESES"/>
    <n v="0.27500000000000002"/>
    <x v="0"/>
    <x v="1"/>
    <s v="COLETA DOMICILIAR"/>
    <s v="NOTURNO"/>
    <s v="JOÃO PEDRO"/>
    <s v="ADVERTENCIA"/>
    <d v="2023-04-21T00:00:00"/>
    <x v="4"/>
    <d v="2023-04-25T00:00:00"/>
    <s v="abr/2023"/>
    <s v="ABRIL"/>
    <x v="0"/>
    <d v="2023-04-25T00:00:00"/>
    <x v="1"/>
    <s v="EXCESSO DE VELOCIDADE NO DIA 21/04/2023 AS 14:13, CHEGANDO A 73 KM."/>
  </r>
  <r>
    <n v="132"/>
    <s v="ALVARO FILHO DA SILVA SANTOS"/>
    <n v="2770002369"/>
    <x v="0"/>
    <d v="2020-10-04T00:00:00"/>
    <s v="2ANOS, 6MESES"/>
    <n v="2.5944444444444446"/>
    <x v="2"/>
    <x v="0"/>
    <s v="COLETA DOMICILIAR"/>
    <s v="DIURNO"/>
    <s v="JOSÉ ADELMAR"/>
    <s v="SUSPENSÃO"/>
    <d v="2023-04-26T00:00:00"/>
    <x v="4"/>
    <d v="2023-04-27T00:00:00"/>
    <s v="abr/2023"/>
    <s v="ABRIL"/>
    <x v="0"/>
    <d v="2023-05-02T00:00:00"/>
    <x v="0"/>
    <s v="FALTA INJUSTIFICADA NO DIA 26/04/2023, O COLABORADOR NÃO COMUNICOU SUA CHEFIA IMEDIATA."/>
  </r>
  <r>
    <n v="133"/>
    <s v="JHON CLEY BARBOSA DA SILVA"/>
    <n v="2770002988"/>
    <x v="0"/>
    <d v="2022-11-03T00:00:00"/>
    <s v="0ANOS, 5MESES"/>
    <n v="0.48333333333333334"/>
    <x v="0"/>
    <x v="0"/>
    <s v="COLETA DOMICILIAR"/>
    <s v="DIURNO"/>
    <s v="JOSÉ ADELMAR"/>
    <s v="ADVERTENCIA"/>
    <d v="2023-04-26T00:00:00"/>
    <x v="4"/>
    <d v="2023-05-01T00:00:00"/>
    <s v="mai/2023"/>
    <s v="MAIO"/>
    <x v="0"/>
    <d v="2023-05-01T00:00:00"/>
    <x v="0"/>
    <s v="FALTA INJUSTIFICADA NO DIA 26/04/2023, O COLABORADOR NÃO COMUNICOU SUA CHEFIA IMEDIATA."/>
  </r>
  <r>
    <n v="134"/>
    <s v="ADEILTON GONCALVES DA SILVA"/>
    <n v="2770002704"/>
    <x v="0"/>
    <d v="2021-11-18T00:00:00"/>
    <s v="1ANOS, 5MESES"/>
    <n v="1.4638888888888888"/>
    <x v="2"/>
    <x v="0"/>
    <s v="COLETA DOMICILIAR"/>
    <s v="DIURNO"/>
    <s v="JOSÉ ADELMAR"/>
    <s v="SUSPENSÃO"/>
    <d v="2023-04-29T00:00:00"/>
    <x v="4"/>
    <d v="2023-05-01T00:00:00"/>
    <s v="mai/2023"/>
    <s v="MAIO"/>
    <x v="0"/>
    <d v="2023-05-02T00:00:00"/>
    <x v="0"/>
    <s v="FALTA INJUSTIFICADA NO DIA 29/04/2023, O COLABORADOR NÃO COMUNICOU SUA CHEFIA IMEDIATA."/>
  </r>
  <r>
    <n v="135"/>
    <s v="DEUSTEVAN CARNEIRO DA SILVA"/>
    <n v="2770000036"/>
    <x v="0"/>
    <d v="2013-02-08T00:00:00"/>
    <s v="10ANOS, 2MESES"/>
    <n v="10.369444444444444"/>
    <x v="3"/>
    <x v="1"/>
    <s v="COLETA DOMICILIAR"/>
    <s v="DIURNO"/>
    <s v="JOSÉ ADELMAR"/>
    <s v="ADVERTENCIA"/>
    <d v="2023-04-30T00:00:00"/>
    <x v="4"/>
    <d v="2023-05-01T00:00:00"/>
    <s v="mai/2023"/>
    <s v="MAIO"/>
    <x v="0"/>
    <d v="2023-05-01T00:00:00"/>
    <x v="0"/>
    <s v="FALTA INJUSTIFICADA NO DIA 30/04/2023, FALTOU A ESCALA DE DOMINGO, O COLABORADOR NÃO COMUNICOU SUA CHEFIA IMEDIATA."/>
  </r>
  <r>
    <n v="136"/>
    <s v="FRANCISCO GEOVANE CARVALHO"/>
    <n v="2770002430"/>
    <x v="0"/>
    <d v="2020-12-04T00:00:00"/>
    <s v="2ANOS, 4MESES"/>
    <n v="2.4361111111111109"/>
    <x v="2"/>
    <x v="0"/>
    <s v="COLETA DOMICILIAR"/>
    <s v="DIURNO"/>
    <s v="JOSÉ ADELMAR"/>
    <s v="ADVERTENCIA"/>
    <d v="2023-04-30T00:00:00"/>
    <x v="4"/>
    <d v="2023-05-01T00:00:00"/>
    <s v="mai/2023"/>
    <s v="MAIO"/>
    <x v="0"/>
    <d v="2023-05-01T00:00:00"/>
    <x v="0"/>
    <s v="FALTA INJUSTIFICADA NO DIA 30/04/2023, FALTOU A ESCALA DE DOMINGO, O COLABORADOR NÃO COMUNICOU SUA CHEFIA IMEDIATA."/>
  </r>
  <r>
    <n v="137"/>
    <s v="RONALD WILLIAM PANTOJA REIS"/>
    <n v="2770002498"/>
    <x v="0"/>
    <d v="2021-04-05T00:00:00"/>
    <s v="2ANOS, 0MESES"/>
    <n v="2.1027777777777779"/>
    <x v="2"/>
    <x v="0"/>
    <s v="COLETA DOMICILIAR"/>
    <s v="DIURNO"/>
    <s v="JOSÉ ADELMAR"/>
    <s v="ADVERTENCIA"/>
    <d v="2023-05-02T00:00:00"/>
    <x v="5"/>
    <d v="2023-05-03T00:00:00"/>
    <s v="mai/2023"/>
    <s v="MAIO"/>
    <x v="0"/>
    <d v="2023-05-03T00:00:00"/>
    <x v="0"/>
    <s v="FALTA INJUSTIFICADA NO DIA 02/05/2023, O COLABORADOR NÃO COMUNICOU SUA CHEFIA IMEDIATA."/>
  </r>
  <r>
    <n v="138"/>
    <s v="GENISON NOBRE DA SILVA"/>
    <n v="2770002677"/>
    <x v="0"/>
    <d v="2021-10-03T00:00:00"/>
    <s v="1ANOS, 6MESES"/>
    <n v="1.6"/>
    <x v="2"/>
    <x v="0"/>
    <s v="COLETA DOMICILIAR"/>
    <s v="DIURNO"/>
    <s v="JOSÉ ADELMAR"/>
    <s v="ADVERTENCIA"/>
    <d v="2023-05-02T00:00:00"/>
    <x v="5"/>
    <d v="2023-05-03T00:00:00"/>
    <s v="mai/2023"/>
    <s v="MAIO"/>
    <x v="0"/>
    <d v="2023-05-03T00:00:00"/>
    <x v="0"/>
    <s v="FALTA INJUSTIFICADA NO DIA 02/05/2023, O COLABORADOR NÃO COMUNICOU SUA CHEFIA IMEDIATA."/>
  </r>
  <r>
    <n v="139"/>
    <s v="ROMARIO GOMES DA SILVA"/>
    <n v="2770002457"/>
    <x v="0"/>
    <d v="2021-01-06T00:00:00"/>
    <s v="2ANOS, 3MESES"/>
    <n v="2.35"/>
    <x v="2"/>
    <x v="0"/>
    <s v="COLETA DOMICILIAR"/>
    <s v="DIURNO"/>
    <s v="JOSÉ ADELMAR"/>
    <s v="ADVERTENCIA"/>
    <d v="2023-05-02T00:00:00"/>
    <x v="5"/>
    <d v="2023-05-03T00:00:00"/>
    <s v="mai/2023"/>
    <s v="MAIO"/>
    <x v="0"/>
    <d v="2023-05-04T00:00:00"/>
    <x v="0"/>
    <s v="FALTA INJUSTIFICADA NOS DIAS 26/04 A 02/05/2023, O COLABORADOR NÃO COMUNICOU SUA CHEFIA IMEDIATA."/>
  </r>
  <r>
    <n v="140"/>
    <s v="EULONIO SALES VIANA "/>
    <n v="2770002613"/>
    <x v="0"/>
    <d v="2021-08-09T00:00:00"/>
    <s v="1ANOS, 8MESES"/>
    <n v="1.7527777777777778"/>
    <x v="2"/>
    <x v="0"/>
    <s v="COLETA DOMICILIAR"/>
    <s v="NOTURNO"/>
    <s v="JOÃO PEDRO"/>
    <s v="SUSPENSÃO"/>
    <d v="2023-05-02T00:00:00"/>
    <x v="5"/>
    <d v="2023-05-03T00:00:00"/>
    <s v="mai/2023"/>
    <s v="MAIO"/>
    <x v="0"/>
    <d v="2023-05-10T00:00:00"/>
    <x v="0"/>
    <s v="COLABORADOR FALTOU SEM JUSTIFICATIVA NO DIA 02/05/2023."/>
  </r>
  <r>
    <n v="141"/>
    <s v="ELIEDSON SOUZA DA SILVA"/>
    <n v="2770002938"/>
    <x v="0"/>
    <d v="2022-09-14T00:00:00"/>
    <s v="0ANOS, 7MESES"/>
    <n v="0.64166666666666672"/>
    <x v="0"/>
    <x v="0"/>
    <s v="COLETA DOMICILIAR"/>
    <s v="DIURNO"/>
    <s v="JOSÉ ADELMAR"/>
    <s v="ADVERTENCIA"/>
    <d v="2023-05-03T00:00:00"/>
    <x v="5"/>
    <d v="2023-05-04T00:00:00"/>
    <s v="mai/2023"/>
    <s v="MAIO"/>
    <x v="0"/>
    <d v="2023-05-04T00:00:00"/>
    <x v="0"/>
    <s v="FALTA INJUSTIFICADA NO DIA 03/05/2023, O COLABORADOR NÃO COMUNICOU SUA CHEFIA IMEDIATA."/>
  </r>
  <r>
    <n v="142"/>
    <s v="NAUM DA SILVA CASTRO ALFAIA"/>
    <n v="2770002953"/>
    <x v="0"/>
    <d v="2022-10-03T00:00:00"/>
    <s v="0ANOS, 7MESES"/>
    <n v="0.58888888888888891"/>
    <x v="0"/>
    <x v="0"/>
    <s v="COLETA DOMICILIAR"/>
    <s v="NOTURNO"/>
    <s v="JOÃO PEDRO"/>
    <s v="SUSPENSÃO"/>
    <d v="2023-05-03T00:00:00"/>
    <x v="5"/>
    <d v="2023-05-04T00:00:00"/>
    <s v="mai/2023"/>
    <s v="MAIO"/>
    <x v="0"/>
    <d v="2023-05-05T00:00:00"/>
    <x v="0"/>
    <s v="COLABORADOR FALTOU SEM JUSTIFICATIVA NOS DIAS 29/04, 01/05, 02/05 E 03/05."/>
  </r>
  <r>
    <n v="143"/>
    <s v="ITALO NEVES DA SILVA"/>
    <n v="2770003004"/>
    <x v="0"/>
    <d v="2022-11-09T00:00:00"/>
    <s v="0ANOS, 11MESES"/>
    <n v="1.0027777777777778"/>
    <x v="2"/>
    <x v="0"/>
    <s v="COLETA DOMICILIAR"/>
    <s v="DIURNO"/>
    <s v="ANA CAROLINA"/>
    <s v="ADVERTENCIA"/>
    <d v="2023-11-05T00:00:00"/>
    <x v="1"/>
    <d v="2023-05-06T00:00:00"/>
    <s v="mai/2023"/>
    <s v="MAIO"/>
    <x v="0"/>
    <d v="2023-11-06T00:00:00"/>
    <x v="0"/>
    <s v="FALTA INJUSTIFICADA EM 05/11/2023."/>
  </r>
  <r>
    <n v="144"/>
    <s v="ALESSON FARIAS DE ARAÚJO "/>
    <n v="2770003111"/>
    <x v="1"/>
    <d v="2023-03-16T00:00:00"/>
    <s v="0ANOS, 1MESES"/>
    <n v="0.13055555555555556"/>
    <x v="0"/>
    <x v="0"/>
    <s v="COLETA DOMICILIAR"/>
    <s v="NOTURNO"/>
    <s v="JOÃO PEDRO"/>
    <s v="ADVERTENCIA"/>
    <d v="2023-05-02T00:00:00"/>
    <x v="5"/>
    <d v="2023-05-07T00:00:00"/>
    <s v="mai/2023"/>
    <s v="MAIO"/>
    <x v="0"/>
    <d v="2023-05-07T00:00:00"/>
    <x v="0"/>
    <s v="COLABORADOR FALTOU SEM JUSTIFICATIVA NOS DIAS 02/05."/>
  </r>
  <r>
    <n v="145"/>
    <s v="MARCELO FERREIRA PONTES"/>
    <n v="2770002952"/>
    <x v="0"/>
    <d v="2022-10-03T00:00:00"/>
    <s v="0ANOS, 7MESES"/>
    <n v="0.59722222222222221"/>
    <x v="0"/>
    <x v="0"/>
    <s v="COLETA DOMICILIAR"/>
    <s v="DIURNO"/>
    <s v="JOSÉ ADELMAR"/>
    <s v="ADVERTENCIA"/>
    <d v="2023-05-06T00:00:00"/>
    <x v="5"/>
    <d v="2023-05-08T00:00:00"/>
    <s v="mai/2023"/>
    <s v="MAIO"/>
    <x v="0"/>
    <d v="2023-05-08T00:00:00"/>
    <x v="0"/>
    <s v="FALTA INJUSTIFICADA NOS DIAS 04, 05 E 06/05/2023, O COLABORADOR NÃO COMUNICOU SUA CHEFIA IMEDIATA."/>
  </r>
  <r>
    <n v="146"/>
    <s v="FABRICIO LUAM DE SOUZA LIMA"/>
    <n v="2770002676"/>
    <x v="0"/>
    <d v="2021-10-13T00:00:00"/>
    <s v="1ANOS, 6MESES"/>
    <n v="1.586111111111111"/>
    <x v="2"/>
    <x v="0"/>
    <s v="COLETA DOMICILIAR"/>
    <s v="DIURNO"/>
    <s v="JOSÉ ADELMAR"/>
    <s v="ADVERTENCIA"/>
    <d v="2023-05-07T00:00:00"/>
    <x v="5"/>
    <d v="2023-05-08T00:00:00"/>
    <s v="mai/2023"/>
    <s v="MAIO"/>
    <x v="0"/>
    <d v="2023-05-08T00:00:00"/>
    <x v="0"/>
    <s v="FALTA INJUSTIFICADA NO DIA 07/05/2023, O COLABORADOR NÃO COMUNICOU SUA CHEFIA IMEDIATA."/>
  </r>
  <r>
    <n v="147"/>
    <s v="EDUARDO MORAES DE SOUZA"/>
    <n v="2770002391"/>
    <x v="0"/>
    <d v="2020-11-09T00:00:00"/>
    <s v="2ANOS, 5MESES"/>
    <n v="2.5222222222222221"/>
    <x v="2"/>
    <x v="0"/>
    <s v="COLETA DOMICILIAR"/>
    <s v="DIURNO"/>
    <s v="JOSÉ ADELMAR"/>
    <s v="ADVERTENCIA"/>
    <d v="2023-05-06T00:00:00"/>
    <x v="5"/>
    <d v="2023-05-08T00:00:00"/>
    <s v="mai/2023"/>
    <s v="MAIO"/>
    <x v="0"/>
    <d v="2023-05-08T00:00:00"/>
    <x v="0"/>
    <s v="FALTA INJUSTIFICADA NOS DIAS 05/05 E 06/05/2023, O COLABORADOR NÃO COMUNICOU SUA CHEFIA IMEDIATA."/>
  </r>
  <r>
    <n v="148"/>
    <s v="RAYLANDER BATISTA DA SILVA"/>
    <n v="2770003122"/>
    <x v="1"/>
    <d v="2023-04-06T00:00:00"/>
    <s v="0ANOS, 1MESES"/>
    <n v="8.611111111111111E-2"/>
    <x v="0"/>
    <x v="0"/>
    <s v="COLETA DOMICILIAR"/>
    <s v="DIURNO"/>
    <s v="JOSÉ ADELMAR"/>
    <s v="ADVERTENCIA"/>
    <d v="2023-05-07T00:00:00"/>
    <x v="5"/>
    <d v="2023-05-08T00:00:00"/>
    <s v="mai/2023"/>
    <s v="MAIO"/>
    <x v="0"/>
    <d v="2023-05-08T00:00:00"/>
    <x v="0"/>
    <s v="FALTA INJUSTIFICADA NO DIA 07/05/2023, O COLABORADOR NÃO COMUNICOU SUA CHEFIA IMEDIATA."/>
  </r>
  <r>
    <n v="149"/>
    <s v="ADEILTON GONCALVES DA SILVA"/>
    <n v="2770002704"/>
    <x v="0"/>
    <d v="2021-11-18T00:00:00"/>
    <s v="1ANOS, 5MESES"/>
    <n v="1.4833333333333334"/>
    <x v="2"/>
    <x v="0"/>
    <s v="COLETA DOMICILIAR"/>
    <s v="DIURNO"/>
    <s v="JOSÉ ADELMAR"/>
    <s v="SUSPENSÃO"/>
    <d v="2023-05-06T00:00:00"/>
    <x v="5"/>
    <d v="2023-05-08T00:00:00"/>
    <s v="mai/2023"/>
    <s v="MAIO"/>
    <x v="0"/>
    <d v="2023-05-11T00:00:00"/>
    <x v="0"/>
    <s v="FALTA INJUSTIFICADA NO 06/05/2023, O COLABORADOR NÃO COMUNICOU SUA CHEFIA IMEDIATA."/>
  </r>
  <r>
    <n v="150"/>
    <s v="FRANCIOMAR OLIVEIRA DA SILVA"/>
    <n v="2770003081"/>
    <x v="0"/>
    <d v="2023-02-15T00:00:00"/>
    <s v="0ANOS, 2MESES"/>
    <n v="0.22500000000000001"/>
    <x v="0"/>
    <x v="6"/>
    <s v="MANUTENÇÃO"/>
    <s v="DIURNO"/>
    <s v="MARCELO MARINHO"/>
    <s v="ADVERTENCIA"/>
    <d v="2023-05-07T00:00:00"/>
    <x v="5"/>
    <d v="2023-05-08T00:00:00"/>
    <s v="mai/2023"/>
    <s v="MAIO"/>
    <x v="0"/>
    <d v="2023-05-08T00:00:00"/>
    <x v="3"/>
    <s v="ALEGOU TER SE ACIDENTADO PORÉM NÃO CUMPRIU OS PROCEDIMENTOS DE SEGURANÇA DO TRABALHO."/>
  </r>
  <r>
    <n v="151"/>
    <s v="FRANCIOMAR OLIVEIRA DA SILVA"/>
    <n v="2770003081"/>
    <x v="0"/>
    <d v="2023-02-15T00:00:00"/>
    <s v="0ANOS, 2MESES"/>
    <n v="0.22222222222222221"/>
    <x v="0"/>
    <x v="6"/>
    <s v="MANUTENÇÃO"/>
    <s v="DIURNO"/>
    <s v="MARCELO MARINHO"/>
    <s v="ADVERTENCIA"/>
    <d v="2023-05-06T00:00:00"/>
    <x v="5"/>
    <d v="2023-05-08T00:00:00"/>
    <s v="mai/2023"/>
    <s v="MAIO"/>
    <x v="0"/>
    <d v="2023-05-08T00:00:00"/>
    <x v="0"/>
    <s v="FALTA SEM JUSTIFICATIVA."/>
  </r>
  <r>
    <n v="152"/>
    <s v="JACKSON DOS SANTOS REIS"/>
    <n v="2770003115"/>
    <x v="1"/>
    <d v="2023-03-16T00:00:00"/>
    <s v="0ANOS, 1MESES"/>
    <n v="0.14722222222222223"/>
    <x v="0"/>
    <x v="0"/>
    <s v="COLETA DOMICILIAR"/>
    <s v="NOTURNO"/>
    <s v="JOÃO PEDRO"/>
    <s v="ADVERTENCIA"/>
    <d v="2023-05-08T00:00:00"/>
    <x v="5"/>
    <d v="2023-05-08T00:00:00"/>
    <s v="mai/2023"/>
    <s v="MAIO"/>
    <x v="0"/>
    <d v="2023-05-08T00:00:00"/>
    <x v="0"/>
    <s v="COLABORADOR FALTOU SEM JUSTIFICATIVA NO DOMINGO 07/05."/>
  </r>
  <r>
    <n v="153"/>
    <s v="RAIR BARROSO DA SILVA"/>
    <n v="2770003021"/>
    <x v="0"/>
    <d v="2022-12-01T00:00:00"/>
    <s v="0ANOS, 4MESES"/>
    <n v="0.41666666666666669"/>
    <x v="0"/>
    <x v="0"/>
    <s v="COLETA DOMICILIAR"/>
    <s v="NOTURNO"/>
    <s v="JOÃO PEDRO"/>
    <s v="ADVERTENCIA"/>
    <d v="2023-04-30T00:00:00"/>
    <x v="4"/>
    <d v="2023-05-08T00:00:00"/>
    <s v="mai/2023"/>
    <s v="MAIO"/>
    <x v="0"/>
    <d v="2023-05-08T00:00:00"/>
    <x v="3"/>
    <s v="COLABORADOR NÃO USOU AS DEVIDAS FERRAMENTAS PARA A COLETA (PÁ E VASSOURA), EM RAZÃO DISSO, O MESMO SE FERIU NO DIA 30/04, GERANDO AFASTAMENTO."/>
  </r>
  <r>
    <n v="154"/>
    <s v="PABLO DIAS COUTINHO"/>
    <n v="2770003116"/>
    <x v="1"/>
    <d v="2023-03-16T00:00:00"/>
    <s v="0ANOS, 1MESES"/>
    <n v="0.1388888888888889"/>
    <x v="0"/>
    <x v="0"/>
    <s v="COLETA DOMICILIAR"/>
    <s v="NOTURNO"/>
    <s v="JOÃO PEDRO"/>
    <s v="SUSPENSÃO"/>
    <d v="2023-05-05T00:00:00"/>
    <x v="5"/>
    <d v="2023-05-09T00:00:00"/>
    <s v="mai/2023"/>
    <s v="MAIO"/>
    <x v="0"/>
    <d v="2023-05-10T00:00:00"/>
    <x v="0"/>
    <s v="COLABORADOR FALTOU SEM JUSTIFICATIVA NO DIA 30/04, 03/05 E 05/05."/>
  </r>
  <r>
    <n v="155"/>
    <s v="FELIPE AUGUSTO BATISTA GOMES"/>
    <n v="2770003090"/>
    <x v="1"/>
    <d v="2023-03-08T00:00:00"/>
    <s v="0ANOS, 1MESES"/>
    <n v="0.16666666666666666"/>
    <x v="0"/>
    <x v="0"/>
    <s v="COLETA DOMICILIAR"/>
    <s v="DIURNO"/>
    <s v="JOSÉ ADELMAR"/>
    <s v="ADVERTENCIA"/>
    <d v="2023-05-07T00:00:00"/>
    <x v="5"/>
    <d v="2023-05-12T00:00:00"/>
    <s v="mai/2023"/>
    <s v="MAIO"/>
    <x v="0"/>
    <d v="2023-05-12T00:00:00"/>
    <x v="0"/>
    <s v="FALTA INJUSTIFICADA NOS DIAS 29/04 E 05, 06, 07/05/2023 O COLABORADOR NÃO COMUNICOU SUA CHEFIA IMEDIATA."/>
  </r>
  <r>
    <n v="156"/>
    <s v="TARCILO GONZAGA DOS SANTOS"/>
    <n v="2770002443"/>
    <x v="0"/>
    <d v="2021-01-06T00:00:00"/>
    <s v="2ANOS, 4MESES"/>
    <n v="2.3833333333333333"/>
    <x v="2"/>
    <x v="0"/>
    <s v="COLETA DOMICILIAR"/>
    <s v="NOTURNO"/>
    <s v="JOÃO PEDRO"/>
    <s v="SUSPENSÃO"/>
    <d v="2023-05-14T00:00:00"/>
    <x v="5"/>
    <d v="2023-05-15T00:00:00"/>
    <s v="mai/2023"/>
    <s v="MAIO"/>
    <x v="0"/>
    <d v="2023-05-16T00:00:00"/>
    <x v="0"/>
    <s v="COLABORADOR FALTOU SEM JUSTIFICATIVA NO DIA 14/05/2023."/>
  </r>
  <r>
    <n v="157"/>
    <s v="EUDES DA SILVA PINTO"/>
    <n v="2770002271"/>
    <x v="0"/>
    <d v="2020-06-01T00:00:00"/>
    <s v="2ANOS, 11MESES"/>
    <n v="2.9916666666666667"/>
    <x v="2"/>
    <x v="1"/>
    <s v="COLETA DOMICILIAR"/>
    <s v="NOTURNO"/>
    <s v="JOÃO PEDRO"/>
    <s v="ADVERTENCIA"/>
    <d v="2023-05-14T00:00:00"/>
    <x v="5"/>
    <d v="2023-05-15T00:00:00"/>
    <s v="mai/2023"/>
    <s v="MAIO"/>
    <x v="0"/>
    <d v="2023-05-15T00:00:00"/>
    <x v="0"/>
    <s v="COLABORADOR FALTOU SEM JUSTIFICATIVA NO DIA 14/05/2023."/>
  </r>
  <r>
    <n v="158"/>
    <s v="SERGIO RAFAEL FERREIRA FREIRE"/>
    <n v="2770003138"/>
    <x v="1"/>
    <d v="2023-05-05T00:00:00"/>
    <s v="0ANOS, 0MESES"/>
    <n v="2.5000000000000001E-2"/>
    <x v="0"/>
    <x v="0"/>
    <s v="COLETA DOMICILIAR"/>
    <s v="DIURNO"/>
    <s v="JOSÉ ADELMAR"/>
    <s v="ADVERTENCIA"/>
    <d v="2023-05-14T00:00:00"/>
    <x v="5"/>
    <d v="2023-05-16T00:00:00"/>
    <s v="mai/2023"/>
    <s v="MAIO"/>
    <x v="0"/>
    <d v="2023-05-16T00:00:00"/>
    <x v="0"/>
    <s v="FALTA INJUSTIFICADA NO DIA 14/05/2023 O COLABORADOR NÃO COMUNICOU SUA CHEFIA IMEDIATA."/>
  </r>
  <r>
    <n v="159"/>
    <s v="GIAN DOMINGOS SAMPAIO CASTRO"/>
    <n v="2770002210"/>
    <x v="0"/>
    <d v="2020-02-04T00:00:00"/>
    <s v="3ANOS, 3MESES"/>
    <n v="3.3222222222222224"/>
    <x v="1"/>
    <x v="0"/>
    <s v="COLETA DOMICILIAR"/>
    <s v="DIURNO"/>
    <s v="JOSÉ ADELMAR"/>
    <s v="ADVERTENCIA"/>
    <d v="2023-05-15T00:00:00"/>
    <x v="5"/>
    <d v="2023-05-16T00:00:00"/>
    <s v="mai/2023"/>
    <s v="MAIO"/>
    <x v="0"/>
    <d v="2023-05-16T00:00:00"/>
    <x v="0"/>
    <s v="FALTA INSJUTIFICADA NO DIA 15/05/2023, O COLABORADOR NÃO COMUNICOU SUA CHEFIA IMEDIATA."/>
  </r>
  <r>
    <n v="160"/>
    <s v="EMERSON DO CANTO EVANGELISTA"/>
    <n v="2770003014"/>
    <x v="0"/>
    <d v="2022-12-01T00:00:00"/>
    <s v="0ANOS, 5MESES"/>
    <n v="0.46666666666666667"/>
    <x v="0"/>
    <x v="0"/>
    <s v="COLETA DOMICILIAR"/>
    <s v="DIURNO"/>
    <s v="JOSÉ ADELMAR"/>
    <s v="ADVERTENCIA"/>
    <d v="2023-05-18T00:00:00"/>
    <x v="5"/>
    <d v="2023-05-19T00:00:00"/>
    <s v="mai/2023"/>
    <s v="MAIO"/>
    <x v="0"/>
    <d v="2023-05-19T00:00:00"/>
    <x v="0"/>
    <s v="FALTA INJUSTIFICADA NO DIA 18/05/2023, O COLABORADOR NÃO COMUNICOU SUA CHEFIA IMEDIATA."/>
  </r>
  <r>
    <n v="161"/>
    <s v="MAURICIO AUGUSTO QUEIROZ DE ARAÚJO"/>
    <n v="2770003042"/>
    <x v="0"/>
    <d v="2022-12-01T00:00:00"/>
    <s v="0ANOS, 5MESES"/>
    <n v="0.46944444444444444"/>
    <x v="0"/>
    <x v="0"/>
    <s v="COLETA DOMICILIAR"/>
    <s v="NOTURNO"/>
    <s v="JOÃO PEDRO"/>
    <s v="ADVERTENCIA"/>
    <d v="2023-05-19T00:00:00"/>
    <x v="5"/>
    <d v="2023-05-19T00:00:00"/>
    <s v="mai/2023"/>
    <s v="MAIO"/>
    <x v="0"/>
    <d v="2023-05-19T00:00:00"/>
    <x v="3"/>
    <s v="COLABORADOR ESTAVA EM DESLOCAMENTO EM CIMA DO COXO, EM DESACORDO COM A PO-08."/>
  </r>
  <r>
    <n v="162"/>
    <s v="ANTÔNIO LUIS RIBEIRO ALEXANDRE"/>
    <n v="2770002929"/>
    <x v="0"/>
    <d v="2022-09-01T00:00:00"/>
    <s v="0ANOS, 8MESES"/>
    <n v="0.72222222222222221"/>
    <x v="0"/>
    <x v="0"/>
    <s v="COLETA DOMICILIAR"/>
    <s v="NOTURNO"/>
    <s v="JOÃO PEDRO"/>
    <s v="ADVERTENCIA"/>
    <d v="2023-05-19T00:00:00"/>
    <x v="5"/>
    <d v="2023-05-19T00:00:00"/>
    <s v="mai/2023"/>
    <s v="MAIO"/>
    <x v="0"/>
    <d v="2023-05-19T00:00:00"/>
    <x v="3"/>
    <s v="COLABORADOR EM DESACORDO COM A PO-08 ACIONOU O COMANDO DIANTEIRO, SE ACIDENTANDO E COLOCANDO SUA SEGURANÇA E DOS DEMAIS EM RISCO."/>
  </r>
  <r>
    <n v="163"/>
    <s v="WYGUINER PRINTIS DA CRUZ"/>
    <n v="2770003098"/>
    <x v="1"/>
    <d v="2023-03-08T00:00:00"/>
    <s v="0ANOS, 2MESES"/>
    <n v="0.18611111111111112"/>
    <x v="0"/>
    <x v="0"/>
    <s v="COLETA DOMICILIAR"/>
    <s v="NOTURNO"/>
    <s v="JOÃO PEDRO"/>
    <s v="ADVERTENCIA"/>
    <d v="2023-05-14T00:00:00"/>
    <x v="5"/>
    <d v="2023-05-19T00:00:00"/>
    <s v="mai/2023"/>
    <s v="MAIO"/>
    <x v="0"/>
    <d v="2023-05-19T00:00:00"/>
    <x v="0"/>
    <s v="COLABORADOR FALTOU SEM JUSTIFICATIVA NOS DIAS 13/05 R 14/05."/>
  </r>
  <r>
    <n v="164"/>
    <s v="NAUM DA SILVA CASTRO ALFAIA"/>
    <n v="2770002953"/>
    <x v="0"/>
    <d v="2022-10-03T00:00:00"/>
    <s v="0ANOS, 7MESES"/>
    <n v="0.63611111111111107"/>
    <x v="0"/>
    <x v="0"/>
    <s v="COLETA DOMICILIAR"/>
    <s v="NOTURNO"/>
    <s v="JOÃO PEDRO"/>
    <s v="ADVERTENCIA"/>
    <d v="2023-05-20T00:00:00"/>
    <x v="5"/>
    <d v="2023-05-20T00:00:00"/>
    <s v="mai/2023"/>
    <s v="MAIO"/>
    <x v="0"/>
    <d v="2023-05-20T00:00:00"/>
    <x v="3"/>
    <s v="AGENTE DE COLETA FOI FLAGRADO ATRAVÉS DE UMA DENÚNCIA DO GSUBOP (COMPROVADA EM VÍDEOS DE CÂMERAS DE SEGURANÇA) ESCONDENDO O LIXO, O MESMO ASSUME A AUTORIA E RELATA QUE FEZ DEVIDO O MOTORISTA JÁ TER PASSADO O PONTO COM O CAMINHÃO."/>
  </r>
  <r>
    <n v="165"/>
    <s v="RAFAEL SOARES DO NASCIMENTO"/>
    <n v="2770003151"/>
    <x v="1"/>
    <d v="2023-05-05T00:00:00"/>
    <s v="0ANOS, 0MESES"/>
    <n v="3.888888888888889E-2"/>
    <x v="0"/>
    <x v="0"/>
    <s v="COLETA DOMICILIAR"/>
    <s v="NOTURNO"/>
    <s v="JOÃO PEDRO"/>
    <s v="ADVERTENCIA"/>
    <d v="2023-05-19T00:00:00"/>
    <x v="5"/>
    <d v="2023-05-20T00:00:00"/>
    <s v="mai/2023"/>
    <s v="MAIO"/>
    <x v="0"/>
    <d v="2023-05-20T00:00:00"/>
    <x v="0"/>
    <s v="AGENTE DE COLETA  FALTOU SEM JUSTIFICATIVA NO DIA 19/05/2023."/>
  </r>
  <r>
    <n v="166"/>
    <s v="RIVALDO CONDERA DO NASCIMENTO JUNIOR"/>
    <n v="2770002925"/>
    <x v="0"/>
    <d v="2022-09-01T00:00:00"/>
    <s v="0ANOS, 8MESES"/>
    <n v="0.72499999999999998"/>
    <x v="0"/>
    <x v="0"/>
    <s v="COLETA DOMICILIAR"/>
    <s v="NOTURNO"/>
    <s v="JOÃO PEDRO"/>
    <s v="ADVERTENCIA"/>
    <d v="2023-05-20T00:00:00"/>
    <x v="5"/>
    <d v="2023-05-20T00:00:00"/>
    <s v="mai/2023"/>
    <s v="MAIO"/>
    <x v="0"/>
    <d v="2023-05-20T00:00:00"/>
    <x v="2"/>
    <s v="COLABORADOR SE NEGOU A BATER UMA CAIXA DE LIXO, ALÉM DE CAUSAR PROBLEMAS COM OUTROS AGENTES DE COLETA."/>
  </r>
  <r>
    <n v="167"/>
    <s v="CARLOS LOBO VIANA"/>
    <n v="2770003105"/>
    <x v="1"/>
    <d v="2023-03-16T00:00:00"/>
    <s v="0ANOS, 2MESES"/>
    <n v="0.18333333333333332"/>
    <x v="0"/>
    <x v="0"/>
    <s v="COLETA DOMICILIAR"/>
    <s v="DIURNO"/>
    <s v="JOSÉ ADELMAR"/>
    <s v="ADVERTENCIA"/>
    <d v="2023-05-21T00:00:00"/>
    <x v="5"/>
    <d v="2023-05-21T00:00:00"/>
    <s v="mai/2023"/>
    <s v="MAIO"/>
    <x v="0"/>
    <d v="2023-05-22T00:00:00"/>
    <x v="0"/>
    <s v="O COLABORADOR FALTOU NO DIA 21/05/2023, NÃO COMUNICOU SUA CHEFIA IMEDIATA."/>
  </r>
  <r>
    <n v="168"/>
    <s v="WARLEM CAVALCANTE RENOVATO"/>
    <n v="2770003096"/>
    <x v="1"/>
    <d v="2023-03-08T00:00:00"/>
    <s v="0ANOS, 2MESES"/>
    <n v="0.20555555555555555"/>
    <x v="0"/>
    <x v="0"/>
    <s v="COLETA DOMICILIAR"/>
    <s v="NOTURNO"/>
    <s v="JOÃO PEDRO"/>
    <s v="ADVERTENCIA"/>
    <d v="2023-05-21T00:00:00"/>
    <x v="5"/>
    <d v="2023-05-26T00:00:00"/>
    <s v="mai/2023"/>
    <s v="MAIO"/>
    <x v="0"/>
    <d v="2023-05-26T00:00:00"/>
    <x v="0"/>
    <s v="COLABORADOR FALTOU SEM JUSTIFICATIVA NO DIA 19/05, 20/05 E 21/05."/>
  </r>
  <r>
    <n v="169"/>
    <s v="EDUARDO MORAES DE SOUZA"/>
    <n v="2770002391"/>
    <x v="0"/>
    <d v="2020-11-09T00:00:00"/>
    <s v="2ANOS, 6MESES"/>
    <n v="2.5805555555555557"/>
    <x v="2"/>
    <x v="0"/>
    <s v="COLETA DOMICILIAR"/>
    <s v="DIURNO"/>
    <s v="JOSÉ ADELMAR"/>
    <s v="SUSPENSÃO"/>
    <d v="2023-05-27T00:00:00"/>
    <x v="5"/>
    <d v="2023-05-27T00:00:00"/>
    <s v="mai/2023"/>
    <s v="MAIO"/>
    <x v="0"/>
    <d v="2023-05-28T00:00:00"/>
    <x v="2"/>
    <s v="FOI INFORMADO VARIAS VEZES AO COLABORADOR PRA PROCURAR O ANALISTA NO FINAL DO EXPEDIENTE, O MESMO VEM DESCUMPRINDO O PROCEDIMENTO DA EMPRESA ELE VEIO E FOI EMBORA SEM FALAR COM O ANALISTA."/>
  </r>
  <r>
    <n v="170"/>
    <s v="DANIEL MACHADO DE SOUZA"/>
    <n v="2770002829"/>
    <x v="0"/>
    <d v="2022-05-02T00:00:00"/>
    <s v="1ANOS, 0MESES"/>
    <n v="1.0833333333333333"/>
    <x v="2"/>
    <x v="0"/>
    <s v="COLETA DOMICILIAR"/>
    <s v="DIURNO"/>
    <s v="JOSÉ ADELMAR"/>
    <s v="ADVERTENCIA"/>
    <d v="2023-05-27T00:00:00"/>
    <x v="5"/>
    <d v="2023-05-29T00:00:00"/>
    <s v="mai/2023"/>
    <s v="MAIO"/>
    <x v="0"/>
    <d v="2023-05-29T00:00:00"/>
    <x v="0"/>
    <s v="O COLABORADOR FALTOU NO DIA 27/05/2023, SEM COMUNICAR SUA CHEFIA IMEDIATA."/>
  </r>
  <r>
    <n v="171"/>
    <s v="RAIRO TEIXEIRA LEÃO"/>
    <n v="2770003060"/>
    <x v="0"/>
    <d v="2023-01-12T00:00:00"/>
    <s v="0ANOS, 4MESES"/>
    <n v="0.375"/>
    <x v="0"/>
    <x v="1"/>
    <s v="COLETA DOMICILIAR"/>
    <s v="NOTURNO"/>
    <s v="JOÃO PEDRO"/>
    <s v="ADVERTENCIA"/>
    <d v="2023-05-27T00:00:00"/>
    <x v="5"/>
    <d v="2023-05-30T00:00:00"/>
    <s v="mai/2023"/>
    <s v="MAIO"/>
    <x v="0"/>
    <d v="2023-05-30T00:00:00"/>
    <x v="1"/>
    <s v="COLABORADOR EXCEDEU O LIMITE DE VELOCIDADE NO DIA 27/05 CHEGANDO Á 73 KM/H."/>
  </r>
  <r>
    <n v="172"/>
    <s v="LEONARDO DA SILVA ROCHA"/>
    <n v="2770002963"/>
    <x v="0"/>
    <d v="2022-10-06T00:00:00"/>
    <s v="0ANOS, 7MESES"/>
    <n v="0.63055555555555554"/>
    <x v="0"/>
    <x v="0"/>
    <s v="COLETA DOMICILIAR"/>
    <s v="NOTURNO"/>
    <s v="JOÃO PEDRO"/>
    <s v="ADVERTENCIA"/>
    <d v="2023-05-21T00:00:00"/>
    <x v="5"/>
    <d v="2023-06-01T00:00:00"/>
    <s v="jun/2023"/>
    <s v="JUNHO"/>
    <x v="0"/>
    <d v="2023-06-01T00:00:00"/>
    <x v="0"/>
    <s v="COLABORADOR FALTOU SEM JUSTIFICATIVA NOS DIAS 20/05 E 21/05."/>
  </r>
  <r>
    <n v="173"/>
    <s v="EDUARDO MORAES DE SOUZA"/>
    <n v="2770002391"/>
    <x v="0"/>
    <d v="2020-11-09T00:00:00"/>
    <s v="2ANOS, 6MESES"/>
    <n v="2.5916666666666668"/>
    <x v="2"/>
    <x v="0"/>
    <s v="COLETA DOMICILIAR"/>
    <s v="DIURNO"/>
    <s v="JOSÉ ADELMAR"/>
    <s v="SUSPENSÃO"/>
    <d v="2023-05-31T00:00:00"/>
    <x v="5"/>
    <d v="2023-06-01T00:00:00"/>
    <s v="jun/2023"/>
    <s v="JUNHO"/>
    <x v="0"/>
    <d v="2023-06-04T00:00:00"/>
    <x v="0"/>
    <s v="O COLABORADOR FALTOU NO DIA 31/05/2023 SEM COMUNICAR SUA CHEFIA IMEDIATA."/>
  </r>
  <r>
    <n v="174"/>
    <s v="GABRIEL REMEDIOS DOS SANTOS OLIVEIRA"/>
    <n v="2770003094"/>
    <x v="0"/>
    <d v="2023-03-08T00:00:00"/>
    <s v="0ANOS, 2MESES"/>
    <n v="0.2361111111111111"/>
    <x v="0"/>
    <x v="0"/>
    <s v="COLETA DOMICILIAR"/>
    <s v="NOTURNO"/>
    <s v="JOÃO PEDRO"/>
    <s v="ADVERTENCIA"/>
    <d v="2023-06-01T00:00:00"/>
    <x v="6"/>
    <d v="2023-06-02T00:00:00"/>
    <s v="jun/2023"/>
    <s v="JUNHO"/>
    <x v="0"/>
    <d v="2023-06-02T00:00:00"/>
    <x v="0"/>
    <s v="COLABORADOR FALTOU SEM JUSTIFICATIVA NOS DIAS 31/05 E 01/06."/>
  </r>
  <r>
    <n v="175"/>
    <s v="RAIMUNDO ALMEIDA FLORENTINO"/>
    <n v="2770003142"/>
    <x v="1"/>
    <d v="2023-05-05T00:00:00"/>
    <s v="0ANOS, 0MESES"/>
    <n v="7.7777777777777779E-2"/>
    <x v="0"/>
    <x v="0"/>
    <s v="COLETA DOMICILIAR"/>
    <s v="DIURNO"/>
    <s v="JOSÉ ADELMAR"/>
    <s v="ADVERTENCIA"/>
    <d v="2023-06-02T00:00:00"/>
    <x v="6"/>
    <d v="2023-06-03T00:00:00"/>
    <s v="jun/2023"/>
    <s v="JUNHO"/>
    <x v="0"/>
    <d v="2023-06-03T00:00:00"/>
    <x v="0"/>
    <s v="O COLABORADOR FALTOU NO DIA 02/06/2023 SEM COMUNICAR SUA CHEFIA IMEDIATA."/>
  </r>
  <r>
    <n v="176"/>
    <s v="WENDELL FRANCO GIBSON"/>
    <n v="2770002973"/>
    <x v="0"/>
    <d v="2022-11-03T00:00:00"/>
    <s v="0ANOS, 7MESES"/>
    <n v="0.58888888888888891"/>
    <x v="0"/>
    <x v="0"/>
    <s v="COLETA DOMICILIAR"/>
    <s v="NOTURNO"/>
    <s v="JOÃO PEDRO"/>
    <s v="ADVERTENCIA"/>
    <d v="2023-06-03T00:00:00"/>
    <x v="6"/>
    <d v="2023-06-05T00:00:00"/>
    <s v="jun/2023"/>
    <s v="JUNHO"/>
    <x v="0"/>
    <d v="2023-06-05T00:00:00"/>
    <x v="0"/>
    <s v="COLABORADOR FALTOU SEM JUSTIFICATIVA NO DIA 03/06/2023."/>
  </r>
  <r>
    <n v="177"/>
    <s v="EDILSON LUIZ CARVALHO DE OLIVEIRA"/>
    <n v="2770002769"/>
    <x v="0"/>
    <d v="2022-01-17T00:00:00"/>
    <s v="1ANOS, 4MESES"/>
    <n v="1.3972222222222221"/>
    <x v="2"/>
    <x v="0"/>
    <s v="COLETA DOMICILIAR"/>
    <s v="NOTURNO"/>
    <s v="JOÃO PEDRO"/>
    <s v="ADVERTENCIA"/>
    <d v="2023-06-04T00:00:00"/>
    <x v="6"/>
    <d v="2023-06-05T00:00:00"/>
    <s v="jun/2023"/>
    <s v="JUNHO"/>
    <x v="0"/>
    <d v="2023-06-05T00:00:00"/>
    <x v="0"/>
    <s v="COLABORADOR FALTOU SEM JUSTIFICATIVA NO PLANTÃO DE DOMINGO 04/06/2023."/>
  </r>
  <r>
    <n v="178"/>
    <s v="FRANCISCO MAGNO DE ALMEIDA OLIVEIRA"/>
    <n v="2770002965"/>
    <x v="0"/>
    <d v="2022-10-06T00:00:00"/>
    <s v="0ANOS, 7MESES"/>
    <n v="0.66666666666666663"/>
    <x v="0"/>
    <x v="0"/>
    <s v="COLETA DOMICILIAR"/>
    <s v="NOTURNO"/>
    <s v="JOÃO PEDRO"/>
    <s v="ADVERTENCIA"/>
    <d v="2023-06-03T00:00:00"/>
    <x v="6"/>
    <d v="2023-06-05T00:00:00"/>
    <s v="jun/2023"/>
    <s v="JUNHO"/>
    <x v="0"/>
    <d v="2023-06-05T00:00:00"/>
    <x v="0"/>
    <s v="COLABORADOR FALTOU SEM JUSTIFICATIVA NO DIA 31/05 AO 03/06/2023."/>
  </r>
  <r>
    <n v="179"/>
    <s v="RAYLANDER BATISTA DA SILVA"/>
    <n v="2770003122"/>
    <x v="1"/>
    <d v="2022-04-06T00:00:00"/>
    <s v="1ANOS, 1MESES"/>
    <n v="1.1777777777777778"/>
    <x v="2"/>
    <x v="0"/>
    <s v="COLETA DOMICILIAR"/>
    <s v="DIURNO"/>
    <s v="JOSÉ ADELMAR"/>
    <s v="ADVERTENCIA"/>
    <d v="2023-06-04T00:00:00"/>
    <x v="6"/>
    <d v="2023-06-05T00:00:00"/>
    <s v="jun/2023"/>
    <s v="JUNHO"/>
    <x v="0"/>
    <d v="2023-06-05T00:00:00"/>
    <x v="0"/>
    <s v="COLABORADOR FALTOU NOS DIAS 03/06 E 04/06/2023 SEM COMUNICAR SUA CHEFIA IMEDIATA."/>
  </r>
  <r>
    <n v="180"/>
    <s v="GUSTAVO HENRIQUE DIAS CAVALCANTE"/>
    <n v="2770003139"/>
    <x v="1"/>
    <d v="2023-05-05T00:00:00"/>
    <s v="0ANOS, 1MESES"/>
    <n v="8.611111111111111E-2"/>
    <x v="0"/>
    <x v="0"/>
    <s v="COLETA DOMICILIAR"/>
    <s v="DIURNO"/>
    <s v="JOSÉ ADELMAR"/>
    <s v="ADVERTENCIA"/>
    <d v="2023-06-05T00:00:00"/>
    <x v="6"/>
    <d v="2023-06-06T00:00:00"/>
    <s v="jun/2023"/>
    <s v="JUNHO"/>
    <x v="0"/>
    <d v="2023-06-06T00:00:00"/>
    <x v="0"/>
    <s v="O COLABORADOR FALTOU NOS DIAS 03/06/2023 E 05/06/2023 SEM COMUNICAR SUA CHEFIA IMEDIATA."/>
  </r>
  <r>
    <n v="181"/>
    <s v="ALESSANDRO BRITO AMORIM"/>
    <n v="2770002978"/>
    <x v="0"/>
    <d v="2022-11-03T00:00:00"/>
    <s v="0ANOS, 7MESES"/>
    <n v="0.59166666666666667"/>
    <x v="0"/>
    <x v="0"/>
    <s v="COLETA DOMICILIAR"/>
    <s v="NOTURNO"/>
    <s v="JOÃO PEDRO"/>
    <s v="ADVERTENCIA"/>
    <d v="2023-06-04T00:00:00"/>
    <x v="6"/>
    <d v="2023-06-06T00:00:00"/>
    <s v="jun/2023"/>
    <s v="JUNHO"/>
    <x v="0"/>
    <d v="2023-06-06T00:00:00"/>
    <x v="0"/>
    <s v="COLABORADOR FALTOU SEM JUSTIFICATIVA NO DOMINGO DIA 04/06."/>
  </r>
  <r>
    <n v="182"/>
    <s v="JAMES MARINIS DA CRUZ"/>
    <n v="2770003141"/>
    <x v="1"/>
    <d v="2023-05-05T00:00:00"/>
    <s v="0ANOS, 0MESES"/>
    <n v="7.4999999999999997E-2"/>
    <x v="0"/>
    <x v="0"/>
    <s v="COLETA DOMICILIAR"/>
    <s v="DIURNO"/>
    <s v="JOSÉ ADELMAR"/>
    <s v="ADVERTENCIA"/>
    <d v="2023-06-01T00:00:00"/>
    <x v="6"/>
    <d v="2023-06-07T00:00:00"/>
    <s v="jun/2023"/>
    <s v="JUNHO"/>
    <x v="0"/>
    <d v="2023-06-01T00:00:00"/>
    <x v="0"/>
    <s v="O COLABORADOR FALTOU NO DIA 01/06/2023 SEM COMUNICAR SUA CHEFIA IMEDIATA."/>
  </r>
  <r>
    <n v="183"/>
    <s v="WILKER BRAGA GOMES"/>
    <n v="2770002972"/>
    <x v="1"/>
    <d v="2022-11-03T00:00:00"/>
    <s v="0ANOS, 7MESES"/>
    <n v="0.59166666666666667"/>
    <x v="0"/>
    <x v="0"/>
    <s v="COLETA DOMICILIAR"/>
    <s v="NOTURNO"/>
    <s v="JOÃO PEDRO"/>
    <s v="ADVERTENCIA"/>
    <d v="2023-06-04T00:00:00"/>
    <x v="6"/>
    <d v="2023-06-07T00:00:00"/>
    <s v="jun/2023"/>
    <s v="JUNHO"/>
    <x v="0"/>
    <d v="2023-06-04T00:00:00"/>
    <x v="0"/>
    <s v="COLABORADOR FALTOU SEM JUSTIFICATIVA NO DOMINGO DIA 04/06."/>
  </r>
  <r>
    <n v="184"/>
    <s v="KAIQUE SANTOS MONTEIRO"/>
    <n v="2770002686"/>
    <x v="0"/>
    <d v="2021-10-18T00:00:00"/>
    <s v="1ANOS, 7MESES"/>
    <n v="1.6583333333333334"/>
    <x v="2"/>
    <x v="1"/>
    <s v="COLETA DOMICILIAR"/>
    <s v="DIURNO"/>
    <s v="JOSÉ ADELMAR"/>
    <s v="ADVERTENCIA"/>
    <d v="2023-06-07T00:00:00"/>
    <x v="6"/>
    <d v="2023-06-07T00:00:00"/>
    <s v="jun/2023"/>
    <s v="JUNHO"/>
    <x v="0"/>
    <d v="2023-06-07T00:00:00"/>
    <x v="1"/>
    <s v="O MOTORISTA EXCEDEU O LIMITE DE VELOCIDADE PERMITIDO PELA EMPRESA CHEGANDO A 71 KM."/>
  </r>
  <r>
    <n v="185"/>
    <s v="THAISSA CUNHA DOS SANTOS"/>
    <n v="2770002651"/>
    <x v="2"/>
    <d v="2021-09-01T00:00:00"/>
    <s v="1ANOS, 9MESES"/>
    <n v="1.7861111111111112"/>
    <x v="2"/>
    <x v="5"/>
    <s v="EDUCAÇÃO AMBIENTAL"/>
    <s v="VESPERTINO"/>
    <s v="ELISÂNGELA COSTA"/>
    <s v="ADVERTENCIA"/>
    <d v="2023-06-06T00:00:00"/>
    <x v="6"/>
    <d v="2023-06-09T00:00:00"/>
    <s v="jun/2023"/>
    <s v="JUNHO"/>
    <x v="0"/>
    <d v="2023-06-09T00:00:00"/>
    <x v="0"/>
    <s v="FALTA NÃO JUSTIFICADA NO DIA 06/06/2023 NO CURSO DE APRENDIZAGEM, INFORMOU QUE FOI BUSCAR ATENDIMENTO, PORÉM NÃO APRESENTOU NENHUM DOCUMENTO."/>
  </r>
  <r>
    <n v="186"/>
    <s v="MARCOS VINICIUS DE CASTRO RIBEIRO"/>
    <n v="2770002828"/>
    <x v="0"/>
    <d v="2022-05-02T00:00:00"/>
    <s v="1ANOS, 1MESES"/>
    <n v="1.1194444444444445"/>
    <x v="2"/>
    <x v="0"/>
    <s v="COLETA DOMICILIAR"/>
    <s v="DIURNO"/>
    <s v="JOSÉ ADELMAR"/>
    <s v="ADVERTENCIA"/>
    <d v="2023-06-09T00:00:00"/>
    <x v="6"/>
    <d v="2023-06-10T00:00:00"/>
    <s v="jun/2023"/>
    <s v="JUNHO"/>
    <x v="0"/>
    <d v="2023-06-10T00:00:00"/>
    <x v="0"/>
    <s v="O COLABORADOR FALTOU NO DIA 09/06/2023 SEM COMUNICAR SUA CHEFIA IMEDIATA."/>
  </r>
  <r>
    <n v="187"/>
    <s v="RAIMUNDO ALMEIDA FLORENTINO"/>
    <n v="2770003142"/>
    <x v="1"/>
    <d v="2023-05-05T00:00:00"/>
    <s v="0ANOS, 1MESES"/>
    <n v="9.7222222222222224E-2"/>
    <x v="0"/>
    <x v="0"/>
    <s v="COLETA DOMICILIAR"/>
    <s v="DIURNO"/>
    <s v="JOSÉ ADELMAR"/>
    <s v="SUSPENSÃO"/>
    <d v="2023-06-09T00:00:00"/>
    <x v="6"/>
    <d v="2023-06-10T00:00:00"/>
    <s v="jun/2023"/>
    <s v="JUNHO"/>
    <x v="0"/>
    <d v="2023-06-11T00:00:00"/>
    <x v="0"/>
    <s v="O COLABORADOR FALTOU NO DIA 04/06 E 09/06/2023 SEM COMUNICAR SUA CHEFIA IMEDIATA."/>
  </r>
  <r>
    <n v="188"/>
    <s v="IOMAR CASTRO DA COSTA JUNIOR"/>
    <n v="2770002470"/>
    <x v="0"/>
    <d v="2021-02-17T00:00:00"/>
    <s v="2ANOS, 2MESES"/>
    <n v="2.2000000000000002"/>
    <x v="2"/>
    <x v="1"/>
    <s v="COLETA DOMICILIAR"/>
    <s v="DIURNO"/>
    <s v="JOSÉ ADELMAR"/>
    <s v="ADVERTENCIA"/>
    <d v="2023-04-20T00:00:00"/>
    <x v="4"/>
    <d v="2023-06-10T00:00:00"/>
    <s v="jun/2023"/>
    <s v="JUNHO"/>
    <x v="0"/>
    <d v="2023-06-10T00:00:00"/>
    <x v="1"/>
    <s v="NO DIA 20/04/2023 O MOTORISTA ESTAVA CONDUZINDO O VEÍCULO DE PREF. 01.702-20 - EXCEDEU O LIMITE DE VELOCIDADE PERMITIDO PELA EMPRESA 75 KM."/>
  </r>
  <r>
    <n v="189"/>
    <s v="WILKER BRAGA GOMES"/>
    <n v="2770002972"/>
    <x v="0"/>
    <d v="2022-11-03T00:00:00"/>
    <s v="0ANOS, 7MESES"/>
    <n v="0.60555555555555551"/>
    <x v="0"/>
    <x v="0"/>
    <s v="COLETA DOMICILIAR"/>
    <s v="NOTURNO"/>
    <s v="JOÃO PEDRO"/>
    <s v="ADVERTENCIA"/>
    <d v="2023-06-09T00:00:00"/>
    <x v="6"/>
    <d v="2023-06-11T00:00:00"/>
    <s v="jun/2023"/>
    <s v="JUNHO"/>
    <x v="0"/>
    <d v="2023-06-11T00:00:00"/>
    <x v="0"/>
    <s v="COLABORADOR FALTOU SEM JUSTIFICATIVA NO DIA 09/06/2023."/>
  </r>
  <r>
    <n v="190"/>
    <s v="CARLOS LOBO VIANA"/>
    <n v="2770003105"/>
    <x v="1"/>
    <d v="2023-03-16T00:00:00"/>
    <s v="0ANOS, 2MESES"/>
    <n v="0.24166666666666667"/>
    <x v="0"/>
    <x v="0"/>
    <s v="COLETA DOMICILIAR"/>
    <s v="DIURNO"/>
    <s v="JOSÉ ADELMAR"/>
    <s v="SUSPENSÃO"/>
    <d v="2023-06-11T00:00:00"/>
    <x v="6"/>
    <d v="2023-06-12T00:00:00"/>
    <s v="jun/2023"/>
    <s v="JUNHO"/>
    <x v="0"/>
    <d v="2023-06-13T00:00:00"/>
    <x v="0"/>
    <s v="O COLABORADOR FALTOU NO DIA 11/06/2023 SEM COMUNICAR SUA CHEFIA IMEDIATA."/>
  </r>
  <r>
    <n v="191"/>
    <s v="RENILSON HONORATO TAVARES DOS SANTOS"/>
    <n v="2770003137"/>
    <x v="1"/>
    <d v="2023-05-05T00:00:00"/>
    <s v="0ANOS, 1MESES"/>
    <n v="0.10277777777777777"/>
    <x v="0"/>
    <x v="0"/>
    <s v="COLETA DOMICILIAR"/>
    <s v="DIURNO"/>
    <s v="JOSÉ ADELMAR"/>
    <s v="ADVERTENCIA"/>
    <d v="2023-06-11T00:00:00"/>
    <x v="6"/>
    <d v="2023-06-12T00:00:00"/>
    <s v="jun/2023"/>
    <s v="JUNHO"/>
    <x v="0"/>
    <d v="2023-06-12T00:00:00"/>
    <x v="0"/>
    <s v="O COLABORADOR FALTOU NO DIA 11/06/2023 SEM COMUNICAR SUA CHEFIA IMEDIATA."/>
  </r>
  <r>
    <n v="192"/>
    <s v="LEONAN NEGREIROS DA SILVA "/>
    <n v="2770003078"/>
    <x v="0"/>
    <d v="2023-02-09T00:00:00"/>
    <s v="0ANOS, 4MESES"/>
    <n v="0.33888888888888891"/>
    <x v="0"/>
    <x v="1"/>
    <s v="COLETA DOMICILIAR"/>
    <s v="NOTURNO"/>
    <s v="JOÃO PEDRO"/>
    <s v="ADVERTENCIA"/>
    <d v="2023-06-11T00:00:00"/>
    <x v="6"/>
    <d v="2023-06-12T00:00:00"/>
    <s v="jun/2023"/>
    <s v="JUNHO"/>
    <x v="0"/>
    <d v="2023-06-12T00:00:00"/>
    <x v="0"/>
    <s v="COLABORADOR FALTOU SEM JUSTIFICATIVA NO DIA 11/06/2023."/>
  </r>
  <r>
    <n v="193"/>
    <s v="PABLO DIAS COUTINHO"/>
    <n v="2770003116"/>
    <x v="1"/>
    <d v="2023-03-16T00:00:00"/>
    <s v="0ANOS, 2MESES"/>
    <n v="0.24166666666666667"/>
    <x v="0"/>
    <x v="0"/>
    <s v="COLETA DOMICILIAR"/>
    <s v="NOTURNO"/>
    <s v="JOÃO PEDRO"/>
    <s v="SUSPENSÃO"/>
    <d v="2023-06-11T00:00:00"/>
    <x v="6"/>
    <d v="2023-06-14T00:00:00"/>
    <s v="jun/2023"/>
    <s v="JUNHO"/>
    <x v="0"/>
    <d v="2023-06-17T00:00:00"/>
    <x v="0"/>
    <s v="COLABORADOR FALTOU SEM JUSTIFICATIVA NO DIA 11/06/2023."/>
  </r>
  <r>
    <n v="194"/>
    <s v="MOIZES PEREIRA"/>
    <n v="2770002510"/>
    <x v="0"/>
    <d v="2021-04-19T00:00:00"/>
    <s v="2ANOS, 1MESES"/>
    <n v="2.1833333333333331"/>
    <x v="2"/>
    <x v="0"/>
    <s v="COLETA DOMICILIAR"/>
    <s v="DIURNO"/>
    <s v="JOSÉ ADELMAR"/>
    <s v="ADVERTENCIA"/>
    <d v="2023-06-14T00:00:00"/>
    <x v="6"/>
    <d v="2023-06-15T00:00:00"/>
    <s v="jun/2023"/>
    <s v="JUNHO"/>
    <x v="0"/>
    <d v="2023-06-16T00:00:00"/>
    <x v="2"/>
    <s v="NO DIA 14/06/2023 O FISCAL FOI ORIENTAR O AGENTE DE COLETA SOBRE OS PROCEDIMENTOS DE COLETA E O COLABORADOR DESFERIU PALAVRAS DE BAIXO CALÃO. (OCORRENDO QUEBRA DE HIERARQUIA.)"/>
  </r>
  <r>
    <n v="195"/>
    <s v="EDUARDO SILVA DE OLIVEIRA"/>
    <n v="2770003044"/>
    <x v="0"/>
    <d v="2022-12-07T00:00:00"/>
    <s v="0ANOS, 6MESES"/>
    <n v="0.53333333333333333"/>
    <x v="0"/>
    <x v="0"/>
    <s v="COLETA DOMICILIAR"/>
    <s v="NOTURNO"/>
    <s v="JOÃO PEDRO"/>
    <s v="ADVERTENCIA"/>
    <d v="2023-06-17T00:00:00"/>
    <x v="6"/>
    <d v="2023-06-18T00:00:00"/>
    <s v="jun/2023"/>
    <s v="JUNHO"/>
    <x v="0"/>
    <d v="2023-06-18T00:00:00"/>
    <x v="0"/>
    <s v="COLABORADOR FALTOU SEM JUSTIFICATIVA NO DIA 17/06/2023."/>
  </r>
  <r>
    <n v="196"/>
    <s v="FABIO BRITO DOS SANTOS"/>
    <n v="2770003108"/>
    <x v="1"/>
    <d v="2023-03-16T00:00:00"/>
    <s v="0ANOS, 3MESES"/>
    <n v="0.26111111111111113"/>
    <x v="0"/>
    <x v="0"/>
    <s v="COLETA DOMICILIAR"/>
    <s v="DIURNO"/>
    <s v="JOSÉ ADELMAR"/>
    <s v="ADVERTENCIA"/>
    <d v="2023-06-18T00:00:00"/>
    <x v="6"/>
    <d v="2023-06-19T00:00:00"/>
    <s v="jun/2023"/>
    <s v="JUNHO"/>
    <x v="0"/>
    <d v="2023-06-19T00:00:00"/>
    <x v="0"/>
    <s v="O COLABORADOR FALTOU NO DIA 18/06/2023 NO PLANTÃO DE DOMINGO SEM COMUNICAR SUA CHEFIA IMEDIATA."/>
  </r>
  <r>
    <n v="197"/>
    <s v="FRANCISCO DA SILVA ANTUNES"/>
    <n v="2770002340"/>
    <x v="0"/>
    <d v="2020-09-01T00:00:00"/>
    <s v="2ANOS, 10MESES"/>
    <n v="2.9388888888888891"/>
    <x v="2"/>
    <x v="1"/>
    <s v="COLETA DOMICILIAR"/>
    <s v="DIURNO"/>
    <s v="ANA CAROLINA"/>
    <s v="ADVERTENCIA"/>
    <d v="2023-07-26T00:00:00"/>
    <x v="7"/>
    <d v="2023-07-31T00:00:00"/>
    <s v="jul/2023"/>
    <s v="JULHO"/>
    <x v="0"/>
    <d v="2023-08-01T00:00:00"/>
    <x v="1"/>
    <s v="EXCEDEU O LIMITE DE VELOCIDADE PERMITIDO PELA EMPRESA NO DIA 26/07/2023, CHEGANDO A 81 KM."/>
  </r>
  <r>
    <n v="198"/>
    <s v="EDUARDO MORAES DE SOOUZA"/>
    <n v="2770002391"/>
    <x v="0"/>
    <d v="2020-11-09T00:00:00"/>
    <s v="2ANOS, 8MESES"/>
    <n v="2.7638888888888888"/>
    <x v="2"/>
    <x v="0"/>
    <s v="COLETA DOMICILIAR"/>
    <s v="DIURNO"/>
    <s v="ANA CAROLINA"/>
    <s v="SUSPENSÃO"/>
    <d v="2023-08-01T00:00:00"/>
    <x v="8"/>
    <d v="2023-08-01T00:00:00"/>
    <s v="ago/2023"/>
    <s v="AGOSTO"/>
    <x v="0"/>
    <d v="2023-08-02T00:00:00"/>
    <x v="3"/>
    <s v="COLABORADOR EM COLETA NA ROTA 90.1.122, TEVE UMA DISCUSSÃO JUNTO AO MORADOR, GERANDO INSATISFAÇÃO E RECLAMAÇÕES POSTERIORES JUNTO AO CLIENTE."/>
  </r>
  <r>
    <n v="199"/>
    <s v="WAGNER CARVALHO DE OLIVEIRA"/>
    <n v="2770002783"/>
    <x v="0"/>
    <d v="2023-02-09T00:00:00"/>
    <s v="0ANOS, 5MESES"/>
    <n v="0.48055555555555557"/>
    <x v="0"/>
    <x v="1"/>
    <s v="COLETA DOMICILIAR"/>
    <s v="DIURNO"/>
    <s v="ANA CAROLINA"/>
    <s v="ADVERTENCIA"/>
    <d v="2023-08-01T00:00:00"/>
    <x v="8"/>
    <d v="2023-08-01T00:00:00"/>
    <s v="ago/2023"/>
    <s v="AGOSTO"/>
    <x v="0"/>
    <d v="2023-08-01T00:00:00"/>
    <x v="3"/>
    <s v="REALIZAR MANOBRA DE RÉ PERMITINDO QUE O AGENTE DE COLETA PERMANEÇA NO ESTRIBO DO CAMINHÃO 90.1.122."/>
  </r>
  <r>
    <n v="200"/>
    <s v="WILSON DA SILVA FAUSTINO"/>
    <n v="2770002983"/>
    <x v="0"/>
    <d v="2022-11-03T00:00:00"/>
    <s v="0ANOS, 8MESES"/>
    <n v="0.74722222222222223"/>
    <x v="0"/>
    <x v="0"/>
    <s v="COLETA DOMICILIAR"/>
    <s v="NOTURNO"/>
    <s v="JOÃO PEDRO"/>
    <s v="ADVERTENCIA"/>
    <d v="2023-07-30T00:00:00"/>
    <x v="7"/>
    <d v="2023-08-01T00:00:00"/>
    <s v="ago/2023"/>
    <s v="AGOSTO"/>
    <x v="0"/>
    <d v="2023-08-01T00:00:00"/>
    <x v="0"/>
    <s v="O COLABORADOR FALTOU NO DIA 30/07/2023 O MESMO NÃO APRESENTOU NENHUMA JUSTIFICATIVA."/>
  </r>
  <r>
    <n v="201"/>
    <s v="FRANCISCO MAGNO DE ALMEIDA OLIVEIRA"/>
    <n v="2770002956"/>
    <x v="0"/>
    <d v="2022-10-03T00:00:00"/>
    <s v="0ANOS, 9MESES"/>
    <n v="0.8305555555555556"/>
    <x v="0"/>
    <x v="0"/>
    <s v="COLETA DOMICILIAR"/>
    <s v="NOTURNO"/>
    <s v="JOÃO PEDRO"/>
    <s v="SUSPENSÃO"/>
    <d v="2023-07-29T00:00:00"/>
    <x v="7"/>
    <d v="2023-08-01T00:00:00"/>
    <s v="ago/2023"/>
    <s v="AGOSTO"/>
    <x v="0"/>
    <d v="2023-08-01T00:00:00"/>
    <x v="0"/>
    <s v="COLABORADOR FALTOU NO DIA 29/07/2023 E O MESMO NÃO APRESENTOU NENHUMA JUSTIFICATIVA."/>
  </r>
  <r>
    <n v="202"/>
    <s v="NAUM DA SILVA CASTRIO ALFAIA"/>
    <n v="2770002953"/>
    <x v="0"/>
    <d v="2022-10-03T00:00:00"/>
    <s v="0ANOS, 9MESES"/>
    <n v="0.83888888888888891"/>
    <x v="0"/>
    <x v="0"/>
    <s v="COLETA DOMICILIAR"/>
    <s v="NOTURNO"/>
    <s v="JOÃO PEDRO"/>
    <s v="SUSPENSÃO"/>
    <d v="2023-08-01T00:00:00"/>
    <x v="8"/>
    <d v="2023-08-02T00:00:00"/>
    <s v="ago/2023"/>
    <s v="AGOSTO"/>
    <x v="0"/>
    <d v="2023-08-05T00:00:00"/>
    <x v="0"/>
    <s v="O COLABORADOR FALTOU NOS DIAS 31/07 E 01/08 E NÃO APRESENTOU NENHUMA JUSTIFICATIVA."/>
  </r>
  <r>
    <n v="203"/>
    <s v="LUCIANO MENEZES DA SILVA"/>
    <n v="2770002461"/>
    <x v="0"/>
    <d v="2021-01-03T00:00:00"/>
    <s v="2ANOS, 6MESES"/>
    <n v="2.6111111111111112"/>
    <x v="2"/>
    <x v="1"/>
    <s v="COLETA DOMICILIAR"/>
    <s v="DIURNO"/>
    <s v="ANA CAROLINA"/>
    <s v="ADVERTENCIA"/>
    <d v="2023-08-01T00:00:00"/>
    <x v="8"/>
    <d v="2023-08-03T00:00:00"/>
    <s v="ago/2023"/>
    <s v="AGOSTO"/>
    <x v="0"/>
    <d v="2023-08-03T00:00:00"/>
    <x v="1"/>
    <s v="EXCEDEU O LIMITE DE VELOCIDADE PERMITIDO PELA EMPRESA NO DIA 01/08 AS 06:56H CHEGANDO A 72 KM."/>
  </r>
  <r>
    <n v="204"/>
    <s v="BRUNO RAFAEL GAMA RODRIGUES"/>
    <n v="2770003170"/>
    <x v="1"/>
    <d v="2023-06-01T00:00:00"/>
    <s v="0ANOS, 1MESES"/>
    <n v="0.16388888888888889"/>
    <x v="0"/>
    <x v="0"/>
    <s v="COLETA DOMICILIAR"/>
    <s v="NOTURNO"/>
    <s v="JOÃO PEDRO"/>
    <s v="ADVERTENCIA"/>
    <d v="2023-07-30T00:00:00"/>
    <x v="7"/>
    <d v="2023-08-04T00:00:00"/>
    <s v="ago/2023"/>
    <s v="AGOSTO"/>
    <x v="0"/>
    <d v="2023-08-04T00:00:00"/>
    <x v="0"/>
    <s v="O COLABORADOR FALTOU NO DIA 30/07/2023 O MESMO NÃO APRESENTOU NENHUMA JUSTIFICATIVA."/>
  </r>
  <r>
    <n v="205"/>
    <s v="DANILO CUNHA DOS SANTOS"/>
    <n v="2770002792"/>
    <x v="0"/>
    <d v="2022-03-07T00:00:00"/>
    <s v="1ANOS, 4MESES"/>
    <n v="1.4333333333333333"/>
    <x v="2"/>
    <x v="0"/>
    <s v="COLETA DOMICILIAR"/>
    <s v="DIURNO"/>
    <s v="ANA CAROLINA"/>
    <s v="ADVERTENCIA"/>
    <d v="2023-08-05T00:00:00"/>
    <x v="8"/>
    <d v="2023-08-07T00:00:00"/>
    <s v="ago/2023"/>
    <s v="AGOSTO"/>
    <x v="0"/>
    <d v="2023-08-07T00:00:00"/>
    <x v="0"/>
    <s v="FALTA INJUSTIFICADA EM 05/08/2023."/>
  </r>
  <r>
    <n v="206"/>
    <s v="ISAQUE FERNANDES DA CRUZ"/>
    <n v="2770002827"/>
    <x v="0"/>
    <d v="2022-05-02T00:00:00"/>
    <s v="1ANOS, 3MESES"/>
    <n v="1.2833333333333334"/>
    <x v="2"/>
    <x v="0"/>
    <s v="COLETA DOMICILIAR"/>
    <s v="DIURNO"/>
    <s v="ANA CAROLINA"/>
    <s v="ADVERTENCIA"/>
    <d v="2023-08-07T00:00:00"/>
    <x v="8"/>
    <d v="2023-08-07T00:00:00"/>
    <s v="ago/2023"/>
    <s v="AGOSTO"/>
    <x v="0"/>
    <d v="2023-08-07T00:00:00"/>
    <x v="0"/>
    <s v="FALTA INJUSTIFICADA EM 06/08/2023."/>
  </r>
  <r>
    <n v="207"/>
    <s v="JARDEL ALHO PINHEIRO"/>
    <n v="2770003126"/>
    <x v="0"/>
    <d v="2023-04-06T00:00:00"/>
    <s v="0ANOS, 4MESES"/>
    <n v="0.33888888888888891"/>
    <x v="0"/>
    <x v="0"/>
    <s v="COLETA DOMICILIAR"/>
    <s v="DIURNO"/>
    <s v="ANA CAROLINA"/>
    <s v="ADVERTENCIA"/>
    <d v="2023-08-06T00:00:00"/>
    <x v="8"/>
    <d v="2023-08-07T00:00:00"/>
    <s v="ago/2023"/>
    <s v="AGOSTO"/>
    <x v="0"/>
    <d v="2023-08-07T00:00:00"/>
    <x v="0"/>
    <s v="FALTA INJUSTIFICADA EM 06/08/2023."/>
  </r>
  <r>
    <n v="208"/>
    <s v="RAYNAN BRUNO SILVA FERREIRA"/>
    <n v="2770003053"/>
    <x v="0"/>
    <d v="2023-01-12T00:00:00"/>
    <s v="0ANOS, 6MESES"/>
    <n v="0.56944444444444442"/>
    <x v="0"/>
    <x v="0"/>
    <s v="COLETA DOMICILIAR"/>
    <s v="DIURNO"/>
    <s v="ANA CAROLINA"/>
    <s v="ADVERTENCIA"/>
    <d v="2023-08-05T00:00:00"/>
    <x v="8"/>
    <d v="2023-08-07T00:00:00"/>
    <s v="ago/2023"/>
    <s v="AGOSTO"/>
    <x v="0"/>
    <d v="2023-08-07T00:00:00"/>
    <x v="0"/>
    <s v="FALTA INJUSTIFICADA EM 05/08/2023."/>
  </r>
  <r>
    <n v="209"/>
    <s v="RUAN PEREIRA MACEDO"/>
    <n v="2770002916"/>
    <x v="0"/>
    <d v="2022-09-01T00:00:00"/>
    <s v="0ANOS, 11MESES"/>
    <n v="0.94444444444444442"/>
    <x v="0"/>
    <x v="0"/>
    <s v="COLETA DOMICILIAR"/>
    <s v="DIURNO"/>
    <s v="ANA CAROLINA"/>
    <s v="ADVERTENCIA"/>
    <d v="2023-08-07T00:00:00"/>
    <x v="8"/>
    <d v="2023-08-07T00:00:00"/>
    <s v="ago/2023"/>
    <s v="AGOSTO"/>
    <x v="0"/>
    <d v="2023-08-07T00:00:00"/>
    <x v="4"/>
    <s v="COLABORADOR FALTOU NA DATA DE HOJE AS 06:39H, ALEGA QUE PERDEU A HORA."/>
  </r>
  <r>
    <n v="210"/>
    <s v="ALESSANDRO BRITO AMORIM"/>
    <n v="2770002978"/>
    <x v="0"/>
    <d v="2022-11-03T00:00:00"/>
    <s v="0ANOS, 9MESES"/>
    <n v="0.76666666666666672"/>
    <x v="0"/>
    <x v="0"/>
    <s v="COLETA DOMICILIAR"/>
    <s v="NOTURNO"/>
    <s v="JOÃO PEDRO"/>
    <s v="SUSPENSÃO"/>
    <d v="2023-08-06T00:00:00"/>
    <x v="8"/>
    <d v="2023-08-07T00:00:00"/>
    <s v="ago/2023"/>
    <s v="AGOSTO"/>
    <x v="0"/>
    <d v="2023-08-08T00:00:00"/>
    <x v="0"/>
    <s v="O COLABORADOR FALTOU NO DIA 06/08 E NÃO APRESENTOU NENHUMA JUSTIFICATIVA."/>
  </r>
  <r>
    <n v="211"/>
    <s v="EDUARDO SILVA DE OLIVEIRA"/>
    <n v="2770003044"/>
    <x v="1"/>
    <d v="2022-12-07T00:00:00"/>
    <s v="0ANOS, 7MESES"/>
    <n v="0.67222222222222228"/>
    <x v="0"/>
    <x v="0"/>
    <s v="COLETA DOMICILIAR"/>
    <s v="NOTURNO"/>
    <s v="JOÃO PEDRO"/>
    <s v="ADVERTENCIA"/>
    <d v="2023-08-06T00:00:00"/>
    <x v="8"/>
    <d v="2023-08-07T00:00:00"/>
    <s v="ago/2023"/>
    <s v="AGOSTO"/>
    <x v="0"/>
    <s v="08/08/20236"/>
    <x v="0"/>
    <s v="O COLABORADOR FALTOU NO DIA 05/08 E 06/08 E NÃO APRESENTOU NENHUMA JUSTIFICATIVA."/>
  </r>
  <r>
    <n v="212"/>
    <s v="RAMAYSSA DE SOUZA LIMA"/>
    <n v="2770002720"/>
    <x v="2"/>
    <d v="2021-11-18T00:00:00"/>
    <s v="1ANOS, 8MESES"/>
    <n v="1.7472222222222222"/>
    <x v="2"/>
    <x v="7"/>
    <s v="MANUTENÇÃO"/>
    <s v="INTERMEDIÁRIO"/>
    <s v="TADEU PINTO"/>
    <s v="ADVERTENCIA"/>
    <d v="2023-08-09T00:00:00"/>
    <x v="8"/>
    <d v="2023-08-09T00:00:00"/>
    <s v="ago/2023"/>
    <s v="AGOSTO"/>
    <x v="0"/>
    <d v="2023-08-09T00:00:00"/>
    <x v="3"/>
    <s v="NÃO REALIZOU O PREENCHIMENTO DOS RELATÓRIOS DA GESTÃO DE PNEUS NO SISTEMA E NÃO COMUNICOU SEUS SUPERIORES IMEDIATOS. ASSIM PREJUDICANDO O BOM FUNCIONAMENTO DESTA EMPRESA."/>
  </r>
  <r>
    <n v="213"/>
    <s v="ITALO DE OLIVEIRA SEIXAS"/>
    <n v="2770003110"/>
    <x v="0"/>
    <d v="2023-03-16T00:00:00"/>
    <s v="0ANOS, 4MESES"/>
    <n v="0.40555555555555556"/>
    <x v="0"/>
    <x v="0"/>
    <s v="COLETA DOMICILIAR"/>
    <s v="DIURNO"/>
    <s v="ANA CAROLINA"/>
    <s v="ADVERTENCIA"/>
    <d v="2023-08-09T00:00:00"/>
    <x v="8"/>
    <d v="2023-08-09T00:00:00"/>
    <s v="ago/2023"/>
    <s v="AGOSTO"/>
    <x v="0"/>
    <d v="2023-08-09T00:00:00"/>
    <x v="4"/>
    <s v="AGENTE DE COLETA CHEGOU ATRASADO NO DIA 09/08 AS 06:28."/>
  </r>
  <r>
    <n v="214"/>
    <s v="CARLOS ALBERTO PERES DE OLIVEIRA"/>
    <n v="2770003011"/>
    <x v="0"/>
    <d v="2022-12-01T00:00:00"/>
    <s v="0ANOS, 8MESES"/>
    <n v="0.7"/>
    <x v="0"/>
    <x v="0"/>
    <s v="COLETA DOMICILIAR"/>
    <s v="DIURNO"/>
    <s v="ELISANGELA ROCHA"/>
    <s v="SUSPENSÃO"/>
    <d v="2023-08-10T00:00:00"/>
    <x v="8"/>
    <d v="2023-08-10T00:00:00"/>
    <s v="ago/2023"/>
    <s v="AGOSTO"/>
    <x v="0"/>
    <d v="2023-08-10T00:00:00"/>
    <x v="3"/>
    <s v="NO DIA 10/08/2023 NA ROTA 127 O COLABORADOR FOI ABORDADO PELO FISCAL E ANALISTA DE OPERAÇÕES REALIZANDO ARRUMAÇÃO NO ROTEIRO, MESMO RECEBENDO A RECICLAGEM DO TREINAMENTO OPERACIONAL REALIZADO NO MESMO DIA."/>
  </r>
  <r>
    <n v="215"/>
    <s v="JOSENI VIEIRA DE MEIRELES"/>
    <n v="2770003010"/>
    <x v="0"/>
    <d v="2022-12-01T00:00:00"/>
    <s v="0ANOS, 8MESES"/>
    <n v="0.69722222222222219"/>
    <x v="0"/>
    <x v="0"/>
    <s v="COLETA DOMICILIAR"/>
    <s v="DIURNO"/>
    <s v="ELISANGELA ROCHA"/>
    <s v="SUSPENSÃO"/>
    <d v="2023-08-09T00:00:00"/>
    <x v="8"/>
    <d v="2023-08-10T00:00:00"/>
    <s v="ago/2023"/>
    <s v="AGOSTO"/>
    <x v="0"/>
    <d v="2023-08-11T00:00:00"/>
    <x v="3"/>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6"/>
    <s v="RONDINELES MOREIRA LEITE"/>
    <n v="2770000343"/>
    <x v="0"/>
    <d v="2013-02-08T00:00:00"/>
    <s v="10ANOS, 6MESES"/>
    <n v="10.65"/>
    <x v="3"/>
    <x v="0"/>
    <s v="COLETA DOMICILIAR"/>
    <s v="DIURNO"/>
    <s v="ELISANGELA ROCHA"/>
    <s v="SUSPENSÃO"/>
    <d v="2023-08-09T00:00:00"/>
    <x v="8"/>
    <d v="2023-08-11T00:00:00"/>
    <s v="ago/2023"/>
    <s v="AGOSTO"/>
    <x v="0"/>
    <d v="2023-08-11T00:00:00"/>
    <x v="3"/>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7"/>
    <s v="LUIZ FERNANDO MENDES VIANA"/>
    <n v="2770003038"/>
    <x v="0"/>
    <d v="2023-03-08T00:00:00"/>
    <s v="0ANOS, 5MESES"/>
    <n v="0.43333333333333335"/>
    <x v="0"/>
    <x v="0"/>
    <s v="COLETA DOMICILIAR"/>
    <s v="DIURNO"/>
    <s v="ANA CAROLINA"/>
    <s v="ADVERTENCIA"/>
    <d v="2023-08-11T00:00:00"/>
    <x v="8"/>
    <d v="2023-08-11T00:00:00"/>
    <s v="ago/2023"/>
    <s v="AGOSTO"/>
    <x v="0"/>
    <d v="2023-08-11T00:00:00"/>
    <x v="4"/>
    <s v="COLABORADOR CHEGOU ATRASADO NA DATA DE HOJE, AS 06:28H, ALEGA QUE FOI ACOMPANHAR O FILHO PARA TOMAR VACINA."/>
  </r>
  <r>
    <n v="218"/>
    <s v="ITALO DE OLIVEIRA SEIXAS"/>
    <n v="2770003110"/>
    <x v="0"/>
    <d v="2023-03-16T00:00:00"/>
    <s v="0ANOS, 4MESES"/>
    <n v="0.40555555555555556"/>
    <x v="0"/>
    <x v="0"/>
    <s v="COLETA DOMICILIAR"/>
    <s v="DIURNO"/>
    <s v="ELISANGELA ROCHA"/>
    <s v="ADVERTENCIA"/>
    <d v="2023-08-09T00:00:00"/>
    <x v="8"/>
    <d v="2023-08-11T00:00:00"/>
    <s v="ago/2023"/>
    <s v="AGOSTO"/>
    <x v="0"/>
    <d v="2023-08-11T00:00:00"/>
    <x v="3"/>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9"/>
    <s v="PEDRO SERGIO DE SOUZA CHAVES"/>
    <n v="2770002709"/>
    <x v="0"/>
    <d v="2021-11-18T00:00:00"/>
    <s v="1ANOS, 8MESES"/>
    <n v="1.7527777777777778"/>
    <x v="2"/>
    <x v="0"/>
    <s v="COLETA DOMICILIAR"/>
    <s v="DIURNO"/>
    <s v="ELISANGELA ROCHA"/>
    <s v="ADVERTENCIA"/>
    <d v="2023-08-11T00:00:00"/>
    <x v="8"/>
    <d v="2023-08-11T00:00:00"/>
    <s v="ago/2023"/>
    <s v="AGOSTO"/>
    <x v="0"/>
    <d v="2023-08-11T00:00:00"/>
    <x v="3"/>
    <s v="NO DIA 11/08/2023 O COLABORADOR FOI ABORDADO PELO FISCAL E ANALISTA DE OPERAÇÕES REALIZANDO ARRUMAÇÕES NO ROTEIRO."/>
  </r>
  <r>
    <n v="220"/>
    <s v="IZAQUE SOUZA FURTADO"/>
    <n v="2770003152"/>
    <x v="0"/>
    <d v="2023-05-17T00:00:00"/>
    <s v="0ANOS, 2MESES"/>
    <n v="0.2388888888888889"/>
    <x v="0"/>
    <x v="0"/>
    <s v="COLETA DOMICILIAR"/>
    <s v="DIURNO"/>
    <s v="ELISANGELA ROCHA"/>
    <s v="ADVERTENCIA"/>
    <d v="2023-08-11T00:00:00"/>
    <x v="8"/>
    <d v="2023-08-11T00:00:00"/>
    <s v="ago/2023"/>
    <s v="AGOSTO"/>
    <x v="0"/>
    <d v="2023-08-11T00:00:00"/>
    <x v="3"/>
    <s v="NO DIA 11/08/2023 O COLABORADOR FOI ABORDADO PELO FISCAL E ANALISTA DE OPERAÇÕES REALIZANDO ARRUMAÇÕES NO ROTEIRO."/>
  </r>
  <r>
    <n v="221"/>
    <s v="JUAN CARLOS LIMA GUTIERREZ"/>
    <n v="2770002951"/>
    <x v="0"/>
    <d v="2022-10-03T00:00:00"/>
    <s v="0ANOS, 10MESES"/>
    <n v="0.8666666666666667"/>
    <x v="0"/>
    <x v="0"/>
    <s v="COLETA DOMICILIAR"/>
    <s v="DIURNO"/>
    <s v="ANA CAROLINA"/>
    <s v="SUSPENSÃO"/>
    <d v="2023-08-11T00:00:00"/>
    <x v="8"/>
    <d v="2023-08-12T00:00:00"/>
    <s v="ago/2023"/>
    <s v="AGOSTO"/>
    <x v="0"/>
    <d v="2023-08-13T00:00:00"/>
    <x v="0"/>
    <s v="O COLABORADOR FALTOU NOS DIAS 09/08, 10/08 E 11/08, O MESMO INFORMOU QUE TEM DOIS FILHOS E UM DELES SE ENCONTRAVA HOSPITALIZADO, ELE PRECISOU FICAR EM CASA PARA CUIDAR DO MAIS NOVO, ENQUANTO SUA ESPOSA FICA NO HOSPITAL, POR ESSE MOTIVO NÃO APRESENTOU NENHUMA JUSTIFICATIVA."/>
  </r>
  <r>
    <n v="222"/>
    <s v="ANTONIO MARCOS TAMAIO DA SILVA"/>
    <n v="2770002995"/>
    <x v="0"/>
    <d v="2022-11-03T00:00:00"/>
    <s v="0ANOS, 9MESES"/>
    <n v="0.78333333333333333"/>
    <x v="0"/>
    <x v="0"/>
    <s v="COLETA DOMICILIAR"/>
    <s v="DIURNO"/>
    <s v="ANA CAROLINA"/>
    <s v="ADVERTENCIA"/>
    <d v="2023-08-12T00:00:00"/>
    <x v="8"/>
    <d v="2023-08-12T00:00:00"/>
    <s v="ago/2023"/>
    <s v="AGOSTO"/>
    <x v="0"/>
    <d v="2023-08-12T00:00:00"/>
    <x v="3"/>
    <s v="NO DIA 12/08 O COLABORADOR FOI ABORDADO PELO FISCAL E ANALISTA DE OPERAÇÕES NA ROTA 125 FAZENDO ARRUMAÇÃO NO ROTEIRO."/>
  </r>
  <r>
    <n v="223"/>
    <s v="THIAGO MAR DE AS"/>
    <n v="2770002885"/>
    <x v="0"/>
    <d v="2022-06-15T00:00:00"/>
    <s v="1ANOS, 1MESES"/>
    <n v="1.175"/>
    <x v="2"/>
    <x v="0"/>
    <s v="COLETA DOMICILIAR"/>
    <s v="DIURNO"/>
    <s v="ELISANGELA ROCHA"/>
    <s v="ADVERTENCIA"/>
    <d v="2023-08-12T00:00:00"/>
    <x v="8"/>
    <d v="2023-08-12T00:00:00"/>
    <s v="ago/2023"/>
    <s v="AGOSTO"/>
    <x v="0"/>
    <d v="2023-08-12T00:00:00"/>
    <x v="3"/>
    <s v="NO DIA 12/08 O COLABORADOR FOI ABORDADO PELO FISCAL E ANALISTA DE OPERAÇÕES NA ROTA 125 FAZENDO ARRUMAÇÃO NO ROTEIRO."/>
  </r>
  <r>
    <n v="224"/>
    <s v="DIEGO DE SOUZA PINHEIRO"/>
    <n v="2770002252"/>
    <x v="0"/>
    <d v="2020-05-04T00:00:00"/>
    <s v="3ANOS, 3MESES"/>
    <n v="3.3194444444444446"/>
    <x v="1"/>
    <x v="0"/>
    <s v="COLETA DOMICILIAR"/>
    <s v="DIURNO"/>
    <s v="ELISANGELA ROCHA"/>
    <s v="ADVERTENCIA"/>
    <d v="2023-08-12T00:00:00"/>
    <x v="8"/>
    <d v="2023-08-12T00:00:00"/>
    <s v="ago/2023"/>
    <s v="AGOSTO"/>
    <x v="0"/>
    <d v="2023-08-12T00:00:00"/>
    <x v="3"/>
    <s v="NO DIA 12/08 O COLABORADOR FOI ABORDADO PELO FISCAL E ANALISTA DE OPERAÇÕES NA ROTA 125 FAZENDO ARRUMAÇÃO NO ROTEIRO."/>
  </r>
  <r>
    <n v="225"/>
    <s v="JANDERSON PARENTE DA CRUZ"/>
    <n v="2770002895"/>
    <x v="0"/>
    <d v="2022-08-12T00:00:00"/>
    <s v="1ANOS, 0MESES"/>
    <n v="1.0138888888888888"/>
    <x v="2"/>
    <x v="0"/>
    <s v="COLETA DOMICILIAR"/>
    <s v="DIURNO"/>
    <s v="ELISANGELA ROCHA"/>
    <s v="ADVERTENCIA"/>
    <d v="2023-08-12T00:00:00"/>
    <x v="8"/>
    <d v="2023-08-12T00:00:00"/>
    <s v="ago/2023"/>
    <s v="AGOSTO"/>
    <x v="0"/>
    <d v="2023-08-12T00:00:00"/>
    <x v="4"/>
    <s v="NO DIA 12/08 O COLABORADOR CHEGOU ATRASADO, REGISTRANDO O PONTO AS 07:12, INFORMOU QUE O CELULAR NÃO DESPERTOU."/>
  </r>
  <r>
    <n v="226"/>
    <s v="LEVI WESLLEY ARAUJO DA COSTA"/>
    <n v="2770002901"/>
    <x v="0"/>
    <d v="2022-10-03T00:00:00"/>
    <s v="0ANOS, 10MESES"/>
    <n v="0.87222222222222223"/>
    <x v="0"/>
    <x v="1"/>
    <s v="COLETA DOMICILIAR"/>
    <s v="DIURNO"/>
    <s v="ANA CAROLINA"/>
    <s v="ADVERTENCIA"/>
    <d v="2023-08-13T00:00:00"/>
    <x v="8"/>
    <d v="2023-08-14T00:00:00"/>
    <s v="ago/2023"/>
    <s v="AGOSTO"/>
    <x v="0"/>
    <d v="2023-08-14T00:00:00"/>
    <x v="3"/>
    <s v="COLABORADOR REALIZANDO A ROTA 90.1.158 NA DATA DE ONTEM 13/08, ACABOU A MANOBRA DE RÉ BATENDO NA LIXEIRA DE CONCRETO QUE FICA LICALIZADA NA RUA CALIFORNIA - NOVA VITORIA, DANIFICANDO A MESMA. COLABORADOR NÃO INFORMOU A EMPRESA DO OCORRIDO."/>
  </r>
  <r>
    <n v="227"/>
    <s v="JACKSON DOS SANTOS REIS "/>
    <n v="2770003115"/>
    <x v="0"/>
    <d v="2023-03-16T00:00:00"/>
    <s v="0ANOS, 4MESES"/>
    <n v="0.41388888888888886"/>
    <x v="0"/>
    <x v="0"/>
    <s v="COLETA DOMICILIAR"/>
    <s v="NOTURNO"/>
    <s v="JOÃO PEDRO"/>
    <s v="ADVERTENCIA"/>
    <d v="2023-08-12T00:00:00"/>
    <x v="8"/>
    <d v="2023-08-14T00:00:00"/>
    <s v="ago/2023"/>
    <s v="AGOSTO"/>
    <x v="0"/>
    <d v="2023-08-14T00:00:00"/>
    <x v="0"/>
    <s v="O COLABORADOR FALTOU NO DIA 12/08/2023 E NÃO APRESENTOU NENHUMA JUSTIFICATIVA."/>
  </r>
  <r>
    <n v="228"/>
    <s v="EDUARDO SILVA DE OLIVEIRA"/>
    <n v="2770003044"/>
    <x v="0"/>
    <d v="2022-12-07T00:00:00"/>
    <s v="0ANOS, 8MESES"/>
    <n v="0.68888888888888888"/>
    <x v="0"/>
    <x v="0"/>
    <s v="COLETA DOMICILIAR"/>
    <s v="NOTURNO"/>
    <s v="JOÃO PEDRO"/>
    <s v="SUSPENSÃO"/>
    <d v="2023-08-12T00:00:00"/>
    <x v="8"/>
    <d v="2023-08-14T00:00:00"/>
    <s v="ago/2023"/>
    <s v="AGOSTO"/>
    <x v="0"/>
    <d v="2023-08-17T00:00:00"/>
    <x v="0"/>
    <s v="O COLABORADOR FALTOU NO DIA 12/08 E NÃO APRESENTOU NENHUMA JUSTIFICATIVA."/>
  </r>
  <r>
    <n v="229"/>
    <s v="MARCOS ALMEIDA FURTUOZO"/>
    <n v="2770002271"/>
    <x v="0"/>
    <d v="2020-06-01T00:00:00"/>
    <s v="3ANOS, 2MESES"/>
    <n v="3.2361111111111112"/>
    <x v="1"/>
    <x v="1"/>
    <s v="COLETA DOMICILIAR"/>
    <s v="NOTURNO"/>
    <s v="JOÃO PEDRO"/>
    <s v="ADVERTENCIA"/>
    <d v="2023-08-10T00:00:00"/>
    <x v="8"/>
    <d v="2023-08-14T00:00:00"/>
    <s v="ago/2023"/>
    <s v="AGOSTO"/>
    <x v="0"/>
    <d v="2023-08-14T00:00:00"/>
    <x v="1"/>
    <s v="EM 10/08 AS 22:12, MOTORISTA EXCEDEU O LIMITE DE VELOCIDADE ATINGINDO 73 KM/H."/>
  </r>
  <r>
    <n v="230"/>
    <s v="EUDES DA SILVA PINTO "/>
    <n v="2770002271"/>
    <x v="0"/>
    <d v="2020-06-01T00:00:00"/>
    <s v="3ANOS, 2MESES"/>
    <n v="3.2361111111111112"/>
    <x v="1"/>
    <x v="1"/>
    <s v="COLETA DOMICILIAR"/>
    <s v="NOTURNO"/>
    <s v="JOÃO PEDRO"/>
    <s v="ADVERTENCIA"/>
    <d v="2023-08-10T00:00:00"/>
    <x v="8"/>
    <d v="2023-08-14T00:00:00"/>
    <s v="ago/2023"/>
    <s v="AGOSTO"/>
    <x v="0"/>
    <d v="2023-08-10T00:00:00"/>
    <x v="1"/>
    <s v="EM 14/08/2023 AS 23:24, O MOTORISTA EXCEDEU A VELOCIDADE ATINGINDO 72 KM/H."/>
  </r>
  <r>
    <n v="231"/>
    <s v="GABRIEL SOUZA DA SILVA"/>
    <n v="2770002994"/>
    <x v="0"/>
    <d v="2022-11-03T00:00:00"/>
    <s v="0ANOS, 9MESES"/>
    <n v="0.79166666666666663"/>
    <x v="0"/>
    <x v="0"/>
    <s v="COLETA DOMICILIAR"/>
    <s v="DIURNO"/>
    <s v="ANA CAROLINA"/>
    <s v="ADVERTENCIA"/>
    <d v="2023-08-15T00:00:00"/>
    <x v="8"/>
    <d v="2023-08-15T00:00:00"/>
    <s v="ago/2023"/>
    <s v="AGOSTO"/>
    <x v="0"/>
    <d v="2023-08-15T00:00:00"/>
    <x v="3"/>
    <s v="DURAANTE A FISCALIZAÇÃO DO ANALISTA DE OPERAÇÕES NO DIA 15/08/2023 NA ROTA 90.1.127 O COLABORADOR FOI PEGO FAZENDO ARRUMAÇÃO DE LIXO NO SETOR."/>
  </r>
  <r>
    <n v="232"/>
    <s v="LUCAS PINHEIRO LOPES"/>
    <n v="2770002873"/>
    <x v="0"/>
    <d v="2022-11-01T00:00:00"/>
    <s v="0ANOS, 9MESES"/>
    <n v="0.79722222222222228"/>
    <x v="0"/>
    <x v="0"/>
    <s v="COLETA DOMICILIAR"/>
    <s v="NOTURNO"/>
    <s v="JOÃO PEDRO"/>
    <s v="ADVERTENCIA"/>
    <d v="2023-08-15T00:00:00"/>
    <x v="8"/>
    <d v="2023-08-16T00:00:00"/>
    <s v="ago/2023"/>
    <s v="AGOSTO"/>
    <x v="0"/>
    <d v="2023-08-17T00:00:00"/>
    <x v="0"/>
    <s v="COLABORADOR FALTOU NOS DIAS 15/08 E 16/08 E NÃO APRESENTOU NENHUMA JUSTIFICATIVA."/>
  </r>
  <r>
    <n v="233"/>
    <s v="WANDERSON LIMA DA PALMA"/>
    <n v="2770002861"/>
    <x v="0"/>
    <d v="2022-05-16T00:00:00"/>
    <s v="1ANOS, 3MESES"/>
    <n v="1.2694444444444444"/>
    <x v="2"/>
    <x v="0"/>
    <s v="COLETA DOMICILIAR"/>
    <s v="NOTURNO"/>
    <s v="JOÃO PEDRO"/>
    <s v="ADVERTENCIA"/>
    <d v="2023-08-16T00:00:00"/>
    <x v="8"/>
    <d v="2023-08-16T00:00:00"/>
    <s v="ago/2023"/>
    <s v="AGOSTO"/>
    <x v="0"/>
    <d v="2023-08-16T00:00:00"/>
    <x v="4"/>
    <s v="COLABORADOR CHEGOU ATRASADO NOS DIAS 11/08, 12/08, 14/08 E 16/08."/>
  </r>
  <r>
    <n v="234"/>
    <s v="BRUNO VIEIRA FERREIRA"/>
    <n v="2770002916"/>
    <x v="1"/>
    <d v="2022-09-01T00:00:00"/>
    <s v="0ANOS, 11MESES"/>
    <n v="0.97777777777777775"/>
    <x v="0"/>
    <x v="0"/>
    <s v="COLETA DOMICILIAR"/>
    <s v="NOTURNO"/>
    <s v="JOÃO PEDRO"/>
    <s v="ADVERTENCIA"/>
    <d v="2023-08-19T00:00:00"/>
    <x v="8"/>
    <d v="2023-08-19T00:00:00"/>
    <s v="ago/2023"/>
    <s v="AGOSTO"/>
    <x v="0"/>
    <d v="2023-08-19T00:00:00"/>
    <x v="3"/>
    <s v="COLABORADOR FALTOU EM 19/08 E NÃO APRESENTOU NENHUMA JUSTIFICATIVA."/>
  </r>
  <r>
    <n v="235"/>
    <s v="RUAN PEREIRA MACEDO"/>
    <n v="2770002916"/>
    <x v="0"/>
    <d v="2022-09-01T00:00:00"/>
    <s v="0ANOS, 11MESES"/>
    <n v="0.97777777777777775"/>
    <x v="0"/>
    <x v="0"/>
    <s v="COLETA DOMICILIAR"/>
    <s v="DIURNO"/>
    <s v="ELISANGELA ROCHA"/>
    <s v="ADVERTENCIA"/>
    <d v="2023-08-19T00:00:00"/>
    <x v="8"/>
    <d v="2023-08-19T00:00:00"/>
    <s v="ago/2023"/>
    <s v="AGOSTO"/>
    <x v="0"/>
    <d v="2023-08-19T00:00:00"/>
    <x v="4"/>
    <s v="O COLABORADOR NO DIA 19/08 CHEGOU ATRASADO REGISTRANDO O PONTO AS 06:35."/>
  </r>
  <r>
    <n v="236"/>
    <s v="JOSE FRANCISCO RODRIGUES DA SILVA"/>
    <n v="2770002746"/>
    <x v="0"/>
    <d v="2021-01-06T00:00:00"/>
    <s v="2ANOS, 7MESES"/>
    <n v="2.6583333333333332"/>
    <x v="2"/>
    <x v="8"/>
    <s v="ADMINISTRATIVO"/>
    <s v="DIURNO"/>
    <s v="ALESSANDRA LIMA"/>
    <s v="ADVERTENCIA"/>
    <d v="2023-08-21T00:00:00"/>
    <x v="8"/>
    <d v="2023-08-21T00:00:00"/>
    <s v="ago/2023"/>
    <s v="AGOSTO"/>
    <x v="0"/>
    <d v="2023-08-21T00:00:00"/>
    <x v="3"/>
    <s v="COLABORADOR ESTAVA JOGANDO SINUCA EM SEU HORÁRIO DE TRABALHO."/>
  </r>
  <r>
    <n v="237"/>
    <s v="DANILO CUNHA DOS SANTOS"/>
    <n v="2770002792"/>
    <x v="0"/>
    <d v="2022-03-07T00:00:00"/>
    <s v="1ANOS, 5MESES"/>
    <n v="1.4750000000000001"/>
    <x v="2"/>
    <x v="0"/>
    <s v="COLETA DOMICILIAR"/>
    <s v="DIURNO"/>
    <s v="ELISANGELA ROCHA"/>
    <s v="ADVERTENCIA"/>
    <d v="2023-08-20T00:00:00"/>
    <x v="8"/>
    <d v="2023-08-21T00:00:00"/>
    <s v="ago/2023"/>
    <s v="AGOSTO"/>
    <x v="0"/>
    <d v="2023-08-21T00:00:00"/>
    <x v="0"/>
    <s v="O COLABORADOR FALTOU NO DIA 20/08 INFORMOU QUE ESTAVA COM DOR DE CABEÇA, PORÉM NÃO BUSCOU ATENDIMENTO."/>
  </r>
  <r>
    <n v="238"/>
    <s v="DEUSTEVAN CARNEIRO DA SILVA"/>
    <n v="2770000036"/>
    <x v="0"/>
    <d v="2013-02-08T00:00:00"/>
    <s v="10ANOS, 6MESES"/>
    <n v="10.672222222222222"/>
    <x v="3"/>
    <x v="1"/>
    <s v="COLETA DOMICILIAR"/>
    <s v="DIURNO"/>
    <s v="ELISANGELA ROCHA"/>
    <s v="ADVERTENCIA"/>
    <d v="2023-08-17T00:00:00"/>
    <x v="8"/>
    <d v="2023-08-21T00:00:00"/>
    <s v="ago/2023"/>
    <s v="AGOSTO"/>
    <x v="0"/>
    <d v="2023-08-21T00:00:00"/>
    <x v="1"/>
    <s v="O COLABORADOR EXCEDEU A VELOCIDADE PERMITIDA DE 70KM NO DIA 17/08 AS 08:30, CHEGANDO A 71 KM."/>
  </r>
  <r>
    <n v="239"/>
    <s v="HELINTON KITSINGER PARMELO"/>
    <n v="2770002997"/>
    <x v="0"/>
    <d v="2022-11-03T00:00:00"/>
    <s v="0ANOS, 9MESES"/>
    <n v="0.81111111111111112"/>
    <x v="0"/>
    <x v="0"/>
    <s v="COLETA DOMICILIAR"/>
    <s v="DIURNO"/>
    <s v="ELISANGELA ROCHA"/>
    <s v="ADVERTENCIA"/>
    <d v="2023-08-22T00:00:00"/>
    <x v="8"/>
    <d v="2023-08-22T00:00:00"/>
    <s v="ago/2023"/>
    <s v="AGOSTO"/>
    <x v="0"/>
    <d v="2023-08-22T00:00:00"/>
    <x v="4"/>
    <s v="NO DIA 22/08 O COLABORADOR CHEGOU ATRASADO, REGISTRANDO O PONTO AS 06:52, O MESMO INFORMOU QUE O DESPERTADOR NÃO TOCOU."/>
  </r>
  <r>
    <n v="240"/>
    <s v="EZEQUIEL VASCONCELOS DA CRUZ"/>
    <n v="2770002920"/>
    <x v="0"/>
    <d v="2022-09-01T00:00:00"/>
    <s v="0ANOS, 11MESES"/>
    <n v="0.98333333333333328"/>
    <x v="0"/>
    <x v="0"/>
    <s v="COLETA DOMICILIAR"/>
    <s v="DIURNO"/>
    <s v="ELISANGELA ROCHA"/>
    <s v="ADVERTENCIA"/>
    <d v="2023-08-21T00:00:00"/>
    <x v="8"/>
    <d v="2023-08-22T00:00:00"/>
    <s v="ago/2023"/>
    <s v="AGOSTO"/>
    <x v="0"/>
    <d v="2023-08-22T00:00:00"/>
    <x v="0"/>
    <s v="O COLABORADOR TEVE UMA FALTA INJUSTIFICADA NO DIA 21/08, O MESMO INFORMOU QUE PRECISOU LEVAR SUAS FILHAS PARA ATUALIZAR O CADASTRO DO BOLSA FAMILIA."/>
  </r>
  <r>
    <n v="241"/>
    <s v="LUIZ FERNANDO MENDES VIANA"/>
    <n v="2770003038"/>
    <x v="0"/>
    <d v="2022-12-07T00:00:00"/>
    <s v="0ANOS, 8MESES"/>
    <n v="0.71944444444444444"/>
    <x v="0"/>
    <x v="0"/>
    <s v="COLETA DOMICILIAR"/>
    <s v="DIURNO"/>
    <s v="ANA CAROLINA"/>
    <s v="ADVERTENCIA"/>
    <d v="2023-08-23T00:00:00"/>
    <x v="8"/>
    <d v="2023-08-24T00:00:00"/>
    <s v="ago/2023"/>
    <s v="AGOSTO"/>
    <x v="0"/>
    <d v="2023-08-24T00:00:00"/>
    <x v="0"/>
    <s v="FALTA INSJUSTIFICADA EM 23/08/2023."/>
  </r>
  <r>
    <n v="242"/>
    <s v="ANTONIO LUIS RIBEIRO ALEXANDRE"/>
    <n v="2770002929"/>
    <x v="0"/>
    <d v="2022-09-01T00:00:00"/>
    <s v="0ANOS, 11MESES"/>
    <n v="0.9916666666666667"/>
    <x v="0"/>
    <x v="0"/>
    <s v="COLETA DOMICILIAR"/>
    <s v="DIURNO"/>
    <s v="ELISANGELA ROCHA"/>
    <s v="ADVERTENCIA"/>
    <d v="2023-08-24T00:00:00"/>
    <x v="8"/>
    <d v="2023-08-25T00:00:00"/>
    <s v="ago/2023"/>
    <s v="AGOSTO"/>
    <x v="0"/>
    <d v="2023-08-25T00:00:00"/>
    <x v="0"/>
    <s v="O COLABORADOR TEVE UMA FALTA INJUSTIFICADA NO DIA 24/08, O MESMO INFORMOU QUE O ALARME NÃO DESPERTOU."/>
  </r>
  <r>
    <n v="243"/>
    <s v="BRUNO RAFAEL GAMA RODRIGUES"/>
    <n v="2770003170"/>
    <x v="1"/>
    <d v="2023-06-01T00:00:00"/>
    <s v="0ANOS, 2MESES"/>
    <n v="0.21944444444444444"/>
    <x v="0"/>
    <x v="0"/>
    <s v="COLETA DOMICILIAR"/>
    <s v="NOTURNO"/>
    <s v="JOÃO PEDRO"/>
    <s v="ADVERTENCIA"/>
    <d v="2023-08-19T00:00:00"/>
    <x v="8"/>
    <d v="2023-08-25T00:00:00"/>
    <s v="ago/2023"/>
    <s v="AGOSTO"/>
    <x v="0"/>
    <d v="2023-08-25T00:00:00"/>
    <x v="0"/>
    <s v="O COLABORADOR FALTOU EM 19/08 E NÃO APRESENTOU NENHUMA JUSTIFICATIVA."/>
  </r>
  <r>
    <n v="244"/>
    <s v="FRANCISCO MAGNO DE ALMEIDA OLIVEIRA"/>
    <n v="2770002956"/>
    <x v="0"/>
    <d v="2022-10-03T00:00:00"/>
    <s v="0ANOS, 10MESES"/>
    <n v="0.90833333333333333"/>
    <x v="0"/>
    <x v="0"/>
    <s v="COLETA DOMICILIAR"/>
    <s v="NOTURNO"/>
    <s v="JOÃO PEDRO"/>
    <s v="SUSPENSÃO"/>
    <d v="2023-08-26T00:00:00"/>
    <x v="8"/>
    <d v="2023-08-28T00:00:00"/>
    <s v="ago/2023"/>
    <s v="AGOSTO"/>
    <x v="0"/>
    <d v="2023-08-31T00:00:00"/>
    <x v="0"/>
    <s v="COLABORADOR FALTOU EM 26/08 E NÃO APRESENTOU NENHUMA JUSTIFICATIVA."/>
  </r>
  <r>
    <n v="245"/>
    <s v="RAYLANDER BATISTA DA SILVA"/>
    <n v="2770003122"/>
    <x v="1"/>
    <d v="2022-04-06T00:00:00"/>
    <s v="1ANOS, 4MESES"/>
    <n v="1.4083333333333334"/>
    <x v="2"/>
    <x v="0"/>
    <s v="COLETA DOMICILIAR"/>
    <s v="NOTURNO"/>
    <s v="ELISANGELA ROCHA"/>
    <s v="ADVERTENCIA"/>
    <d v="2023-08-26T00:00:00"/>
    <x v="8"/>
    <d v="2023-08-28T00:00:00"/>
    <s v="ago/2023"/>
    <s v="AGOSTO"/>
    <x v="0"/>
    <d v="2023-08-28T00:00:00"/>
    <x v="0"/>
    <s v="O COLABORADOR FALTOU NO DIA 26/08, O MESMO INFORMOU QUE NÃO CONSEGUIU ACORDAR NO HORÁRIO PARA VIR TRABALHAR."/>
  </r>
  <r>
    <n v="246"/>
    <s v="DANIEL MACHADO DE SOUZA"/>
    <n v="2770002829"/>
    <x v="0"/>
    <d v="2022-05-02T00:00:00"/>
    <s v="1ANOS, 3MESES"/>
    <n v="1.3416666666666666"/>
    <x v="2"/>
    <x v="0"/>
    <s v="COLETA DOMICILIAR"/>
    <s v="NOTURNO"/>
    <s v="JOÃO PEDRO"/>
    <s v="ADVERTENCIA"/>
    <d v="2023-08-28T00:00:00"/>
    <x v="8"/>
    <d v="2023-08-29T00:00:00"/>
    <s v="ago/2023"/>
    <s v="AGOSTO"/>
    <x v="0"/>
    <d v="2023-08-29T00:00:00"/>
    <x v="0"/>
    <s v="COLABORADOR FALTOU NOS DIAS 26/08 E 28/08 E NÃO APRESENTOU NENHUMA JUSTIFICATIVA."/>
  </r>
  <r>
    <n v="247"/>
    <s v="DAVI FERREIRA DIAS "/>
    <n v="2770003045"/>
    <x v="0"/>
    <d v="2022-12-07T00:00:00"/>
    <s v="0ANOS, 8MESES"/>
    <n v="0.72777777777777775"/>
    <x v="0"/>
    <x v="1"/>
    <s v="COLETA DOMICILIAR"/>
    <s v="NOTURNO"/>
    <s v="JOÃO PEDRO"/>
    <s v="ADVERTENCIA"/>
    <d v="2023-08-26T00:00:00"/>
    <x v="8"/>
    <d v="2023-08-30T00:00:00"/>
    <s v="ago/2023"/>
    <s v="AGOSTO"/>
    <x v="0"/>
    <d v="2023-08-30T00:00:00"/>
    <x v="1"/>
    <s v="COLABORADOR EXCEDEU A VELOCIDADE NO DIA 26/08 AS 05:41  CHEGANDO A 72 KM/H."/>
  </r>
  <r>
    <n v="248"/>
    <s v="ANTONIO LUIS RIBEIRO ALEXANDRE"/>
    <n v="2770002929"/>
    <x v="0"/>
    <d v="2022-09-01T00:00:00"/>
    <s v="0ANOS, 11MESES"/>
    <n v="1.0111111111111111"/>
    <x v="2"/>
    <x v="0"/>
    <s v="COLETA DOMICILIAR"/>
    <s v="DIURNO"/>
    <s v="ELISANGELA ROCHA"/>
    <s v="SUSPENSÃO"/>
    <d v="2023-08-31T00:00:00"/>
    <x v="8"/>
    <d v="2023-09-01T00:00:00"/>
    <s v="set/2023"/>
    <s v="SETEMBRO"/>
    <x v="0"/>
    <d v="2023-09-02T00:00:00"/>
    <x v="0"/>
    <s v="O COLABORADOR TEVE UMA FALTA NÃO JUSTIFICADA NO DIA 31/08. O MESMO INFORMOU QUE LEVOU SEU FILHO AO HOSPITAL, PORÉM, NÃO CONSEGUIU ATENDIMENTO E NÃO COMUNICOU A EMPRESA."/>
  </r>
  <r>
    <n v="249"/>
    <s v="WYGUINER PRINTIS DA CRUZ "/>
    <n v="2770003098"/>
    <x v="1"/>
    <d v="2023-03-08T00:00:00"/>
    <s v="0ANOS, 5MESES"/>
    <n v="0.49166666666666664"/>
    <x v="0"/>
    <x v="0"/>
    <s v="COLETA DOMICILIAR"/>
    <s v="NOTURNO"/>
    <s v="JOÃO PEDRO"/>
    <s v="SUSPENSÃO"/>
    <d v="2023-09-01T00:00:00"/>
    <x v="9"/>
    <d v="2023-09-02T00:00:00"/>
    <s v="set/2023"/>
    <s v="SETEMBRO"/>
    <x v="0"/>
    <d v="2023-09-05T00:00:00"/>
    <x v="0"/>
    <s v="O COLABORADOR FALTOU NOS DIAS 19/08, 20/08, 25/08, 26/08, 27/08 E 01/09 E NÃO APRESENTOU NEHUMA JUSTIFICATIVA."/>
  </r>
  <r>
    <n v="250"/>
    <s v="BRUNO RAFAEL GAMA RODRIGUES"/>
    <n v="2770003170"/>
    <x v="1"/>
    <d v="2023-06-01T00:00:00"/>
    <s v="0ANOS, 3MESES"/>
    <n v="0.25555555555555554"/>
    <x v="0"/>
    <x v="0"/>
    <s v="COLETA DOMICILIAR"/>
    <s v="NOTURNO"/>
    <s v="JOÃO PEDRO"/>
    <s v="SUSPENSÃO"/>
    <d v="2023-09-01T00:00:00"/>
    <x v="9"/>
    <d v="2023-09-02T00:00:00"/>
    <s v="set/2023"/>
    <s v="SETEMBRO"/>
    <x v="0"/>
    <d v="2023-09-03T00:00:00"/>
    <x v="0"/>
    <s v="COLABORADOR FALTOU NO DIA 01/09/2023 E NÃO APRESENTOU NENHUMA JUSTIFICATIVA."/>
  </r>
  <r>
    <n v="251"/>
    <s v="EDILSON LUIZ CARVALHO DE SOUZA"/>
    <n v="2770002769"/>
    <x v="0"/>
    <d v="2022-01-07T00:00:00"/>
    <s v="1ANOS, 7MESES"/>
    <n v="1.675"/>
    <x v="2"/>
    <x v="0"/>
    <s v="COLETA DOMICILIAR"/>
    <s v="NOTURNO"/>
    <s v="JOÃO PEDRO"/>
    <s v="ADVERTENCIA"/>
    <d v="2023-09-02T00:00:00"/>
    <x v="9"/>
    <d v="2023-09-02T00:00:00"/>
    <s v="set/2023"/>
    <s v="SETEMBRO"/>
    <x v="0"/>
    <d v="2023-09-08T00:00:00"/>
    <x v="0"/>
    <s v="FALTOU EM 02/09 E NÃO APRESENTOU NENHUMA JUSTIFICATIVA."/>
  </r>
  <r>
    <n v="252"/>
    <s v="MAURICIO AUGUSTO QUEIROZ DE ARAUJO"/>
    <n v="2770003042"/>
    <x v="0"/>
    <d v="2022-12-07T00:00:00"/>
    <s v="0ANOS, 8MESES"/>
    <n v="0.74722222222222223"/>
    <x v="0"/>
    <x v="0"/>
    <s v="COLETA DOMICILIAR"/>
    <s v="NOTURNO"/>
    <s v="JOÃO PEDRO"/>
    <s v="ADVERTENCIA"/>
    <d v="2023-09-02T00:00:00"/>
    <x v="9"/>
    <d v="2023-09-03T00:00:00"/>
    <s v="set/2023"/>
    <s v="SETEMBRO"/>
    <x v="0"/>
    <d v="2023-09-02T00:00:00"/>
    <x v="0"/>
    <s v="COLABORADOR FALTOU DIA 02/09 E NÃO APRESENTOU NENHUMA JUSITIFICATIVA."/>
  </r>
  <r>
    <n v="253"/>
    <s v="FELIPE DA COSTA RAMOS "/>
    <n v="2770003039"/>
    <x v="1"/>
    <d v="2022-12-07T00:00:00"/>
    <s v="0ANOS, 8MESES"/>
    <n v="0.75"/>
    <x v="0"/>
    <x v="0"/>
    <s v="COLETA DOMICILIAR"/>
    <s v="DIURNO"/>
    <s v="ELISANGELA ROCHA"/>
    <s v="ADVERTENCIA"/>
    <d v="2023-09-03T00:00:00"/>
    <x v="9"/>
    <d v="2023-09-04T00:00:00"/>
    <s v="set/2023"/>
    <s v="SETEMBRO"/>
    <x v="0"/>
    <d v="2023-09-04T00:00:00"/>
    <x v="0"/>
    <s v="O COLABORADOR FALTOU NO DIA 03/09 SEM NENHUMA JUSTIFICATIVA, INFORMOU QUE NÃO ESTAVA BEM PARA VIR TRABALHAR, PORÉM NÃO BUSCOU ATENDIMENTO."/>
  </r>
  <r>
    <n v="254"/>
    <s v="EDUARDO SILVEIRA DA SILVA"/>
    <n v="2770003076"/>
    <x v="0"/>
    <d v="2023-02-09T00:00:00"/>
    <s v="0ANOS, 6MESES"/>
    <n v="0.57222222222222219"/>
    <x v="0"/>
    <x v="0"/>
    <s v="COLETA DOMICILIAR"/>
    <s v="NOTURNO"/>
    <s v="JOÃO PEDRO"/>
    <s v="ADVERTENCIA"/>
    <d v="2023-09-03T00:00:00"/>
    <x v="9"/>
    <d v="2023-09-04T00:00:00"/>
    <s v="set/2023"/>
    <s v="SETEMBRO"/>
    <x v="0"/>
    <d v="2023-09-04T00:00:00"/>
    <x v="0"/>
    <s v="COLABORADOR FALTOU NO DIA 03/09 E NÃO APRESENTOU NENHUMA JUSTIFICATIVA."/>
  </r>
  <r>
    <n v="255"/>
    <s v="RIVALDO CONDERA DO NASCIMENTO JUNIOR"/>
    <n v="2770002925"/>
    <x v="0"/>
    <d v="2022-09-01T00:00:00"/>
    <s v="1ANOS, 0MESES"/>
    <n v="1.0194444444444444"/>
    <x v="2"/>
    <x v="0"/>
    <s v="COLETA DOMICILIAR"/>
    <s v="NOTURNO"/>
    <s v="JOÃO PEDRO"/>
    <s v="ADVERTENCIA"/>
    <d v="2023-09-03T00:00:00"/>
    <x v="9"/>
    <d v="2023-09-04T00:00:00"/>
    <s v="set/2023"/>
    <s v="SETEMBRO"/>
    <x v="0"/>
    <d v="2023-09-04T00:00:00"/>
    <x v="0"/>
    <s v="COLABORADOR FALTOU NO DIA 03/09 E NÃO APRESENTOU NENHUMA JUSTIFICATIVA."/>
  </r>
  <r>
    <n v="256"/>
    <s v="PAULO HENRIQUE FERREIRA FALCÃO"/>
    <n v="2770003129"/>
    <x v="0"/>
    <d v="2023-04-06T00:00:00"/>
    <s v="0ANOS, 5MESES"/>
    <n v="0.42499999999999999"/>
    <x v="0"/>
    <x v="9"/>
    <s v="MANUTENÇÃO"/>
    <s v="DIURNO"/>
    <s v="TADEU PINTO"/>
    <s v="ADVERTENCIA"/>
    <d v="2023-09-06T00:00:00"/>
    <x v="9"/>
    <d v="2023-09-06T00:00:00"/>
    <s v="set/2023"/>
    <s v="SETEMBRO"/>
    <x v="0"/>
    <d v="2023-09-06T00:00:00"/>
    <x v="3"/>
    <s v="LIBERAÇÃO DE ORDEM DE SERVIÇO NO SISTEMA ESTANDO EM INVENTÁRIO."/>
  </r>
  <r>
    <n v="257"/>
    <s v="PAULO HENRIQUE FERREIRA FALCÃO"/>
    <n v="2770003129"/>
    <x v="0"/>
    <d v="2023-04-06T00:00:00"/>
    <s v="0ANOS, 5MESES"/>
    <n v="0.42499999999999999"/>
    <x v="0"/>
    <x v="9"/>
    <s v="MANUTENÇÃO"/>
    <s v="DIURNO"/>
    <s v="TADEU PINTO"/>
    <s v="ADVERTENCIA"/>
    <d v="2023-09-06T00:00:00"/>
    <x v="9"/>
    <d v="2023-09-06T00:00:00"/>
    <s v="set/2023"/>
    <s v="SETEMBRO"/>
    <x v="0"/>
    <d v="2023-09-06T00:00:00"/>
    <x v="3"/>
    <s v="NOTAS DE SERVIÇOS ENTREGUES FORA DO PRAZO."/>
  </r>
  <r>
    <n v="258"/>
    <s v="ANTONIO LUIS RIBEIRO ALEXANDRE"/>
    <n v="2770002929"/>
    <x v="0"/>
    <d v="2022-09-01T00:00:00"/>
    <s v="1ANOS, 0MESES"/>
    <n v="1.0166666666666666"/>
    <x v="2"/>
    <x v="0"/>
    <s v="COLETA DOMICILIAR"/>
    <s v="DIURNO"/>
    <s v="ELISANGELA ROCHA"/>
    <s v="SUSPENSÃO"/>
    <d v="2023-09-02T00:00:00"/>
    <x v="9"/>
    <d v="2023-09-06T00:00:00"/>
    <s v="set/2023"/>
    <s v="SETEMBRO"/>
    <x v="0"/>
    <d v="2023-09-09T00:00:00"/>
    <x v="5"/>
    <s v="NO DIA 02/09 O COLABORADOR RETORNOU DO RETORNOU DO ROTEIRO COM SINAIS DE EMBRIAGUEZ."/>
  </r>
  <r>
    <n v="259"/>
    <s v="DAVI FERREIRA DIAS "/>
    <n v="2770003045"/>
    <x v="0"/>
    <d v="2022-12-07T00:00:00"/>
    <s v="0ANOS, 8MESES"/>
    <n v="0.74444444444444446"/>
    <x v="0"/>
    <x v="1"/>
    <s v="COLETA DOMICILIAR"/>
    <s v="NOTURNO"/>
    <s v="JOÃO PEDRO"/>
    <s v="ADVERTENCIA"/>
    <d v="2023-09-01T00:00:00"/>
    <x v="9"/>
    <d v="2023-09-08T00:00:00"/>
    <s v="set/2023"/>
    <s v="SETEMBRO"/>
    <x v="0"/>
    <d v="2023-09-08T00:00:00"/>
    <x v="1"/>
    <s v="NO DIA 01/09/2023 AS 22:42 O COLABORADOR EXCEDEU O LIMITE DE VELOCIDADE CHEGANDO A 72 KM/H."/>
  </r>
  <r>
    <n v="260"/>
    <s v="OSMAR FERREIRA VIEIRA NETO"/>
    <n v="2770002935"/>
    <x v="0"/>
    <d v="2022-09-01T00:00:00"/>
    <s v="1ANOS, 0MESES"/>
    <n v="1.0333333333333334"/>
    <x v="2"/>
    <x v="1"/>
    <s v="COLETA DOMICILIAR"/>
    <s v="NOTURNO"/>
    <s v="JOÃO PEDRO"/>
    <s v="ADVERTENCIA"/>
    <d v="2023-09-08T00:00:00"/>
    <x v="9"/>
    <d v="2023-09-09T00:00:00"/>
    <s v="set/2023"/>
    <s v="SETEMBRO"/>
    <x v="0"/>
    <d v="2023-09-09T00:00:00"/>
    <x v="3"/>
    <s v="NO DIA 08/09 O MOTORISTA NÃO FEZ O PROCEDIMENTO CORRETO AO NÃO REALIZAR O CHECKLIST DE FORMA PRECISA, E VERIFICAR O NÍVEL DE ÓLEO HIDRAULICO QUE ESTAVA BAIXO, O QUE OCASIONOU TRANSTORNOS NA OPERAÇÃO."/>
  </r>
  <r>
    <n v="261"/>
    <s v="ISAIAS ROCHA DE ARAUJO"/>
    <n v="2770003219"/>
    <x v="1"/>
    <d v="2023-08-17T00:00:00"/>
    <s v="0ANOS, 0MESES"/>
    <n v="6.6666666666666666E-2"/>
    <x v="0"/>
    <x v="0"/>
    <s v="COLETA DOMICILIAR"/>
    <s v="NOTURNO"/>
    <s v="JOÃO PEDRO"/>
    <s v="ADVERTENCIA"/>
    <d v="2023-09-10T00:00:00"/>
    <x v="9"/>
    <d v="2023-09-10T00:00:00"/>
    <s v="set/2023"/>
    <s v="SETEMBRO"/>
    <x v="0"/>
    <d v="2023-09-11T00:00:00"/>
    <x v="0"/>
    <s v="COLABORADOR FALTOU NO DIA 10/09 E NÃO APRESENTOU NENHUMA JUSTIFICATIVA."/>
  </r>
  <r>
    <n v="262"/>
    <s v="DANIEL MACHADO DE SOUZA"/>
    <n v="2770002829"/>
    <x v="0"/>
    <d v="2022-05-02T00:00:00"/>
    <s v="1ANOS, 4MESES"/>
    <n v="1.3777777777777778"/>
    <x v="2"/>
    <x v="0"/>
    <s v="COLETA DOMICILIAR"/>
    <s v="NOTURNO"/>
    <s v="JOÃO PEDRO"/>
    <s v="SUSPENSÃO"/>
    <d v="2023-09-10T00:00:00"/>
    <x v="9"/>
    <d v="2023-09-11T00:00:00"/>
    <s v="set/2023"/>
    <s v="SETEMBRO"/>
    <x v="0"/>
    <d v="2023-09-11T00:00:00"/>
    <x v="0"/>
    <s v="COLABORADOR FALTOU NO DIA 09/09 E 10/09 E NÃO APRESENTOU NENHUMA JUSTIFICATIVA."/>
  </r>
  <r>
    <n v="263"/>
    <s v="LUIZ FERNANDO MENDES VIANA"/>
    <n v="2770003038"/>
    <x v="0"/>
    <d v="2022-12-07T00:00:00"/>
    <s v="0ANOS, 9MESES"/>
    <n v="0.77222222222222225"/>
    <x v="0"/>
    <x v="0"/>
    <s v="COLETA DOMICILIAR"/>
    <s v="DIURNO"/>
    <s v="ELISANGELA ROCHA"/>
    <s v="ADVERTENCIA"/>
    <d v="2023-09-11T00:00:00"/>
    <x v="9"/>
    <d v="2023-09-11T00:00:00"/>
    <s v="set/2023"/>
    <s v="SETEMBRO"/>
    <x v="0"/>
    <d v="2023-09-11T00:00:00"/>
    <x v="0"/>
    <s v="O COLABORADOR FALTOU NO DIA 11/09 SEM NENHUMA JUSTIFICATIVA, INFORMOU QUE NÃO ESTAVA COM CONDIÇÕES DE TRABALHAR."/>
  </r>
  <r>
    <n v="264"/>
    <s v="DANIEL SOARES DE ANDRADE "/>
    <n v="2770003016"/>
    <x v="0"/>
    <d v="2022-12-01T00:00:00"/>
    <s v="0ANOS, 9MESES"/>
    <n v="0.79166666666666663"/>
    <x v="0"/>
    <x v="0"/>
    <s v="COLETA DOMICILIAR"/>
    <s v="DIURNO"/>
    <s v="ELISANGELA ROCHA"/>
    <s v="ADVERTENCIA"/>
    <d v="2023-09-12T00:00:00"/>
    <x v="9"/>
    <d v="2023-09-12T00:00:00"/>
    <s v="set/2023"/>
    <s v="SETEMBRO"/>
    <x v="0"/>
    <d v="2023-09-12T00:00:00"/>
    <x v="4"/>
    <s v="O COLABORADOR CHEGOU ATRASADO NO DIA 12/09 CHEGANDO 06:03, SENDO QUE SEU HORÁRIO É AS 05:50."/>
  </r>
  <r>
    <n v="265"/>
    <s v="RAYNILSON ALVES TAVARES"/>
    <n v="2770003193"/>
    <x v="0"/>
    <d v="2023-07-06T00:00:00"/>
    <s v="0ANOS, 1MESES"/>
    <n v="0.1388888888888889"/>
    <x v="0"/>
    <x v="1"/>
    <s v="COLETA DOMICILIAR"/>
    <s v="NOTURNO"/>
    <s v="JOÃO PEDRO"/>
    <s v="ADVERTENCIA"/>
    <d v="2023-08-25T00:00:00"/>
    <x v="8"/>
    <d v="2023-09-15T00:00:00"/>
    <s v="set/2023"/>
    <s v="SETEMBRO"/>
    <x v="0"/>
    <d v="2023-09-15T00:00:00"/>
    <x v="3"/>
    <s v="NO DIA 25/08/2023, O COLABORADOR FEZ UMA CONVERSÃO PROIBIDA OCASIONANDO UM SINISTRO NA PLACA DO POSTO."/>
  </r>
  <r>
    <n v="266"/>
    <s v="WELLINGTON LIMA DA SILVA"/>
    <n v="2770002254"/>
    <x v="0"/>
    <d v="2020-05-04T00:00:00"/>
    <s v="3ANOS, 4MESES"/>
    <n v="3.4166666666666665"/>
    <x v="1"/>
    <x v="0"/>
    <s v="COLETA DOMICILIAR"/>
    <s v="NOTURNO"/>
    <s v="JOÃO PEDRO"/>
    <s v="ADVERTENCIA"/>
    <d v="2023-09-16T00:00:00"/>
    <x v="9"/>
    <d v="2023-09-15T00:00:00"/>
    <s v="set/2023"/>
    <s v="SETEMBRO"/>
    <x v="0"/>
    <d v="2023-09-15T00:00:00"/>
    <x v="3"/>
    <s v="NO DIA 15/09/2023 O COLABORADOR ESTAVA REALIZANDO A COLETA SEM A SUA FARDA COMPLETA, EM DESACORDO COM A PO-08."/>
  </r>
  <r>
    <n v="267"/>
    <s v="FABIO BRITO DOS SANTOS"/>
    <n v="2770003108"/>
    <x v="1"/>
    <d v="2023-03-16T00:00:00"/>
    <s v="0ANOS, 6MESES"/>
    <n v="0.51388888888888884"/>
    <x v="0"/>
    <x v="0"/>
    <s v="COLETA DOMICILIAR"/>
    <s v="DIURNO"/>
    <s v="ANA CAROLINA"/>
    <s v="ADVERTENCIA"/>
    <d v="2023-09-17T00:00:00"/>
    <x v="9"/>
    <d v="2023-09-18T00:00:00"/>
    <s v="set/2023"/>
    <s v="SETEMBRO"/>
    <x v="0"/>
    <d v="2023-09-18T00:00:00"/>
    <x v="0"/>
    <s v="FALTA INJUSTIFICADA NOS DIAS 12/09 E 17/09, COLABORADOR INFORMA QUE ESTÁ PASSANDO POR PROBLEMAS PESSOAIS."/>
  </r>
  <r>
    <n v="268"/>
    <s v="WENDELL FRANCO GIBSON "/>
    <n v="2770002973"/>
    <x v="0"/>
    <d v="2022-11-03T00:00:00"/>
    <s v="0ANOS, 10MESES"/>
    <n v="0.88611111111111107"/>
    <x v="0"/>
    <x v="0"/>
    <s v="COLETA DOMICILIAR"/>
    <s v="NOTURNO"/>
    <s v="JOÃO PEDRO"/>
    <s v="SUSPENSÃO"/>
    <d v="2023-09-18T00:00:00"/>
    <x v="9"/>
    <d v="2023-09-19T00:00:00"/>
    <s v="set/2023"/>
    <s v="SETEMBRO"/>
    <x v="0"/>
    <d v="2023-09-26T00:00:00"/>
    <x v="0"/>
    <s v="COLABORADOR FALTOU NOS DIAS 17/09 E 18/09 E NÃO APRESENTOU NENHUMA JUSTIFICATIVA."/>
  </r>
  <r>
    <n v="269"/>
    <s v="RODRIGO DUTRA DAS CHAGAS"/>
    <n v="2770002665"/>
    <x v="0"/>
    <d v="2020-10-04T00:00:00"/>
    <s v="2ANOS, 11MESES"/>
    <n v="2.9916666666666667"/>
    <x v="2"/>
    <x v="0"/>
    <s v="COLETA DOMICILIAR"/>
    <s v="DIURNO"/>
    <s v="ANA CAROLINA"/>
    <s v="SUSPENSÃO"/>
    <d v="2023-09-16T00:00:00"/>
    <x v="9"/>
    <d v="2023-09-19T00:00:00"/>
    <s v="set/2023"/>
    <s v="SETEMBRO"/>
    <x v="0"/>
    <d v="2023-09-20T00:00:00"/>
    <x v="5"/>
    <s v="COLABORADOR IDENTIFICADO COM INDICIOS DE EMBRIAGUEZ NO ROTEIRO 90.1.158, MICRO 1 NO DIA 16/09/2023 POR VOLTA DAS 14:00, EM CONVERSA COM O MESMO ELE AFIRMA TER INGERIDO &quot; UM POUCO DE BEBIDA ALCOOLICA&quot;."/>
  </r>
  <r>
    <n v="270"/>
    <s v="LUIZ FERNANDO MENDES VIANA"/>
    <n v="2770003038"/>
    <x v="0"/>
    <d v="2022-12-07T00:00:00"/>
    <s v="0ANOS, 9MESES"/>
    <n v="0.79166666666666663"/>
    <x v="0"/>
    <x v="0"/>
    <s v="COLETA DOMICILIAR"/>
    <s v="DIURNO"/>
    <s v="ANA CAROLINA"/>
    <s v="SUSPENSÃO"/>
    <d v="2023-09-18T00:00:00"/>
    <x v="9"/>
    <d v="2023-09-19T00:00:00"/>
    <s v="set/2023"/>
    <s v="SETEMBRO"/>
    <x v="0"/>
    <d v="2023-09-20T00:00:00"/>
    <x v="0"/>
    <s v="FALTA INSJUTIFICADA EM 18/09/2023."/>
  </r>
  <r>
    <n v="271"/>
    <s v="HELINTON KITSINGER PARMELO"/>
    <n v="2770002997"/>
    <x v="0"/>
    <d v="2022-11-03T00:00:00"/>
    <s v="0ANOS, 10MESES"/>
    <n v="0.88888888888888884"/>
    <x v="0"/>
    <x v="0"/>
    <s v="COLETA DOMICILIAR"/>
    <s v="DIURNO"/>
    <s v="ANA CAROLINA"/>
    <s v="SUSPENSÃO"/>
    <d v="2023-09-19T00:00:00"/>
    <x v="9"/>
    <d v="2023-09-20T00:00:00"/>
    <s v="set/2023"/>
    <s v="SETEMBRO"/>
    <x v="0"/>
    <d v="2023-09-21T00:00:00"/>
    <x v="0"/>
    <s v="FALTA INJUSTIFICADA NOS DIAS 18/09 E 19/09, COLABORADOR ALEGA ACOMPANHAR ESPOSA DOENTE."/>
  </r>
  <r>
    <n v="272"/>
    <s v="ISAQUE FERNANDES DA CRUZ"/>
    <n v="2770002827"/>
    <x v="0"/>
    <d v="2022-05-02T00:00:00"/>
    <s v="1ANOS, 4MESES"/>
    <n v="1.4027777777777777"/>
    <x v="2"/>
    <x v="0"/>
    <s v="COLETA DOMICILIAR"/>
    <s v="DIURNO"/>
    <s v="ANA CAROLINA"/>
    <s v="SUSPENSÃO"/>
    <d v="2023-09-19T00:00:00"/>
    <x v="9"/>
    <d v="2023-09-21T00:00:00"/>
    <s v="set/2023"/>
    <s v="SETEMBRO"/>
    <x v="0"/>
    <d v="2023-09-21T00:00:00"/>
    <x v="0"/>
    <s v="COLABORADOR SE AUSENTOU DA EMPRESA POR 10 DIAS NO PERÍODO DE 08/09 A 19/09, SE APRESENTOU E JUSTIFICOU QUE ESTÁ PASSANDO POR PROBLEMAS PESSOAIS."/>
  </r>
  <r>
    <n v="273"/>
    <s v="WYGUINER PRINTIS DA CRUZ "/>
    <n v="2770003098"/>
    <x v="1"/>
    <d v="2023-03-08T00:00:00"/>
    <s v="0ANOS, 6MESES"/>
    <n v="0.53611111111111109"/>
    <x v="0"/>
    <x v="0"/>
    <s v="COLETA DOMICILIAR"/>
    <s v="NOTURNO"/>
    <s v="JOÃO PEDRO"/>
    <s v="SUSPENSÃO"/>
    <d v="2023-09-17T00:00:00"/>
    <x v="9"/>
    <d v="2023-09-22T00:00:00"/>
    <s v="set/2023"/>
    <s v="SETEMBRO"/>
    <x v="0"/>
    <d v="2023-09-27T00:00:00"/>
    <x v="0"/>
    <s v="COLABORADOR FALTOU NOS DIAS 16/09 E 17/09 E NÃO APRESENTOU NENHUMA JUSTIFICATIVA."/>
  </r>
  <r>
    <n v="274"/>
    <s v="EDUARDO SILVEIRA DA SILVA"/>
    <n v="2770003076"/>
    <x v="0"/>
    <d v="2023-02-09T00:00:00"/>
    <s v="0ANOS, 7MESES"/>
    <n v="0.625"/>
    <x v="0"/>
    <x v="0"/>
    <s v="COLETA DOMICILIAR"/>
    <s v="NOTURNO"/>
    <s v="JOÃO PEDRO"/>
    <s v="ADVERTENCIA"/>
    <d v="2023-09-22T00:00:00"/>
    <x v="9"/>
    <d v="2023-09-23T00:00:00"/>
    <s v="set/2023"/>
    <s v="SETEMBRO"/>
    <x v="0"/>
    <d v="2023-09-23T00:00:00"/>
    <x v="0"/>
    <s v="CALABORADOR FALTOU NO DIA 22/09/2023 E NÃO APRESENTOU NENHUMA JUSTIFICATIVA."/>
  </r>
  <r>
    <n v="275"/>
    <s v="RALYSON ROCHA NEVES"/>
    <n v="2770003093"/>
    <x v="0"/>
    <d v="2022-12-07T00:00:00"/>
    <s v="0ANOS, 9MESES"/>
    <n v="0.80555555555555558"/>
    <x v="0"/>
    <x v="0"/>
    <s v="COLETA DOMICILIAR"/>
    <s v="NOTURNO"/>
    <s v="JOÃO PEDRO"/>
    <s v="ADVERTENCIA"/>
    <d v="2023-09-23T00:00:00"/>
    <x v="9"/>
    <d v="2023-09-24T00:00:00"/>
    <s v="set/2023"/>
    <s v="SETEMBRO"/>
    <x v="0"/>
    <d v="2023-09-24T00:00:00"/>
    <x v="0"/>
    <s v="COLABORADOR FALTOU NO DIA 23/09/2023 E NÃO APRESENTOU NENHUMA JUSTIFICATIVA."/>
  </r>
  <r>
    <n v="276"/>
    <s v="EDUARDO SILVA DE OLIVEIRA"/>
    <n v="2770003044"/>
    <x v="0"/>
    <d v="2022-12-07T00:00:00"/>
    <s v="0ANOS, 9MESES"/>
    <n v="0.80555555555555558"/>
    <x v="0"/>
    <x v="0"/>
    <s v="COLETA DOMICILIAR"/>
    <s v="NOTURNO"/>
    <s v="JOÃO PEDRO"/>
    <s v="SUSPENSÃO"/>
    <d v="2023-09-23T00:00:00"/>
    <x v="9"/>
    <d v="2023-09-25T00:00:00"/>
    <s v="set/2023"/>
    <s v="SETEMBRO"/>
    <x v="0"/>
    <d v="2023-09-30T00:00:00"/>
    <x v="0"/>
    <s v="COLABORADOR FALTOU NO DIA 23/09/2023 E NÃO APRESENTOU NENHUMA JUSTIFICATIVA."/>
  </r>
  <r>
    <n v="277"/>
    <s v="ALISSON DE ARAUJO DIAS "/>
    <n v="2770003022"/>
    <x v="0"/>
    <d v="2022-12-01T00:00:00"/>
    <s v="0ANOS, 9MESES"/>
    <n v="0.82499999999999996"/>
    <x v="0"/>
    <x v="0"/>
    <s v="COLETA DOMICILIAR"/>
    <s v="NOTURNO"/>
    <s v="JOÃO PEDRO"/>
    <s v="ADVERTENCIA"/>
    <d v="2023-09-24T00:00:00"/>
    <x v="9"/>
    <d v="2023-09-25T00:00:00"/>
    <s v="set/2023"/>
    <s v="SETEMBRO"/>
    <x v="0"/>
    <d v="2023-09-25T00:00:00"/>
    <x v="0"/>
    <s v="COLABORADOR FALTOU NO DIA 24/09 E NÃO APRESENTOU NENHUMA JUSTIFICATIVA."/>
  </r>
  <r>
    <n v="278"/>
    <s v="KAMILE DA SILVA LEAO"/>
    <n v="2770003001"/>
    <x v="0"/>
    <d v="2022-11-03T00:00:00"/>
    <s v="0ANOS, 10MESES"/>
    <n v="0.91111111111111109"/>
    <x v="0"/>
    <x v="4"/>
    <s v="EDUCAÇÃO AMBIENTAL"/>
    <s v="DIURNO"/>
    <s v="ELISANGELA ROCHA"/>
    <s v="ADVERTENCIA"/>
    <d v="2023-09-27T00:00:00"/>
    <x v="9"/>
    <d v="2023-09-28T00:00:00"/>
    <s v="set/2023"/>
    <s v="SETEMBRO"/>
    <x v="0"/>
    <d v="2023-09-28T00:00:00"/>
    <x v="0"/>
    <s v="COLABORADOR FALTOU NOS DIAS 22, 23, 24, 25 E 27 SEM JUSITIFICATIVA, PORÉM NO SEU RETORNO, APRESENTOU ATESTADO MÉDICO FORA DO PRAZO, APÓS 48 HS."/>
  </r>
  <r>
    <n v="279"/>
    <s v="ISAQUE FERNANDES DA CRUZ"/>
    <n v="2770002827"/>
    <x v="0"/>
    <d v="2022-05-02T00:00:00"/>
    <s v="1ANOS, 4MESES"/>
    <n v="1.4277777777777778"/>
    <x v="2"/>
    <x v="0"/>
    <s v="COLETA DOMICILIAR"/>
    <s v="DIURNO"/>
    <s v="ANA CAROLINA"/>
    <s v="SUSPENSÃO"/>
    <d v="2023-09-28T00:00:00"/>
    <x v="9"/>
    <d v="2023-09-29T00:00:00"/>
    <s v="set/2023"/>
    <s v="SETEMBRO"/>
    <x v="0"/>
    <d v="2023-10-02T00:00:00"/>
    <x v="0"/>
    <s v="FALTA INJUSTIFICADA NOS DIAS 25/09 A 28/09, COLABORADOR ALEGA PROBLEMAS PESSOAIS."/>
  </r>
  <r>
    <n v="280"/>
    <s v="FABIO CURITIMA ORTIZ"/>
    <n v="2770002926"/>
    <x v="0"/>
    <d v="2022-09-01T00:00:00"/>
    <s v="1ANOS, 0MESES"/>
    <n v="1.0944444444444446"/>
    <x v="2"/>
    <x v="0"/>
    <s v="COLETA DOMICILIAR"/>
    <s v="NOTURNO"/>
    <s v="JOÃO PEDRO"/>
    <s v="SUSPENSÃO"/>
    <d v="2023-09-30T00:00:00"/>
    <x v="9"/>
    <d v="2023-10-01T00:00:00"/>
    <s v="out/2023"/>
    <s v="OUTUBRO"/>
    <x v="0"/>
    <d v="2023-10-02T00:00:00"/>
    <x v="0"/>
    <s v="COLABORADOR FALTOU NO DIA 30/09 E NÃO APRESENTOU NENHUMA JUSTIFICATIVA."/>
  </r>
  <r>
    <n v="281"/>
    <s v="PEDRO GABRIEL PERES PEREIRA"/>
    <n v="2770003155"/>
    <x v="1"/>
    <d v="2023-05-17T00:00:00"/>
    <s v="0ANOS, 5MESES"/>
    <n v="0.46944444444444444"/>
    <x v="0"/>
    <x v="0"/>
    <s v="COLETA DOMICILIAR"/>
    <s v="NOTURNO"/>
    <s v="JOÃO PEDRO"/>
    <s v="SUSPENSÃO"/>
    <d v="2023-11-02T00:00:00"/>
    <x v="1"/>
    <d v="2023-10-02T00:00:00"/>
    <s v="out/2023"/>
    <s v="OUTUBRO"/>
    <x v="0"/>
    <d v="2023-01-03T00:00:00"/>
    <x v="3"/>
    <s v="AO REALIZAR O ROTEIRO NO DIA 02/11 O COLABORADOR INFRINGIU O CÓDIGO DE CONDUTA AO IR AS VIAS DE FATO COM SEU COLEGA DE TRABALHO."/>
  </r>
  <r>
    <n v="282"/>
    <s v="WILMAR SOUZA DE QUEIROZ"/>
    <n v="2770002591"/>
    <x v="0"/>
    <d v="2022-10-03T00:00:00"/>
    <s v="1ANOS, 0MESES"/>
    <n v="1.0138888888888888"/>
    <x v="2"/>
    <x v="0"/>
    <s v="COLETA DOMICILIAR"/>
    <s v="DIURNO"/>
    <s v="ANA CAROLINA"/>
    <s v="SUSPENSÃO"/>
    <d v="2023-10-03T00:00:00"/>
    <x v="10"/>
    <d v="2023-10-03T00:00:00"/>
    <s v="out/2023"/>
    <s v="OUTUBRO"/>
    <x v="0"/>
    <d v="2023-10-03T00:00:00"/>
    <x v="2"/>
    <s v="AGENTE DE COLETA RECUSOU A ATENDER AOS COMANDOS PASSADOS PELA ANALISTA ELISANGELA PARA ATIVIDADE DE PODA, ALEGANDO QUE NÃO É CONTRATADO PARA TAL SERVIÇOI E SOMENTE PARA ATIVIDADE DE PODA, ALEGANDO QUE NÃO É CONTRATADO PARA TAL SERVIÇO E SIM SOMENTE PARA COLETA DOMICILIAR, O COLABORADOR DEIXOU CLARO A INSATISFAÇÃO EM NÃO CONTINUAR MAIS NO GRUPO."/>
  </r>
  <r>
    <n v="283"/>
    <s v="JARDEL ALHO PINHEIRO"/>
    <n v="2770003126"/>
    <x v="0"/>
    <d v="2023-04-06T00:00:00"/>
    <s v="0ANOS, 5MESES"/>
    <n v="0.49722222222222223"/>
    <x v="0"/>
    <x v="0"/>
    <s v="COLETA DOMICILIAR"/>
    <s v="DIURNO"/>
    <s v="ANA CAROLINA"/>
    <s v="SUSPENSÃO"/>
    <d v="2023-10-02T00:00:00"/>
    <x v="10"/>
    <d v="2023-10-03T00:00:00"/>
    <s v="out/2023"/>
    <s v="OUTUBRO"/>
    <x v="0"/>
    <d v="2023-10-04T00:00:00"/>
    <x v="0"/>
    <s v="FALTA INJUSTIFICADA NO DIA 02/10/2023, ALEGOU PROBLEMAS PESSOAIS."/>
  </r>
  <r>
    <n v="284"/>
    <s v="FRANCISCO MAGNO DE ALMEIDA OLIVEIRA"/>
    <n v="2770002956"/>
    <x v="0"/>
    <d v="2022-10-03T00:00:00"/>
    <s v="1ANOS, 0MESES"/>
    <n v="1.0194444444444444"/>
    <x v="2"/>
    <x v="0"/>
    <s v="COLETA DOMICILIAR"/>
    <s v="NOTURNO"/>
    <s v="JOÃO PEDRO"/>
    <s v="SUSPENSÃO"/>
    <d v="2023-10-05T00:00:00"/>
    <x v="10"/>
    <d v="2023-10-03T00:00:00"/>
    <s v="out/2023"/>
    <s v="OUTUBRO"/>
    <x v="0"/>
    <d v="2023-10-08T00:00:00"/>
    <x v="0"/>
    <s v="COLABORADOR FALTOU NO DIA 02/10 E NÃO APRESENTOU NENHUMA JUSTIFIXCATIVA."/>
  </r>
  <r>
    <n v="285"/>
    <s v="ISAQUE FERNANDES DA CRUZ"/>
    <n v="2770002827"/>
    <x v="0"/>
    <d v="2022-05-02T00:00:00"/>
    <s v="1ANOS, 5MESES"/>
    <n v="1.4444444444444444"/>
    <x v="2"/>
    <x v="0"/>
    <s v="COLETA DOMICILIAR"/>
    <s v="DIURNO"/>
    <s v="ANA CAROLINA"/>
    <s v="SUSPENSÃO"/>
    <d v="2023-10-04T00:00:00"/>
    <x v="10"/>
    <d v="2023-10-04T00:00:00"/>
    <s v="out/2023"/>
    <s v="OUTUBRO"/>
    <x v="0"/>
    <d v="2023-10-09T00:00:00"/>
    <x v="0"/>
    <s v="AGENTE COM FALTA INJUSTIFICADA NO DIAS 02/10 E 03/10."/>
  </r>
  <r>
    <n v="286"/>
    <s v="DAVI FERREIRA DIAS "/>
    <n v="2770003045"/>
    <x v="0"/>
    <d v="2022-12-07T00:00:00"/>
    <s v="0ANOS, 9MESES"/>
    <n v="0.82777777777777772"/>
    <x v="0"/>
    <x v="1"/>
    <s v="COLETA DOMICILIAR"/>
    <s v="NOTURNO"/>
    <s v="JOÃO PEDRO"/>
    <s v="ADVERTENCIA"/>
    <d v="2023-10-01T00:00:00"/>
    <x v="10"/>
    <d v="2023-10-04T00:00:00"/>
    <s v="out/2023"/>
    <s v="OUTUBRO"/>
    <x v="0"/>
    <d v="2023-10-04T00:00:00"/>
    <x v="1"/>
    <s v="COLABORADOR EXCEDEU O LIMITE DE VELOCIDADE NO DIA 01/10/2023 AS 04:23 CHEGANDO A 79 KM/H."/>
  </r>
  <r>
    <n v="287"/>
    <s v="DANIEL GOMES SEIXAS"/>
    <n v="2770003145"/>
    <x v="0"/>
    <d v="2023-05-05T00:00:00"/>
    <s v="0ANOS, 4MESES"/>
    <n v="0.41944444444444445"/>
    <x v="0"/>
    <x v="0"/>
    <s v="COLETA DOMICILIAR"/>
    <s v="NOTURNO"/>
    <s v="JOÃO PEDRO"/>
    <s v="ADVERTENCIA"/>
    <d v="2023-10-03T00:00:00"/>
    <x v="10"/>
    <d v="2023-10-04T00:00:00"/>
    <s v="out/2023"/>
    <s v="OUTUBRO"/>
    <x v="0"/>
    <d v="2023-10-04T00:00:00"/>
    <x v="0"/>
    <s v="COLABORADOR FALTOU NO DIA 03/10 E NÃO APRESENTOU NENHUMA JUSTIFICATIVA."/>
  </r>
  <r>
    <n v="288"/>
    <s v="VICTOR RODRIGO DE QUEIROZ OLIVEIRA"/>
    <n v="2770002866"/>
    <x v="0"/>
    <d v="2022-05-14T00:00:00"/>
    <s v="1ANOS, 4MESES"/>
    <n v="1.413888888888889"/>
    <x v="2"/>
    <x v="1"/>
    <s v="COLETA DOMICILIAR"/>
    <s v="DIURNO"/>
    <s v="ANA CAROLINA"/>
    <s v="ADVERTENCIA"/>
    <d v="2023-10-05T00:00:00"/>
    <x v="10"/>
    <d v="2023-10-05T00:00:00"/>
    <s v="out/2023"/>
    <s v="OUTUBRO"/>
    <x v="0"/>
    <d v="2023-10-05T00:00:00"/>
    <x v="1"/>
    <s v="EXCEDEU O LIMITE DE VELOCIDADE PERMITIDO PELA EMPRESA CHEGANDO A 71 KM DIA 30/09 AS 09:41H NO CC 699."/>
  </r>
  <r>
    <n v="289"/>
    <s v="BRUNO RAFAEL GAMA RODRIGUES"/>
    <n v="2770003170"/>
    <x v="1"/>
    <d v="2023-06-01T00:00:00"/>
    <s v="0ANOS, 4MESES"/>
    <n v="0.33888888888888891"/>
    <x v="0"/>
    <x v="0"/>
    <s v="COLETA DOMICILIAR"/>
    <s v="NOTURNO"/>
    <s v="JOÃO PEDRO"/>
    <s v="SUSPENSÃO"/>
    <d v="2023-10-01T00:00:00"/>
    <x v="10"/>
    <d v="2023-10-06T00:00:00"/>
    <s v="out/2023"/>
    <s v="OUTUBRO"/>
    <x v="0"/>
    <d v="2023-10-09T00:00:00"/>
    <x v="0"/>
    <s v="COLABORADOR FALTOU NO DIA 01/10 E NÃO APRESENTOU NENHUMA JUSTIFICATIVA."/>
  </r>
  <r>
    <n v="290"/>
    <s v="MAURICIO AUGUSTO QUEIROZ DE ARAUJO"/>
    <n v="2770003042"/>
    <x v="0"/>
    <d v="2022-12-07T00:00:00"/>
    <s v="0ANOS, 9MESES"/>
    <n v="0.82777777777777772"/>
    <x v="0"/>
    <x v="0"/>
    <s v="COLETA DOMICILIAR"/>
    <s v="NOTURNO"/>
    <s v="JOÃO PEDRO"/>
    <s v="ADVERTENCIA"/>
    <d v="2023-10-01T00:00:00"/>
    <x v="10"/>
    <d v="2023-10-07T00:00:00"/>
    <s v="out/2023"/>
    <s v="OUTUBRO"/>
    <x v="0"/>
    <d v="2023-10-07T00:00:00"/>
    <x v="3"/>
    <s v="COLABORADOR AGIU EM DESACORDO COM A PO08 E DEU UM PONTAPÉ NO PORTÃO DE UM MUNÍCIPE."/>
  </r>
  <r>
    <n v="291"/>
    <s v="MAURICIO AUGUSTO QUEIROZ DE ARAUJO"/>
    <n v="2770003042"/>
    <x v="0"/>
    <d v="2022-12-07T00:00:00"/>
    <s v="0ANOS, 10MESES"/>
    <n v="0.85277777777777775"/>
    <x v="0"/>
    <x v="0"/>
    <s v="COLETA DOMICILIAR"/>
    <s v="NOTURNO"/>
    <s v="JOÃO PEDRO"/>
    <s v="ADVERTENCIA"/>
    <d v="2023-10-10T00:00:00"/>
    <x v="10"/>
    <d v="2023-10-11T00:00:00"/>
    <s v="out/2023"/>
    <s v="OUTUBRO"/>
    <x v="0"/>
    <d v="2023-10-11T00:00:00"/>
    <x v="3"/>
    <s v="NO DIA 10/10/2023 NÃO FEZ A COLETA NA AVENIDA MARIO YPIRANGA, 133, VAREJÃO JV, GERANDO RECLAMAÇÃO."/>
  </r>
  <r>
    <n v="292"/>
    <s v="VALCICLE ARAGAO DE MELO"/>
    <n v="2770002776"/>
    <x v="0"/>
    <d v="2022-02-02T00:00:00"/>
    <s v="1ANOS, 8MESES"/>
    <n v="1.7"/>
    <x v="2"/>
    <x v="0"/>
    <s v="COLETA DOMICILIAR"/>
    <s v="NOTURNO"/>
    <s v="JOÃO PEDRO"/>
    <s v="ADVERTENCIA"/>
    <d v="2023-10-07T00:00:00"/>
    <x v="10"/>
    <d v="2023-10-11T00:00:00"/>
    <s v="out/2023"/>
    <s v="OUTUBRO"/>
    <x v="0"/>
    <d v="2023-10-11T00:00:00"/>
    <x v="0"/>
    <s v="FALTA SEM JUSTIFICATIVA NO DIA 07/10/2023."/>
  </r>
  <r>
    <n v="293"/>
    <s v="VICTOR RODRIGO DE QUEIROZ OLIVEIRA"/>
    <n v="2770002866"/>
    <x v="0"/>
    <d v="2022-05-14T00:00:00"/>
    <s v="1ANOS, 4MESES"/>
    <n v="1.4305555555555556"/>
    <x v="2"/>
    <x v="1"/>
    <s v="COLETA DOMICILIAR"/>
    <s v="DIURNO"/>
    <s v="ANA CAROLINA"/>
    <s v="ADVERTENCIA"/>
    <d v="2023-10-11T00:00:00"/>
    <x v="10"/>
    <d v="2023-10-13T00:00:00"/>
    <s v="out/2023"/>
    <s v="OUTUBRO"/>
    <x v="0"/>
    <d v="2023-10-13T00:00:00"/>
    <x v="1"/>
    <s v="EXCEDEU O LIMITE DE VELOCIDADE PERMITIDO PELA EMPRESA CHEGANDO A 72 KM/H DIA 11/10/2023 AS 15:59H NO CC 700."/>
  </r>
  <r>
    <n v="294"/>
    <s v="JAIMISON JORGE DA COSTA ROCHA"/>
    <n v="2770002812"/>
    <x v="0"/>
    <d v="2022-04-04T00:00:00"/>
    <s v="1ANOS, 6MESES"/>
    <n v="1.55"/>
    <x v="2"/>
    <x v="0"/>
    <s v="COLETA DOMICILIAR"/>
    <s v="NOTURNO"/>
    <s v="JOÃO PEDRO"/>
    <s v="ADVERTENCIA"/>
    <d v="2023-10-14T00:00:00"/>
    <x v="10"/>
    <d v="2023-10-16T00:00:00"/>
    <s v="out/2023"/>
    <s v="OUTUBRO"/>
    <x v="0"/>
    <d v="2023-10-16T00:00:00"/>
    <x v="0"/>
    <s v="FALTA SEM JUSTIFICATIVA NO DIA 14/10/2023."/>
  </r>
  <r>
    <n v="295"/>
    <s v="LEONARDO DA SILVA ROCHA"/>
    <n v="2770002963"/>
    <x v="0"/>
    <d v="2022-10-06T00:00:00"/>
    <s v="1ANOS, 0MESES"/>
    <n v="1.0333333333333334"/>
    <x v="2"/>
    <x v="0"/>
    <s v="COLETA DOMICILIAR"/>
    <s v="NOTURNO"/>
    <s v="JOÃO PEDRO"/>
    <s v="ADVERTENCIA"/>
    <d v="2023-10-13T00:00:00"/>
    <x v="10"/>
    <d v="2023-10-16T00:00:00"/>
    <s v="out/2023"/>
    <s v="OUTUBRO"/>
    <x v="0"/>
    <d v="2023-10-16T00:00:00"/>
    <x v="0"/>
    <s v="FALTA SEM JUSTIFICATIVA NO DIA 13/10/2023."/>
  </r>
  <r>
    <n v="296"/>
    <s v="VALCICLE ARAGAO DE MELO"/>
    <n v="2770002776"/>
    <x v="0"/>
    <d v="2022-02-02T00:00:00"/>
    <s v="1ANOS, 8MESES"/>
    <n v="1.7222222222222223"/>
    <x v="2"/>
    <x v="0"/>
    <s v="COLETA DOMICILIAR"/>
    <s v="NOTURNO"/>
    <s v="JOÃO PEDRO"/>
    <s v="SUSPENSÃO"/>
    <d v="2023-10-15T00:00:00"/>
    <x v="10"/>
    <d v="2023-10-16T00:00:00"/>
    <s v="out/2023"/>
    <s v="OUTUBRO"/>
    <x v="0"/>
    <d v="2023-10-17T00:00:00"/>
    <x v="0"/>
    <s v="FALTA SEM JUSTIFICATIVA NO DIA 15/10/2023."/>
  </r>
  <r>
    <n v="297"/>
    <s v="MAURICIO DE SOUZA ANDRADE"/>
    <n v="2770002675"/>
    <x v="0"/>
    <d v="2021-10-03T00:00:00"/>
    <s v="2ANOS, 0MESES"/>
    <n v="2.0583333333333331"/>
    <x v="2"/>
    <x v="0"/>
    <s v="COLETA DOMICILIAR"/>
    <s v="DIURNO"/>
    <s v="ANA CAROLINA"/>
    <s v="SUSPENSÃO"/>
    <d v="2023-10-14T00:00:00"/>
    <x v="10"/>
    <d v="2023-10-18T00:00:00"/>
    <s v="out/2023"/>
    <s v="OUTUBRO"/>
    <x v="0"/>
    <d v="2023-10-19T00:00:00"/>
    <x v="5"/>
    <s v="AGENTE DE COLETA FOI IDENTIFICADO POR UM MOTORISTA QUE ESTAVA NO CAMINHO DO ATERRO ANDANDO NO SETOR DE COLETA 90.1.177 - MUTIRÃO DESORIENTADO NO DIA 14/10/2023, FISCAL FOI ACIONADO E CHEGANDO AO LOCAL ENCONTROU O AGENTE DE COLETA DEITADO NA CALÇADA CONSTATANDO QUE ENCONTRAVA-SE EMBRIAGADO SEM NENHUMA CONDIÇÃO DE EXPLICAR O OCORRIDO."/>
  </r>
  <r>
    <n v="298"/>
    <s v="WENDELL FRANCO GIBSON "/>
    <n v="2770002973"/>
    <x v="0"/>
    <d v="2022-11-03T00:00:00"/>
    <s v="0ANOS, 11MESES"/>
    <n v="0.97222222222222221"/>
    <x v="0"/>
    <x v="0"/>
    <s v="COLETA DOMICILIAR"/>
    <s v="DIURNO"/>
    <s v="JOÃO PEDRO"/>
    <s v="ADVERTENCIA"/>
    <d v="2023-10-19T00:00:00"/>
    <x v="10"/>
    <d v="2023-10-19T00:00:00"/>
    <s v="out/2023"/>
    <s v="OUTUBRO"/>
    <x v="0"/>
    <d v="2023-10-19T00:00:00"/>
    <x v="3"/>
    <s v="COLABORADOR NÃO COMPARECEU NA EMPRESA PARA FAZER OS DEVIDOS PROCEDIMENTOS APÓS SOFRER UM ACIDENTE COM FURADA DE AGULHA."/>
  </r>
  <r>
    <n v="299"/>
    <s v="WESLLEY RICHARD DE SOUZA DANTAS"/>
    <n v="2770003113"/>
    <x v="0"/>
    <d v="2023-03-16T00:00:00"/>
    <s v="0ANOS, 7MESES"/>
    <n v="0.60555555555555551"/>
    <x v="0"/>
    <x v="0"/>
    <s v="COLETA DOMICILIAR"/>
    <s v="NOTURNO"/>
    <s v="JOÃO PEDRO"/>
    <s v="ADVERTENCIA"/>
    <d v="2023-10-20T00:00:00"/>
    <x v="10"/>
    <d v="2023-10-21T00:00:00"/>
    <s v="out/2023"/>
    <s v="OUTUBRO"/>
    <x v="0"/>
    <d v="2023-10-21T00:00:00"/>
    <x v="0"/>
    <s v="COLABORADOR FALTOU NO DIA 20/10 E NÃO APRESENTOU NENHUMA JUSTIFICATIVA."/>
  </r>
  <r>
    <n v="300"/>
    <s v="EDILSON LUIZ CARVALHO DE SOUZA"/>
    <n v="2770002769"/>
    <x v="0"/>
    <d v="2022-01-17T00:00:00"/>
    <s v="1ANOS, 9MESES"/>
    <n v="1.7805555555555554"/>
    <x v="2"/>
    <x v="0"/>
    <s v="COLETA DOMICILIAR"/>
    <s v="NOTURNO"/>
    <s v="JOÃO PEDRO"/>
    <s v="ADVERTENCIA"/>
    <d v="2023-10-20T00:00:00"/>
    <x v="10"/>
    <d v="2023-10-21T00:00:00"/>
    <s v="out/2023"/>
    <s v="OUTUBRO"/>
    <x v="0"/>
    <d v="2023-10-21T00:00:00"/>
    <x v="0"/>
    <s v="COLABORADOR FALTOU NO DIA 20/10 E NÃO APRESENTOU NENHUMA JUSTIFICATIVA."/>
  </r>
  <r>
    <n v="301"/>
    <s v="FELIPE DA COSTA RAMOS "/>
    <n v="2770003039"/>
    <x v="1"/>
    <d v="2022-12-07T00:00:00"/>
    <s v="0ANOS, 10MESES"/>
    <n v="0.88055555555555554"/>
    <x v="0"/>
    <x v="0"/>
    <s v="COLETA DOMICILIAR"/>
    <s v="DIURNO"/>
    <s v="ANA CAROLINA"/>
    <s v="ADVERTENCIA"/>
    <d v="2023-10-20T00:00:00"/>
    <x v="10"/>
    <d v="2023-10-21T00:00:00"/>
    <s v="out/2023"/>
    <s v="OUTUBRO"/>
    <x v="0"/>
    <d v="2023-10-21T00:00:00"/>
    <x v="0"/>
    <s v="FALTA INSJUSTIFICADA EM 20/10/2023, ALEGA PROBLEMAS PESSOAIS."/>
  </r>
  <r>
    <n v="302"/>
    <s v="FABIO CURITIMA ORTIZ"/>
    <n v="2770002926"/>
    <x v="0"/>
    <d v="2022-09-01T00:00:00"/>
    <s v="1ANOS, 1MESES"/>
    <n v="1.1527777777777777"/>
    <x v="2"/>
    <x v="0"/>
    <s v="COLETA DOMICILIAR"/>
    <s v="NOTURNO"/>
    <s v="JOÃO PEDRO"/>
    <s v="SUSPENSÃO"/>
    <d v="2023-10-21T00:00:00"/>
    <x v="10"/>
    <d v="2023-10-22T00:00:00"/>
    <s v="out/2023"/>
    <s v="OUTUBRO"/>
    <x v="0"/>
    <d v="2023-10-25T00:00:00"/>
    <x v="0"/>
    <s v="COLABORADOR FALTOU NO DIA 21/10 E NÃO APRESENTOU NENHUMA JUSTIFICATIVA."/>
  </r>
  <r>
    <n v="303"/>
    <s v="JEFFERSON PEREIRA LIMA"/>
    <n v="2770002205"/>
    <x v="0"/>
    <d v="2020-02-04T00:00:00"/>
    <s v="3ANOS, 8MESES"/>
    <n v="3.7666666666666666"/>
    <x v="1"/>
    <x v="0"/>
    <s v="COLETA DOMICILIAR"/>
    <s v="DIURNO"/>
    <s v="ANA CAROLINA"/>
    <s v="ADVERTENCIA"/>
    <d v="2023-10-22T00:00:00"/>
    <x v="10"/>
    <d v="2023-10-23T00:00:00"/>
    <s v="out/2023"/>
    <s v="OUTUBRO"/>
    <x v="0"/>
    <d v="2023-10-23T00:00:00"/>
    <x v="0"/>
    <s v="COLABORADOR FALTOU NO DIA 22/10/2023 SEM NENHUMA JUSTIFICATIVA."/>
  </r>
  <r>
    <n v="304"/>
    <s v="EDUARDO SILVA DE OLIVEIRA"/>
    <n v="2770003044"/>
    <x v="0"/>
    <d v="2022-12-07T00:00:00"/>
    <s v="0ANOS, 10MESES"/>
    <n v="0.8833333333333333"/>
    <x v="0"/>
    <x v="0"/>
    <s v="COLETA DOMICILIAR"/>
    <s v="NOTURNO"/>
    <s v="JOÃO PEDRO"/>
    <s v="SUSPENSÃO"/>
    <d v="2023-10-21T00:00:00"/>
    <x v="10"/>
    <d v="2023-10-23T00:00:00"/>
    <s v="out/2023"/>
    <s v="OUTUBRO"/>
    <x v="0"/>
    <d v="2023-10-30T00:00:00"/>
    <x v="0"/>
    <s v="COLABORADOR FALTOU NO DIA 21/10 E NÃO APRESENTOU NENHUMA JUSTIFICATIVA."/>
  </r>
  <r>
    <n v="305"/>
    <s v="LUIZ FERNANDO MENDES VIANA"/>
    <n v="2770003038"/>
    <x v="0"/>
    <d v="2022-12-07T00:00:00"/>
    <s v="0ANOS, 10MESES"/>
    <n v="0.8833333333333333"/>
    <x v="0"/>
    <x v="0"/>
    <s v="COLETA DOMICILIAR"/>
    <s v="NOTURNO"/>
    <s v="JOÃO PEDRO"/>
    <s v="SUSPENSÃO"/>
    <d v="2023-10-21T00:00:00"/>
    <x v="10"/>
    <d v="2023-10-23T00:00:00"/>
    <s v="out/2023"/>
    <s v="OUTUBRO"/>
    <x v="0"/>
    <d v="2023-10-26T00:00:00"/>
    <x v="0"/>
    <s v="COLABORADOR FALTOU NO DIA 21/10 E NÃO APRESENTOU NENHUMA JUSTIFICATIVA."/>
  </r>
  <r>
    <n v="306"/>
    <s v="BRUNO OLIVEIRA RUBEM"/>
    <n v="2770003159"/>
    <x v="1"/>
    <d v="2023-05-17T00:00:00"/>
    <s v="0ANOS, 5MESES"/>
    <n v="0.43888888888888888"/>
    <x v="0"/>
    <x v="0"/>
    <s v="COLETA DOMICILIAR"/>
    <s v="NOTURNO"/>
    <s v="JOÃO PEDRO"/>
    <s v="SUSPENSÃO"/>
    <d v="2023-10-22T00:00:00"/>
    <x v="10"/>
    <d v="2023-10-25T00:00:00"/>
    <s v="out/2023"/>
    <s v="OUTUBRO"/>
    <x v="0"/>
    <d v="2023-10-26T00:00:00"/>
    <x v="0"/>
    <s v="COLABORADOR FALTOU NO DIA 22/10 E NÃO APRESENTOU NENHUMA JUSTIFICATIVA."/>
  </r>
  <r>
    <n v="307"/>
    <s v="MAURICIO DE SOUZA ANDRADE"/>
    <n v="2770002675"/>
    <x v="0"/>
    <d v="2021-10-13T00:00:00"/>
    <s v="2ANOS, 0MESES"/>
    <n v="2.0611111111111109"/>
    <x v="2"/>
    <x v="0"/>
    <s v="COLETA DOMICILIAR"/>
    <s v="DIURNO"/>
    <s v="ANA CAROLINA"/>
    <s v="SUSPENSÃO"/>
    <d v="2023-10-25T00:00:00"/>
    <x v="10"/>
    <d v="2023-10-26T00:00:00"/>
    <s v="out/2023"/>
    <s v="OUTUBRO"/>
    <x v="0"/>
    <d v="2023-10-27T00:00:00"/>
    <x v="2"/>
    <s v="COLABORADOR FOI SOLICITADO QUE DESSE UM APOIO NO SETOR 90.1.126 PETROS NA DATA DE ONTEM 25/10/2023, POIS A SUA ROTA 90.1.178 - NS° DE FATIMA JÁ HAVIA SIDO CONCLUIDA E O CC POSSUIA ESPAÇO E AINDA ESTAVA DENTRO DO HORÁRIO DE TRABALHO (SEM HORA EXCEDIDA), PORÉM HOUVE A RECUSA POR PARTE DO COLABORADOR SEM JUSTIFICATIVA PRÉVIA, POIS AO FINALIZAR SUA ROTA O MESMO PEGOU SEUS PERTENCES E DESCEU O CC SEM CUMPRIR O COMANDO DO ANALISTA EM RETORNAR A GARVAGEM."/>
  </r>
  <r>
    <n v="308"/>
    <s v="GABRIEL SOUZA DA SILVA"/>
    <n v="2770002994"/>
    <x v="0"/>
    <d v="2022-11-03T00:00:00"/>
    <s v="0ANOS, 11MESES"/>
    <n v="0.9916666666666667"/>
    <x v="0"/>
    <x v="0"/>
    <s v="COLETA DOMICILIAR"/>
    <s v="DIURNO"/>
    <s v="ANA CAROLINA"/>
    <s v="ADVERTENCIA"/>
    <d v="2023-10-26T00:00:00"/>
    <x v="10"/>
    <d v="2023-10-26T00:00:00"/>
    <s v="out/2023"/>
    <s v="OUTUBRO"/>
    <x v="0"/>
    <d v="2023-10-26T00:00:00"/>
    <x v="3"/>
    <s v="COLABORADOR IDENTIFICADO NO SETOR 90.1.183 TANCREDO NEVES, USANDO O FARDAMENTO DE FORMA INDEVIDA (CALÇA POR DENTRO DAS MEIAS), SITUAÇÃO JÁ PONTUADA COM ESSE COLABORADOR POR MAIS DE 2 VEZES EM VISTA NO SETOR."/>
  </r>
  <r>
    <n v="309"/>
    <s v="LUIS ARMANDO DA SILVA FREITAS JUNIOR"/>
    <n v="2770003161"/>
    <x v="0"/>
    <d v="2023-05-17T00:00:00"/>
    <s v="0ANOS, 5MESES"/>
    <n v="0.46111111111111114"/>
    <x v="0"/>
    <x v="3"/>
    <s v="TRAFEGO"/>
    <s v="NOTURNO"/>
    <s v="LUIZ HENRIQUE"/>
    <s v="ADVERTENCIA"/>
    <d v="2023-10-30T00:00:00"/>
    <x v="10"/>
    <d v="2023-10-30T00:00:00"/>
    <s v="out/2023"/>
    <s v="OUTUBRO"/>
    <x v="0"/>
    <d v="2023-10-30T00:00:00"/>
    <x v="3"/>
    <s v="CONFORME JÁ PONTUADO NOS DIAS 30.08.2023 E 30.09.2023, ONTEM DIA 30.10.2023 OCORREU UM SINISTRO GOL DA FISCALIZAÇÃO ONDE NOVAMENTE FOI PONTUADO NO GRUPO OS REGISTROS DE FOTOS, FICHA DE ACIDENTE E DEPOIMENTO."/>
  </r>
  <r>
    <n v="310"/>
    <s v="SERGIO RICARDO DOS SANTOS NASCIMENTO"/>
    <n v="2770002534"/>
    <x v="0"/>
    <d v="2021-05-10T00:00:00"/>
    <s v="2ANOS, 5MESES"/>
    <n v="2.5027777777777778"/>
    <x v="2"/>
    <x v="1"/>
    <s v="COLETA DOMICILIAR"/>
    <s v="DIURNO"/>
    <s v="ANA CAROLINA"/>
    <s v="ADVERTENCIA"/>
    <d v="2023-10-28T00:00:00"/>
    <x v="10"/>
    <d v="2023-10-30T00:00:00"/>
    <s v="out/2023"/>
    <s v="OUTUBRO"/>
    <x v="0"/>
    <d v="2023-10-30T00:00:00"/>
    <x v="1"/>
    <s v="EXCEDEU A O LIMITE DE VELOCIDADE OERMITIDO PELA EMPRESA, CHEGANDO A 72 KM NO DIA 28/10 AS 10:09 NO CC 701."/>
  </r>
  <r>
    <n v="311"/>
    <s v="GERALDO AILTON MARTINS GUIMARAES"/>
    <n v="2770002071"/>
    <x v="0"/>
    <d v="2019-06-03T00:00:00"/>
    <s v="4ANOS, 4MESES"/>
    <n v="4.4749999999999996"/>
    <x v="1"/>
    <x v="1"/>
    <s v="COLETA DOMICILIAR"/>
    <s v="NOTURNO"/>
    <s v="ANA CAROLINA"/>
    <s v="ADVERTENCIA"/>
    <d v="2023-10-31T00:00:00"/>
    <x v="10"/>
    <d v="2023-10-31T00:00:00"/>
    <s v="out/2023"/>
    <s v="OUTUBRO"/>
    <x v="0"/>
    <d v="2023-10-31T00:00:00"/>
    <x v="1"/>
    <s v="EXCEDEU A VELOCIDADE PERMITIDO PELA EMPRESA, CHEGANDO A 72 KM DIA 30/10 AS 10:58H."/>
  </r>
  <r>
    <n v="312"/>
    <s v="FABIO CURITIMA ORTIZ"/>
    <n v="2770002926"/>
    <x v="0"/>
    <d v="2022-09-01T00:00:00"/>
    <s v="1ANOS, 2MESES"/>
    <n v="1.1833333333333333"/>
    <x v="2"/>
    <x v="0"/>
    <s v="COLETA DOMICILIAR"/>
    <s v="NOTURNO"/>
    <s v="JOÃO PEDRO"/>
    <s v="SUSPENSÃO"/>
    <d v="2023-11-01T00:00:00"/>
    <x v="1"/>
    <d v="2023-11-02T00:00:00"/>
    <s v="nov/2023"/>
    <s v="NOVEMBRO"/>
    <x v="0"/>
    <d v="2023-11-07T00:00:00"/>
    <x v="0"/>
    <s v="COLABORADOR FALTOU NO DIA 01/11 E NÃO APRESENTOU NENHUMA JUSTIFICATIVA."/>
  </r>
  <r>
    <n v="313"/>
    <s v="WESLLEY DOS SANTOS CORDEIRO"/>
    <n v="2770003100"/>
    <x v="0"/>
    <d v="2023-03-08T00:00:00"/>
    <s v="0ANOS, 7MESES"/>
    <n v="0.66388888888888886"/>
    <x v="0"/>
    <x v="0"/>
    <s v="COLETA DOMICILIAR"/>
    <s v="NOTURNO"/>
    <s v="JOÃO PEDRO"/>
    <s v="SUSPENSÃO"/>
    <d v="2023-11-02T00:00:00"/>
    <x v="1"/>
    <d v="2023-11-02T00:00:00"/>
    <s v="nov/2023"/>
    <s v="NOVEMBRO"/>
    <x v="0"/>
    <d v="2023-11-03T00:00:00"/>
    <x v="3"/>
    <s v="AO REALIZAR O ROTEIRO NO DIA 02/11 O COLABORADOR INFRINGIU O CÓDIGO DE CONDUTA AO IR AS VIAS DE FATO COM SEU COLEGA DE TRABALHO."/>
  </r>
  <r>
    <n v="314"/>
    <s v="CRISTIANO SOARES DUARTE"/>
    <n v="2770003246"/>
    <x v="1"/>
    <d v="2023-10-13T00:00:00"/>
    <s v="0ANOS, 0MESES"/>
    <n v="6.1111111111111109E-2"/>
    <x v="0"/>
    <x v="0"/>
    <s v="COLETA DOMICILIAR"/>
    <s v="DIURNO"/>
    <s v="ANA CAROLINA"/>
    <s v="ADVERTENCIA"/>
    <d v="2023-11-04T00:00:00"/>
    <x v="1"/>
    <d v="2023-11-04T00:00:00"/>
    <s v="nov/2023"/>
    <s v="NOVEMBRO"/>
    <x v="0"/>
    <d v="2023-11-04T00:00:00"/>
    <x v="0"/>
    <s v="FALTA INJUSTIFICADA EM 04/11/2023."/>
  </r>
  <r>
    <n v="315"/>
    <s v="JORGE ENRIQUE RODRIGUEZ IZQUIEL"/>
    <n v="2770002496"/>
    <x v="0"/>
    <d v="2021-04-05T00:00:00"/>
    <s v="2ANOS, 6MESES"/>
    <n v="2.6194444444444445"/>
    <x v="2"/>
    <x v="0"/>
    <s v="COLETA DOMICILIAR"/>
    <s v="DIURNO"/>
    <s v="ANA CAROLINA"/>
    <s v="ADVERTENCIA"/>
    <d v="2023-11-04T00:00:00"/>
    <x v="1"/>
    <d v="2023-11-06T00:00:00"/>
    <s v="nov/2023"/>
    <s v="NOVEMBRO"/>
    <x v="0"/>
    <d v="2023-11-06T00:00:00"/>
    <x v="0"/>
    <s v="FALTA INJUSTIFICADA EM 04/11/2023."/>
  </r>
  <r>
    <n v="316"/>
    <s v="MARIANO PEREIRA DOS REIS"/>
    <n v="2770003166"/>
    <x v="0"/>
    <d v="2023-06-01T00:00:00"/>
    <s v="0ANOS, 5MESES"/>
    <n v="0.43333333333333335"/>
    <x v="0"/>
    <x v="0"/>
    <s v="COLETA DOMICILIAR"/>
    <s v="DIURNO"/>
    <s v="ANA CAROLINA"/>
    <s v="ADVERTENCIA"/>
    <d v="2023-11-04T00:00:00"/>
    <x v="1"/>
    <d v="2023-11-06T00:00:00"/>
    <s v="nov/2023"/>
    <s v="NOVEMBRO"/>
    <x v="0"/>
    <d v="2023-11-06T00:00:00"/>
    <x v="0"/>
    <s v="FALTA INJUSTIFICADA EM 04/11/2023."/>
  </r>
  <r>
    <n v="317"/>
    <s v="ISAQUE FERNANDES DA CRUZ"/>
    <n v="2770002827"/>
    <x v="0"/>
    <d v="2022-05-02T00:00:00"/>
    <s v="1ANOS, 6MESES"/>
    <n v="1.5305555555555554"/>
    <x v="2"/>
    <x v="0"/>
    <s v="COLETA DOMICILIAR"/>
    <s v="DIURNO"/>
    <s v="ANA CAROLINA"/>
    <s v="SUSPENSÃO"/>
    <d v="2023-11-04T00:00:00"/>
    <x v="1"/>
    <d v="2023-11-06T00:00:00"/>
    <s v="nov/2023"/>
    <s v="NOVEMBRO"/>
    <x v="0"/>
    <d v="2023-11-11T00:00:00"/>
    <x v="0"/>
    <s v="FATA INJUSTIFICADA EM 02/11 E 04/11/2023, ALEGA TER IDO BUSCAR ATENDIMENTO, PORÉM NÃO APRESENTOU DOCUMENTO QUE JUSTIFIQUE AUSÊNCIA."/>
  </r>
  <r>
    <n v="318"/>
    <s v="GABRIEL MARTINS RIBEIRO"/>
    <n v="2770003184"/>
    <x v="1"/>
    <d v="2023-07-03T00:00:00"/>
    <s v="0ANOS, 4MESES"/>
    <n v="0.3527777777777778"/>
    <x v="0"/>
    <x v="0"/>
    <s v="COLETA DOMICILIAR"/>
    <s v="DIURNO"/>
    <s v="ANA CAROLINA"/>
    <s v="ADVERTENCIA"/>
    <d v="2023-11-07T00:00:00"/>
    <x v="1"/>
    <d v="2023-11-10T00:00:00"/>
    <s v="nov/2023"/>
    <s v="NOVEMBRO"/>
    <x v="0"/>
    <d v="2023-11-10T00:00:00"/>
    <x v="0"/>
    <s v="FALTA INJUSTIFICADA NOS DIAS 06/11 E 07/11/2023."/>
  </r>
  <r>
    <n v="319"/>
    <s v="LUCAS CARLOS DA SILVA E SOUSA "/>
    <n v="2770003079"/>
    <x v="0"/>
    <d v="2023-02-09T00:00:00"/>
    <s v="0ANOS, 8MESES"/>
    <n v="0.75555555555555554"/>
    <x v="0"/>
    <x v="1"/>
    <s v="COLETA DOMICILIAR"/>
    <s v="NOTURNO"/>
    <s v="JOÃO PEDRO"/>
    <s v="ADVERTENCIA"/>
    <d v="2023-11-08T00:00:00"/>
    <x v="1"/>
    <d v="2023-11-10T00:00:00"/>
    <s v="nov/2023"/>
    <s v="NOVEMBRO"/>
    <x v="0"/>
    <d v="2023-11-10T00:00:00"/>
    <x v="3"/>
    <s v="NO DIA 08/11/2023 POR VOLTA DAS 20 HORAS, HOUVE UMA DISCUSSÃO ENTRE O AGENTE DE COLETA VINICIO E O MOTORISTA LUCAS, ONDE AMBOS SE AMEAÇARAM."/>
  </r>
  <r>
    <n v="320"/>
    <s v="FELIPE MAGNO DE SOUZA PALMERE"/>
    <n v="2770003223"/>
    <x v="1"/>
    <d v="2023-09-13T00:00:00"/>
    <s v="0ANOS, 1MESES"/>
    <n v="0.15833333333333333"/>
    <x v="0"/>
    <x v="0"/>
    <s v="COLETA DOMICILIAR"/>
    <s v="DIURNO"/>
    <s v="ANA CAROLINA"/>
    <s v="ADVERTENCIA"/>
    <d v="2023-11-09T00:00:00"/>
    <x v="1"/>
    <d v="2023-11-10T00:00:00"/>
    <s v="nov/2023"/>
    <s v="NOVEMBRO"/>
    <x v="0"/>
    <d v="2023-11-10T00:00:00"/>
    <x v="0"/>
    <s v="FALTA INJUSTIFICADA EM 09/11/2023."/>
  </r>
  <r>
    <n v="321"/>
    <s v="ITALO MAHEUS ROOL FERREIRA"/>
    <n v="2770002974"/>
    <x v="0"/>
    <d v="2022-11-03T00:00:00"/>
    <s v="1ANOS, 0MESES"/>
    <n v="1.0305555555555554"/>
    <x v="2"/>
    <x v="0"/>
    <s v="COLETA DOMICILIAR"/>
    <s v="NOTURNO"/>
    <s v="JOÃO PEDRO"/>
    <s v="ADVERTENCIA"/>
    <d v="2023-11-09T00:00:00"/>
    <x v="1"/>
    <d v="2023-11-11T00:00:00"/>
    <s v="nov/2023"/>
    <s v="NOVEMBRO"/>
    <x v="0"/>
    <d v="2023-11-11T00:00:00"/>
    <x v="0"/>
    <s v="FALTA INJUSTIFICADA EM 09/11/2023."/>
  </r>
  <r>
    <n v="322"/>
    <s v="VINICIO CARVALHO DE FREITAS"/>
    <n v="2770002979"/>
    <x v="0"/>
    <d v="2023-11-03T00:00:00"/>
    <s v="0ANOS, 0MESES"/>
    <n v="2.2222222222222223E-2"/>
    <x v="0"/>
    <x v="0"/>
    <s v="COLETA DOMICILIAR"/>
    <s v="NOTURNO"/>
    <s v="JOÃO PEDRO"/>
    <s v="ADVERTENCIA"/>
    <d v="2023-11-11T00:00:00"/>
    <x v="1"/>
    <d v="2023-11-13T00:00:00"/>
    <s v="nov/2023"/>
    <s v="NOVEMBRO"/>
    <x v="0"/>
    <d v="2023-11-13T00:00:00"/>
    <x v="0"/>
    <s v="FALTA SEM JUSTIFICATIVA NOS DIAS 10/11 E 11/11."/>
  </r>
  <r>
    <n v="323"/>
    <s v="WANDERSON LIMA DA PALMA"/>
    <n v="2770002861"/>
    <x v="0"/>
    <d v="2022-05-14T00:00:00"/>
    <s v="1ANOS, 5MESES"/>
    <n v="1.5222222222222221"/>
    <x v="2"/>
    <x v="0"/>
    <s v="COLETA DOMICILIAR"/>
    <s v="DIURNO"/>
    <s v="ANA CAROLINA"/>
    <s v="SUSPENSÃO"/>
    <d v="2023-11-13T00:00:00"/>
    <x v="1"/>
    <d v="2023-11-14T00:00:00"/>
    <s v="nov/2023"/>
    <s v="NOVEMBRO"/>
    <x v="0"/>
    <d v="2023-11-15T00:00:00"/>
    <x v="0"/>
    <s v="FALTA INJUSTIFICADA EM 13/11/2023, ALEGAS PROBLEMAS PESSOAIS."/>
  </r>
  <r>
    <n v="324"/>
    <s v="DENNER ROGER QUEIROZ DA SILVA"/>
    <n v="2770002835"/>
    <x v="0"/>
    <d v="2022-05-14T00:00:00"/>
    <s v="1ANOS, 5MESES"/>
    <n v="1.5222222222222221"/>
    <x v="2"/>
    <x v="0"/>
    <s v="COLETA DOMICILIAR"/>
    <s v="NOTURNO"/>
    <s v="JOÃO PEDRO"/>
    <s v="SUSPENSÃO"/>
    <d v="2023-11-13T00:00:00"/>
    <x v="1"/>
    <d v="2023-11-14T00:00:00"/>
    <s v="nov/2023"/>
    <s v="NOVEMBRO"/>
    <x v="0"/>
    <d v="2023-11-15T00:00:00"/>
    <x v="0"/>
    <s v="COLABORADOR FALTOU SEM JUSTIFICATIVA DOS DIAS 03/11 AO DIA 13/11."/>
  </r>
  <r>
    <n v="325"/>
    <s v="RAYNAN BRUNO SILVA FERREIRA"/>
    <n v="2770003053"/>
    <x v="0"/>
    <d v="2023-01-12T00:00:00"/>
    <s v="0ANOS, 10MESES"/>
    <n v="0.85277777777777775"/>
    <x v="0"/>
    <x v="0"/>
    <s v="COLETA DOMICILIAR"/>
    <s v="DIURNO"/>
    <s v="ANA CAROLINA"/>
    <s v="ADVERTENCIA"/>
    <d v="2023-11-15T00:00:00"/>
    <x v="1"/>
    <d v="2023-11-15T00:00:00"/>
    <s v="nov/2023"/>
    <s v="NOVEMBRO"/>
    <x v="0"/>
    <d v="2023-11-15T00:00:00"/>
    <x v="3"/>
    <s v="AGENTE DE COLETA FAZENDO ARRUMAÇÃO DE LIXO NO SETOR 90.1.177 - MUTIRÃO, GERANDO RECLAMAÇÕES DE MUNICIPES."/>
  </r>
  <r>
    <n v="326"/>
    <s v="DENIS RIBEIRO OTAPIASSIS."/>
    <n v="2770003191"/>
    <x v="0"/>
    <d v="2023-07-06T00:00:00"/>
    <s v="0ANOS, 4MESES"/>
    <n v="0.36388888888888887"/>
    <x v="0"/>
    <x v="1"/>
    <s v="COLETA DOMICILIAR"/>
    <s v="DIURNO"/>
    <s v="ANA CAROLINA"/>
    <s v="ADVERTENCIA"/>
    <d v="2023-11-14T00:00:00"/>
    <x v="1"/>
    <d v="2023-11-16T00:00:00"/>
    <s v="nov/2023"/>
    <s v="NOVEMBRO"/>
    <x v="0"/>
    <d v="2023-11-16T00:00:00"/>
    <x v="1"/>
    <s v="EXCEDEU O LIMITE DE VELOCIDADE PERMITIDO PELA EMPRESA, CHEGANDO A 77 KM NO DIA 14/11 AS 11:39H."/>
  </r>
  <r>
    <n v="327"/>
    <s v="DANIEL MACHADO DE SOUZA"/>
    <n v="2770002829"/>
    <x v="0"/>
    <d v="2022-05-02T00:00:00"/>
    <s v="1ANOS, 6MESES"/>
    <n v="1.5694444444444444"/>
    <x v="2"/>
    <x v="0"/>
    <s v="COLETA DOMICILIAR"/>
    <s v="NOTURNO"/>
    <s v="JOÃO PEDRO"/>
    <s v="SUSPENSÃO"/>
    <d v="2023-11-18T00:00:00"/>
    <x v="1"/>
    <d v="2023-11-20T00:00:00"/>
    <s v="nov/2023"/>
    <s v="NOVEMBRO"/>
    <x v="0"/>
    <d v="2023-11-23T00:00:00"/>
    <x v="0"/>
    <s v="COLABORADOR FALTOU SEM JUSTIFICATIVA DO DIA 13/11 AO DIA 18/11."/>
  </r>
  <r>
    <n v="328"/>
    <s v="ISAQUE FERNANDES DA CRUZ"/>
    <n v="2770002827"/>
    <x v="0"/>
    <d v="2022-05-02T00:00:00"/>
    <s v="1ANOS, 6MESES"/>
    <n v="1.5722222222222222"/>
    <x v="2"/>
    <x v="0"/>
    <s v="COLETA DOMICILIAR"/>
    <s v="DIURNO"/>
    <s v="ANA CAROLINA"/>
    <s v="SUSPENSÃO"/>
    <d v="2023-11-19T00:00:00"/>
    <x v="1"/>
    <d v="2023-11-21T00:00:00"/>
    <s v="nov/2023"/>
    <s v="NOVEMBRO"/>
    <x v="0"/>
    <d v="2023-11-28T00:00:00"/>
    <x v="0"/>
    <s v="FALTA INJUSTIFICADA NOS DIAS 18/11 E 19/11, COLABORADOR ALEGA MOTIVOS PESSOAIS."/>
  </r>
  <r>
    <n v="329"/>
    <s v="CRISTIEU SALES VIANA "/>
    <n v="2770003088"/>
    <x v="1"/>
    <d v="2023-03-08T00:00:00"/>
    <s v="0ANOS, 8MESES"/>
    <n v="0.71111111111111114"/>
    <x v="0"/>
    <x v="0"/>
    <s v="COLETA DOMICILIAR"/>
    <s v="DIURNO"/>
    <s v="ANA CAROLINA"/>
    <s v="SUSPENSÃO"/>
    <d v="2023-11-19T00:00:00"/>
    <x v="1"/>
    <d v="2023-11-24T00:00:00"/>
    <s v="nov/2023"/>
    <s v="NOVEMBRO"/>
    <x v="0"/>
    <d v="2023-11-25T00:00:00"/>
    <x v="0"/>
    <s v="FALTA INJUSTIFICADA DIA 19/11."/>
  </r>
  <r>
    <n v="330"/>
    <s v="JOÃO BATSTA FERREIRA DA SILVA"/>
    <n v="2770003226"/>
    <x v="1"/>
    <d v="2023-09-13T00:00:00"/>
    <s v="0ANOS, 2MESES"/>
    <n v="0.18611111111111112"/>
    <x v="0"/>
    <x v="0"/>
    <s v="COLETA DOMICILIAR"/>
    <s v="DIURNO"/>
    <s v="ANA CAROLINA"/>
    <s v="ADVERTENCIA"/>
    <d v="2023-11-19T00:00:00"/>
    <x v="1"/>
    <d v="2023-11-24T00:00:00"/>
    <s v="nov/2023"/>
    <s v="NOVEMBRO"/>
    <x v="0"/>
    <d v="2023-11-24T00:00:00"/>
    <x v="0"/>
    <s v="FALTA INJUSTIFICADA DIA 19/11."/>
  </r>
  <r>
    <n v="331"/>
    <s v="ADRIANO ROCHA DE PAULA"/>
    <n v="2770002055"/>
    <x v="0"/>
    <d v="2019-05-14T00:00:00"/>
    <s v="4ANOS, 6MESES"/>
    <n v="4.6083333333333334"/>
    <x v="1"/>
    <x v="0"/>
    <s v="COLETA DOMICILIAR"/>
    <s v="DIURNO"/>
    <s v="ANA CAROLINA"/>
    <s v="SUSPENSÃO"/>
    <d v="2023-11-28T00:00:00"/>
    <x v="1"/>
    <d v="2023-11-29T00:00:00"/>
    <s v="nov/2023"/>
    <s v="NOVEMBRO"/>
    <x v="0"/>
    <d v="2023-12-06T00:00:00"/>
    <x v="0"/>
    <s v="O COLABORADOR FALTOU NO DIA 28/11 SEM DOCUMENTO JUSTIFICADO, O MESMO INFORMOU QUE ESTAVA COM FEBRE."/>
  </r>
  <r>
    <n v="332"/>
    <s v="WENDELL FRANCO GIBSON "/>
    <n v="2770002973"/>
    <x v="0"/>
    <d v="2022-11-03T00:00:00"/>
    <s v="1ANOS, 0MESES"/>
    <n v="1.086111111111111"/>
    <x v="2"/>
    <x v="0"/>
    <s v="COLETA DOMICILIAR"/>
    <s v="NOTURNO"/>
    <s v="JOÃO PEDRO"/>
    <s v="SUSPENSÃO"/>
    <d v="2023-11-29T00:00:00"/>
    <x v="1"/>
    <d v="2023-11-29T00:00:00"/>
    <s v="nov/2023"/>
    <s v="NOVEMBRO"/>
    <x v="0"/>
    <d v="2023-11-30T00:00:00"/>
    <x v="3"/>
    <s v="NO DIA 29/11/2023 APÓS A FINALIZAÇÃO DO SETOR, O COLABORADOR SAIU DO ROTEIRO SEM A AUTORIZAÇÃO DA CHEFIA."/>
  </r>
  <r>
    <n v="333"/>
    <s v="IOMAR CASTRO DA COSTA JUNIOR"/>
    <n v="2770002470"/>
    <x v="0"/>
    <d v="2021-02-19T00:00:00"/>
    <s v="2ANOS, 9MESES"/>
    <n v="2.8055555555555554"/>
    <x v="2"/>
    <x v="1"/>
    <s v="COLETA DOMICILIAR"/>
    <s v="DIURNO"/>
    <s v="ANA CAROLINA"/>
    <s v="ADVERTENCIA"/>
    <d v="2023-11-26T00:00:00"/>
    <x v="1"/>
    <d v="2023-11-29T00:00:00"/>
    <s v="nov/2023"/>
    <s v="NOVEMBRO"/>
    <x v="0"/>
    <d v="2023-11-29T00:00:00"/>
    <x v="1"/>
    <s v="EXCEDEU O LIMITE DE VELOCIDADE NO DIA 26/11 CHEGANDO A 75 KM."/>
  </r>
  <r>
    <n v="334"/>
    <s v="WANDERSON LIMA DA PALMA"/>
    <n v="2770002861"/>
    <x v="0"/>
    <d v="2022-05-14T00:00:00"/>
    <s v="1ANOS, 6MESES"/>
    <n v="1.5666666666666667"/>
    <x v="2"/>
    <x v="0"/>
    <s v="COLETA DOMICILIAR"/>
    <s v="DIURNO"/>
    <s v="ANA CAROLINA"/>
    <s v="SUSPENSÃO"/>
    <d v="2023-11-29T00:00:00"/>
    <x v="1"/>
    <d v="2023-11-30T00:00:00"/>
    <s v="nov/2023"/>
    <s v="NOVEMBRO"/>
    <x v="0"/>
    <d v="2023-12-01T00:00:00"/>
    <x v="0"/>
    <s v="COLABORADOR FALTOU EM 29/11, ALEGA PROBLEMAS PESSOAIS."/>
  </r>
  <r>
    <n v="335"/>
    <s v="ELLERSON MIRANDA FERNANDES"/>
    <n v="2770003228"/>
    <x v="0"/>
    <d v="2023-09-13T00:00:00"/>
    <s v="0ANOS, 2MESES"/>
    <n v="0.20555555555555555"/>
    <x v="0"/>
    <x v="0"/>
    <s v="COLETA DOMICILIAR"/>
    <s v="NOTURNO"/>
    <s v="JOÃO PEDRO"/>
    <s v="SUSPENSÃO"/>
    <d v="2023-11-26T00:00:00"/>
    <x v="1"/>
    <d v="2023-12-01T00:00:00"/>
    <s v="dez/2023"/>
    <s v="DEZEMBRO"/>
    <x v="0"/>
    <d v="2023-12-04T00:00:00"/>
    <x v="0"/>
    <s v="FALTA SEM JUSTIFICATIVA NO DIA 26/11/2023."/>
  </r>
  <r>
    <n v="336"/>
    <s v="ARIELSON DA SILVA PEREIRA"/>
    <n v="2770003097"/>
    <x v="0"/>
    <d v="2023-03-08T00:00:00"/>
    <s v="0ANOS, 8MESES"/>
    <n v="0.74444444444444446"/>
    <x v="0"/>
    <x v="0"/>
    <s v="COLETA DOMICILIAR"/>
    <s v="NOTURNO"/>
    <s v="JOÃO PEDRO"/>
    <s v="ADVERTENCIA"/>
    <d v="2023-12-01T00:00:00"/>
    <x v="11"/>
    <d v="2023-12-02T00:00:00"/>
    <s v="dez/2023"/>
    <s v="DEZEMBRO"/>
    <x v="0"/>
    <d v="2023-12-02T00:00:00"/>
    <x v="0"/>
    <s v="FALTA SEM JUSTIFICATIVA NO DIA 01/12."/>
  </r>
  <r>
    <n v="337"/>
    <s v="ADEVALDO DE SOUZA GOMES"/>
    <n v="2770000317"/>
    <x v="0"/>
    <d v="2013-02-08T00:00:00"/>
    <s v="10ANOS, 9MESES"/>
    <n v="10.972222222222221"/>
    <x v="3"/>
    <x v="0"/>
    <s v="COLETA DOMICILIAR"/>
    <s v="DIURNO"/>
    <s v="ANA CAROLINA"/>
    <s v="ADVERTENCIA"/>
    <d v="2023-12-03T00:00:00"/>
    <x v="11"/>
    <d v="2023-12-03T00:00:00"/>
    <s v="dez/2023"/>
    <s v="DEZEMBRO"/>
    <x v="0"/>
    <d v="2023-12-03T00:00:00"/>
    <x v="2"/>
    <s v="COLABORADOR SE RECUSOU A CONCLUIR ROTEIRO 90.1.166 - OURO VERDE / COROADO NA REFERIDA DATA 03/12/2023, SEM JUSTIFICATIVA."/>
  </r>
  <r>
    <n v="338"/>
    <s v="LUIZ FERNANDO MENDES VIANA"/>
    <n v="2770003038"/>
    <x v="0"/>
    <d v="2022-12-07T00:00:00"/>
    <s v="0ANOS, 11MESES"/>
    <n v="1"/>
    <x v="2"/>
    <x v="0"/>
    <s v="COLETA DOMICILIAR"/>
    <s v="NOTURNO"/>
    <s v="JOÃO PEDRO"/>
    <s v="SUSPENSÃO"/>
    <d v="2023-12-02T00:00:00"/>
    <x v="11"/>
    <d v="2023-12-03T00:00:00"/>
    <s v="dez/2023"/>
    <s v="DEZEMBRO"/>
    <x v="0"/>
    <d v="2023-12-08T00:00:00"/>
    <x v="0"/>
    <s v="FALTA SEM JUSTIFICATIVA NOS DIAS 01/12 E 02/12."/>
  </r>
  <r>
    <n v="339"/>
    <s v="DIEGO BELTRAO TEIXEIRA"/>
    <n v="2770003273"/>
    <x v="1"/>
    <d v="2023-11-17T00:00:00"/>
    <s v="0ANOS, 0MESES"/>
    <n v="4.4444444444444446E-2"/>
    <x v="0"/>
    <x v="0"/>
    <s v="COLETA DOMICILIAR"/>
    <s v="DIURNO"/>
    <s v="JOÃO PEDRO"/>
    <s v="ADVERTENCIA"/>
    <d v="2023-12-03T00:00:00"/>
    <x v="11"/>
    <d v="2023-12-03T00:00:00"/>
    <s v="dez/2023"/>
    <s v="DEZEMBRO"/>
    <x v="0"/>
    <d v="2023-12-03T00:00:00"/>
    <x v="2"/>
    <s v="COLABORADOR RECUSOU-SE A CONCLUIR O ROTEIRO 90.1.166 - OURO VERDE / COROADO MA REFERIDA DATA 03/12/2023, SEM JUSTIFICATIVA."/>
  </r>
  <r>
    <n v="340"/>
    <s v="JAIMISON JORGE DA COSTA ROCHA"/>
    <n v="2770003273"/>
    <x v="0"/>
    <d v="2022-04-04T00:00:00"/>
    <s v="1ANOS, 7MESES"/>
    <n v="1.6805555555555556"/>
    <x v="2"/>
    <x v="0"/>
    <s v="COLETA DOMICILIAR"/>
    <s v="NOTURNO"/>
    <s v="JOÃO PEDRO"/>
    <s v="SUSPENSÃO"/>
    <d v="2023-11-30T00:00:00"/>
    <x v="1"/>
    <d v="2023-12-03T00:00:00"/>
    <s v="dez/2023"/>
    <s v="DEZEMBRO"/>
    <x v="0"/>
    <d v="2023-12-04T00:00:00"/>
    <x v="0"/>
    <s v="FALTA SEM JUSTIFICATIVA NO DIA 30/11."/>
  </r>
  <r>
    <n v="341"/>
    <s v="RAYLANDER BATISTA DA SILVA"/>
    <n v="2770003122"/>
    <x v="0"/>
    <d v="2023-04-06T00:00:00"/>
    <s v="0ANOS, 7MESES"/>
    <n v="0.66666666666666663"/>
    <x v="0"/>
    <x v="0"/>
    <s v="COLETA DOMICILIAR"/>
    <s v="DIURNO"/>
    <s v="ANA CAROLINA"/>
    <s v="ADVERTENCIA"/>
    <d v="2023-12-02T00:00:00"/>
    <x v="11"/>
    <d v="2023-12-04T00:00:00"/>
    <s v="dez/2023"/>
    <s v="DEZEMBRO"/>
    <x v="0"/>
    <d v="2023-12-04T00:00:00"/>
    <x v="0"/>
    <s v="FALTA INJUSTIFICADA EM 02/12/2023."/>
  </r>
  <r>
    <n v="342"/>
    <s v="DANIEL MACHADO DE SOUZA"/>
    <n v="2770002829"/>
    <x v="0"/>
    <d v="2022-05-02T00:00:00"/>
    <s v="1ANOS, 7MESES"/>
    <n v="1.6083333333333334"/>
    <x v="2"/>
    <x v="0"/>
    <s v="COLETA DOMICILIAR"/>
    <s v="NOTURNO"/>
    <s v="JOÃO PEDRO"/>
    <s v="SUSPENSÃO"/>
    <d v="2023-12-02T00:00:00"/>
    <x v="11"/>
    <d v="2023-12-04T00:00:00"/>
    <s v="dez/2023"/>
    <s v="DEZEMBRO"/>
    <x v="0"/>
    <d v="2023-12-09T00:00:00"/>
    <x v="0"/>
    <s v="FALTA SEM JUSTIFICATIVA NO DIA 02/12."/>
  </r>
  <r>
    <n v="343"/>
    <s v="JANDERSON ALHO PINHEIRO"/>
    <n v="2770003169"/>
    <x v="0"/>
    <d v="2023-06-01T00:00:00"/>
    <s v="0ANOS, 6MESES"/>
    <n v="0.51111111111111107"/>
    <x v="0"/>
    <x v="0"/>
    <s v="COLETA DOMICILIAR"/>
    <s v="NOTURNO"/>
    <s v="JOÃO PEDRO"/>
    <s v="ADVERTENCIA"/>
    <d v="2023-12-02T00:00:00"/>
    <x v="11"/>
    <d v="2023-12-04T00:00:00"/>
    <s v="dez/2023"/>
    <s v="DEZEMBRO"/>
    <x v="0"/>
    <d v="2023-12-04T00:00:00"/>
    <x v="0"/>
    <s v="FALTA SEM JUSTIFICATIVA NO DIA 01/12 E 02/12."/>
  </r>
  <r>
    <n v="344"/>
    <s v="LAIR SILVA DE SOUZA"/>
    <n v="2770000234"/>
    <x v="0"/>
    <d v="2023-02-08T00:00:00"/>
    <s v="0ANOS, 9MESES"/>
    <n v="0.82499999999999996"/>
    <x v="0"/>
    <x v="0"/>
    <s v="COLETA DOMICILIAR"/>
    <s v="NOTURNO"/>
    <s v="JOÃO PEDRO"/>
    <s v="ADVERTENCIA"/>
    <d v="2023-12-02T00:00:00"/>
    <x v="11"/>
    <d v="2023-12-04T00:00:00"/>
    <s v="dez/2023"/>
    <s v="DEZEMBRO"/>
    <x v="0"/>
    <d v="2023-12-04T00:00:00"/>
    <x v="0"/>
    <s v="FALTA SEM JUSTIFICATIVA NO DIA 02/12."/>
  </r>
  <r>
    <n v="345"/>
    <s v="MARCOS VINICIUS DE CASTRO RIBEIRO"/>
    <n v="2770002828"/>
    <x v="0"/>
    <d v="2022-05-02T00:00:00"/>
    <s v="1ANOS, 7MESES"/>
    <n v="1.6111111111111112"/>
    <x v="2"/>
    <x v="0"/>
    <s v="COLETA DOMICILIAR"/>
    <s v="NOTURNO"/>
    <s v="JOÃO PEDRO"/>
    <s v="ADVERTENCIA"/>
    <d v="2023-12-03T00:00:00"/>
    <x v="11"/>
    <d v="2023-12-04T00:00:00"/>
    <s v="dez/2023"/>
    <s v="DEZEMBRO"/>
    <x v="0"/>
    <d v="2023-12-04T00:00:00"/>
    <x v="0"/>
    <s v="FALTA SEM JUSTIFICATIVA NO DIA 29/11, 30/11, 01/12, 02/12 E 03/12."/>
  </r>
  <r>
    <n v="346"/>
    <s v="ALISSON DE ARAUJO DIAS "/>
    <n v="2770003022"/>
    <x v="0"/>
    <d v="2022-12-01T00:00:00"/>
    <s v="0ANOS, 11MESES"/>
    <n v="0.93611111111111112"/>
    <x v="0"/>
    <x v="0"/>
    <s v="COLETA DOMICILIAR"/>
    <s v="NOTURNO"/>
    <s v="JOÃO PEDRO"/>
    <s v="SUSPENSÃO"/>
    <d v="2023-11-03T00:00:00"/>
    <x v="1"/>
    <d v="2023-12-04T00:00:00"/>
    <s v="dez/2023"/>
    <s v="DEZEMBRO"/>
    <x v="0"/>
    <d v="2023-12-05T00:00:00"/>
    <x v="0"/>
    <s v="FALTA SEM JUSTIFICATIVA NO DIA 03/12."/>
  </r>
  <r>
    <n v="347"/>
    <s v="PEDRO GABRIEL PERES PEREIRA"/>
    <n v="2770003155"/>
    <x v="1"/>
    <d v="2023-05-17T00:00:00"/>
    <s v="0ANOS, 6MESES"/>
    <n v="0.55555555555555558"/>
    <x v="0"/>
    <x v="0"/>
    <s v="COLETA DOMICILIAR"/>
    <s v="NOTURNO"/>
    <s v="JOÃO PEDRO"/>
    <s v="ADVERTENCIA"/>
    <d v="2023-12-03T00:00:00"/>
    <x v="11"/>
    <d v="2023-12-06T00:00:00"/>
    <s v="dez/2023"/>
    <s v="DEZEMBRO"/>
    <x v="0"/>
    <d v="2023-12-06T00:00:00"/>
    <x v="0"/>
    <s v="FALTA SEM JUSTIFICATIVA NO DIA 03/12/2023."/>
  </r>
  <r>
    <n v="348"/>
    <s v="SAYD DOS SANTOS PEREIRA"/>
    <n v="2770003188"/>
    <x v="1"/>
    <d v="2023-07-06T00:00:00"/>
    <s v="0ANOS, 4MESES"/>
    <n v="0.42222222222222222"/>
    <x v="0"/>
    <x v="0"/>
    <s v="COLETA DOMICILIAR"/>
    <s v="NOTURNO"/>
    <s v="JOÃO PEDRO"/>
    <s v="SUSPENSÃO"/>
    <d v="2023-12-05T00:00:00"/>
    <x v="11"/>
    <d v="2023-12-10T00:00:00"/>
    <s v="dez/2023"/>
    <s v="DEZEMBRO"/>
    <x v="0"/>
    <d v="2023-12-11T00:00:00"/>
    <x v="0"/>
    <s v="FALTA SEM JUSTIFICATIVA NOS DIAS 04/12 E 05/12."/>
  </r>
  <r>
    <n v="349"/>
    <s v="ALDEAN FREITAS DE SOUZA"/>
    <n v="2770002970"/>
    <x v="0"/>
    <d v="2022-11-03T00:00:00"/>
    <s v="1ANOS, 1MESES"/>
    <n v="1.1027777777777779"/>
    <x v="2"/>
    <x v="0"/>
    <s v="COLETA DOMICILIAR"/>
    <s v="NOTURNO"/>
    <s v="PAULO PORTO"/>
    <s v="SUSPENSÃO"/>
    <d v="2023-12-05T00:00:00"/>
    <x v="11"/>
    <d v="2023-12-11T00:00:00"/>
    <s v="dez/2023"/>
    <s v="DEZEMBRO"/>
    <x v="0"/>
    <d v="2023-12-14T00:00:00"/>
    <x v="3"/>
    <s v="NA MADRUGADA DO DIA 06/12, PORÉM REFERENTE AO EXPEDIENTE DE TRABALHO DO TURNO NOTURNO DO DIA 05/12/2023, QUANDO JÁ FINALIZADO O EXPEDIENTE E DO LADO EXTERNO DA EMPRESA, O FUNCIONÁRIO JAIMISON PROVOCA O FUNCIONÁRIO ALDEAN, PRIMEIRAMENTE CHUTANDO A BOLSA DELE ENQUANTO ESTÁ MANOBRANDO SUA MOTO PARA IR EMBORA, AÍ O ALDEAN REAGE JOGANDO UMA PEDRA EM DIREÇÃO DO JAIMISON, INICIANDO UMA DISCUSSÃO."/>
  </r>
  <r>
    <n v="350"/>
    <s v="JANDERSON ALHO PINHEIRO"/>
    <n v="2770003169"/>
    <x v="0"/>
    <d v="2023-06-01T00:00:00"/>
    <s v="0ANOS, 6MESES"/>
    <n v="0.53333333333333333"/>
    <x v="0"/>
    <x v="0"/>
    <s v="COLETA DOMICILIAR"/>
    <s v="NOTURNO"/>
    <s v="JOÃO PEDRO"/>
    <s v="SUSPENSÃO"/>
    <d v="2023-12-10T00:00:00"/>
    <x v="11"/>
    <d v="2023-12-11T00:00:00"/>
    <s v="dez/2023"/>
    <s v="DEZEMBRO"/>
    <x v="0"/>
    <d v="2023-12-12T00:00:00"/>
    <x v="0"/>
    <s v="FALTA SEM JUSTIFICATIVA NO DIA 10/12/2023."/>
  </r>
  <r>
    <n v="351"/>
    <s v="RIVALDO CONDERA DO NASCIMENTO JUNIOR"/>
    <n v="2770002925"/>
    <x v="0"/>
    <d v="2022-09-01T00:00:00"/>
    <s v="1ANOS, 3MESES"/>
    <n v="1.288888888888889"/>
    <x v="2"/>
    <x v="0"/>
    <s v="COLETA DOMICILIAR"/>
    <s v="NOTURNO"/>
    <s v="JOÃO PEDRO"/>
    <s v="SUSPENSÃO"/>
    <d v="2023-12-09T00:00:00"/>
    <x v="11"/>
    <d v="2023-12-11T00:00:00"/>
    <s v="dez/2023"/>
    <s v="DEZEMBRO"/>
    <x v="0"/>
    <d v="2023-12-12T00:00:00"/>
    <x v="0"/>
    <s v="FALTA SEM JUSTIFICATIVA NO 09/12/2023."/>
  </r>
  <r>
    <n v="352"/>
    <s v="RALYSON ROCHA NEVES"/>
    <n v="2770003273"/>
    <x v="1"/>
    <d v="2023-03-08T00:00:00"/>
    <s v="0ANOS, 9MESES"/>
    <n v="0.76666666666666672"/>
    <x v="0"/>
    <x v="0"/>
    <s v="COLETA DOMICILIAR"/>
    <s v="NOTURNO"/>
    <s v="JOÃO PEDRO"/>
    <s v="SUSPENSÃO"/>
    <d v="2023-12-09T00:00:00"/>
    <x v="11"/>
    <d v="2023-12-12T00:00:00"/>
    <s v="dez/2023"/>
    <s v="DEZEMBRO"/>
    <x v="0"/>
    <d v="2023-12-15T00:00:00"/>
    <x v="0"/>
    <s v="FALTA SEM JUSTIFICATIVA NO DIA 09/12/2023."/>
  </r>
  <r>
    <n v="353"/>
    <s v="JAIMISON JORGE DA COSTA ROCHA"/>
    <n v="2770002817"/>
    <x v="0"/>
    <d v="2022-04-04T00:00:00"/>
    <s v="1ANOS, 8MESES"/>
    <n v="1.6944444444444444"/>
    <x v="2"/>
    <x v="0"/>
    <s v="COLETA DOMICILIAR"/>
    <s v="NOTURNO"/>
    <s v="PAULO PORTO"/>
    <s v="SUSPENSÃO"/>
    <d v="2023-12-05T00:00:00"/>
    <x v="11"/>
    <d v="2023-12-12T00:00:00"/>
    <s v="dez/2023"/>
    <s v="DEZEMBRO"/>
    <x v="0"/>
    <d v="2023-12-15T00:00:00"/>
    <x v="3"/>
    <s v="NA MADRUGADA DO DIA 06/12, PORÉM REFERENTE AO EXPEDIENTE DE TRABALHO DO TURNO NOTURNO DO DIA 05/12/2023, QUANDO JÁ FINALIZADO O EXPEDIENTE E DO LADO EXTERNO DA EMPRESA, O FUNCIONÁRIO JAIMISON PROVOCA O FUNCIONÁRIO ALDEAN, PRIMEIRAMENTE CHUTANDO A BOLSA DELE ENQUANTO ESTÁ MANOBRANDO SUA MOTO PARA IR EMBORA, AÍ O ALDEAN REAGE JOGANDO UMA PEDRA EM DIREÇÃO DO JAIMISON, INICIANDO UMA DISCUSSÃO."/>
  </r>
  <r>
    <n v="354"/>
    <s v="LUIZ FERNANDO MENDES VIANA"/>
    <n v="2770003038"/>
    <x v="0"/>
    <d v="2022-12-07T00:00:00"/>
    <s v="1ANOS, 0MESES"/>
    <n v="1.0305555555555554"/>
    <x v="2"/>
    <x v="0"/>
    <s v="COLETA DOMICILIAR"/>
    <s v="NOTURNO"/>
    <s v="JOÃO PEDRO"/>
    <s v="SUSPENSÃO"/>
    <d v="2023-12-13T00:00:00"/>
    <x v="11"/>
    <d v="2023-12-14T00:00:00"/>
    <s v="dez/2023"/>
    <s v="DEZEMBRO"/>
    <x v="0"/>
    <d v="2023-12-21T00:00:00"/>
    <x v="0"/>
    <s v="FALTA SEM JUSTIFICATIVA NOS DIAS 11/12, 12/12 E 13/12."/>
  </r>
  <r>
    <n v="355"/>
    <s v="MATHEUS MORAES DA SILVA"/>
    <n v="2770003020"/>
    <x v="0"/>
    <d v="2022-12-01T00:00:00"/>
    <s v="1ANOS, 0MESES"/>
    <n v="1.0555555555555556"/>
    <x v="2"/>
    <x v="0"/>
    <s v="COLETA DOMICILIAR"/>
    <s v="DIURNO"/>
    <s v="ANA CAROLINA"/>
    <s v="ADVERTENCIA"/>
    <d v="2023-12-16T00:00:00"/>
    <x v="11"/>
    <d v="2023-12-16T00:00:00"/>
    <s v="dez/2023"/>
    <s v="DEZEMBRO"/>
    <x v="0"/>
    <d v="2023-12-16T00:00:00"/>
    <x v="3"/>
    <s v="COLABORADOR NÃO CONSEGUIU ATENDER AS DEMANDAS DE LIMPEZA DOS ESCUDOS DOS CAMINHÕES CC PROGRAMADO. SENDO IDENTIFICADO RESIDUOS NOS RESPECTIVOS CAMINHÕES 666, 729, 674 E 728."/>
  </r>
  <r>
    <n v="356"/>
    <s v="MAURICIO AUGUSTO QUEIROZ DE ARAUJO"/>
    <n v="2770003042"/>
    <x v="0"/>
    <d v="2022-12-07T00:00:00"/>
    <s v="1ANOS, 0MESES"/>
    <n v="1.038888888888889"/>
    <x v="2"/>
    <x v="0"/>
    <s v="COLETA DOMICILIAR"/>
    <s v="NOTURNO"/>
    <s v="JOÃO PEDRO"/>
    <s v="SUSPENSÃO"/>
    <d v="2023-12-16T00:00:00"/>
    <x v="11"/>
    <d v="2023-12-18T00:00:00"/>
    <s v="dez/2023"/>
    <s v="DEZEMBRO"/>
    <x v="0"/>
    <d v="2023-12-19T00:00:00"/>
    <x v="0"/>
    <s v="FALTA SEM JUSTIFICATIVA NO DIA 16/12/2023."/>
  </r>
  <r>
    <n v="357"/>
    <s v="DANIEL MACHADO DE SOUZA"/>
    <n v="2770002829"/>
    <x v="0"/>
    <d v="2022-05-02T00:00:00"/>
    <s v="1ANOS, 7MESES"/>
    <n v="1.6416666666666666"/>
    <x v="2"/>
    <x v="0"/>
    <s v="COLETA DOMICILIAR"/>
    <s v="NOTURNO"/>
    <s v="JOÃO PEDRO"/>
    <s v="SUSPENSÃO"/>
    <d v="2023-12-14T00:00:00"/>
    <x v="11"/>
    <d v="2023-12-18T00:00:00"/>
    <s v="dez/2023"/>
    <s v="DEZEMBRO"/>
    <x v="0"/>
    <d v="2023-12-25T00:00:00"/>
    <x v="0"/>
    <s v="FALTA SEM JUSTIFICATIVA NOS DIAS 13/12 E 14/12."/>
  </r>
  <r>
    <n v="358"/>
    <s v="DENNER ROGER QUEIROZ DA SILVA"/>
    <n v="2770002835"/>
    <x v="0"/>
    <d v="2022-05-14T00:00:00"/>
    <s v="1ANOS, 7MESES"/>
    <n v="1.625"/>
    <x v="2"/>
    <x v="0"/>
    <s v="COLETA DOMICILIAR"/>
    <s v="NOTURNO"/>
    <s v="JOÃO PEDRO"/>
    <s v="SUSPENSÃO"/>
    <d v="2023-12-20T00:00:00"/>
    <x v="11"/>
    <d v="2023-12-21T00:00:00"/>
    <s v="dez/2023"/>
    <s v="DEZEMBRO"/>
    <x v="0"/>
    <d v="2023-12-24T00:00:00"/>
    <x v="0"/>
    <s v="FALTA SEM JUSTIFICATIVA NO DIA 20/12/2023."/>
  </r>
  <r>
    <n v="359"/>
    <s v="ALISSON DE ARAUJO DIAS "/>
    <n v="2770003022"/>
    <x v="0"/>
    <d v="2022-12-01T00:00:00"/>
    <s v="1ANOS, 0MESES"/>
    <n v="1.0666666666666667"/>
    <x v="2"/>
    <x v="0"/>
    <s v="COLETA DOMICILIAR"/>
    <s v="NOTURNO"/>
    <s v="JOÃO PEDRO"/>
    <s v="SUSPENSÃO"/>
    <d v="2023-12-20T00:00:00"/>
    <x v="11"/>
    <d v="2023-12-21T00:00:00"/>
    <s v="dez/2023"/>
    <s v="DEZEMBRO"/>
    <x v="0"/>
    <d v="2023-12-24T00:00:00"/>
    <x v="0"/>
    <s v="FALTA SEM JUSTIFICATIVA NO DIA 20/12/2023."/>
  </r>
  <r>
    <n v="360"/>
    <s v="LUCIANO DE ALMEIDA CASTRO"/>
    <n v="2770003064"/>
    <x v="0"/>
    <d v="2023-01-12T00:00:00"/>
    <s v="0ANOS, 11MESES"/>
    <n v="0.95"/>
    <x v="0"/>
    <x v="0"/>
    <s v="COLETA DOMICILIAR"/>
    <s v="DIURNO"/>
    <s v="ELISANGELA ROCHA"/>
    <s v="ADVERTENCIA"/>
    <d v="2023-12-20T00:00:00"/>
    <x v="11"/>
    <d v="2023-12-21T00:00:00"/>
    <s v="dez/2023"/>
    <s v="DEZEMBRO"/>
    <x v="0"/>
    <d v="2023-12-21T00:00:00"/>
    <x v="3"/>
    <s v="O COLABORADOR SE EVADIU DO LOCAL DE TRABALHO NA AV. HILARIO GURJÃO NO DIA 20/12/2023, ANTES DO TÉRMINO DA SUA JORNADA DE TRABALHO QUE SE ENCERRAVA AS 16:20."/>
  </r>
  <r>
    <n v="361"/>
    <s v="EWERTON ROGERIO RIBEIRO ALVES "/>
    <n v="2770002804"/>
    <x v="0"/>
    <d v="2022-03-17T00:00:00"/>
    <s v="1ANOS, 9MESES"/>
    <n v="1.7916666666666667"/>
    <x v="2"/>
    <x v="0"/>
    <s v="COLETA DOMICILIAR"/>
    <s v="DIURNO"/>
    <s v="ANA CAROLINA"/>
    <s v="ADVERTENCIA"/>
    <d v="2023-12-22T00:00:00"/>
    <x v="11"/>
    <d v="2023-12-22T00:00:00"/>
    <s v="dez/2023"/>
    <s v="DEZEMBRO"/>
    <x v="0"/>
    <d v="2023-12-22T00:00:00"/>
    <x v="3"/>
    <s v="COLABORADOR JÁ ESTÁ FAZENDO O USO DO FARDAMENTO DE FORMA INDEVIDA (MANGAS DA BLUSA LEVANTADAS) SENDO JÁ ORIENTADO QUANTO AOS PROCEDIMENTOS DA PO 08."/>
  </r>
  <r>
    <n v="362"/>
    <s v="RALYSON ROCHA NEVES"/>
    <n v="2770003093"/>
    <x v="1"/>
    <d v="2023-03-08T00:00:00"/>
    <s v="0ANOS, 9MESES"/>
    <n v="0.78611111111111109"/>
    <x v="0"/>
    <x v="0"/>
    <s v="COLETA DOMICILIAR"/>
    <s v="DIURNO"/>
    <s v="JOÃO PEDRO"/>
    <s v="SUSPENSÃO"/>
    <d v="2023-12-16T00:00:00"/>
    <x v="11"/>
    <d v="2023-12-22T00:00:00"/>
    <s v="dez/2023"/>
    <s v="DEZEMBRO"/>
    <x v="0"/>
    <d v="2023-12-22T00:00:00"/>
    <x v="0"/>
    <s v="FALTA SEM JUSTIFICATIVA NOS DIAS 15/12/2023 E 16/12/2023."/>
  </r>
  <r>
    <n v="363"/>
    <s v="JANDERSON ALHO PINHEIRO"/>
    <n v="2770003169"/>
    <x v="0"/>
    <d v="2023-06-01T00:00:00"/>
    <s v="0ANOS, 6MESES"/>
    <n v="0.56388888888888888"/>
    <x v="0"/>
    <x v="0"/>
    <s v="COLETA DOMICILIAR"/>
    <s v="NOTURNO"/>
    <s v="JOÃO PEDRO"/>
    <s v="SUSPENSÃO"/>
    <d v="2023-12-21T00:00:00"/>
    <x v="11"/>
    <d v="2023-12-22T00:00:00"/>
    <s v="dez/2023"/>
    <s v="DEZEMBRO"/>
    <x v="0"/>
    <d v="2023-12-25T00:00:00"/>
    <x v="0"/>
    <s v="FALTA SEM JUSTIFICATIVA NO DIA 21/12/2023."/>
  </r>
  <r>
    <n v="364"/>
    <s v="EDUARDO SILVEIRA DA SILVA"/>
    <n v="2770003076"/>
    <x v="0"/>
    <d v="2023-02-09T00:00:00"/>
    <s v="0ANOS, 10MESES"/>
    <n v="0.875"/>
    <x v="0"/>
    <x v="0"/>
    <s v="COLETA DOMICILIAR"/>
    <s v="NOTURNO"/>
    <s v="JOÃO PEDRO"/>
    <s v="SUSPENSÃO"/>
    <d v="2023-12-21T00:00:00"/>
    <x v="11"/>
    <d v="2023-12-22T00:00:00"/>
    <s v="dez/2023"/>
    <s v="DEZEMBRO"/>
    <x v="0"/>
    <d v="2023-12-23T00:00:00"/>
    <x v="0"/>
    <s v="FALTA SEM JUSTIFICATIVA NO DIA 21/12/2023."/>
  </r>
  <r>
    <n v="365"/>
    <s v="JARDEL ALHO PINHEIRO"/>
    <n v="2770003126"/>
    <x v="0"/>
    <d v="2023-04-06T00:00:00"/>
    <s v="0ANOS, 8MESES"/>
    <n v="0.72499999999999998"/>
    <x v="0"/>
    <x v="0"/>
    <s v="COLETA DOMICILIAR"/>
    <s v="DIURNO"/>
    <s v="ELISANGELA ROCHA"/>
    <s v="ADVERTENCIA"/>
    <d v="2023-12-23T00:00:00"/>
    <x v="11"/>
    <d v="2023-12-23T00:00:00"/>
    <s v="dez/2023"/>
    <s v="DEZEMBRO"/>
    <x v="0"/>
    <d v="2023-12-23T00:00:00"/>
    <x v="3"/>
    <s v="O COLABORADOR DURANTE O ROTEIRO DESCUMPRIU O PROCEDIMENTO OPERACIONAL REALIZANDO ARRUMAÇÃO NA 90.1.113 CAUSANDO TRANSTORNO JUNTO AO CLIENTE DEVIDO A TAMPA DE COLETA TER SIDO ABERTA."/>
  </r>
  <r>
    <n v="366"/>
    <s v="JEFFESON RODRIGUES GUIMARAES"/>
    <n v="2770002460"/>
    <x v="0"/>
    <d v="2021-01-11T00:00:00"/>
    <s v="2ANOS, 11MESES"/>
    <n v="2.9888888888888889"/>
    <x v="2"/>
    <x v="0"/>
    <s v="COLETA DOMICILIAR"/>
    <s v="DIURNO"/>
    <s v="ANA CAROLINA"/>
    <s v="ADVERTENCIA"/>
    <d v="2023-12-23T00:00:00"/>
    <x v="11"/>
    <d v="2023-12-23T00:00:00"/>
    <s v="dez/2023"/>
    <s v="DEZEMBRO"/>
    <x v="0"/>
    <d v="2023-12-23T00:00:00"/>
    <x v="3"/>
    <s v="COLABORADOR DURANTE O ROTEIRO DESCUMPRIU O PROCEDIMENTO OPERACIONAL - PO 08 PERMITINDO QUE OS AGENTES FIZESSEM ARRUMAÇÃO DE LIXO NO SETOR, NÃO SENDO POSSÍVEL SER COLETADO DEVIDO A TAMPA DE COLETA TER SIDO ABERTA, CAUSANDO TRANSTORNO JUNTO AO CLIENTE."/>
  </r>
  <r>
    <n v="367"/>
    <s v="MAURICELIO DE LIMA SILCA"/>
    <n v="2770000518"/>
    <x v="0"/>
    <d v="2013-02-08T00:00:00"/>
    <s v="10ANOS, 10MESES"/>
    <n v="11.027777777777779"/>
    <x v="3"/>
    <x v="0"/>
    <s v="COLETA DOMICILIAR"/>
    <s v="DIURNO"/>
    <s v="ELISANGELA ROCHA"/>
    <s v="ADVERTENCIA"/>
    <d v="2023-12-23T00:00:00"/>
    <x v="11"/>
    <d v="2023-12-23T00:00:00"/>
    <s v="dez/2023"/>
    <s v="DEZEMBRO"/>
    <x v="0"/>
    <d v="2023-12-23T00:00:00"/>
    <x v="3"/>
    <s v="O COLABORADOR DURANTE O ROTEIRO DESCUMPRIU O PROCEDIMENTO OPERACIONAL REALIZANDO ARRUMAÇÃO NA 90.1.113 CAUSANDO TRANSTORNO JUNTO AO CLIENTE DEVIDO A TAMPA DE COLETA TER SIDO ABERTA."/>
  </r>
  <r>
    <n v="368"/>
    <s v="RONALDO DA SILVA"/>
    <n v="2770000129"/>
    <x v="0"/>
    <d v="2013-02-08T00:00:00"/>
    <s v="10ANOS, 10MESES"/>
    <n v="11.033333333333333"/>
    <x v="3"/>
    <x v="0"/>
    <s v="COLETA DOMICILIAR"/>
    <s v="DIURNO"/>
    <s v="ANA CAROLINA"/>
    <s v="ADVERTENCIA"/>
    <d v="2023-12-25T00:00:00"/>
    <x v="11"/>
    <d v="2023-12-25T00:00:00"/>
    <s v="dez/2023"/>
    <s v="DEZEMBRO"/>
    <x v="0"/>
    <d v="2023-12-26T00:00:00"/>
    <x v="0"/>
    <s v="FALTA INJUSTIFICADA DIA 25/12/2023, COLABORADOR ALEGA QUE NÃO QUIS VIR TRABALHAR."/>
  </r>
  <r>
    <n v="369"/>
    <s v="ATILA DOS SANTOS FERNANDES "/>
    <n v="2770000769"/>
    <x v="0"/>
    <d v="2013-05-03T00:00:00"/>
    <s v="10ANOS, 7MESES"/>
    <n v="10.8"/>
    <x v="3"/>
    <x v="0"/>
    <s v="COLETA DOMICILIAR"/>
    <s v="DIURNO"/>
    <s v="ANA CAROLINA"/>
    <s v="ADVERTENCIA"/>
    <d v="2023-12-25T00:00:00"/>
    <x v="11"/>
    <d v="2023-12-26T00:00:00"/>
    <s v="dez/2023"/>
    <s v="DEZEMBRO"/>
    <x v="0"/>
    <d v="2023-12-26T00:00:00"/>
    <x v="0"/>
    <s v="FALTA INJUSTIFICADA DIA 25/12/2023 ALEGA QUE DEVIDO A COMEMORAÇÃO DE SEU ANIVERSARIO SURPRESA NÃO PODE COMPAREER AO TRABALHO."/>
  </r>
  <r>
    <n v="370"/>
    <s v="GABRIEL SOUZA DA SILVA"/>
    <n v="2770002994"/>
    <x v="0"/>
    <d v="2022-11-03T00:00:00"/>
    <s v="1ANOS, 1MESES"/>
    <n v="1.1611111111111112"/>
    <x v="2"/>
    <x v="0"/>
    <s v="COLETA DOMICILIAR"/>
    <s v="DIURNO"/>
    <s v="ANA CAROLINA"/>
    <s v="ADVERTENCIA"/>
    <d v="2023-12-26T00:00:00"/>
    <x v="11"/>
    <d v="2023-12-26T00:00:00"/>
    <s v="dez/2023"/>
    <s v="DEZEMBRO"/>
    <x v="0"/>
    <d v="2023-12-26T00:00:00"/>
    <x v="0"/>
    <s v="FALTA INJUSTIFICADA NO DIA 25/12/2023, ALEGA QUE NÃO HAVIA CONDIÇÕES DE TRABALHAR."/>
  </r>
  <r>
    <n v="371"/>
    <s v="SHARLISON DE OLIVEIRA CHAGAS"/>
    <n v="2770002897"/>
    <x v="0"/>
    <d v="2022-08-12T00:00:00"/>
    <s v="1ANOS, 4MESES"/>
    <n v="1.3888888888888888"/>
    <x v="2"/>
    <x v="0"/>
    <s v="COLETA DOMICILIAR"/>
    <s v="DIURNO"/>
    <s v="ANA CAROLINA"/>
    <s v="ADVERTENCIA"/>
    <d v="2023-12-25T00:00:00"/>
    <x v="11"/>
    <d v="2023-12-26T00:00:00"/>
    <s v="dez/2023"/>
    <s v="DEZEMBRO"/>
    <x v="0"/>
    <d v="2023-12-26T00:00:00"/>
    <x v="0"/>
    <s v="FALTA INJUSTIFICADA DIA 25/12/2023 , ALEGA QUE NÃO CONSEGUIU SAIR DO RAMAL DA CASA DA MÃE."/>
  </r>
  <r>
    <n v="372"/>
    <s v="ANTONIO BRAGA MOTA JUNIOR"/>
    <n v="2770003271"/>
    <x v="1"/>
    <d v="2023-11-17T00:00:00"/>
    <s v="0ANOS, 1MESES"/>
    <n v="0.10555555555555556"/>
    <x v="0"/>
    <x v="0"/>
    <s v="COLETA DOMICILIAR"/>
    <s v="DIURNO"/>
    <s v="ANA CAROLINA"/>
    <s v="ADVERTENCIA"/>
    <d v="2023-12-25T00:00:00"/>
    <x v="11"/>
    <d v="2023-12-26T00:00:00"/>
    <s v="dez/2023"/>
    <s v="DEZEMBRO"/>
    <x v="0"/>
    <d v="2023-12-26T00:00:00"/>
    <x v="0"/>
    <s v="FALTA INJUSTIFICADA DIA 25/12, ALEGA QUE FOI BJSCAR ATENDIMENTO MÉDICO, PORÉM NÃO CONSEGUIU DOCUMENTO DE JUSTIFICATIVA."/>
  </r>
  <r>
    <n v="373"/>
    <s v="JANDERSON PARENTE DA CRUZ"/>
    <n v="2770002895"/>
    <x v="0"/>
    <d v="2022-08-12T00:00:00"/>
    <s v="1ANOS, 4MESES"/>
    <n v="1.3888888888888888"/>
    <x v="2"/>
    <x v="0"/>
    <s v="COLETA DOMICILIAR"/>
    <s v="DIURNO"/>
    <s v="ANA CAROLINA"/>
    <s v="ADVERTENCIA"/>
    <d v="2023-12-25T00:00:00"/>
    <x v="11"/>
    <d v="2023-12-26T00:00:00"/>
    <s v="dez/2023"/>
    <s v="DEZEMBRO"/>
    <x v="0"/>
    <d v="2023-12-26T00:00:00"/>
    <x v="0"/>
    <s v="FALTA INJUSTIFICADA DIA 25/12/2023, COLABORADOR ALEGA QUE DEVIDO A CHUVA NÃO CONSEGUIU COMPARECER."/>
  </r>
  <r>
    <n v="374"/>
    <s v="GILSON DOS ANJOS TELES "/>
    <n v="2770000538"/>
    <x v="0"/>
    <d v="2013-02-08T00:00:00"/>
    <s v="10ANOS, 10MESES"/>
    <n v="11.036111111111111"/>
    <x v="3"/>
    <x v="0"/>
    <s v="COLETA DOMICILIAR"/>
    <s v="DIURNO"/>
    <s v="ANA CAROLINA"/>
    <s v="ADVERTENCIA"/>
    <d v="2023-12-26T00:00:00"/>
    <x v="11"/>
    <d v="2023-12-26T00:00:00"/>
    <s v="dez/2023"/>
    <s v="DEZEMBRO"/>
    <x v="0"/>
    <d v="2023-12-26T00:00:00"/>
    <x v="0"/>
    <s v="FALTA INJUSTIFICADA DIA 25/12/2023, COLABORADOR ALEGA QUE BEBEU DEMAIS E NÃO HAVIA CONDIÇÕES DE VIR TRABALHAR."/>
  </r>
  <r>
    <n v="375"/>
    <s v="ALDEJAN DA SILVA PINTO"/>
    <n v="2770003136"/>
    <x v="1"/>
    <d v="2023-05-05T00:00:00"/>
    <s v="0ANOS, 7MESES"/>
    <n v="0.65277777777777779"/>
    <x v="0"/>
    <x v="0"/>
    <s v="COLETA DOMICILIAR"/>
    <s v="DIURNO"/>
    <s v="ANA CAROLINA"/>
    <s v="ADVERTENCIA"/>
    <d v="2023-12-26T00:00:00"/>
    <x v="11"/>
    <d v="2023-12-26T00:00:00"/>
    <s v="dez/2023"/>
    <s v="DEZEMBRO"/>
    <x v="0"/>
    <d v="2023-12-26T00:00:00"/>
    <x v="0"/>
    <s v="FALTA INJUSTIFICADA DIA 25/12/2023, COLABORADOR ALEGA QUE PERDEU O ÔNIBUS."/>
  </r>
  <r>
    <n v="376"/>
    <s v="MARCIO MOTA FERREIRA"/>
    <n v="2770002773"/>
    <x v="0"/>
    <d v="2023-02-02T00:00:00"/>
    <s v="0ANOS, 10MESES"/>
    <n v="0.90555555555555556"/>
    <x v="0"/>
    <x v="0"/>
    <s v="COLETA DOMICILIAR"/>
    <s v="DIURNO"/>
    <s v="ANA CAROLINA"/>
    <s v="ADVERTENCIA"/>
    <d v="2023-12-25T00:00:00"/>
    <x v="11"/>
    <d v="2023-12-26T00:00:00"/>
    <s v="dez/2023"/>
    <s v="DEZEMBRO"/>
    <x v="0"/>
    <d v="2023-12-26T00:00:00"/>
    <x v="0"/>
    <s v="FALTA INJUSTIFICADA DIA 25/12/2023, ALEGA QUE DEVIDO A CHUVA NÃO CONSEGUIU PEDIR APLICATIVO."/>
  </r>
  <r>
    <n v="377"/>
    <s v="JHONATAS RODRIGUES ESTEVAM "/>
    <n v="2770003164"/>
    <x v="1"/>
    <d v="2023-06-01T00:00:00"/>
    <s v="0ANOS, 6MESES"/>
    <n v="0.57499999999999996"/>
    <x v="0"/>
    <x v="0"/>
    <s v="COLETA DOMICILIAR"/>
    <s v="DIURNO"/>
    <s v="ANA CAROLINA"/>
    <s v="ADVERTENCIA"/>
    <d v="2023-12-25T00:00:00"/>
    <x v="11"/>
    <d v="2023-12-26T00:00:00"/>
    <s v="dez/2023"/>
    <s v="DEZEMBRO"/>
    <x v="0"/>
    <d v="2023-12-26T00:00:00"/>
    <x v="0"/>
    <s v="FALTA INJUSTIFICADA DIA 25/12/2023, ALEGA QUE DEVIDO UM PROBLEMA PARTICULAR."/>
  </r>
  <r>
    <n v="378"/>
    <s v="KAILANE DOS SANTOS ALBANO"/>
    <n v="2770003179"/>
    <x v="0"/>
    <d v="2023-06-16T00:00:00"/>
    <s v="0ANOS, 6MESES"/>
    <n v="0.54166666666666663"/>
    <x v="0"/>
    <x v="10"/>
    <s v="CEU"/>
    <s v="DIURNO"/>
    <s v="ELISANGELA ROCHA"/>
    <s v="ADVERTENCIA"/>
    <d v="2023-12-25T00:00:00"/>
    <x v="11"/>
    <d v="2023-12-26T00:00:00"/>
    <s v="dez/2023"/>
    <s v="DEZEMBRO"/>
    <x v="0"/>
    <d v="2023-12-26T00:00:00"/>
    <x v="0"/>
    <s v="A COLABORADORA NO DIA 25/12/2023 SOLICITOU DISPENSA DAS SUAS ATIVIDADES ATRAVÉS DE MENSAGEM PELO WHATSAPP AS 05:56H, ALEGANDO QUE ESTAVA COM DIFICULDADES DE VIM TRABALHAR DEVIDO A CHUVA E O UBER ESTAVA COM VALOR MUITO ALTO, QUE ELA NÃO IRIA PAGAR PARA VIR TRABALHAR POR SE TRATAR DE UMA EXTRA E QUE SÓ VIRIA TRABALHAR SE A CHUVA PARASSE."/>
  </r>
  <r>
    <n v="379"/>
    <s v="FRANCISCO EVERTON NASCIMENTO PEREIRA"/>
    <n v="2770002021"/>
    <x v="0"/>
    <d v="2019-03-01T00:00:00"/>
    <s v="4ANOS, 9MESES"/>
    <n v="4.8888888888888893"/>
    <x v="1"/>
    <x v="0"/>
    <s v="COLETA DOMICILIAR"/>
    <s v="NOTURNO"/>
    <s v="JOÃO PEDRO"/>
    <s v="ADVERTENCIA"/>
    <d v="2023-12-25T00:00:00"/>
    <x v="11"/>
    <d v="2023-12-26T00:00:00"/>
    <s v="dez/2023"/>
    <s v="DEZEMBRO"/>
    <x v="0"/>
    <d v="2023-12-26T00:00:00"/>
    <x v="0"/>
    <s v="FALTA SEM JUSTIFICATIVA NA ESCALA DO FERIADO DO DIA 25/12/2023."/>
  </r>
  <r>
    <n v="380"/>
    <s v="RODRIGO DOS SANTOS PEREIRA"/>
    <n v="2770002737"/>
    <x v="0"/>
    <d v="2021-12-06T00:00:00"/>
    <s v="2ANOS, 0MESES"/>
    <n v="2.0805555555555557"/>
    <x v="2"/>
    <x v="0"/>
    <s v="COLETA DOMICILIAR"/>
    <s v="NOTURNO"/>
    <s v="JOÃO PEDRO"/>
    <s v="ADVERTENCIA"/>
    <d v="2023-12-25T00:00:00"/>
    <x v="11"/>
    <d v="2023-12-26T00:00:00"/>
    <s v="dez/2023"/>
    <s v="DEZEMBRO"/>
    <x v="0"/>
    <d v="2023-12-26T00:00:00"/>
    <x v="0"/>
    <s v="FALTA SEM JUSTIFICATIVA NO DIA 25/12."/>
  </r>
  <r>
    <n v="381"/>
    <s v="VINICIO CARVALHO DE FREITAS"/>
    <n v="2770002979"/>
    <x v="0"/>
    <d v="2022-11-03T00:00:00"/>
    <s v="1ANOS, 1MESES"/>
    <n v="1.1583333333333334"/>
    <x v="2"/>
    <x v="0"/>
    <s v="COLETA DOMICILIAR"/>
    <s v="NOTURNO"/>
    <s v="JOÃO PEDRO"/>
    <s v="ADVERTENCIA"/>
    <d v="2023-12-25T00:00:00"/>
    <x v="11"/>
    <d v="2023-12-26T00:00:00"/>
    <s v="dez/2023"/>
    <s v="DEZEMBRO"/>
    <x v="0"/>
    <d v="2023-12-26T00:00:00"/>
    <x v="0"/>
    <s v="FALTA SEM JUSTIFICATIVA NA ESCALA DO FERIADO DO DIA 25/12/2023."/>
  </r>
  <r>
    <n v="382"/>
    <s v="PAULO ROBERTO LIMA MAGALHAES"/>
    <n v="2770002518"/>
    <x v="0"/>
    <d v="2021-05-03T00:00:00"/>
    <s v="2ANOS, 7MESES"/>
    <n v="2.6833333333333331"/>
    <x v="2"/>
    <x v="0"/>
    <s v="COLETA DOMICILIAR"/>
    <s v="NOTURNO"/>
    <s v="JOÃO PEDRO"/>
    <s v="ADVERTENCIA"/>
    <d v="2023-12-25T00:00:00"/>
    <x v="11"/>
    <d v="2023-12-26T00:00:00"/>
    <s v="dez/2023"/>
    <s v="DEZEMBRO"/>
    <x v="0"/>
    <d v="2023-12-26T00:00:00"/>
    <x v="0"/>
    <s v="FALTA SEM JUSTIFICATIVA NO DIA 25/12."/>
  </r>
  <r>
    <n v="383"/>
    <s v="ROBSON DE SOUZA PINHEIRO"/>
    <n v="2770002692"/>
    <x v="0"/>
    <d v="2022-11-03T00:00:00"/>
    <s v="1ANOS, 1MESES"/>
    <n v="1.1583333333333334"/>
    <x v="2"/>
    <x v="0"/>
    <s v="COLETA DOMICILIAR"/>
    <s v="NOTURNO"/>
    <s v="JOÃO PEDRO"/>
    <s v="ADVERTENCIA"/>
    <d v="2023-12-25T00:00:00"/>
    <x v="11"/>
    <d v="2023-12-26T00:00:00"/>
    <s v="dez/2023"/>
    <s v="DEZEMBRO"/>
    <x v="0"/>
    <d v="2023-12-26T00:00:00"/>
    <x v="0"/>
    <s v="FALTA SEM JUSTIFICATIVA NA ESCALA DO FERIADO DO DIA 25/12/2023."/>
  </r>
  <r>
    <n v="384"/>
    <s v="CARLOS ROBERTO MIRANDA COSTA"/>
    <n v="2770002538"/>
    <x v="0"/>
    <d v="2021-05-10T00:00:00"/>
    <s v="2ANOS, 7MESES"/>
    <n v="2.6638888888888888"/>
    <x v="2"/>
    <x v="0"/>
    <s v="COLETA DOMICILIAR"/>
    <s v="NOTURNO"/>
    <s v="JOÃO PEDRO"/>
    <s v="ADVERTENCIA"/>
    <d v="2023-12-25T00:00:00"/>
    <x v="11"/>
    <d v="2023-12-27T00:00:00"/>
    <s v="dez/2023"/>
    <s v="DEZEMBRO"/>
    <x v="0"/>
    <d v="2023-12-27T00:00:00"/>
    <x v="0"/>
    <s v="FALTA SEM JUSTIFICATIVA NO DIA 25/12."/>
  </r>
  <r>
    <n v="385"/>
    <s v="JANDERSON LOURENCO DA SILVA"/>
    <n v="2770002681"/>
    <x v="0"/>
    <d v="2021-10-13T00:00:00"/>
    <s v="2ANOS, 2MESES"/>
    <n v="2.2305555555555556"/>
    <x v="2"/>
    <x v="1"/>
    <s v="COLETA DOMICILIAR"/>
    <s v="NOTURNO"/>
    <s v="JOÃO PEDRO"/>
    <s v="ADVERTENCIA"/>
    <d v="2023-12-25T00:00:00"/>
    <x v="11"/>
    <d v="2023-12-27T00:00:00"/>
    <s v="dez/2023"/>
    <s v="DEZEMBRO"/>
    <x v="0"/>
    <d v="2023-12-27T00:00:00"/>
    <x v="0"/>
    <s v="FALTA SEM JUSTIFICATIVA NO DIA 25/12."/>
  </r>
  <r>
    <n v="386"/>
    <s v="JAIME HENRIQUE GONÇALVES BARBOSA"/>
    <n v="2770003095"/>
    <x v="1"/>
    <d v="2023-03-08T00:00:00"/>
    <s v="0ANOS, 9MESES"/>
    <n v="0.8"/>
    <x v="0"/>
    <x v="0"/>
    <s v="COLETA DOMICILIAR"/>
    <s v="NOTURNO"/>
    <s v="JOÃO PEDRO"/>
    <s v="ADVERTENCIA"/>
    <d v="2023-12-21T00:00:00"/>
    <x v="11"/>
    <d v="2023-12-27T00:00:00"/>
    <s v="dez/2023"/>
    <s v="DEZEMBRO"/>
    <x v="0"/>
    <d v="2023-12-27T00:00:00"/>
    <x v="0"/>
    <s v="FALTA SEM JUSTIFICATIVA NO DIA 21/12/2023."/>
  </r>
  <r>
    <n v="387"/>
    <s v="CLODOMIRO FILHO SILVEIRA"/>
    <n v="2770001800"/>
    <x v="0"/>
    <d v="2017-12-05T00:00:00"/>
    <s v="6ANOS, 0MESES"/>
    <n v="6.1472222222222221"/>
    <x v="3"/>
    <x v="1"/>
    <s v="COLETA DOMICILIAR"/>
    <s v="NOTURNO"/>
    <s v="JOÃO PEDRO"/>
    <s v="ADVERTENCIA"/>
    <d v="2023-12-27T00:00:00"/>
    <x v="11"/>
    <d v="2023-12-27T00:00:00"/>
    <s v="dez/2023"/>
    <s v="DEZEMBRO"/>
    <x v="0"/>
    <d v="2023-12-27T00:00:00"/>
    <x v="0"/>
    <s v="FALTA SEM JUSTIFICATIVA NO DIA 25/12."/>
  </r>
  <r>
    <n v="388"/>
    <s v="WELLINGTON LIMA DA SILVA"/>
    <n v="2770002254"/>
    <x v="0"/>
    <d v="2020-05-04T00:00:00"/>
    <s v="3ANOS, 7MESES"/>
    <n v="3.6944444444444446"/>
    <x v="1"/>
    <x v="0"/>
    <s v="COLETA DOMICILIAR"/>
    <s v="NOTURNO"/>
    <s v="JOÃO PEDRO"/>
    <s v="ADVERTENCIA"/>
    <d v="2023-12-25T00:00:00"/>
    <x v="11"/>
    <d v="2023-12-27T00:00:00"/>
    <s v="dez/2023"/>
    <s v="DEZEMBRO"/>
    <x v="0"/>
    <d v="2023-12-27T00:00:00"/>
    <x v="0"/>
    <s v="FALTA SEM JUSTIFICATIVA NO DIA 25/12."/>
  </r>
  <r>
    <n v="389"/>
    <s v="HERICLES MENDONCA TRINDADE "/>
    <n v="2770002546"/>
    <x v="0"/>
    <d v="2021-06-01T00:00:00"/>
    <s v="2ANOS, 6MESES"/>
    <n v="2.6027777777777779"/>
    <x v="2"/>
    <x v="0"/>
    <s v="COLETA DOMICILIAR"/>
    <s v="NOTURNO"/>
    <s v="JOÃO PEDRO"/>
    <s v="ADVERTENCIA"/>
    <d v="2023-12-25T00:00:00"/>
    <x v="11"/>
    <d v="2023-12-27T00:00:00"/>
    <s v="dez/2023"/>
    <s v="DEZEMBRO"/>
    <x v="0"/>
    <d v="2023-12-27T00:00:00"/>
    <x v="0"/>
    <s v="FALTA SEM JUSTIFICATIVA NO DIA 25/12."/>
  </r>
  <r>
    <n v="390"/>
    <s v="ARIELSON DA SILVA PEREIRA"/>
    <n v="2770003097"/>
    <x v="1"/>
    <d v="2021-03-08T00:00:00"/>
    <s v="2ANOS, 9MESES"/>
    <n v="2.8416666666666668"/>
    <x v="2"/>
    <x v="0"/>
    <s v="COLETA DOMICILIAR"/>
    <s v="NOTURNO"/>
    <s v="JOÃO PEDRO"/>
    <s v="ADVERTENCIA"/>
    <d v="2023-12-26T00:00:00"/>
    <x v="11"/>
    <d v="2023-12-27T00:00:00"/>
    <s v="dez/2023"/>
    <s v="DEZEMBRO"/>
    <x v="0"/>
    <d v="2023-12-30T00:00:00"/>
    <x v="0"/>
    <s v="FALTA SEM JUSTIFICATIVA NOS DIAS 25/12 E 26/12."/>
  </r>
  <r>
    <n v="391"/>
    <s v="ITALO MATHEUS ROOL FERREIRA"/>
    <n v="2770002974"/>
    <x v="1"/>
    <d v="2022-03-08T00:00:00"/>
    <s v="1ANOS, 9MESES"/>
    <n v="1.8277777777777777"/>
    <x v="2"/>
    <x v="0"/>
    <s v="COLETA DOMICILIAR"/>
    <s v="NOTURNO"/>
    <s v="JOÃO PEDRO"/>
    <s v="SUSPENSÃO"/>
    <d v="2023-12-26T00:00:00"/>
    <x v="11"/>
    <d v="2023-12-27T00:00:00"/>
    <s v="dez/2023"/>
    <s v="DEZEMBRO"/>
    <x v="0"/>
    <d v="2023-12-28T00:00:00"/>
    <x v="0"/>
    <s v="FALTA SEM JUSTIFICATIVA NOS DIAS 25/12 E 26/12."/>
  </r>
  <r>
    <n v="392"/>
    <s v="CLEOMARCIO PEREIRA DE OLIVEIRA"/>
    <n v="2770002789"/>
    <x v="0"/>
    <d v="2022-03-07T00:00:00"/>
    <s v="1ANOS, 9MESES"/>
    <n v="1.836111111111111"/>
    <x v="2"/>
    <x v="0"/>
    <s v="COLETA DOMICILIAR"/>
    <s v="DIURNO"/>
    <s v="ANA CAROLINA"/>
    <s v="ADVERTENCIA"/>
    <d v="2023-12-28T00:00:00"/>
    <x v="11"/>
    <d v="2023-12-29T00:00:00"/>
    <s v="dez/2023"/>
    <s v="DEZEMBRO"/>
    <x v="0"/>
    <d v="2023-12-29T00:00:00"/>
    <x v="0"/>
    <s v="FALTA INJUSTIFICADA NO DIA 28/12/2023, COLABORADOR ALEGA QUE PERDEU HORÁRIO E NÃO CONSEGUIU COMPARECER AO TRABALHO."/>
  </r>
  <r>
    <n v="393"/>
    <s v="JOANDERSON BRANDAO VIANA "/>
    <n v="2770003103"/>
    <x v="0"/>
    <d v="2023-03-16T00:00:00"/>
    <s v="0ANOS, 9MESES"/>
    <n v="0.79722222222222228"/>
    <x v="0"/>
    <x v="0"/>
    <s v="COLETA DOMICILIAR"/>
    <s v="DIURNO"/>
    <s v="ANA CAROLINA"/>
    <s v="ADVERTENCIA"/>
    <d v="2023-12-28T00:00:00"/>
    <x v="11"/>
    <d v="2023-12-29T00:00:00"/>
    <s v="dez/2023"/>
    <s v="DEZEMBRO"/>
    <x v="0"/>
    <d v="2023-12-28T00:00:00"/>
    <x v="0"/>
    <s v="FALTA INJUSTIFICADA NO DIA 28/12, COLABORADOR ALEGA QUE FOI BUSCA ATENDIMENTO PORÉM NÃO CONSEGUIU ATESTADO PARA JUSTIFICAR A AUSÊNCIA."/>
  </r>
  <r>
    <n v="394"/>
    <s v="SHARLISSON DE OLIVEIRA CHAGAS "/>
    <n v="2770002897"/>
    <x v="0"/>
    <d v="2022-08-12T00:00:00"/>
    <s v="1ANOS, 4MESES"/>
    <n v="1.4027777777777777"/>
    <x v="2"/>
    <x v="0"/>
    <s v="COLETA DOMICILIAR"/>
    <s v="DIURNO"/>
    <s v="ANA CAROLINA"/>
    <s v="ADVERTENCIA"/>
    <d v="2023-12-30T00:00:00"/>
    <x v="11"/>
    <d v="2023-12-30T00:00:00"/>
    <s v="dez/2023"/>
    <s v="DEZEMBRO"/>
    <x v="0"/>
    <d v="2023-12-30T00:00:00"/>
    <x v="4"/>
    <s v="COLABORADOR CHEGOU ATRASADO NA DATA DE HOJE AS 06:12H, ALEGA QUE PERDEU O HORÁRIO."/>
  </r>
  <r>
    <n v="395"/>
    <s v="BRUNO MELO DA GRAÇA"/>
    <n v="2770002917"/>
    <x v="0"/>
    <d v="2022-09-01T00:00:00"/>
    <s v="1ANOS, 3MESES"/>
    <n v="1.3472222222222223"/>
    <x v="2"/>
    <x v="0"/>
    <s v="COLETA DOMICILIAR"/>
    <s v="DIURNO"/>
    <s v="ANA CAROLINA"/>
    <s v="ADVERTENCIA"/>
    <d v="2023-12-30T00:00:00"/>
    <x v="11"/>
    <d v="2023-12-30T00:00:00"/>
    <s v="dez/2023"/>
    <s v="DEZEMBRO"/>
    <x v="0"/>
    <d v="2023-12-30T00:00:00"/>
    <x v="4"/>
    <s v="COLABORADOR CHEGOU ATRASADO NA DATA DE HOJE AS 06:32H, ALEGA QUE PERDEU O HORÁRIO."/>
  </r>
  <r>
    <n v="396"/>
    <s v="ITALO NASCIMENTO DE SOUZA"/>
    <n v="2770002875"/>
    <x v="0"/>
    <d v="2022-06-01T00:00:00"/>
    <s v="1ANOS, 6MESES"/>
    <n v="1.6027777777777779"/>
    <x v="2"/>
    <x v="0"/>
    <s v="COLETA DOMICILIAR"/>
    <s v="NOTURNO"/>
    <s v="JOÃO PEDRO"/>
    <s v="ADVERTENCIA"/>
    <d v="2023-12-30T00:00:00"/>
    <x v="11"/>
    <d v="2023-12-31T00:00:00"/>
    <s v="dez/2023"/>
    <s v="DEZEMBRO"/>
    <x v="0"/>
    <d v="2023-12-31T00:00:00"/>
    <x v="0"/>
    <s v="FALTA SEM JUSTIFICATIVA NO DIA 31/12."/>
  </r>
  <r>
    <n v="397"/>
    <s v="LUIZ FERNANDO BRANCHES DO NASCIMENTO"/>
    <n v="2770003208"/>
    <x v="1"/>
    <d v="2023-08-08T00:00:00"/>
    <s v="0ANOS, 4MESES"/>
    <n v="0.3888888888888889"/>
    <x v="0"/>
    <x v="0"/>
    <s v="COLETA DOMICILIAR"/>
    <s v="NOTURNO"/>
    <s v="JOÃO PEDRO"/>
    <s v="ADVERTENCIA"/>
    <d v="2023-12-26T00:00:00"/>
    <x v="11"/>
    <d v="2023-12-31T00:00:00"/>
    <s v="dez/2023"/>
    <s v="DEZEMBRO"/>
    <x v="0"/>
    <d v="2023-12-31T00:00:00"/>
    <x v="0"/>
    <s v="FALTA SEM JUSTIFICATIVA NOS DIAS 25/12 E 26/12."/>
  </r>
  <r>
    <n v="398"/>
    <s v="RIVALDO CONDERA DO NASCIMENTO JUNIOR"/>
    <n v="2770002925"/>
    <x v="0"/>
    <d v="2022-09-01T00:00:00"/>
    <s v="1ANOS, 3MESES"/>
    <n v="1.3444444444444446"/>
    <x v="2"/>
    <x v="0"/>
    <s v="COLETA DOMICILIAR"/>
    <s v="NOTURNO"/>
    <s v="JOÃO PEDRO"/>
    <s v="SUSPENSÃO"/>
    <d v="2023-12-29T00:00:00"/>
    <x v="11"/>
    <d v="2023-12-31T00:00:00"/>
    <s v="dez/2023"/>
    <s v="DEZEMBRO"/>
    <x v="0"/>
    <d v="2024-01-03T00:00:00"/>
    <x v="0"/>
    <s v="FALTA SEM JUSTIFICATIVA NOS DIAS 28/12 E 29/12."/>
  </r>
  <r>
    <n v="399"/>
    <s v="SAYD DOS SANTOS PEREIRA"/>
    <n v="2770003188"/>
    <x v="1"/>
    <d v="2023-07-06T00:00:00"/>
    <s v="0ANOS, 5MESES"/>
    <n v="0.48055555555555557"/>
    <x v="0"/>
    <x v="0"/>
    <s v="COLETA DOMICILIAR"/>
    <s v="NOTURNO"/>
    <s v="JOÃO PEDRO"/>
    <s v="SUSPENSÃO"/>
    <d v="2023-12-26T00:00:00"/>
    <x v="11"/>
    <d v="2023-12-31T00:00:00"/>
    <s v="dez/2023"/>
    <s v="DEZEMBRO"/>
    <x v="0"/>
    <d v="2024-01-03T00:00:00"/>
    <x v="0"/>
    <s v="FALTA SEM JUSTIFICATIVA NOS DIAS 25/12 E 26/12."/>
  </r>
  <r>
    <n v="400"/>
    <s v="RAYLANDER BATISTA DA SILVA"/>
    <n v="2770003122"/>
    <x v="0"/>
    <d v="2023-04-06T00:00:00"/>
    <s v="0ANOS, 8MESES"/>
    <n v="0.74444444444444446"/>
    <x v="0"/>
    <x v="0"/>
    <s v="COLETA DOMICILIAR"/>
    <s v="NOTURNO"/>
    <s v="JOÃO PEDRO"/>
    <s v="ADVERTENCIA"/>
    <d v="2023-12-30T00:00:00"/>
    <x v="11"/>
    <d v="2023-12-31T00:00:00"/>
    <s v="dez/2023"/>
    <s v="DEZEMBRO"/>
    <x v="0"/>
    <d v="2024-12-31T00:00:00"/>
    <x v="0"/>
    <s v="FALTA INJUSTIFICADA EM 30/12/2024."/>
  </r>
  <r>
    <n v="401"/>
    <s v="DIEGO DE SOUZA PINHEIRO"/>
    <n v="2770002252"/>
    <x v="0"/>
    <d v="2020-05-04T00:00:00"/>
    <s v="3ANOS, 7MESES"/>
    <n v="3.7111111111111112"/>
    <x v="1"/>
    <x v="0"/>
    <s v="COLETA DOMICILIAR"/>
    <s v="DIURNO"/>
    <s v="ELISANGELA ROCHA"/>
    <s v="ADVERTENCIA"/>
    <d v="2023-12-31T00:00:00"/>
    <x v="11"/>
    <d v="2023-12-31T00:00:00"/>
    <s v="dez/2023"/>
    <s v="DEZEMBRO"/>
    <x v="0"/>
    <d v="2024-01-01T00:00:00"/>
    <x v="0"/>
    <s v="FALTA NÃO JUSTIFICADA NO DIA 31/12/2023, INFORMOU QUE ESTAVA COM DORES NAS COSTAS, PORÉM NÃO FOI BUSCAR ATENDIMENTO POR NÃO CONSEGUIR SAIR DA CAMA."/>
  </r>
  <r>
    <n v="402"/>
    <s v="BRENDELL BARRADAS REIS "/>
    <n v="2770003240"/>
    <x v="0"/>
    <d v="2023-10-03T00:00:00"/>
    <s v="0ANOS, 2MESES"/>
    <n v="0.23333333333333334"/>
    <x v="0"/>
    <x v="0"/>
    <s v="COLETA DOMICILIAR"/>
    <s v="DIURNO"/>
    <s v="ELISANGELA ROCHA"/>
    <s v="ADVERTENCIA"/>
    <d v="2023-12-26T00:00:00"/>
    <x v="12"/>
    <d v="2024-01-01T00:00:00"/>
    <s v="jan/2024"/>
    <s v="JANEIRO "/>
    <x v="1"/>
    <d v="2024-01-01T00:00:00"/>
    <x v="0"/>
    <s v="FALTA NÃO JUSTIFICADA NO DIA 26/12/203, INFORMOU QUE ESTAVA COM FEBRE, DORES DE CABEÇA, PORÉM NÃO FOI BUSCAR ATENDIMENTO."/>
  </r>
  <r>
    <n v="403"/>
    <s v="ITALO NEVES DA SILVA"/>
    <n v="2770003004"/>
    <x v="0"/>
    <d v="2022-11-09T00:00:00"/>
    <s v="1ANOS, 1MESES"/>
    <n v="1.1583333333333334"/>
    <x v="2"/>
    <x v="0"/>
    <s v="COLETA DOMICILIAR"/>
    <s v="DIURNO"/>
    <s v="ELISANGELA ROCHA"/>
    <s v="ADVERTENCIA"/>
    <d v="2023-12-31T00:00:00"/>
    <x v="12"/>
    <d v="2024-01-01T00:00:00"/>
    <s v="jan/2024"/>
    <s v="JANEIRO "/>
    <x v="1"/>
    <d v="2024-01-01T00:00:00"/>
    <x v="0"/>
    <s v="FALTA NÃO JUSTIFICADA NO DIA 31/12/2023, INFORMOU QUE A ESPOSA ESTAVA COM ATAQUE DE ASMA, FOI LEVAR ELA NO HOSPITAL, PORÉM NÃO TROUXE NENHUMA DOCUMENTAÇÃO."/>
  </r>
  <r>
    <n v="404"/>
    <s v="GERALDO AILTON MARTINS GUIMARAES"/>
    <n v="2770002071"/>
    <x v="0"/>
    <d v="2019-06-03T00:00:00"/>
    <s v="4ANOS, 6MESES"/>
    <n v="4.6222222222222218"/>
    <x v="1"/>
    <x v="1"/>
    <s v="COLETA DOMICILIAR"/>
    <s v="DIURNO"/>
    <s v="ANA CAROLINA"/>
    <s v="ADVERTENCIA"/>
    <d v="2023-12-23T00:00:00"/>
    <x v="12"/>
    <d v="2024-01-01T00:00:00"/>
    <s v="jan/2024"/>
    <s v="JANEIRO "/>
    <x v="1"/>
    <d v="2024-01-01T00:00:00"/>
    <x v="1"/>
    <s v="EXCESSO DE VELOCIDADE NO DIA 23/12/2023 AS 11:13H CHEGANDO A 73 KM, QUANDO O PERMITIDO PELA EMPRESA É 73 KM."/>
  </r>
  <r>
    <n v="405"/>
    <s v="WENDELL ROCHA DE OLIVEIRA"/>
    <n v="2770003243"/>
    <x v="1"/>
    <d v="2023-10-03T00:00:00"/>
    <s v="0ANOS, 2MESES"/>
    <n v="0.24722222222222223"/>
    <x v="0"/>
    <x v="0"/>
    <s v="COLETA DOMICILIAR"/>
    <s v="DIURNO"/>
    <s v="ANA CAROLINA"/>
    <s v="ADVERTENCIA"/>
    <d v="2023-12-31T00:00:00"/>
    <x v="12"/>
    <d v="2024-01-01T00:00:00"/>
    <s v="jan/2024"/>
    <s v="JANEIRO "/>
    <x v="1"/>
    <d v="2024-01-01T00:00:00"/>
    <x v="0"/>
    <s v="FALTA INJUSTIFICADA EM 31/12/2023."/>
  </r>
  <r>
    <n v="406"/>
    <s v="LUIZ FERNANDO BRANCHES DO NASCIMENTO"/>
    <n v="2770003208"/>
    <x v="1"/>
    <d v="2023-08-08T00:00:00"/>
    <s v="0ANOS, 4MESES"/>
    <n v="0.40555555555555556"/>
    <x v="0"/>
    <x v="0"/>
    <s v="COLETA DOMICILIAR"/>
    <s v="NOTURNO"/>
    <s v="JOÃO PEDRO"/>
    <s v="ADVERTENCIA"/>
    <d v="2024-01-01T00:00:00"/>
    <x v="0"/>
    <d v="2024-01-02T00:00:00"/>
    <s v="jan/2024"/>
    <s v="JANEIRO "/>
    <x v="1"/>
    <d v="2024-01-02T00:00:00"/>
    <x v="0"/>
    <s v="FALTA SEM JUSTIFICATIVA NO DIA 01/01/2024."/>
  </r>
  <r>
    <n v="407"/>
    <s v="ROBSON DE SOUZA PINHEIRO"/>
    <n v="2770002692"/>
    <x v="0"/>
    <d v="2023-11-03T00:00:00"/>
    <s v="0ANOS, 1MESES"/>
    <n v="0.16388888888888889"/>
    <x v="0"/>
    <x v="0"/>
    <s v="COLETA DOMICILIAR"/>
    <s v="NOTURNO"/>
    <s v="JOÃO PEDRO"/>
    <s v="ADVERTENCIA"/>
    <d v="2024-01-01T00:00:00"/>
    <x v="0"/>
    <d v="2024-01-02T00:00:00"/>
    <s v="jan/2024"/>
    <s v="JANEIRO "/>
    <x v="1"/>
    <d v="2024-01-02T00:00:00"/>
    <x v="0"/>
    <s v="FALTA SEM JUSTIFICATIVA NO DIA 01/01/2024."/>
  </r>
  <r>
    <n v="408"/>
    <s v="LEONARDO DA SILVA ROCHA"/>
    <n v="2770002963"/>
    <x v="0"/>
    <d v="2022-10-06T00:00:00"/>
    <s v="1ANOS, 2MESES"/>
    <n v="1.2555555555555555"/>
    <x v="2"/>
    <x v="0"/>
    <s v="COLETA DOMICILIAR"/>
    <s v="NOTURNO"/>
    <s v="JOÃO PEDRO"/>
    <s v="SUSPENSÃO"/>
    <d v="2024-01-01T00:00:00"/>
    <x v="0"/>
    <d v="2024-01-02T00:00:00"/>
    <s v="jan/2024"/>
    <s v="JANEIRO "/>
    <x v="1"/>
    <d v="2024-01-03T00:00:00"/>
    <x v="0"/>
    <s v="FALTA SEM JUSTIFICATIVA NOS DIAS 29/12/2023, 31/12/2023 E 01/01/2024."/>
  </r>
  <r>
    <n v="409"/>
    <s v="ANTONIO BRAGA M0TA JUNIOR"/>
    <n v="2770003271"/>
    <x v="1"/>
    <d v="2023-11-17T00:00:00"/>
    <s v="0ANOS, 1MESES"/>
    <n v="0.125"/>
    <x v="0"/>
    <x v="0"/>
    <s v="COLETA DOMICILIAR"/>
    <s v="DIURNO"/>
    <s v="ELISANGELA ROCHA"/>
    <s v="ADVERTENCIA"/>
    <d v="2024-01-01T00:00:00"/>
    <x v="0"/>
    <d v="2024-01-02T00:00:00"/>
    <s v="jan/2024"/>
    <s v="JANEIRO "/>
    <x v="1"/>
    <d v="2024-01-02T00:00:00"/>
    <x v="0"/>
    <s v="FALTA INJUSTIFICADA NO DIA 01/01/2024."/>
  </r>
  <r>
    <n v="410"/>
    <s v="JACKSON NASCIMENTO DA SILVA"/>
    <n v="2770000243"/>
    <x v="0"/>
    <d v="2013-02-08T00:00:00"/>
    <s v="10ANOS, 10MESES"/>
    <n v="11.052777777777777"/>
    <x v="3"/>
    <x v="0"/>
    <s v="COLETA DOMICILIAR"/>
    <s v="DIURNO"/>
    <s v="ANA CAROLINA"/>
    <s v="ADVERTENCIA"/>
    <d v="2024-01-01T00:00:00"/>
    <x v="0"/>
    <d v="2024-01-02T00:00:00"/>
    <s v="jan/2024"/>
    <s v="JANEIRO "/>
    <x v="1"/>
    <d v="2024-01-02T00:00:00"/>
    <x v="0"/>
    <s v="FALTA INSJUTIFICADA EM 01/01/2023."/>
  </r>
  <r>
    <n v="411"/>
    <s v="FELIPE DA COSTA RAMOS"/>
    <n v="2770003039"/>
    <x v="0"/>
    <d v="2022-12-07T00:00:00"/>
    <s v="1ANOS, 0MESES"/>
    <n v="1.0833333333333333"/>
    <x v="2"/>
    <x v="0"/>
    <s v="COLETA DOMICILIAR"/>
    <s v="DIURNO"/>
    <s v="ELISANGELA ROCHA"/>
    <s v="ADVERTENCIA"/>
    <d v="2024-01-01T00:00:00"/>
    <x v="0"/>
    <d v="2024-01-02T00:00:00"/>
    <s v="jan/2024"/>
    <s v="JANEIRO "/>
    <x v="1"/>
    <d v="2024-01-02T00:00:00"/>
    <x v="0"/>
    <s v="O COLABORADOR FALTOU NO DIA 01/01/2024, ALEGANDO UMA NASCIDA NO JOELHO DIREITO, QUE IMPOSSIBILITOU DE VIM TRABALHAR, PORÉM NÃO FOI BUSCAR ATENDIMENTO."/>
  </r>
  <r>
    <n v="412"/>
    <s v="FABIO BRITO DOS SANTOS "/>
    <n v="2770003108"/>
    <x v="1"/>
    <d v="2023-03-16T00:00:00"/>
    <s v="0ANOS, 9MESES"/>
    <n v="0.80833333333333335"/>
    <x v="0"/>
    <x v="0"/>
    <s v="COLETA DOMICILIAR"/>
    <s v="DIURNO"/>
    <s v="ELISANGELA ROCHA"/>
    <s v="ADVERTENCIA"/>
    <d v="2024-01-01T00:00:00"/>
    <x v="0"/>
    <d v="2024-01-02T00:00:00"/>
    <s v="jan/2024"/>
    <s v="JANEIRO "/>
    <x v="1"/>
    <d v="2024-01-02T00:00:00"/>
    <x v="0"/>
    <s v="O COLABORADOR FALTOU NO DIA 01/01/2024."/>
  </r>
  <r>
    <n v="413"/>
    <s v="EZEQUIEL VASCONCELOS MARTINS"/>
    <n v="2770002920"/>
    <x v="0"/>
    <d v="2022-09-01T00:00:00"/>
    <s v="1ANOS, 4MESES"/>
    <n v="1.3527777777777779"/>
    <x v="2"/>
    <x v="0"/>
    <s v="COLETA DOMICILIAR"/>
    <s v="DIURNO"/>
    <s v="ELISANGELA ROCHA"/>
    <s v="ADVERTENCIA"/>
    <d v="2024-01-01T00:00:00"/>
    <x v="0"/>
    <d v="2024-01-02T00:00:00"/>
    <s v="jan/2024"/>
    <s v="JANEIRO "/>
    <x v="1"/>
    <d v="2024-01-02T00:00:00"/>
    <x v="0"/>
    <s v="O COLABORADOR FALTOU NO DIA 01/01/2024, ALEGANDO QUE NÃO TEVE COMO VIM DEVIDO A FALTA DE ÁGUA NA COMUNIDADE CELEBRIDADE 2 DESDE O DIA 28/12/2024."/>
  </r>
  <r>
    <n v="414"/>
    <s v="LINDONEY DA SILVA LIMA"/>
    <n v="2770003085"/>
    <x v="0"/>
    <d v="2023-03-08T00:00:00"/>
    <s v="0ANOS, 9MESES"/>
    <n v="0.8305555555555556"/>
    <x v="0"/>
    <x v="0"/>
    <s v="COLETA DOMICILIAR"/>
    <s v="DIURNO"/>
    <s v="ANA CAROLINA"/>
    <s v="ADVERTENCIA"/>
    <d v="2024-01-01T00:00:00"/>
    <x v="0"/>
    <d v="2024-01-02T00:00:00"/>
    <s v="jan/2024"/>
    <s v="JANEIRO "/>
    <x v="1"/>
    <d v="2024-01-02T00:00:00"/>
    <x v="0"/>
    <s v="FALTA INJUSTIFICADA EM 01/01/2024."/>
  </r>
  <r>
    <n v="415"/>
    <s v="EWERTON ROGERIO RIBEIRO ALVES"/>
    <n v="2770002804"/>
    <x v="0"/>
    <d v="2023-03-17T00:00:00"/>
    <s v="0ANOS, 9MESES"/>
    <n v="0.80555555555555558"/>
    <x v="0"/>
    <x v="0"/>
    <s v="COLETA DOMICILIAR"/>
    <s v="DIURNO"/>
    <s v="ANA CAROLINA"/>
    <s v="ADVERTENCIA"/>
    <d v="2024-01-01T00:00:00"/>
    <x v="0"/>
    <d v="2024-01-02T00:00:00"/>
    <s v="jan/2024"/>
    <s v="JANEIRO "/>
    <x v="1"/>
    <d v="2024-01-02T00:00:00"/>
    <x v="0"/>
    <s v="FALTA INJUSTIFICADA EM 01/01/2024."/>
  </r>
  <r>
    <n v="416"/>
    <s v="PEDRO SERGIO DE SOUZA CHAVES"/>
    <n v="2770002709"/>
    <x v="0"/>
    <d v="2021-11-18T00:00:00"/>
    <s v="2ANOS, 1MESES"/>
    <n v="2.15"/>
    <x v="2"/>
    <x v="0"/>
    <s v="COLETA DOMICILIAR"/>
    <s v="DIURNO"/>
    <s v="ANA CAROLINA"/>
    <s v="ADVERTENCIA"/>
    <d v="2024-01-01T00:00:00"/>
    <x v="0"/>
    <d v="2024-01-02T00:00:00"/>
    <s v="jan/2024"/>
    <s v="JANEIRO "/>
    <x v="1"/>
    <d v="2024-01-02T00:00:00"/>
    <x v="0"/>
    <s v="FALTA INJUSTIFICADA EM 01/01/2024."/>
  </r>
  <r>
    <n v="417"/>
    <s v="EMERSON DO CANTO EVANGELISTA"/>
    <n v="2770003014"/>
    <x v="0"/>
    <d v="2022-12-01T00:00:00"/>
    <s v="1ANOS, 1MESES"/>
    <n v="1.1000000000000001"/>
    <x v="2"/>
    <x v="0"/>
    <s v="COLETA DOMICILIAR"/>
    <s v="DIURNO"/>
    <s v="ANA CAROLINA"/>
    <s v="ADVERTENCIA"/>
    <d v="2024-01-01T00:00:00"/>
    <x v="0"/>
    <d v="2024-01-02T00:00:00"/>
    <s v="jan/2024"/>
    <s v="JANEIRO "/>
    <x v="1"/>
    <d v="2024-01-02T00:00:00"/>
    <x v="0"/>
    <s v="FALTA INJUSTIFICADA EM 01/01/2024."/>
  </r>
  <r>
    <n v="418"/>
    <s v="ADRIANO DAVILA BARROS"/>
    <n v="2770003120"/>
    <x v="0"/>
    <d v="2023-04-06T00:00:00"/>
    <s v="0ANOS, 8MESES"/>
    <n v="0.75"/>
    <x v="0"/>
    <x v="0"/>
    <s v="COLETA DOMICILIAR"/>
    <s v="DIURNO"/>
    <s v="ANA CAROLINA"/>
    <s v="ADVERTENCIA"/>
    <d v="2024-01-01T00:00:00"/>
    <x v="0"/>
    <d v="2024-01-02T00:00:00"/>
    <s v="jan/2024"/>
    <s v="JANEIRO "/>
    <x v="1"/>
    <d v="2024-01-02T00:00:00"/>
    <x v="0"/>
    <s v="FALTA INJUSTIFICADA EM 01/01/2024."/>
  </r>
  <r>
    <n v="419"/>
    <s v="CARLOS ALBERTO PERES DE OLIVEIRA"/>
    <n v="2770003011"/>
    <x v="0"/>
    <d v="2022-12-01T00:00:00"/>
    <s v="1ANOS, 1MESES"/>
    <n v="1.1000000000000001"/>
    <x v="2"/>
    <x v="0"/>
    <s v="COLETA DOMICILIAR"/>
    <s v="DIURNO"/>
    <s v="ANA CAROLINA"/>
    <s v="ADVERTENCIA"/>
    <d v="2024-01-01T00:00:00"/>
    <x v="0"/>
    <d v="2024-01-02T00:00:00"/>
    <s v="jan/2024"/>
    <s v="JANEIRO "/>
    <x v="1"/>
    <d v="2024-01-02T00:00:00"/>
    <x v="0"/>
    <s v="FALTA INJUSTIFICADA EM 01/01/2024."/>
  </r>
  <r>
    <n v="420"/>
    <s v="DANIEL MENES PERES "/>
    <n v="2770002204"/>
    <x v="0"/>
    <d v="2020-02-04T00:00:00"/>
    <s v="3ANOS, 10MESES"/>
    <n v="3.963888888888889"/>
    <x v="1"/>
    <x v="0"/>
    <s v="COLETA DOMICILIAR"/>
    <s v="DIURNO"/>
    <s v="ANA CAROLINA"/>
    <s v="ADVERTENCIA"/>
    <d v="2024-01-01T00:00:00"/>
    <x v="0"/>
    <d v="2024-01-02T00:00:00"/>
    <s v="jan/2024"/>
    <s v="JANEIRO "/>
    <x v="1"/>
    <d v="2024-01-02T00:00:00"/>
    <x v="0"/>
    <s v="FALTA INJUSTIFICADA EM 01/01/2024."/>
  </r>
  <r>
    <n v="421"/>
    <s v="THIAGO MAR DE AS"/>
    <n v="2770002885"/>
    <x v="0"/>
    <d v="2022-06-15T00:00:00"/>
    <s v="1ANOS, 6MESES"/>
    <n v="1.5694444444444444"/>
    <x v="2"/>
    <x v="0"/>
    <s v="COLETA DOMICILIAR"/>
    <s v="DIURNO"/>
    <s v="ELISANGELA ROCHA"/>
    <s v="ADVERTENCIA"/>
    <d v="2024-01-01T00:00:00"/>
    <x v="0"/>
    <d v="2024-01-02T00:00:00"/>
    <s v="jan/2024"/>
    <s v="JANEIRO "/>
    <x v="1"/>
    <d v="2024-01-02T00:00:00"/>
    <x v="0"/>
    <s v="O COLABORADOR FALTOU NO DIA 01/01/24, ALEGANDO QUE NÃO TINHA NINGUÉM PARA FICAR COM O SEU FILHO DE 04 ANOS, POIS SE TRATAVA DO SEU DIA DE FICAR COM ELE."/>
  </r>
  <r>
    <n v="422"/>
    <s v="THIAGO SILVA E SILVA"/>
    <n v="2770003091"/>
    <x v="0"/>
    <d v="2023-03-08T00:00:00"/>
    <s v="0ANOS, 9MESES"/>
    <n v="0.8305555555555556"/>
    <x v="0"/>
    <x v="0"/>
    <s v="COLETA DOMICILIAR"/>
    <s v="DIURNO"/>
    <s v="ELISANGELA ROCHA"/>
    <s v="ADVERTENCIA"/>
    <d v="2024-01-01T00:00:00"/>
    <x v="0"/>
    <d v="2024-01-02T00:00:00"/>
    <s v="jan/2024"/>
    <s v="JANEIRO "/>
    <x v="1"/>
    <d v="2024-01-03T00:00:00"/>
    <x v="0"/>
    <s v="O COLABORADOR FALTOU NO DIA 01/01/2024, INFORMOU QUE NÃO ESTAVA COM CONDIÇÕES DE TRABALHAR POIS ESTAVA AMANHECIDO."/>
  </r>
  <r>
    <n v="423"/>
    <s v="GABRIEL SOUZA DA SILVA"/>
    <n v="2770002994"/>
    <x v="0"/>
    <d v="2022-11-03T00:00:00"/>
    <s v="1ANOS, 1MESES"/>
    <n v="1.1777777777777778"/>
    <x v="2"/>
    <x v="0"/>
    <s v="COLETA DOMICILIAR"/>
    <s v="DIURNO"/>
    <s v="ELISANGELA ROCHA"/>
    <s v="SUSPENSÃO"/>
    <d v="2024-01-01T00:00:00"/>
    <x v="0"/>
    <d v="2024-01-02T00:00:00"/>
    <s v="jan/2024"/>
    <s v="JANEIRO "/>
    <x v="1"/>
    <d v="2024-01-03T00:00:00"/>
    <x v="0"/>
    <s v="O COLABORADOR FALTOU NO DIA 01/01/2024, ALEGANDO MOTIVOS PESSOAIS E POR NÃO ESTAR SE SENTINDO BEM PARA TRABALHAR."/>
  </r>
  <r>
    <n v="424"/>
    <s v="GABRIEL MARTINS RIBEIRO"/>
    <n v="2770003184"/>
    <x v="1"/>
    <d v="2023-07-06T00:00:00"/>
    <s v="0ANOS, 5MESES"/>
    <n v="0.49722222222222223"/>
    <x v="0"/>
    <x v="0"/>
    <s v="COLETA DOMICILIAR"/>
    <s v="DIURNO"/>
    <s v="ANA CAROLINA"/>
    <s v="ADVERTENCIA"/>
    <d v="2024-01-01T00:00:00"/>
    <x v="0"/>
    <d v="2024-01-02T00:00:00"/>
    <s v="jan/2024"/>
    <s v="JANEIRO "/>
    <x v="1"/>
    <d v="2024-01-02T00:00:00"/>
    <x v="0"/>
    <s v="FALTA INJUSTIFICADA EM 01/01/2024."/>
  </r>
  <r>
    <n v="425"/>
    <s v="LUCAS PINHEIRO LOPES"/>
    <n v="2770002873"/>
    <x v="0"/>
    <d v="2022-06-01T00:00:00"/>
    <s v="1ANOS, 7MESES"/>
    <n v="1.6111111111111112"/>
    <x v="2"/>
    <x v="0"/>
    <s v="COLETA DOMICILIAR"/>
    <s v="NOTURNO"/>
    <s v="JOSEANE MIGUEL"/>
    <s v="SUSPENSÃO"/>
    <d v="2024-01-02T00:00:00"/>
    <x v="0"/>
    <d v="2024-01-03T00:00:00"/>
    <s v="jan/2024"/>
    <s v="JANEIRO "/>
    <x v="1"/>
    <d v="2024-01-04T00:00:00"/>
    <x v="0"/>
    <s v="FALTA SEM JUSTIFICATIVA NOS DIAS 01/01/2024 E 02/01/2024."/>
  </r>
  <r>
    <n v="426"/>
    <s v="RAIR BARROSO DA SILVA"/>
    <n v="2770003021"/>
    <x v="0"/>
    <d v="2022-12-01T00:00:00"/>
    <s v="1ANOS, 1MESES"/>
    <n v="1.1083333333333334"/>
    <x v="2"/>
    <x v="0"/>
    <s v="COLETA DOMICILIAR"/>
    <s v="NOTURNO"/>
    <s v="JOÃO PEDRO"/>
    <s v="ADVERTENCIA"/>
    <d v="2024-01-04T00:00:00"/>
    <x v="12"/>
    <d v="2024-01-05T00:00:00"/>
    <s v="jan/2024"/>
    <s v="JANEIRO "/>
    <x v="1"/>
    <d v="2024-01-05T00:00:00"/>
    <x v="0"/>
    <s v="FALTA SEM JUSTIFICATIVA NO DIA 04/01/2024."/>
  </r>
  <r>
    <n v="427"/>
    <s v="ANTONIO RAIMUNDO CAVALCANTE RENOVATO"/>
    <n v="2770003275"/>
    <x v="0"/>
    <d v="2023-11-17T00:00:00"/>
    <s v="0ANOS, 1MESES"/>
    <n v="0.1361111111111111"/>
    <x v="0"/>
    <x v="0"/>
    <s v="COLETA DOMICILIAR"/>
    <s v="DIURNO"/>
    <s v="ANA CAROLINA"/>
    <s v="ADVERTENCIA"/>
    <d v="2024-01-05T00:00:00"/>
    <x v="0"/>
    <d v="2024-01-06T00:00:00"/>
    <s v="jan/2024"/>
    <s v="JANEIRO "/>
    <x v="1"/>
    <d v="2024-01-06T00:00:00"/>
    <x v="0"/>
    <s v="FALTA INJUSTIFICADA NO DIA 05/01/2024, ALEGA QUE ESTAVA VIAJANDO E NÃO CONSEGUIU CHEGAR A TEMPO."/>
  </r>
  <r>
    <n v="428"/>
    <s v="LINDONEY DA SILVA LIMA"/>
    <n v="2770003085"/>
    <x v="0"/>
    <d v="2023-03-08T00:00:00"/>
    <s v="0ANOS, 9MESES"/>
    <n v="0.84722222222222221"/>
    <x v="0"/>
    <x v="0"/>
    <s v="COLETA DOMICILIAR"/>
    <s v="DIURNO"/>
    <s v="ANA CAROLINA"/>
    <s v="SUSPENSÃO"/>
    <d v="2024-01-07T00:00:00"/>
    <x v="0"/>
    <d v="2024-01-08T00:00:00"/>
    <s v="jan/2024"/>
    <s v="JANEIRO "/>
    <x v="1"/>
    <d v="2024-01-09T00:00:00"/>
    <x v="0"/>
    <s v="FALTA INJUSITIFICADA NO DIA 07/01/2024, ALEGANDO QUE PRECISOU FICAR COM O FILHO QUE ESTAVA DOENTE."/>
  </r>
  <r>
    <n v="429"/>
    <s v="EDILSON LUIZ CARVALHO DE SOUZA"/>
    <n v="2770002769"/>
    <x v="0"/>
    <d v="2022-01-17T00:00:00"/>
    <s v="1ANOS, 11MESES"/>
    <n v="2"/>
    <x v="2"/>
    <x v="0"/>
    <s v="COLETA DOMICILIAR"/>
    <s v="NOTURNO"/>
    <s v="JOÃO PEDRO"/>
    <s v="SUSPENSÃO"/>
    <d v="2024-01-07T00:00:00"/>
    <x v="0"/>
    <d v="2024-01-08T00:00:00"/>
    <s v="jan/2024"/>
    <s v="JANEIRO "/>
    <x v="1"/>
    <d v="2024-01-09T00:00:00"/>
    <x v="0"/>
    <s v="FALTA SEM JUSTIFICATIVA EM 07/01/2024."/>
  </r>
  <r>
    <n v="430"/>
    <s v="JANDERSON ALHO PINHEIRO "/>
    <n v="2770003169"/>
    <x v="0"/>
    <d v="2023-06-01T00:00:00"/>
    <s v="0ANOS, 7MESES"/>
    <n v="0.60833333333333328"/>
    <x v="0"/>
    <x v="0"/>
    <s v="COLETA DOMICILIAR"/>
    <s v="NOTURNO"/>
    <s v="JOÃO PEDRO"/>
    <s v="SUSPENSÃO"/>
    <d v="2024-01-06T00:00:00"/>
    <x v="0"/>
    <d v="2024-01-08T00:00:00"/>
    <s v="jan/2024"/>
    <s v="JANEIRO "/>
    <x v="1"/>
    <d v="2024-01-13T00:00:00"/>
    <x v="0"/>
    <s v="FALTA SEM JUSTIFICATIVA EM 06/01/2024."/>
  </r>
  <r>
    <n v="431"/>
    <s v="HERICLES MENDONCA TRINDADE "/>
    <n v="2770002546"/>
    <x v="0"/>
    <d v="2022-06-01T00:00:00"/>
    <s v="1ANOS, 7MESES"/>
    <n v="1.6305555555555555"/>
    <x v="2"/>
    <x v="0"/>
    <s v="COLETA DOMICILIAR"/>
    <s v="NOTURNO"/>
    <s v="JOÃO PEDRO"/>
    <s v="ADVERTENCIA"/>
    <d v="2024-01-09T00:00:00"/>
    <x v="0"/>
    <d v="2024-01-10T00:00:00"/>
    <s v="jan/2024"/>
    <s v="JANEIRO "/>
    <x v="1"/>
    <d v="2024-01-10T00:00:00"/>
    <x v="0"/>
    <s v="FALTA SEM JUSTIFICATIVA EM 09/01/2024."/>
  </r>
  <r>
    <n v="432"/>
    <s v="NAUM DA SILVA CASTRO ALFAIA"/>
    <n v="2770002953"/>
    <x v="0"/>
    <d v="2022-10-03T00:00:00"/>
    <s v="1ANOS, 3MESES"/>
    <n v="1.2833333333333334"/>
    <x v="2"/>
    <x v="0"/>
    <s v="COLETA DOMICILIAR"/>
    <s v="NOTURNO"/>
    <s v="PAULO PORTO"/>
    <s v="SUSPENSÃO"/>
    <d v="2024-01-08T00:00:00"/>
    <x v="0"/>
    <d v="2024-01-11T00:00:00"/>
    <s v="jan/2024"/>
    <s v="JANEIRO "/>
    <x v="1"/>
    <d v="2024-01-16T00:00:00"/>
    <x v="3"/>
    <s v="NO DIA 08/01/2024 NO ROTEIRO 90.3.101 - PRAÇA 14, NA LIXEIRA DO PROSAMIM, SE ENVOLVEU NUMA DISCUSSÃO QUE ACABOU VIRANDO UM CASO DE AGRESSÃO FÍSICA COM O FUNCIONÁRIO LUCAS PEREIRA DA CUNHA (MAT.3146)."/>
  </r>
  <r>
    <n v="433"/>
    <s v="ALEXANDRE ZAGURY SENA"/>
    <n v="2770003133"/>
    <x v="0"/>
    <d v="2023-04-17T00:00:00"/>
    <s v="0ANOS, 8MESES"/>
    <n v="0.74444444444444446"/>
    <x v="0"/>
    <x v="0"/>
    <s v="COLETA DOMICILIAR"/>
    <s v="NOTURNO"/>
    <s v="JOÃO PEDRO"/>
    <s v="ADVERTENCIA"/>
    <d v="2024-01-10T00:00:00"/>
    <x v="0"/>
    <d v="2024-01-11T00:00:00"/>
    <s v="jan/2024"/>
    <s v="JANEIRO "/>
    <x v="1"/>
    <d v="2024-01-11T00:00:00"/>
    <x v="0"/>
    <s v="FALTA SEM JUSTIFICATIVA EM 10/01/2024."/>
  </r>
  <r>
    <n v="434"/>
    <s v="RAYLANDER BATISTA DA SILVA"/>
    <n v="2770003122"/>
    <x v="0"/>
    <d v="2023-04-06T00:00:00"/>
    <s v="0ANOS, 9MESES"/>
    <n v="0.77222222222222225"/>
    <x v="0"/>
    <x v="0"/>
    <s v="COLETA DOMICILIAR"/>
    <s v="DIURNO"/>
    <s v="ELISANGELA ROCHA"/>
    <s v="SUSPENSÃO"/>
    <d v="2024-01-09T00:00:00"/>
    <x v="0"/>
    <d v="2024-01-11T00:00:00"/>
    <s v="jan/2024"/>
    <s v="JANEIRO "/>
    <x v="1"/>
    <d v="2024-01-12T00:00:00"/>
    <x v="0"/>
    <s v="FALTA INJUSTIFICADA NO DIA 09/01/2024, ALEGA QUE ESTAVA COM PROBLEMAS PESSOAIS E PRECISOU IR AO FORUM."/>
  </r>
  <r>
    <n v="435"/>
    <s v="RICHARD ALEXANDER MEJIA ESPINOZA"/>
    <n v="2770002517"/>
    <x v="0"/>
    <d v="2021-05-03T00:00:00"/>
    <s v="2ANOS, 8MESES"/>
    <n v="2.7305555555555556"/>
    <x v="2"/>
    <x v="0"/>
    <s v="COLETA DOMICILIAR"/>
    <s v="NOTURNO"/>
    <s v="JOÃO PEDRO"/>
    <s v="SUSPENSÃO"/>
    <d v="2024-01-11T00:00:00"/>
    <x v="0"/>
    <d v="2024-01-12T00:00:00"/>
    <s v="jan/2024"/>
    <s v="JANEIRO "/>
    <x v="1"/>
    <d v="2024-01-15T00:00:00"/>
    <x v="3"/>
    <s v="NO DIA 11/01/2024, NO ROTEIRO 90.3.163 - CIDADE NOVA, COLABORADOR FOI FLAGRADO JOGANDO LIXO NO IGARAPE, INDO EM DESENCONTRO COM PO-08."/>
  </r>
  <r>
    <n v="436"/>
    <s v="LUCAS PEREIRA DA CUNHA"/>
    <n v="2770003146"/>
    <x v="0"/>
    <d v="2023-05-05T00:00:00"/>
    <s v="0ANOS, 8MESES"/>
    <n v="0.68888888888888888"/>
    <x v="0"/>
    <x v="0"/>
    <s v="COLETA DOMICILIAR"/>
    <s v="NOTURNO"/>
    <s v="PAULO PORTO"/>
    <s v="SUSPENSÃO"/>
    <d v="2024-01-08T00:00:00"/>
    <x v="0"/>
    <d v="2024-01-14T00:00:00"/>
    <s v="jan/2024"/>
    <s v="JANEIRO "/>
    <x v="1"/>
    <d v="2024-01-17T00:00:00"/>
    <x v="3"/>
    <s v="NO DIA 08/01/2024 NO ROTEIRO 90.3.101 - PRAÇA 14, NA LIXEIRA DO PROSAMIM, SE ENVOLVEU NUMA DISCUSSÃO QUE ACABOU VIRANDO UM CASO DE AGRESSÃO FÍSICA COM O FUNCIONÁRIO NAUM CASTRO DE ALFAIA (MAT.2953)."/>
  </r>
  <r>
    <n v="437"/>
    <s v="EMIL SOUSA DE MORAES"/>
    <n v="2770003262"/>
    <x v="1"/>
    <d v="2023-11-03T00:00:00"/>
    <s v="0ANOS, 2MESES"/>
    <n v="0.18611111111111112"/>
    <x v="0"/>
    <x v="0"/>
    <s v="COLETA DOMICILIAR"/>
    <s v="NOTURNO"/>
    <s v="JOÃO PEDRO"/>
    <s v="SUSPENSÃO"/>
    <d v="2024-01-09T00:00:00"/>
    <x v="0"/>
    <d v="2024-01-14T00:00:00"/>
    <s v="jan/2024"/>
    <s v="JANEIRO "/>
    <x v="1"/>
    <d v="2024-01-15T00:00:00"/>
    <x v="0"/>
    <s v="FALTA SEM JUSTIFICATIVA EM 09/01/2024. "/>
  </r>
  <r>
    <n v="438"/>
    <s v="LEONARDO DA SILVA ROCHA"/>
    <n v="2770002963"/>
    <x v="0"/>
    <d v="2022-10-06T00:00:00"/>
    <s v="1ANOS, 3MESES"/>
    <n v="1.2916666666666667"/>
    <x v="2"/>
    <x v="0"/>
    <s v="COLETA DOMICILIAR"/>
    <s v="NOTURNO"/>
    <s v="JOÃO PEDRO"/>
    <s v="SUSPENSÃO"/>
    <d v="2024-01-14T00:00:00"/>
    <x v="0"/>
    <d v="2024-01-15T00:00:00"/>
    <s v="jan/2024"/>
    <s v="JANEIRO "/>
    <x v="1"/>
    <d v="2024-01-18T00:00:00"/>
    <x v="0"/>
    <s v="FALTA SEM JUSTIFICATIVA EM 14/01/2024."/>
  </r>
  <r>
    <n v="439"/>
    <s v="FABIO BRITO DOS SANTOS "/>
    <n v="2770003108"/>
    <x v="0"/>
    <d v="2023-03-16T00:00:00"/>
    <s v="0ANOS, 9MESES"/>
    <n v="0.84722222222222221"/>
    <x v="0"/>
    <x v="0"/>
    <s v="COLETA DOMICILIAR"/>
    <s v="DIURNO"/>
    <s v="ANA CAROLINA"/>
    <s v="SUSPENSÃO"/>
    <d v="2024-01-15T00:00:00"/>
    <x v="0"/>
    <d v="2024-01-16T00:00:00"/>
    <s v="jan/2024"/>
    <s v="JANEIRO "/>
    <x v="1"/>
    <d v="2024-01-17T00:00:00"/>
    <x v="0"/>
    <s v="FALTA INJUSTIFICADA NO DIA 15/01/2024, ALEGA QUE ESTAVA MAL, PORÉM NÃO PROCUROU ATENDIMENTO."/>
  </r>
  <r>
    <n v="440"/>
    <s v="EMERSON DO CANTO EVANGELISTA"/>
    <n v="2770003014"/>
    <x v="1"/>
    <d v="2022-12-01T00:00:00"/>
    <s v="1ANOS, 1MESES"/>
    <n v="1.1416666666666666"/>
    <x v="2"/>
    <x v="0"/>
    <s v="COLETA DOMICILIAR"/>
    <s v="DIURNO"/>
    <s v="ANA CAROLINA"/>
    <s v="SUSPENSÃO"/>
    <d v="2024-01-16T00:00:00"/>
    <x v="0"/>
    <d v="2024-01-16T00:00:00"/>
    <s v="jan/2024"/>
    <s v="JANEIRO "/>
    <x v="1"/>
    <d v="2024-01-18T00:00:00"/>
    <x v="0"/>
    <s v="FALTA INJUSTIFICADA NO DIA 16/01/2024, ALEGA QUE FOI REALIZAR UMA ENTREVISTA DE EMPREGO."/>
  </r>
  <r>
    <n v="441"/>
    <s v="EZEQUIEL VASCONCELOS MARTINS"/>
    <n v="2770002920"/>
    <x v="0"/>
    <d v="2022-09-01T00:00:00"/>
    <s v="1ANOS, 4MESES"/>
    <n v="1.3944444444444444"/>
    <x v="2"/>
    <x v="0"/>
    <s v="COLETA DOMICILIAR"/>
    <s v="DIURNO"/>
    <s v="ANA CAROLINA"/>
    <s v="SUSPENSÃO"/>
    <d v="2024-01-16T00:00:00"/>
    <x v="0"/>
    <d v="2024-01-17T00:00:00"/>
    <s v="jan/2024"/>
    <s v="JANEIRO "/>
    <x v="1"/>
    <d v="2024-01-18T00:00:00"/>
    <x v="0"/>
    <s v="FALTA INJUSTIFICADA NO DIA 16/01/2024, ALEGA QUE PRECISOU FICAR COM O FILHO."/>
  </r>
  <r>
    <n v="442"/>
    <s v="RAIR BARROSO DA SILVA"/>
    <n v="2770003060"/>
    <x v="1"/>
    <d v="2023-01-12T00:00:00"/>
    <s v="0ANOS, 11MESES"/>
    <n v="1.0111111111111111"/>
    <x v="2"/>
    <x v="1"/>
    <s v="COLETA DOMICILIAR"/>
    <s v="NOTURNO"/>
    <s v="JOÃO PEDRO"/>
    <s v="SUSPENSÃO"/>
    <d v="2024-01-11T00:00:00"/>
    <x v="0"/>
    <d v="2024-01-19T00:00:00"/>
    <s v="jan/2024"/>
    <s v="JANEIRO "/>
    <x v="1"/>
    <d v="2024-01-11T00:00:00"/>
    <x v="3"/>
    <s v="NO DIA 11/01/2024 POR VOLTA DE 23:15 HORAS, O SR. RAIRO, PAROU O VEÍCULO COMPACTADOR NA AVENIDA UMBERTO CALDERARO FILHO, NA ALÇA DO VIADUTO DA AV. EFIGENIO SALLES, NO INICIO DE UMA PASSAGEM DE NIVEL EM UMA VIA DE TRANSITO RAPIDO, LOCAL PROIBIDO PARA ESTA FINALIDADE, INFRINGINDO O ART. 182 DO CÓDIGO DE TRANSITO BRASILEIRO E COLOCANDO EM RISCO A INTEGRIDADE FISICA DOS AGENTES DE COLETA E A DE TERCEIROS QUE TRANSITAVAM NA VIA. TAL ATO DE FATOR DE DETERMINANTE E GEROU O ACIDENTE DE UM VEÍCULO TERCEIRO QUE COLIDIU NA TRASEIRA DO COMPACTADOR, ONDE OS OCUPANTES TIVERAM FERIMENTOS LEVES."/>
  </r>
  <r>
    <n v="443"/>
    <s v="LUCAS PINHEIRO LOPES"/>
    <n v="2770002873"/>
    <x v="0"/>
    <d v="2022-06-01T00:00:00"/>
    <s v="1ANOS, 7MESES"/>
    <n v="1.6416666666666666"/>
    <x v="2"/>
    <x v="0"/>
    <s v="COLETA DOMICILIAR"/>
    <s v="NOTURNO"/>
    <s v="JOÃO PEDRO"/>
    <s v="SUSPENSÃO"/>
    <d v="2024-01-13T00:00:00"/>
    <x v="0"/>
    <d v="2024-01-20T00:00:00"/>
    <s v="jan/2024"/>
    <s v="JANEIRO "/>
    <x v="1"/>
    <d v="2024-01-20T00:00:00"/>
    <x v="0"/>
    <s v="FALTA EM 13/01, ALEGOU ESTAR SENTINDO DORES NO PESCOÇO, MAS NÃO CONSEGUIU NENHUM DOCUMENTO MÉDICO."/>
  </r>
  <r>
    <n v="444"/>
    <s v="MARIANO PEREIRA DOS REIS "/>
    <n v="2770003166"/>
    <x v="0"/>
    <d v="2023-06-01T00:00:00"/>
    <s v="0ANOS, 7MESES"/>
    <n v="0.64722222222222225"/>
    <x v="0"/>
    <x v="0"/>
    <s v="COLETA DOMICILIAR"/>
    <s v="DIURNO"/>
    <s v="ANA CAROLINA"/>
    <s v="SUSPENSÃO"/>
    <d v="2024-01-20T00:00:00"/>
    <x v="0"/>
    <d v="2024-01-20T00:00:00"/>
    <s v="jan/2024"/>
    <s v="JANEIRO "/>
    <x v="1"/>
    <d v="2024-01-21T00:00:00"/>
    <x v="2"/>
    <s v="COLABORADOR RECUSOU A ATENDER AO COMANDO PASSADO PELA ANALISTA, REFERENTE AO APOIO SOLICITADO NA ROTA 90.1.165 (CIDADE NOVA - NUCLEOS) DENTRO DO HORÁRIO DE TRABALHO."/>
  </r>
  <r>
    <n v="445"/>
    <s v="MAURICIO DE SOUZA ANDRADE"/>
    <n v="2770002675"/>
    <x v="0"/>
    <d v="2021-10-13T00:00:00"/>
    <s v="2ANOS, 3MESES"/>
    <n v="2.3027777777777776"/>
    <x v="2"/>
    <x v="0"/>
    <s v="COLETA DOMICILIAR"/>
    <s v="DIURNO"/>
    <s v="ANA CAROLINA"/>
    <s v="SUSPENSÃO"/>
    <d v="2024-01-20T00:00:00"/>
    <x v="0"/>
    <d v="2024-01-20T00:00:00"/>
    <s v="jan/2024"/>
    <s v="JANEIRO "/>
    <x v="1"/>
    <d v="2024-01-21T00:00:00"/>
    <x v="2"/>
    <s v="COLABORADOR RECUSOU A ATENDER AO COMANDO PASSADO PELA ANALISTA, REFERENTE AO APOIO SOLICITADO NA ROTA 90.1.165 (CIDADE NOVA - NUCLEOS) DENTRO DO HORÁRIO DE TRABALHO."/>
  </r>
  <r>
    <n v="446"/>
    <s v="RICARDO CARRIL MENDONCA JUNIOR"/>
    <n v="2770003204"/>
    <x v="1"/>
    <d v="2023-08-08T00:00:00"/>
    <s v="0ANOS, 5MESES"/>
    <n v="0.45833333333333331"/>
    <x v="0"/>
    <x v="0"/>
    <s v="COLETA DOMICILIAR"/>
    <s v="DIURNO"/>
    <s v="ANA CAROLINA"/>
    <s v="ADVERTENCIA"/>
    <d v="2024-01-20T00:00:00"/>
    <x v="0"/>
    <d v="2024-01-20T00:00:00"/>
    <s v="jan/2024"/>
    <s v="JANEIRO "/>
    <x v="1"/>
    <d v="2024-01-20T00:00:00"/>
    <x v="0"/>
    <s v="O COLABORADOR FALTOU NO DIA 20/01/24 E NÃO APRESENTOU NENHUMA JUSTIFICATIVA."/>
  </r>
  <r>
    <n v="447"/>
    <s v="DAVID JOSE GONZALEZ MENDEZ"/>
    <n v="2770002442"/>
    <x v="0"/>
    <d v="2021-06-01T00:00:00"/>
    <s v="2ANOS, 7MESES"/>
    <n v="2.6749999999999998"/>
    <x v="2"/>
    <x v="0"/>
    <s v="COLETA DOMICILIAR"/>
    <s v="NOTURNO"/>
    <s v="JOÃO PEDRO"/>
    <s v="ADVERTENCIA"/>
    <d v="2024-01-20T00:00:00"/>
    <x v="0"/>
    <d v="2024-01-20T00:00:00"/>
    <s v="jan/2024"/>
    <s v="JANEIRO "/>
    <x v="1"/>
    <d v="2024-01-23T00:00:00"/>
    <x v="0"/>
    <s v="FALTA EM 20/01/2024, COLABORADOR INFORMOU QUE ESTAVA A CAMINHO DA EMPRESA, PORÉM A SUA MOTO ENTROU EM PANE, E O MESMO NÃO CONSEGUIU CHEGAR NO SEU DESTINO."/>
  </r>
  <r>
    <n v="448"/>
    <s v="EZEQUIEL VASCONCELOS MARTINS"/>
    <n v="2770002920"/>
    <x v="0"/>
    <d v="2022-09-01T00:00:00"/>
    <s v="1ANOS, 4MESES"/>
    <n v="1.4027777777777777"/>
    <x v="2"/>
    <x v="0"/>
    <s v="COLETA DOMICILIAR"/>
    <s v="DIURNO"/>
    <s v="ANA CAROLINA"/>
    <s v="SUSPENSÃO"/>
    <d v="2024-01-19T00:00:00"/>
    <x v="0"/>
    <d v="2024-01-22T00:00:00"/>
    <s v="jan/2024"/>
    <s v="JANEIRO "/>
    <x v="1"/>
    <d v="2024-01-25T00:00:00"/>
    <x v="0"/>
    <s v="FALTA INJUSTIFICADA NO DIA 19/01/2024, APRESENTOU DECLARAÇÃO DE COMPARECECIMENTO FORA DO PRAZO."/>
  </r>
  <r>
    <n v="449"/>
    <s v="ISAIAS ROCHA DE ARAUJO"/>
    <n v="2770003219"/>
    <x v="1"/>
    <d v="2023-08-17T00:00:00"/>
    <s v="0ANOS, 5MESES"/>
    <n v="0.43333333333333335"/>
    <x v="0"/>
    <x v="1"/>
    <s v="COLETA DOMICILIAR"/>
    <s v="NOTURNO"/>
    <s v="JOÃO PEDRO"/>
    <s v="ADVERTENCIA"/>
    <d v="2024-01-20T00:00:00"/>
    <x v="0"/>
    <d v="2024-01-23T00:00:00"/>
    <s v="jan/2024"/>
    <s v="JANEIRO "/>
    <x v="1"/>
    <d v="2024-01-23T00:00:00"/>
    <x v="1"/>
    <s v="COLABORADOR EXCEDEU A VELOCIDADE PERMITIDO DA EMPRESA CHEGANDO A 72 KM/H."/>
  </r>
  <r>
    <n v="450"/>
    <s v="ROSSIFRANK MATOS CARDOSO"/>
    <n v="2770002764"/>
    <x v="0"/>
    <d v="2022-01-17T00:00:00"/>
    <s v="2ANOS, 0MESES"/>
    <n v="2.0388888888888888"/>
    <x v="2"/>
    <x v="0"/>
    <s v="COLETA DOMICILIAR"/>
    <s v="NOTURNO"/>
    <s v="JOÃO PEDRO"/>
    <s v="ADVERTENCIA"/>
    <d v="2024-01-21T00:00:00"/>
    <x v="0"/>
    <d v="2024-01-23T00:00:00"/>
    <s v="jan/2024"/>
    <s v="JANEIRO "/>
    <x v="1"/>
    <d v="2024-01-23T00:00:00"/>
    <x v="0"/>
    <s v="FALTA NO DOMINGO 21/01/2024, COLABORADOR ALEGOU NÃO ESTAR BEM DE SAÚDE, PORÉM NÃO PROCOUROU ATENDIMENTO."/>
  </r>
  <r>
    <n v="451"/>
    <s v="JANDERSON ALHO PINHEIRO "/>
    <n v="2770003169"/>
    <x v="0"/>
    <d v="2023-06-01T00:00:00"/>
    <s v="0ANOS, 7MESES"/>
    <n v="0.65277777777777779"/>
    <x v="0"/>
    <x v="0"/>
    <s v="COLETA DOMICILIAR"/>
    <s v="NOTURNO"/>
    <s v="JOÃO PEDRO"/>
    <s v="SUSPENSÃO"/>
    <d v="2024-01-22T00:00:00"/>
    <x v="0"/>
    <d v="2024-01-23T00:00:00"/>
    <s v="jan/2024"/>
    <s v="JANEIRO "/>
    <x v="1"/>
    <d v="2024-01-30T00:00:00"/>
    <x v="0"/>
    <s v="FALTA EM 22/01/2024, COLABORADOR INFORMOU QUE ESTAVA PARA AUTAZES, PORÉM, HOUVE UM ATRASO NA VOLTA, E QUE O IMPOSSIBILITOU DE CHEGAR EM TEMPO HÁBIL NA EMPRESA."/>
  </r>
  <r>
    <n v="452"/>
    <s v="RAYLANDER BATISTA DA SILVA"/>
    <n v="2770003122"/>
    <x v="0"/>
    <d v="2023-04-06T00:00:00"/>
    <s v="0ANOS, 9MESES"/>
    <n v="0.81111111111111112"/>
    <x v="0"/>
    <x v="0"/>
    <s v="COLETA DOMICILIAR"/>
    <s v="DIURNO"/>
    <s v="ANA CAROLINA"/>
    <s v="SUSPENSÃO"/>
    <d v="2024-01-23T00:00:00"/>
    <x v="0"/>
    <d v="2024-01-24T00:00:00"/>
    <s v="jan/2024"/>
    <s v="JANEIRO "/>
    <x v="1"/>
    <d v="2024-01-27T00:00:00"/>
    <x v="0"/>
    <s v="FALTA INJUSTIFICADA NOS DIAS 20/01/2024, 21/01/2024, 22/01/2024 E 23/01/2024, COLABORADOR INFORMA QUE ESTÁ COM DORES NA COLUNA, PORÉM NÃO CONSEGUIU BUSCAR ATENDIMENTO."/>
  </r>
  <r>
    <n v="453"/>
    <s v="EDINARDO PERES DA SILVA BRITO"/>
    <n v="2770000144"/>
    <x v="0"/>
    <d v="2013-02-08T00:00:00"/>
    <s v="10ANOS, 11MESES"/>
    <n v="11.113888888888889"/>
    <x v="3"/>
    <x v="1"/>
    <s v="COLETA DOMICILIAR"/>
    <s v="DIURNO"/>
    <s v="ANA CAROLINA"/>
    <s v="ADVERTENCIA"/>
    <d v="2024-01-23T00:00:00"/>
    <x v="0"/>
    <d v="2024-01-24T00:00:00"/>
    <s v="jan/2024"/>
    <s v="JANEIRO "/>
    <x v="1"/>
    <d v="2024-01-24T00:00:00"/>
    <x v="1"/>
    <s v="EXCEDEU A VELOCIDADE PERMITIDA PELA EMPRESA CHEGANDO A 75 KM NO DIA 23/01/2024."/>
  </r>
  <r>
    <n v="454"/>
    <s v="LEONARDO DA SILVA ROCHA"/>
    <n v="2770002963"/>
    <x v="0"/>
    <d v="2022-10-06T00:00:00"/>
    <s v="1ANOS, 3MESES"/>
    <n v="1.3222222222222222"/>
    <x v="2"/>
    <x v="0"/>
    <s v="COLETA DOMICILIAR"/>
    <s v="NOTURNO"/>
    <s v="JOÃO PEDRO"/>
    <s v="SUSPENSÃO"/>
    <d v="2024-01-25T00:00:00"/>
    <x v="0"/>
    <d v="2024-01-25T00:00:00"/>
    <s v="jan/2024"/>
    <s v="JANEIRO "/>
    <x v="1"/>
    <d v="2024-01-31T00:00:00"/>
    <x v="0"/>
    <s v="FALTA EM 25/01/2024, COLABORADOR NÃO QUIS INFORMAR O MOTIVO DA FALTA."/>
  </r>
  <r>
    <n v="455"/>
    <s v="JANILSON DE OLIVEIRA SACRAMENTO "/>
    <n v="2770003176"/>
    <x v="0"/>
    <d v="2023-06-16T00:00:00"/>
    <s v="0ANOS, 7MESES"/>
    <n v="0.61944444444444446"/>
    <x v="0"/>
    <x v="0"/>
    <s v="COLETA DOMICILIAR"/>
    <s v="NOTURNO"/>
    <s v="JOSEANE MIGUEL"/>
    <s v="ADVERTENCIA"/>
    <d v="2024-01-25T00:00:00"/>
    <x v="0"/>
    <d v="2024-01-28T00:00:00"/>
    <s v="jan/2024"/>
    <s v="JANEIRO "/>
    <x v="1"/>
    <d v="2024-01-28T00:00:00"/>
    <x v="0"/>
    <s v="FALTA EM 25/01/2024, COLABORADOR FOI PROCURAR ATENDIMENTO, PORÉM NÃO ENTREGOU NENHUMA DOCUMENTAÇÃO."/>
  </r>
  <r>
    <m/>
    <m/>
    <m/>
    <x v="3"/>
    <m/>
    <m/>
    <m/>
    <x v="4"/>
    <x v="11"/>
    <m/>
    <m/>
    <m/>
    <m/>
    <m/>
    <x v="13"/>
    <m/>
    <m/>
    <m/>
    <x v="2"/>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5">
  <r>
    <n v="1"/>
    <s v="AUGUSTO CESAR DA SILVA CORREA"/>
    <x v="0"/>
    <x v="0"/>
    <d v="2022-02-02T00:00:00"/>
    <s v="0ANOS, 10MESES"/>
    <n v="0.92500000000000004"/>
    <x v="0"/>
    <x v="0"/>
    <s v="COLETA DOMICILIAR"/>
    <s v="DIURNO"/>
    <s v="JOSÉ ADELMAR"/>
    <x v="0"/>
    <d v="2023-01-01T00:00:00"/>
    <s v="JANEIRO "/>
    <d v="2023-01-02T00:00:00"/>
    <x v="0"/>
    <s v="JANEIRO "/>
    <x v="0"/>
    <d v="2023-01-02T00:00:00"/>
    <s v="FALTA"/>
    <s v="O COLABORADOR FALTOU O PLANTÃO DO DIA 01/01/2023, SEM JUSTIFICATIVA A SUA CHEFIA IMEDIATA."/>
  </r>
  <r>
    <n v="2"/>
    <s v="JOÃO MARCOS DE SOUZA CASTRO"/>
    <x v="1"/>
    <x v="0"/>
    <d v="2019-10-09T00:00:00"/>
    <s v="3ANOS, 2MESES"/>
    <n v="3.2777777777777777"/>
    <x v="1"/>
    <x v="0"/>
    <s v="COLETA DOMICILIAR"/>
    <s v="DIURNO"/>
    <s v="JOSÉ ADELMAR"/>
    <x v="1"/>
    <d v="2023-01-01T00:00:00"/>
    <s v="JANEIRO "/>
    <d v="2023-01-02T00:00:00"/>
    <x v="0"/>
    <s v="JANEIRO "/>
    <x v="0"/>
    <d v="2023-01-05T00:00:00"/>
    <s v="FALTA"/>
    <s v="O COLABORADOR FALTOU O PLANTÃO DO DIA 01/01/2023, SEM JUSTIFICATIVA A SUA CHEFIA IMEDIATA."/>
  </r>
  <r>
    <n v="3"/>
    <s v="NILTON NASCIMENTO QUADROS"/>
    <x v="2"/>
    <x v="0"/>
    <d v="2019-11-18T00:00:00"/>
    <s v="3ANOS, 1MESES"/>
    <n v="3.1666666666666665"/>
    <x v="1"/>
    <x v="0"/>
    <s v="COLETA DOMICILIAR"/>
    <s v="DIURNO"/>
    <s v="JOSÉ ADELMAR"/>
    <x v="1"/>
    <d v="2023-01-01T00:00:00"/>
    <s v="JANEIRO "/>
    <d v="2023-01-02T00:00:00"/>
    <x v="0"/>
    <s v="JANEIRO "/>
    <x v="0"/>
    <d v="2023-01-03T00:00:00"/>
    <s v="FALTA"/>
    <s v="O COLABORADOR FALTOU O PLANTÃO DO DIA 01/01/2023, SEM JUSTIFICATIVA A SUA CHEFIA IMEDIATA."/>
  </r>
  <r>
    <n v="4"/>
    <s v="ALVARO FILHO DA SILVA SANTOS"/>
    <x v="3"/>
    <x v="0"/>
    <d v="2020-10-05T00:00:00"/>
    <s v="2ANOS, 2MESES"/>
    <n v="2.2722222222222221"/>
    <x v="2"/>
    <x v="0"/>
    <s v="COLETA DOMICILIAR"/>
    <s v="DIURNO"/>
    <s v="JOSÉ ADELMAR"/>
    <x v="1"/>
    <d v="2023-01-01T00:00:00"/>
    <s v="JANEIRO "/>
    <d v="2023-01-02T00:00:00"/>
    <x v="0"/>
    <s v="JANEIRO "/>
    <x v="0"/>
    <d v="2023-01-03T00:00:00"/>
    <s v="FALTA"/>
    <s v="O COLABORADOR FALTOU O PLANTÃO DO DIA 01/01/2023, SEM JUSTIFICATIVA A SUA CHEFIA IMEDIATA."/>
  </r>
  <r>
    <n v="5"/>
    <s v="ALDENILSO RAMOS DE OLIVEIRA"/>
    <x v="4"/>
    <x v="1"/>
    <d v="2022-08-12T00:00:00"/>
    <s v="0ANOS, 4MESES"/>
    <n v="0.39444444444444443"/>
    <x v="0"/>
    <x v="0"/>
    <s v="COLETA DOMICILIAR"/>
    <s v="DIURNO"/>
    <s v="JOSÉ ADELMAR"/>
    <x v="1"/>
    <d v="2023-01-01T00:00:00"/>
    <s v="JANEIRO "/>
    <d v="2023-01-02T00:00:00"/>
    <x v="0"/>
    <s v="JANEIRO "/>
    <x v="0"/>
    <d v="2023-01-05T00:00:00"/>
    <s v="FALTA"/>
    <s v="O COLABORADOR FALTOU O PLANTÃO DO DIA 01/01/2023, SEM JUSTIFICATIVA A SUA CHEFIA IMEDIATA."/>
  </r>
  <r>
    <n v="6"/>
    <s v="SIDNEY LUAN CRUZ RIBEIRO"/>
    <x v="5"/>
    <x v="1"/>
    <d v="2022-09-01T00:00:00"/>
    <s v="0ANOS, 4MESES"/>
    <n v="0.33888888888888891"/>
    <x v="0"/>
    <x v="0"/>
    <s v="COLETA DOMICILIAR"/>
    <s v="DIURNO"/>
    <s v="JOSÉ ADELMAR"/>
    <x v="1"/>
    <d v="2023-01-01T00:00:00"/>
    <s v="JANEIRO "/>
    <d v="2023-01-02T00:00:00"/>
    <x v="0"/>
    <s v="JANEIRO "/>
    <x v="0"/>
    <d v="2023-01-03T00:00:00"/>
    <s v="FALTA"/>
    <s v="O COLABORADOR FALTOU O PLANTÃO DO DIA 01/01/2023, SEM JUSTIFICATIVA A SUA CHEFIA IMEDIATA."/>
  </r>
  <r>
    <n v="7"/>
    <s v="KLEITON CARDOSO DA SILVA"/>
    <x v="6"/>
    <x v="0"/>
    <d v="2022-05-02T00:00:00"/>
    <s v="0ANOS, 7MESES"/>
    <n v="0.67777777777777781"/>
    <x v="0"/>
    <x v="0"/>
    <s v="COLETA DOMICILIAR"/>
    <s v="DIURNO"/>
    <s v="JOSÉ ADELMAR"/>
    <x v="1"/>
    <d v="2023-01-01T00:00:00"/>
    <s v="JANEIRO "/>
    <d v="2023-01-02T00:00:00"/>
    <x v="0"/>
    <s v="JANEIRO "/>
    <x v="0"/>
    <d v="2023-01-07T00:00:00"/>
    <s v="FALTA"/>
    <s v="O COLABORADOR FALTOU O PLANTÃO DO DIA 01/01/2023, SEM JUSTIFICATIVA A SUA CHEFIA IMEDIATA."/>
  </r>
  <r>
    <n v="8"/>
    <s v="MARCOS BATALHA FONSECA"/>
    <x v="7"/>
    <x v="0"/>
    <d v="2022-12-01T00:00:00"/>
    <s v="0ANOS, 1MESES"/>
    <n v="8.611111111111111E-2"/>
    <x v="0"/>
    <x v="0"/>
    <s v="COLETA DOMICILIAR"/>
    <s v="NOTURNO"/>
    <s v="DOUGLAS ALBUQUERQUE"/>
    <x v="0"/>
    <d v="2023-01-01T00:00:00"/>
    <s v="JANEIRO "/>
    <d v="2023-01-02T00:00:00"/>
    <x v="0"/>
    <s v="JANEIRO "/>
    <x v="0"/>
    <d v="2023-01-02T00:00:00"/>
    <s v="FALTA"/>
    <s v="FALTA INJUSTIFICADA EM 01/01/2023."/>
  </r>
  <r>
    <n v="9"/>
    <s v="PEDRO SERGIO DE SOUZA CHAVES"/>
    <x v="8"/>
    <x v="0"/>
    <d v="2021-11-18T00:00:00"/>
    <s v="1ANOS, 1MESES"/>
    <n v="1.1388888888888888"/>
    <x v="2"/>
    <x v="0"/>
    <s v="COLETA DOMICILIAR"/>
    <s v="DIURNO"/>
    <s v="JOSÉ ADELMAR"/>
    <x v="0"/>
    <d v="2023-01-02T00:00:00"/>
    <s v="JANEIRO "/>
    <d v="2023-01-02T00:00:00"/>
    <x v="0"/>
    <s v="JANEIRO "/>
    <x v="0"/>
    <d v="2023-01-02T00:00:00"/>
    <s v="FALTA"/>
    <s v="A COLABORADOR FALTOU NO DIA  02/01/2023, SEM JUSTIFICATIVA A SUA CHEFIA IMEDIATA."/>
  </r>
  <r>
    <n v="10"/>
    <s v="LUIZ FERNANDO MENDES VIANA"/>
    <x v="9"/>
    <x v="1"/>
    <d v="2022-12-07T00:00:00"/>
    <s v="0ANOS, 0MESES"/>
    <n v="6.9444444444444448E-2"/>
    <x v="0"/>
    <x v="0"/>
    <s v="COLETA DOMICILIAR"/>
    <s v="DIURNO"/>
    <s v="JOSÉ ADELMAR"/>
    <x v="0"/>
    <d v="2023-01-01T00:00:00"/>
    <s v="JANEIRO "/>
    <d v="2023-01-02T00:00:00"/>
    <x v="0"/>
    <s v="JANEIRO "/>
    <x v="0"/>
    <d v="2023-01-02T00:00:00"/>
    <s v="FALTA"/>
    <s v="O COLABORADOR FALTOU O PLANTÃO DO DIA 01/01/2023, SEM JUSTIFICATIVA A SUA CHEFIA IMEDIATA."/>
  </r>
  <r>
    <n v="11"/>
    <s v="FABIO DE OLIVEIRA CHUNIA"/>
    <x v="10"/>
    <x v="0"/>
    <d v="2017-12-05T00:00:00"/>
    <s v="5ANOS, 0MESES"/>
    <n v="5.1472222222222221"/>
    <x v="3"/>
    <x v="1"/>
    <s v="COLETA DOMICILIAR"/>
    <s v="DIURNO"/>
    <s v="JOSÉ ADELMAR"/>
    <x v="0"/>
    <d v="2023-01-01T00:00:00"/>
    <s v="JANEIRO "/>
    <d v="2023-01-02T00:00:00"/>
    <x v="0"/>
    <s v="JANEIRO "/>
    <x v="0"/>
    <d v="2023-01-02T00:00:00"/>
    <s v="FALTA"/>
    <s v="O COLABORADOR FALTOU O PLANTÃO DO DIA 01/01/2023, SEM JUSTIFICATIVA A SUA CHEFIA IMEDIATA."/>
  </r>
  <r>
    <n v="12"/>
    <s v="JOSE RAIMUNDO REIS PEREIRA"/>
    <x v="11"/>
    <x v="0"/>
    <d v="2013-02-08T00:00:00"/>
    <s v="9ANOS, 10MESES"/>
    <n v="10.03888888888889"/>
    <x v="3"/>
    <x v="0"/>
    <s v="COLETA DOMICILIAR"/>
    <s v="DIURNO"/>
    <s v="JOSÉ ADELMAR"/>
    <x v="0"/>
    <d v="2023-01-01T00:00:00"/>
    <s v="JANEIRO "/>
    <d v="2023-01-02T00:00:00"/>
    <x v="0"/>
    <s v="JANEIRO "/>
    <x v="0"/>
    <d v="2023-01-02T00:00:00"/>
    <s v="FALTA"/>
    <s v="O COLABORADOR FALTOU O PLANTÃO DO DIA 01/01/2023, SEM JUSTIFICATIVA A SUA CHEFIA IMEDIATA."/>
  </r>
  <r>
    <n v="13"/>
    <s v="ISAQUE FERNANDES DA CRUZ"/>
    <x v="12"/>
    <x v="0"/>
    <d v="2022-05-02T00:00:00"/>
    <s v="0ANOS, 7MESES"/>
    <n v="0.67777777777777781"/>
    <x v="0"/>
    <x v="0"/>
    <s v="COLETA DOMICILIAR"/>
    <s v="DIURNO"/>
    <s v="JOSÉ ADELMAR"/>
    <x v="0"/>
    <d v="2023-01-01T00:00:00"/>
    <s v="JANEIRO "/>
    <d v="2023-01-02T00:00:00"/>
    <x v="0"/>
    <s v="JANEIRO "/>
    <x v="0"/>
    <d v="2023-01-02T00:00:00"/>
    <s v="FALTA"/>
    <s v="O COLABORADOR FALTOU O PLANTÃO DO DIA 01/01/2023, SEM JUSTIFICATIVA A SUA CHEFIA IMEDIATA."/>
  </r>
  <r>
    <n v="14"/>
    <s v="RONALDO GONÇALVES DE LIMA"/>
    <x v="13"/>
    <x v="0"/>
    <d v="2022-12-01T00:00:00"/>
    <s v="0ANOS, 1MESES"/>
    <n v="8.611111111111111E-2"/>
    <x v="0"/>
    <x v="0"/>
    <s v="COLETA DOMICILIAR"/>
    <s v="NOTURNO"/>
    <s v="DOUGLAS ALBUQUERQUE"/>
    <x v="0"/>
    <d v="2023-01-01T00:00:00"/>
    <s v="JANEIRO "/>
    <d v="2023-01-02T00:00:00"/>
    <x v="0"/>
    <s v="JANEIRO "/>
    <x v="0"/>
    <d v="2023-01-02T00:00:00"/>
    <s v="FALTA"/>
    <s v="FALTA INJUSTIFICADA EM 01/01/2023."/>
  </r>
  <r>
    <n v="15"/>
    <s v="JOSINEY CATIQUE VERAS"/>
    <x v="14"/>
    <x v="0"/>
    <d v="2021-08-09T00:00:00"/>
    <s v="1ANOS, 4MESES"/>
    <n v="1.4194444444444445"/>
    <x v="2"/>
    <x v="0"/>
    <s v="COLETA DOMICILIAR"/>
    <s v="NOTURNO"/>
    <s v="JOSÉ ADELMAR"/>
    <x v="1"/>
    <d v="2023-01-02T00:00:00"/>
    <s v="JANEIRO "/>
    <d v="2023-01-03T00:00:00"/>
    <x v="0"/>
    <s v="JANEIRO "/>
    <x v="0"/>
    <d v="2023-01-06T00:00:00"/>
    <s v="FALTA"/>
    <s v="A COLABORADOR FALTOU NO DIA  02/01/2023, SEM JUSTIFICATIVA A SUA CHEFIA IMEDIATA."/>
  </r>
  <r>
    <n v="16"/>
    <s v="EDILSON LUIZ CARVALHO DE OLIVEIRA"/>
    <x v="15"/>
    <x v="0"/>
    <d v="2022-01-17T00:00:00"/>
    <s v="0ANOS, 11MESES"/>
    <n v="0.97222222222222221"/>
    <x v="0"/>
    <x v="0"/>
    <s v="COLETA DOMICILIAR"/>
    <s v="NOTURNO"/>
    <s v="DOUGLAS ALBUQUERQUE"/>
    <x v="0"/>
    <d v="2023-01-02T00:00:00"/>
    <s v="JANEIRO "/>
    <d v="2023-01-03T00:00:00"/>
    <x v="0"/>
    <s v="JANEIRO "/>
    <x v="0"/>
    <d v="2023-01-03T00:00:00"/>
    <s v="FALTA"/>
    <s v="FALTA INJUSTIFICADA EM 02/01/2023."/>
  </r>
  <r>
    <n v="17"/>
    <s v="ITALO NASCIMENTO DE SOUZA"/>
    <x v="16"/>
    <x v="0"/>
    <d v="2022-06-01T00:00:00"/>
    <s v="0ANOS, 7MESES"/>
    <n v="0.59722222222222221"/>
    <x v="0"/>
    <x v="0"/>
    <s v="COLETA DOMICILIAR"/>
    <s v="NOTURNO"/>
    <s v="DOUGLAS ALBUQUERQUE"/>
    <x v="1"/>
    <d v="2023-01-02T00:00:00"/>
    <s v="JANEIRO "/>
    <d v="2023-01-03T00:00:00"/>
    <x v="0"/>
    <s v="JANEIRO "/>
    <x v="0"/>
    <d v="2023-01-04T00:00:00"/>
    <s v="FALTA"/>
    <s v="FALTA INJUSTIFICADA EM 02/01/2023."/>
  </r>
  <r>
    <n v="18"/>
    <s v="ANDERSON FERNANDES DE OLIVEIRA"/>
    <x v="17"/>
    <x v="0"/>
    <d v="2022-05-02T00:00:00"/>
    <s v="0ANOS, 8MESES"/>
    <n v="0.68055555555555558"/>
    <x v="0"/>
    <x v="0"/>
    <s v="COLETA DOMICILIAR"/>
    <s v="NOTURNO"/>
    <s v="DOUGLAS ALBUQUERQUE"/>
    <x v="1"/>
    <d v="2023-01-02T00:00:00"/>
    <s v="JANEIRO "/>
    <d v="2023-01-03T00:00:00"/>
    <x v="0"/>
    <s v="JANEIRO "/>
    <x v="0"/>
    <d v="2023-01-08T00:00:00"/>
    <s v="FALTA"/>
    <s v="FALTA INJUSTIFICADA EM 01/01/2023 E 02/01/2023."/>
  </r>
  <r>
    <n v="19"/>
    <s v="BRENDO FERREIRA DA SILVA"/>
    <x v="18"/>
    <x v="0"/>
    <d v="2022-12-01T00:00:00"/>
    <s v="0ANOS, 1MESES"/>
    <n v="9.166666666666666E-2"/>
    <x v="0"/>
    <x v="0"/>
    <s v="COLETA DOMICILIAR"/>
    <s v="DIURNO"/>
    <s v="JOSÉ ADELMAR"/>
    <x v="0"/>
    <d v="2023-01-03T00:00:00"/>
    <s v="JANEIRO "/>
    <d v="2023-01-03T00:00:00"/>
    <x v="0"/>
    <s v="JANEIRO "/>
    <x v="0"/>
    <d v="2023-01-03T00:00:00"/>
    <s v="FALTA"/>
    <s v="O COLABORADOR FALTOU NO DIA 03/01/2023, SEM JUSTIFICATIVA A SUA CHEFIA IMEDIATA."/>
  </r>
  <r>
    <n v="20"/>
    <s v="ANDRE GILBERTO TAVARES CHAVES"/>
    <x v="19"/>
    <x v="0"/>
    <d v="2017-02-02T00:00:00"/>
    <s v="5ANOS, 11MESES"/>
    <n v="6"/>
    <x v="3"/>
    <x v="1"/>
    <s v="COLETA DOMICILIAR"/>
    <s v="NOTURNO"/>
    <s v="DOUGLAS ALBUQUERQUE"/>
    <x v="0"/>
    <d v="2023-01-02T00:00:00"/>
    <s v="JANEIRO "/>
    <d v="2023-01-04T00:00:00"/>
    <x v="0"/>
    <s v="JANEIRO "/>
    <x v="0"/>
    <d v="2023-01-04T00:00:00"/>
    <s v="EXCESSO DE VELOCIDADE"/>
    <s v="EXCESSO DE VELOCIDADE (78KM/H) CC 695 EM 02/01/2023."/>
  </r>
  <r>
    <n v="21"/>
    <s v="WENDELL FRANCO GIBSON"/>
    <x v="20"/>
    <x v="1"/>
    <d v="2022-11-03T00:00:00"/>
    <s v="0ANOS, 1MESES"/>
    <n v="0.16388888888888889"/>
    <x v="0"/>
    <x v="0"/>
    <s v="COLETA DOMICILIAR"/>
    <s v="NOTURNO"/>
    <s v="DOUGLAS ALBUQUERQUE"/>
    <x v="0"/>
    <d v="2023-01-01T00:00:00"/>
    <s v="JANEIRO "/>
    <d v="2023-01-04T00:00:00"/>
    <x v="0"/>
    <s v="JANEIRO "/>
    <x v="0"/>
    <d v="2023-01-04T00:00:00"/>
    <s v="FALTA"/>
    <s v="FALTA INJUSTIFICADA EM 01/01/2023 – CONTRATO PARCIAL (DOM./SEG./TER.)"/>
  </r>
  <r>
    <n v="22"/>
    <s v="DIEGO DA SILVA MAQUINE"/>
    <x v="21"/>
    <x v="0"/>
    <d v="2022-12-01T00:00:00"/>
    <s v="0ANOS, 1MESES"/>
    <n v="9.166666666666666E-2"/>
    <x v="0"/>
    <x v="0"/>
    <s v="COLETA DOMICILIAR"/>
    <s v="NOTURNO"/>
    <s v="DOUGLAS ALBUQUERQUE"/>
    <x v="1"/>
    <d v="2023-01-03T00:00:00"/>
    <s v="JANEIRO "/>
    <d v="2023-01-04T00:00:00"/>
    <x v="0"/>
    <s v="JANEIRO "/>
    <x v="0"/>
    <d v="2023-01-05T00:00:00"/>
    <s v="FALTA"/>
    <s v="FALTA INJUSTIFICADA EM 02/01/2023 E 03/01/2023."/>
  </r>
  <r>
    <n v="23"/>
    <s v="DANIEL PEREIRA MARQUES"/>
    <x v="22"/>
    <x v="0"/>
    <d v="2021-05-02T00:00:00"/>
    <s v="1ANOS, 8MESES"/>
    <n v="1.7027777777777777"/>
    <x v="2"/>
    <x v="1"/>
    <s v="COLETA DOMICILIAR"/>
    <s v="DIURNO"/>
    <s v="JOSÉ ADELMAR"/>
    <x v="0"/>
    <d v="2023-01-05T00:00:00"/>
    <s v="JANEIRO "/>
    <d v="2023-01-05T00:00:00"/>
    <x v="0"/>
    <s v="JANEIRO "/>
    <x v="0"/>
    <d v="2023-01-05T00:00:00"/>
    <s v="EXCESSO DE VELOCIDADE"/>
    <s v="EXCEDEU A LIMITE DE VELOCIDADE PERMITIDA PELA EMPRESA CHEGANDO E 72 KM."/>
  </r>
  <r>
    <n v="24"/>
    <s v="FRANCINEL DE ALENCAR DA COSTA"/>
    <x v="23"/>
    <x v="0"/>
    <d v="2022-11-09T00:00:00"/>
    <s v="0ANOS, 1MESES"/>
    <n v="0.16111111111111112"/>
    <x v="0"/>
    <x v="0"/>
    <s v="COLETA EM ÁREA DE DIFÍCIL ACESSO II"/>
    <s v="DIURNO"/>
    <s v="LUIZ HENRIQUE"/>
    <x v="0"/>
    <d v="2023-01-06T00:00:00"/>
    <s v="JANEIRO "/>
    <d v="2023-01-06T00:00:00"/>
    <x v="0"/>
    <s v="JANEIRO "/>
    <x v="0"/>
    <d v="2023-01-06T00:00:00"/>
    <s v="INSUBORDINAÇÃO"/>
    <s v="COLABORADOR REGISTROU A FOTO NO INÍCIO DO EXPEDIENTE DE TRABALHO, E NÃO RETORNOU OS CONTATOS DOS FISCAIS NO PERÍODO DA MANHA."/>
  </r>
  <r>
    <n v="25"/>
    <s v="MAURICIO AUGUSTO QUEIROZ DE OLIVEIRA"/>
    <x v="24"/>
    <x v="1"/>
    <d v="2022-12-07T00:00:00"/>
    <s v="0ANOS, 1MESES"/>
    <n v="9.166666666666666E-2"/>
    <x v="0"/>
    <x v="0"/>
    <s v="COLETA DOMICILIAR"/>
    <s v="NOTURNO"/>
    <s v="DOUGLAS ALBUQUERQUE"/>
    <x v="0"/>
    <d v="2023-01-09T00:00:00"/>
    <s v="JANEIRO "/>
    <d v="2023-01-09T00:00:00"/>
    <x v="0"/>
    <s v="JANEIRO "/>
    <x v="0"/>
    <d v="2023-01-09T00:00:00"/>
    <s v="QUEBRA DE PROCEDIMENTO"/>
    <s v="OPERAR ALAVANCA DO CC 729 – ROTA: 90.3.120 (PETRÓPOLIS) SEM EXPERIÊNCIA RESULTANDO EM ABERTURA DA COLETA DO CARRO DO SETOR."/>
  </r>
  <r>
    <n v="26"/>
    <s v="KAIRON CASTRO DOS SANTOS"/>
    <x v="25"/>
    <x v="0"/>
    <d v="2021-07-14T00:00:00"/>
    <s v="1ANOS, 5MESES"/>
    <n v="1.5111111111111111"/>
    <x v="2"/>
    <x v="0"/>
    <s v="COLETA DOMICILIAR"/>
    <s v="NOTURNO"/>
    <s v="DOUGLAS ALBUQUERQUE"/>
    <x v="1"/>
    <d v="2023-01-09T00:00:00"/>
    <s v="JANEIRO "/>
    <d v="2023-01-10T00:00:00"/>
    <x v="0"/>
    <s v="JANEIRO "/>
    <x v="0"/>
    <d v="2023-01-15T00:00:00"/>
    <s v="FALTA"/>
    <s v="FALTA INJUSTIFICADA EM 09/01/2023."/>
  </r>
  <r>
    <n v="27"/>
    <s v="RAILSON GOMES MAIA"/>
    <x v="26"/>
    <x v="0"/>
    <d v="2021-06-04T00:00:00"/>
    <s v="1ANOS, 7MESES"/>
    <n v="1.625"/>
    <x v="2"/>
    <x v="0"/>
    <s v="COLETA DOMICILIAR"/>
    <s v="DIURNO"/>
    <s v="JOSÉ ADELMAR"/>
    <x v="1"/>
    <d v="2023-01-10T00:00:00"/>
    <s v="JANEIRO "/>
    <d v="2023-01-11T00:00:00"/>
    <x v="0"/>
    <s v="JANEIRO "/>
    <x v="0"/>
    <d v="2023-01-12T00:00:00"/>
    <s v="FALTA"/>
    <s v="O COLABORADOR FALTOU NO DIA 10/01/2023, SEM JUSTIFICATIVA A SUA CHEFIA IMEDIATA."/>
  </r>
  <r>
    <n v="28"/>
    <s v="FELIPE DA COSTA RAMOS"/>
    <x v="27"/>
    <x v="1"/>
    <d v="2022-12-07T00:00:00"/>
    <s v="0ANOS, 1MESES"/>
    <n v="0.10833333333333334"/>
    <x v="0"/>
    <x v="0"/>
    <s v="COLETA DOMICILIAR"/>
    <s v="DIURNO"/>
    <s v="JOSÉ ADELMAR"/>
    <x v="0"/>
    <d v="2023-01-15T00:00:00"/>
    <s v="JANEIRO "/>
    <d v="2023-01-16T00:00:00"/>
    <x v="0"/>
    <s v="JANEIRO "/>
    <x v="0"/>
    <d v="2023-01-16T00:00:00"/>
    <s v="FALTA"/>
    <s v="O COLABORADOR FALTOU O PLANTÃO DO DIA 15/01/2023, SEM JUSTIFICATIVA A SUA CHEFIA IMEDIATA."/>
  </r>
  <r>
    <n v="29"/>
    <s v="WENDERSON VIEIRA BARROS"/>
    <x v="28"/>
    <x v="0"/>
    <d v="2018-07-17T00:00:00"/>
    <s v="4ANOS, 6MESES"/>
    <n v="4.572222222222222"/>
    <x v="1"/>
    <x v="2"/>
    <s v="CEU"/>
    <s v="NOTURNO"/>
    <s v="CARLOS EDUARDO"/>
    <x v="0"/>
    <d v="2023-01-18T00:00:00"/>
    <s v="JANEIRO "/>
    <d v="2023-01-18T00:00:00"/>
    <x v="0"/>
    <s v="JANEIRO "/>
    <x v="0"/>
    <d v="2023-01-18T00:00:00"/>
    <s v="ATRASO"/>
    <s v="CHEGAR ATRASADO NO DIA 18/01/2023."/>
  </r>
  <r>
    <n v="30"/>
    <s v="ANDRE LUIZ JESUS DE SOUZA"/>
    <x v="29"/>
    <x v="0"/>
    <d v="2013-02-08T00:00:00"/>
    <s v="9ANOS, 11MESES"/>
    <n v="10.088888888888889"/>
    <x v="3"/>
    <x v="1"/>
    <s v="COLETA DOMICILIAR"/>
    <s v="DIURNO"/>
    <s v="JOSÉ ADELMAR"/>
    <x v="0"/>
    <d v="2023-01-19T00:00:00"/>
    <s v="JANEIRO "/>
    <d v="2023-01-19T00:00:00"/>
    <x v="0"/>
    <s v="JANEIRO "/>
    <x v="0"/>
    <d v="2023-01-19T00:00:00"/>
    <s v="QUEBRA DE PROCEDIMENTO"/>
    <s v="O MOTORISTA ESTAVA DANDO RÉ NO CAMINHÃO COM O COLABORADOR EM CIMA DO ESTRIBO DO CAMINÃO."/>
  </r>
  <r>
    <n v="31"/>
    <s v="WAGNER GOMES DA LUZ"/>
    <x v="30"/>
    <x v="0"/>
    <d v="2021-05-03T00:00:00"/>
    <s v="1ANOS, 8MESES"/>
    <n v="1.7388888888888889"/>
    <x v="2"/>
    <x v="0"/>
    <s v="COLETA DOMICILIAR"/>
    <s v="DIURNO"/>
    <s v="JOSÉ ADELMAR"/>
    <x v="0"/>
    <d v="2023-01-19T00:00:00"/>
    <s v="JANEIRO "/>
    <d v="2023-01-19T00:00:00"/>
    <x v="0"/>
    <s v="JANEIRO "/>
    <x v="0"/>
    <d v="2023-01-19T00:00:00"/>
    <s v="QUEBRA DE PROCEDIMENTO"/>
    <s v="O COLABORADOR ESTAVA EM CIMA DO ESTRIBO NA HORA QUE O CAMINÃO ESTAVA DANDO RÉ."/>
  </r>
  <r>
    <n v="32"/>
    <s v="RODRIGO BARROSO PEREIRA"/>
    <x v="31"/>
    <x v="0"/>
    <d v="2020-06-01T00:00:00"/>
    <s v="2ANOS, 7MESES"/>
    <n v="2.6694444444444443"/>
    <x v="2"/>
    <x v="1"/>
    <s v="COLETA DOMICILIAR"/>
    <s v="DIURNO"/>
    <s v="JOSÉ ADELMAR"/>
    <x v="0"/>
    <d v="2023-01-18T00:00:00"/>
    <s v="JANEIRO "/>
    <d v="2023-01-19T00:00:00"/>
    <x v="0"/>
    <s v="JANEIRO "/>
    <x v="0"/>
    <d v="2023-01-19T00:00:00"/>
    <s v="EXCESSO DE VELOCIDADE"/>
    <s v="EXCESSO DE VELOCIDADE ACIMA DE 70 KM, NO DIA 18/01/23."/>
  </r>
  <r>
    <n v="33"/>
    <s v="FRANCISCO ORLEILSON RODRIGUES ESTEVÃO"/>
    <x v="32"/>
    <x v="0"/>
    <d v="2019-11-18T00:00:00"/>
    <s v="3ANOS, 2MESES"/>
    <n v="3.2166666666666668"/>
    <x v="1"/>
    <x v="1"/>
    <s v="COLETA DOMICILIAR"/>
    <s v="DIURNO"/>
    <s v="JOSÉ ADELMAR"/>
    <x v="0"/>
    <d v="2023-01-19T00:00:00"/>
    <s v="JANEIRO "/>
    <d v="2023-01-19T00:00:00"/>
    <x v="0"/>
    <s v="JANEIRO "/>
    <x v="0"/>
    <d v="2023-01-19T00:00:00"/>
    <s v="EXCESSO DE VELOCIDADE"/>
    <s v="EXCESSO DE VELOCIDADE ACIMA DE 70 KM, NO DIA 19/01/23."/>
  </r>
  <r>
    <n v="34"/>
    <s v="MANUEL MONTEIRO DE OLIVEIRA FILHO"/>
    <x v="33"/>
    <x v="0"/>
    <d v="2013-11-14T00:00:00"/>
    <s v="9ANOS, 2MESES"/>
    <n v="9.3027777777777771"/>
    <x v="3"/>
    <x v="0"/>
    <s v="COLETA DOMICILIAR"/>
    <s v="DIURNO"/>
    <s v="JOSÉ ADELMAR"/>
    <x v="1"/>
    <d v="2023-01-15T00:00:00"/>
    <s v="JANEIRO "/>
    <d v="2023-01-20T00:00:00"/>
    <x v="0"/>
    <s v="JANEIRO "/>
    <x v="0"/>
    <d v="2023-01-21T00:00:00"/>
    <s v="QUEBRA DE PROCEDIMENTO"/>
    <s v="POR NÃO CUMPRIR O PROCEDIMENTO DE RÉ NA DATA DO DIA 15/01/2023, FICANDO EM CIMA DO ESTRIBO ENQUANTO O MOTORISTA ESTAVA DANDO RÉ."/>
  </r>
  <r>
    <n v="35"/>
    <s v="JHON CLEY BARBOSA DA SILVA"/>
    <x v="34"/>
    <x v="0"/>
    <d v="2022-11-03T00:00:00"/>
    <s v="0ANOS, 2MESES"/>
    <n v="0.20277777777777778"/>
    <x v="0"/>
    <x v="0"/>
    <s v="COLETA DOMICILIAR"/>
    <s v="DIURNO"/>
    <s v="JOSÉ ADELMAR"/>
    <x v="1"/>
    <d v="2023-01-15T00:00:00"/>
    <s v="JANEIRO "/>
    <d v="2023-01-20T00:00:00"/>
    <x v="0"/>
    <s v="JANEIRO "/>
    <x v="0"/>
    <d v="2023-01-21T00:00:00"/>
    <s v="QUEBRA DE PROCEDIMENTO"/>
    <s v="POR NÃO CUMPRIR O PROCEDIMENTO DE RÉ NA DATA DO DIA 15/01/2023, FICANDO EM CIMA DO ESTRIBO ENQUANTO O MOTORISTA ESTAVA DANDO RÉ."/>
  </r>
  <r>
    <n v="36"/>
    <s v="JANDERSON SAMPAIO DE AGUIAR"/>
    <x v="35"/>
    <x v="0"/>
    <d v="2020-12-04T00:00:00"/>
    <s v="2ANOS, 1MESES"/>
    <n v="2.1444444444444444"/>
    <x v="2"/>
    <x v="1"/>
    <s v="COLETA DOMICILIAR"/>
    <s v="DIURNO"/>
    <s v="JOSÉ ADELMAR"/>
    <x v="1"/>
    <d v="2023-01-15T00:00:00"/>
    <s v="JANEIRO "/>
    <d v="2023-01-20T00:00:00"/>
    <x v="0"/>
    <s v="JANEIRO "/>
    <x v="0"/>
    <d v="2023-01-21T00:00:00"/>
    <s v="QUEBRA DE PROCEDIMENTO"/>
    <s v="POR NÃO CUMPRIR O PROCEDIMENTO DE RÉ NA DATA DO DIA 15/01/2023, ONDE OS GARÍS ESTAVAM NO ESTRIBO O MESMO ESTAVA EM MANOBRA DE RÉ."/>
  </r>
  <r>
    <n v="37"/>
    <s v="WENDERSON VIEIRA BARROS"/>
    <x v="28"/>
    <x v="0"/>
    <d v="2018-07-17T00:00:00"/>
    <s v="4ANOS, 6MESES"/>
    <n v="4.5777777777777775"/>
    <x v="1"/>
    <x v="3"/>
    <s v="COLETA DOMICILIAR"/>
    <s v="NOTURNO"/>
    <s v="CARLOS EDUARDO"/>
    <x v="1"/>
    <d v="2023-01-20T00:00:00"/>
    <s v="JANEIRO "/>
    <d v="2023-01-20T00:00:00"/>
    <x v="0"/>
    <s v="JANEIRO "/>
    <x v="0"/>
    <d v="2023-01-21T00:00:00"/>
    <s v="INSUBORDINAÇÃO"/>
    <s v="DESCUMPRIR ORDEM DO GESTOR 20/01/2023, FOI SOLICITADO QUE O FUNCIONÁRIO REALIZA-SE MAPEAMENTO DO SETOR SANTA INES NAS RUAS A, B, C, E E AV. Q, ONDE O MESMO SE NEGOU A REALIZAR A TAREFA, APÓS ESSE OCORRIDO FOI ORIENTADO PELA CHEFIA IMEDIATA PARA RETORNAR Á GARAGEM, MAS NOVAMENTE A SOLICITAÇÃO NÃO FOI ATENDIDA."/>
  </r>
  <r>
    <n v="38"/>
    <s v="ANTONIO LUIS RIBEIRO ALEXANDRE"/>
    <x v="36"/>
    <x v="0"/>
    <d v="2022-09-01T00:00:00"/>
    <s v="0ANOS, 4MESES"/>
    <n v="0.3972222222222222"/>
    <x v="0"/>
    <x v="0"/>
    <s v="COLETA DOMICILIAR"/>
    <s v="NOTURNO"/>
    <s v="DOUGLAS ALBUQUERQUE"/>
    <x v="0"/>
    <d v="2023-01-22T00:00:00"/>
    <s v="JANEIRO "/>
    <d v="2023-01-23T00:00:00"/>
    <x v="0"/>
    <s v="JANEIRO "/>
    <x v="0"/>
    <d v="2023-01-23T00:00:00"/>
    <s v="FALTA"/>
    <s v="FALTA INJUSTIFICADA EM 22/01/2023."/>
  </r>
  <r>
    <n v="39"/>
    <s v="HELIO REIS DE FREITAS"/>
    <x v="37"/>
    <x v="0"/>
    <d v="2020-12-01T00:00:00"/>
    <s v="2ANOS, 1MESES"/>
    <n v="2.1694444444444443"/>
    <x v="2"/>
    <x v="0"/>
    <s v="COLETA DOMICILIAR"/>
    <s v="NOTURNO"/>
    <s v="DOUGLAS ALBUQUERQUE"/>
    <x v="0"/>
    <d v="2023-01-21T00:00:00"/>
    <s v="JANEIRO "/>
    <d v="2023-01-23T00:00:00"/>
    <x v="0"/>
    <s v="JANEIRO "/>
    <x v="0"/>
    <d v="2023-01-23T00:00:00"/>
    <s v="FALTA"/>
    <s v="FALTA INJUSTIFICADA EM 21/01/2023."/>
  </r>
  <r>
    <n v="40"/>
    <s v="FRANCINEL DE ALENCAR DA COSTA"/>
    <x v="23"/>
    <x v="0"/>
    <d v="2022-11-09T00:00:00"/>
    <s v="0ANOS, 2MESES"/>
    <n v="0.20833333333333334"/>
    <x v="0"/>
    <x v="0"/>
    <s v="COLETA EM ÁREA DE DIFÍCIL ACESSO II"/>
    <s v="DIURNO"/>
    <s v="JOSÉ ADELMAR"/>
    <x v="1"/>
    <d v="2023-01-23T00:00:00"/>
    <s v="JANEIRO "/>
    <d v="2023-01-23T00:00:00"/>
    <x v="0"/>
    <s v="JANEIRO "/>
    <x v="0"/>
    <d v="2023-01-24T00:00:00"/>
    <s v="FALTA"/>
    <s v="O COLABORADOR FALTOU AO TRABALHO NO DIA 23/01/2023."/>
  </r>
  <r>
    <n v="41"/>
    <s v="MARCOS VINICIUS OLIVEIRA DOS SANTOS"/>
    <x v="38"/>
    <x v="0"/>
    <d v="2022-11-03T00:00:00"/>
    <s v="0ANOS, 2MESES"/>
    <n v="0.22222222222222221"/>
    <x v="0"/>
    <x v="0"/>
    <s v="COLETA DOMICILIAR"/>
    <s v="DIURNO"/>
    <s v="JOSÉ ADELMAR"/>
    <x v="0"/>
    <d v="2023-01-22T00:00:00"/>
    <s v="JANEIRO "/>
    <d v="2023-01-23T00:00:00"/>
    <x v="0"/>
    <s v="JANEIRO "/>
    <x v="0"/>
    <d v="2023-01-22T00:00:00"/>
    <s v="QUEBRA DE PROCEDIMENTO"/>
    <s v="O COLABORADOR DESCUMPRIU O PROCEDIMENTO DE RÉ NO DIA 22/01/2023 ONDE O MESMO NÃO ESTAVA APENAS ORIENTANDO NO PROCEDIMENTO DE RÉ COMO TAMBÉM COLETANDO LIXO AO MESMO TEMPO."/>
  </r>
  <r>
    <n v="42"/>
    <s v="ADSON DO NASCIMENTO SOUZA"/>
    <x v="39"/>
    <x v="1"/>
    <d v="2022-11-03T00:00:00"/>
    <s v="0ANOS, 2MESES"/>
    <n v="0.22222222222222221"/>
    <x v="0"/>
    <x v="0"/>
    <s v="COLETA DOMICILIAR"/>
    <s v="DIURNO"/>
    <s v="JOSÉ ADELMAR"/>
    <x v="0"/>
    <d v="2023-01-22T00:00:00"/>
    <s v="JANEIRO "/>
    <d v="2023-01-23T00:00:00"/>
    <x v="0"/>
    <s v="JANEIRO "/>
    <x v="0"/>
    <d v="2023-01-23T00:00:00"/>
    <s v="QUEBRA DE PROCEDIMENTO"/>
    <s v="O COLABORADOR DESCUMPRIU O PROCEDIMENTO DE RÉ NO DIA 22/01/2023 ONDE O MESMO NÃO ESTAVA APENAS ORIENTANDO NO PROCEDIMENTO DE RÉ COMO TAMBÉM COLETANDO LIXO AO MESMO TEMPO."/>
  </r>
  <r>
    <n v="43"/>
    <s v="VANDERLAN COMES SOUZA"/>
    <x v="40"/>
    <x v="0"/>
    <d v="2021-03-17T00:00:00"/>
    <s v="1ANOS, 10MESES"/>
    <n v="1.8805555555555555"/>
    <x v="2"/>
    <x v="1"/>
    <s v="COLETA DOMICILIAR"/>
    <s v="DIURNO"/>
    <s v="JOSÉ ADELMAR"/>
    <x v="0"/>
    <d v="2023-01-23T00:00:00"/>
    <s v="JANEIRO "/>
    <d v="2023-01-23T00:00:00"/>
    <x v="0"/>
    <s v="JANEIRO "/>
    <x v="0"/>
    <d v="2023-01-23T00:00:00"/>
    <s v="QUEBRA DE PROCEDIMENTO"/>
    <s v="O MOTORISTA DEIXOU DE CUMPRIR O PROCEDIMENTO DE RÉ NO DIA 23/01/2023, AO DAR UMA RÉ NÃO SE ATENTOU PELA ORIENTAÇÃO DO AGENTE QUE ESTAVA ORIENTANDO E VEIO BATER NA MURETA DO JARDIM."/>
  </r>
  <r>
    <n v="44"/>
    <s v="ANDERSON GIBSON FRANCO"/>
    <x v="41"/>
    <x v="0"/>
    <d v="2023-01-12T00:00:00"/>
    <s v="0ANOS, 0MESES"/>
    <n v="2.7777777777777776E-2"/>
    <x v="0"/>
    <x v="1"/>
    <s v="COLETA DOMICILIAR"/>
    <s v="DIURNO"/>
    <s v="JOSÉ ADELMAR"/>
    <x v="0"/>
    <d v="2023-01-22T00:00:00"/>
    <s v="JANEIRO "/>
    <d v="2023-01-23T00:00:00"/>
    <x v="0"/>
    <s v="JANEIRO "/>
    <x v="0"/>
    <d v="2023-04-23T00:00:00"/>
    <s v="QUEBRA DE PROCEDIMENTO"/>
    <s v="O MOTORISTA DEIXOU DE CUMPRIR O PROCEDIMENTO DE RÉ NO DIA 22/01/2023, ONDE NÃO ESTAVA SENDO ORIENTADO APENAS POR 1, ELE ESTAVA SENDO ORIENTADO POR DOIS GARÍS DESVIANDO A ATENÇÃO PARA FOCAR APENAS 1, ASSIM DESCUMPRINDO O PROCEDIMENTO ALÉM DOS GARÍS ESTAREM COLETANDO E ORIENTANDO AO MESMO TEMPO."/>
  </r>
  <r>
    <n v="45"/>
    <s v="ADRIANO ROCHA DE PAULA"/>
    <x v="42"/>
    <x v="0"/>
    <d v="2017-05-14T00:00:00"/>
    <s v="5ANOS, 8MESES"/>
    <n v="5.7777777777777777"/>
    <x v="3"/>
    <x v="0"/>
    <s v="COLETA DOMICILIAR"/>
    <s v="NOTURNO"/>
    <s v="DOUGLAS ALBUQUERQUE"/>
    <x v="1"/>
    <d v="2023-01-23T00:00:00"/>
    <s v="JANEIRO "/>
    <d v="2023-01-24T00:00:00"/>
    <x v="0"/>
    <s v="JANEIRO "/>
    <x v="0"/>
    <d v="2023-01-29T00:00:00"/>
    <s v="FALTA"/>
    <s v="FALTA INJUSTIFICADA EM 23/01/2023."/>
  </r>
  <r>
    <n v="46"/>
    <s v="ELADYO DE SALES RIBEIRO"/>
    <x v="43"/>
    <x v="0"/>
    <d v="2013-02-08T00:00:00"/>
    <s v="9ANOS, 11MESES"/>
    <n v="10.102777777777778"/>
    <x v="3"/>
    <x v="1"/>
    <s v="COLETA DOMICILIAR"/>
    <s v="DIURNO"/>
    <s v="JOSÉ ADELMAR"/>
    <x v="0"/>
    <d v="2023-01-24T00:00:00"/>
    <s v="JANEIRO "/>
    <d v="2023-01-24T00:00:00"/>
    <x v="0"/>
    <s v="JANEIRO "/>
    <x v="0"/>
    <d v="2023-01-24T00:00:00"/>
    <s v="EXCESSO DE VELOCIDADE"/>
    <s v="EXCESSO DE VELOCIDADE ACIMA DE 70 KM, NO DIA 24/01/2023."/>
  </r>
  <r>
    <n v="47"/>
    <s v="FRANCINEL DE ALENCAR DA COSTA"/>
    <x v="23"/>
    <x v="0"/>
    <d v="2022-11-09T00:00:00"/>
    <s v="0ANOS, 2MESES"/>
    <n v="0.21388888888888888"/>
    <x v="0"/>
    <x v="0"/>
    <s v="COLETA EM ÁREA DE DIFÍCIL ACESSO II"/>
    <s v="DIURNO"/>
    <s v="JOSÉ ADELMAR"/>
    <x v="1"/>
    <d v="2023-01-25T00:00:00"/>
    <s v="JANEIRO "/>
    <d v="2023-01-25T00:00:00"/>
    <x v="0"/>
    <s v="JANEIRO "/>
    <x v="0"/>
    <d v="2023-01-28T00:00:00"/>
    <s v="ATRASO"/>
    <s v="O COLABORADOR CHEGOU ATRASADO AO TRABALHO NO DIA 25/01/2023, SEM JUSTIFICAR A SUA CHEFIA IMEDIATA."/>
  </r>
  <r>
    <n v="48"/>
    <s v="FRANCINEL DE ALENCAR DA COSTA"/>
    <x v="23"/>
    <x v="0"/>
    <d v="2022-11-09T00:00:00"/>
    <s v="0ANOS, 2MESES"/>
    <n v="0.22222222222222221"/>
    <x v="0"/>
    <x v="0"/>
    <s v="COLETA EM ÁREA DE DIFÍCIL ACESSO II"/>
    <s v="DIURNO"/>
    <s v="JOSÉ ADELMAR"/>
    <x v="1"/>
    <d v="2023-01-28T00:00:00"/>
    <s v="JANEIRO "/>
    <d v="2023-01-28T00:00:00"/>
    <x v="0"/>
    <s v="JANEIRO "/>
    <x v="0"/>
    <d v="2023-02-02T00:00:00"/>
    <s v="FALTA"/>
    <s v="O COLABORADOR FALTOU NO DIA 28/01/2023, SEM JUSTIFICATIFICAR A SUA CHEFIA IMEDIATA."/>
  </r>
  <r>
    <n v="49"/>
    <s v="DENILSON AFONSO DA SILVA LIMA"/>
    <x v="44"/>
    <x v="0"/>
    <d v="2022-04-14T00:00:00"/>
    <s v="0ANOS, 9MESES"/>
    <n v="0.80555555555555558"/>
    <x v="0"/>
    <x v="0"/>
    <s v="COLETA DOMICILIAR"/>
    <s v="DIURNO"/>
    <s v="JOSÉ ADELMAR"/>
    <x v="1"/>
    <d v="2023-01-29T00:00:00"/>
    <s v="JANEIRO "/>
    <d v="2023-01-30T00:00:00"/>
    <x v="0"/>
    <s v="JANEIRO "/>
    <x v="0"/>
    <d v="2023-02-06T00:00:00"/>
    <s v="FALTA"/>
    <s v="O COLABORADOR FALTOU O PLANTÃO DO DIA 29/01/2023, SEM JUSTIFICAR A SUA CHEFIA IMEDIATA."/>
  </r>
  <r>
    <n v="50"/>
    <s v="CARLOS ALBERTO PERES DE OLIVEIRA"/>
    <x v="45"/>
    <x v="0"/>
    <d v="2022-12-01T00:00:00"/>
    <s v="0ANOS, 1MESES"/>
    <n v="0.16666666666666666"/>
    <x v="0"/>
    <x v="0"/>
    <s v="COLETA DOMICILIAR"/>
    <s v="DIURNO"/>
    <s v="JOSÉ ADELMAR"/>
    <x v="0"/>
    <d v="2023-01-30T00:00:00"/>
    <s v="JANEIRO "/>
    <d v="2023-01-30T00:00:00"/>
    <x v="0"/>
    <s v="JANEIRO "/>
    <x v="0"/>
    <d v="2023-01-30T00:00:00"/>
    <s v="QUEBRA DE PROCEDIMENTO"/>
    <s v="COLABORADOR FOI FLAGRADO NO DIA 30/01/2023 - FAZENDO ARRUMAÇÃO NO ROTEIRO 90.1.127 (PARQUE DAS GARÇAS)."/>
  </r>
  <r>
    <n v="51"/>
    <s v="DANIEL MENES PERES"/>
    <x v="46"/>
    <x v="0"/>
    <d v="2020-02-01T00:00:00"/>
    <s v="2ANOS, 11MESES"/>
    <n v="3.0388888888888888"/>
    <x v="1"/>
    <x v="0"/>
    <s v="COLETA DOMICILIAR"/>
    <s v="DIURNO"/>
    <s v="JOSÉ ADELMAR"/>
    <x v="0"/>
    <d v="2023-01-30T00:00:00"/>
    <s v="JANEIRO "/>
    <d v="2023-01-30T00:00:00"/>
    <x v="0"/>
    <s v="JANEIRO "/>
    <x v="0"/>
    <d v="2023-01-30T00:00:00"/>
    <s v="QUEBRA DE PROCEDIMENTO"/>
    <s v="COLABORADOR FOI FLAGRADO NO DIA 30/01/2023 - FAZENDO ARRUMAÇÃO NO ROTEIRO 90.1.127 (PARQUE DAS GARÇAS)."/>
  </r>
  <r>
    <n v="52"/>
    <s v="FRANCISCO GEOVANE CARVALHO"/>
    <x v="47"/>
    <x v="0"/>
    <d v="2020-12-04T00:00:00"/>
    <s v="2ANOS, 1MESES"/>
    <n v="2.1861111111111109"/>
    <x v="2"/>
    <x v="0"/>
    <s v="COLETA DOMICILIAR"/>
    <s v="DIURNO"/>
    <s v="JOSÉ ADELMAR"/>
    <x v="0"/>
    <d v="2023-01-30T00:00:00"/>
    <s v="JANEIRO "/>
    <d v="2023-01-30T00:00:00"/>
    <x v="0"/>
    <s v="JANEIRO "/>
    <x v="0"/>
    <d v="2023-01-30T00:00:00"/>
    <s v="QUEBRA DE PROCEDIMENTO"/>
    <s v="COLABORADOR FOI FLAGRADO NO DIA 30/01/2023 - FAZENDO ARRUMAÇÃO NO ROTEIRO 90.1.127 (PARQUE DAS GARÇAS)."/>
  </r>
  <r>
    <n v="53"/>
    <s v="IOMAR CASTRO DA COSTA JUNIOR"/>
    <x v="48"/>
    <x v="0"/>
    <d v="2021-02-17T00:00:00"/>
    <s v="1ANOS, 11MESES"/>
    <n v="1.9777777777777779"/>
    <x v="2"/>
    <x v="1"/>
    <s v="COLETA DOMICILIAR"/>
    <s v="DIURNO"/>
    <s v="JOSÉ ADELMAR"/>
    <x v="0"/>
    <d v="2023-01-30T00:00:00"/>
    <s v="JANEIRO "/>
    <d v="2023-01-30T00:00:00"/>
    <x v="0"/>
    <s v="JANEIRO "/>
    <x v="0"/>
    <d v="2023-01-30T00:00:00"/>
    <s v="QUEBRA DE PROCEDIMENTO"/>
    <s v="O COLABORADOR DEIXOU DE CUMPRIR O PROCEDIMENTO E FOI FLAGRADO REALIZANDO ARRUMAÇÃO NO ROTEIRO NA DATA 30/01/2023 - ROTEIRO 90.1.127 (PARQUE DAS GARÇAS)."/>
  </r>
  <r>
    <n v="54"/>
    <s v="DONIELSON PEREIRA DA SILVA"/>
    <x v="49"/>
    <x v="0"/>
    <d v="2020-05-12T00:00:00"/>
    <s v="2ANOS, 8MESES"/>
    <n v="2.7611111111111111"/>
    <x v="2"/>
    <x v="1"/>
    <s v="COLETA DOMICILIAR"/>
    <s v="NOTURNO"/>
    <s v="LUIZ HENRIQUE"/>
    <x v="1"/>
    <d v="2023-01-31T00:00:00"/>
    <s v="JANEIRO "/>
    <d v="2023-01-31T00:00:00"/>
    <x v="0"/>
    <s v="JANEIRO "/>
    <x v="0"/>
    <d v="2023-01-01T00:00:00"/>
    <s v="QUEBRA DE PROCEDIMENTO"/>
    <s v="COLABORADOR NÃO SEGUIU O PROCEDIMENTO AO ENTRAR NA AV. CRUZEIRO ONDE A TRAFEGABILIDADE SE ENCONTRAVA IRREGULAR COM BASTANTE LAMA E BURACOS, PODENDO OCASIONAR UM ACIDENTE."/>
  </r>
  <r>
    <n v="55"/>
    <s v="ANDERSON CASTRO FREITAS"/>
    <x v="50"/>
    <x v="0"/>
    <d v="2023-09-13T00:00:00"/>
    <s v="0ANOS, 1MESES"/>
    <n v="0.1361111111111111"/>
    <x v="0"/>
    <x v="1"/>
    <s v="COLETA DOMICILIAR"/>
    <s v="NOTURNO"/>
    <s v="JOÃO PEDRO"/>
    <x v="0"/>
    <d v="2023-11-01T00:00:00"/>
    <s v="NOVEMBRO"/>
    <d v="2023-02-01T00:00:00"/>
    <x v="1"/>
    <s v="FEVEREIRO"/>
    <x v="0"/>
    <d v="2023-11-02T00:00:00"/>
    <s v="EXCESSO DE VELOCIDADE"/>
    <s v="NO DIA 01/11/2023 AS 00:28 O COLABORADOR EXCEDEU O LIMITE DE VELOCIDADE CHEGANDO À 74 KM/H."/>
  </r>
  <r>
    <n v="56"/>
    <s v="JORDEL FEITOZA E FEITOZA"/>
    <x v="51"/>
    <x v="0"/>
    <d v="2022-12-01T00:00:00"/>
    <s v="0ANOS, 2MESES"/>
    <n v="0.17222222222222222"/>
    <x v="0"/>
    <x v="0"/>
    <s v="COLETA DOMICILIAR"/>
    <s v="NOTURNO"/>
    <s v="CARLOS EDUARDO"/>
    <x v="0"/>
    <d v="2023-02-01T00:00:00"/>
    <s v="FEVEREIRO"/>
    <d v="2023-02-02T00:00:00"/>
    <x v="1"/>
    <s v="FEVEREIRO"/>
    <x v="0"/>
    <d v="2023-02-02T00:00:00"/>
    <s v="FALTA"/>
    <s v="ADVERTÊNCIA POR ESCRITA, FALTA SEM JUSTIFICATIVA. (31/01 A 01/02/2023)."/>
  </r>
  <r>
    <n v="57"/>
    <s v="OSMAR FERREIRA VIEIRA NETO"/>
    <x v="52"/>
    <x v="0"/>
    <d v="2022-09-01T00:00:00"/>
    <s v="0ANOS, 5MESES"/>
    <n v="0.42777777777777776"/>
    <x v="0"/>
    <x v="1"/>
    <s v="COLETA DOMICILIAR"/>
    <s v="NOTURNO"/>
    <s v="CARLOS EDUARDO"/>
    <x v="0"/>
    <d v="2023-02-02T00:00:00"/>
    <s v="FEVEREIRO"/>
    <d v="2023-02-03T00:00:00"/>
    <x v="1"/>
    <s v="FEVEREIRO"/>
    <x v="0"/>
    <d v="2023-02-06T00:00:00"/>
    <s v="EXCESSO DE VELOCIDADE"/>
    <s v="EXCESSO DE VELOCIDADE DO DIA 03/02/2023, NA ÁREA INTERNA DO ATERRO SANITÁRIO."/>
  </r>
  <r>
    <n v="58"/>
    <s v="BRENDA EMYLLIS DE SOUZA XAVIER"/>
    <x v="53"/>
    <x v="0"/>
    <d v="2020-02-04T00:00:00"/>
    <s v="3ANOS, 0MESES"/>
    <n v="3.0444444444444443"/>
    <x v="1"/>
    <x v="4"/>
    <s v="EDUCAÇÃO AMBIENTAL"/>
    <s v="COMERCIAL"/>
    <s v="ELISÂNGELA COSTA"/>
    <x v="0"/>
    <d v="2023-02-04T00:00:00"/>
    <s v="FEVEREIRO"/>
    <d v="2023-02-06T00:00:00"/>
    <x v="1"/>
    <s v="FEVEREIRO"/>
    <x v="0"/>
    <d v="2023-02-06T00:00:00"/>
    <s v="FALTA"/>
    <s v="FALTA NÃO JUSTIFICADA NO DIA 04/02/2023."/>
  </r>
  <r>
    <n v="59"/>
    <s v="KAIRON CASTRO DOS SANTOS"/>
    <x v="25"/>
    <x v="0"/>
    <d v="2021-07-14T00:00:00"/>
    <s v="1ANOS, 6MESES"/>
    <n v="1.5833333333333333"/>
    <x v="2"/>
    <x v="0"/>
    <s v="COLETA DOMICILIAR"/>
    <s v="NOTURNO"/>
    <s v="CARLOS EDUARDO"/>
    <x v="1"/>
    <d v="2023-02-04T00:00:00"/>
    <s v="FEVEREIRO"/>
    <d v="2023-02-06T00:00:00"/>
    <x v="1"/>
    <s v="FEVEREIRO"/>
    <x v="0"/>
    <d v="2023-02-13T00:00:00"/>
    <s v="FALTA"/>
    <s v="FALTOU SÁBADO DIA (04/02/2023), SEM JUSTIFICATIVA."/>
  </r>
  <r>
    <n v="60"/>
    <s v="WALBERSON DE SOUZA"/>
    <x v="54"/>
    <x v="0"/>
    <d v="2022-09-01T00:00:00"/>
    <s v="0ANOS, 5MESES"/>
    <n v="0.43333333333333335"/>
    <x v="0"/>
    <x v="0"/>
    <s v="COLETA DOMICILIAR"/>
    <s v="NOTURNO"/>
    <s v="CARLOS EDUARDO"/>
    <x v="1"/>
    <d v="2023-02-04T00:00:00"/>
    <s v="FEVEREIRO"/>
    <d v="2023-02-06T00:00:00"/>
    <x v="1"/>
    <s v="FEVEREIRO"/>
    <x v="0"/>
    <d v="2023-02-09T00:00:00"/>
    <s v="FALTA"/>
    <s v="FALTOU NO SÁBADO DIA (04/02/2023), SEM JUSTIFICATIVA."/>
  </r>
  <r>
    <n v="61"/>
    <s v="JOSÉ UCHOA DA SILVA"/>
    <x v="55"/>
    <x v="0"/>
    <d v="2013-02-08T00:00:00"/>
    <s v="9ANOS, 11MESES"/>
    <n v="10.125"/>
    <x v="3"/>
    <x v="1"/>
    <s v="COLETA DOMICILIAR"/>
    <s v="NOTURNO"/>
    <s v="CARLOS EDUARDO"/>
    <x v="0"/>
    <d v="2023-02-01T00:00:00"/>
    <s v="FEVEREIRO"/>
    <d v="2023-02-06T00:00:00"/>
    <x v="1"/>
    <s v="FEVEREIRO"/>
    <x v="0"/>
    <d v="2023-02-06T00:00:00"/>
    <s v="EXCESSO DE VELOCIDADE"/>
    <s v="EXCESSO DE VELOCIDADE DO DIA 01/02/2023, NA ÁREA INTERNA DO ATERRO SANITÁRIO."/>
  </r>
  <r>
    <n v="62"/>
    <s v="JOCI CAETANO DE SOUZA"/>
    <x v="56"/>
    <x v="0"/>
    <d v="2022-05-14T00:00:00"/>
    <s v="0ANOS, 8MESES"/>
    <n v="0.73611111111111116"/>
    <x v="0"/>
    <x v="1"/>
    <s v="COLETA DOMICILIAR"/>
    <s v="NOTURNO"/>
    <s v="CARLOS EDUARDO"/>
    <x v="0"/>
    <d v="2023-02-03T00:00:00"/>
    <s v="FEVEREIRO"/>
    <d v="2023-02-06T00:00:00"/>
    <x v="1"/>
    <s v="FEVEREIRO"/>
    <x v="0"/>
    <d v="2023-02-06T00:00:00"/>
    <s v="EXCESSO DE VELOCIDADE"/>
    <s v="EXCESSO DE VELOCIDADE DO DIA 03/02/2023, NA ÁREA INTERNA DO ATERRO SANITÁRIO."/>
  </r>
  <r>
    <n v="63"/>
    <s v="WELISTON GOMES PIMENTEL"/>
    <x v="57"/>
    <x v="0"/>
    <d v="2021-07-01T00:00:00"/>
    <s v="1ANOS, 7MESES"/>
    <n v="1.625"/>
    <x v="2"/>
    <x v="1"/>
    <s v="COLETA DOMICILIAR"/>
    <s v="NOTURNO"/>
    <s v="CARLOS EDUARDO"/>
    <x v="0"/>
    <d v="2023-02-06T00:00:00"/>
    <s v="FEVEREIRO"/>
    <d v="2023-02-06T00:00:00"/>
    <x v="1"/>
    <s v="FEVEREIRO"/>
    <x v="0"/>
    <d v="2023-02-02T00:00:00"/>
    <s v="EXCESSO DE VELOCIDADE"/>
    <s v="EXCESSO DE VELOCIDADE DO DIA 02/02/2023, NA ÁREA INTERNA DO ATERRO SANITÁRIO."/>
  </r>
  <r>
    <n v="64"/>
    <s v="JORDEL FEITOZA E FEITOZA"/>
    <x v="51"/>
    <x v="0"/>
    <d v="2022-12-01T00:00:00"/>
    <s v="0ANOS, 2MESES"/>
    <n v="0.19166666666666668"/>
    <x v="0"/>
    <x v="0"/>
    <s v="COLETA DOMICILIAR"/>
    <s v="NOTURNO"/>
    <s v="CARLOS EDUARDO"/>
    <x v="0"/>
    <d v="2023-02-08T00:00:00"/>
    <s v="FEVEREIRO"/>
    <d v="2023-02-09T00:00:00"/>
    <x v="1"/>
    <s v="FEVEREIRO"/>
    <x v="0"/>
    <d v="2023-02-09T00:00:00"/>
    <s v="FALTA"/>
    <s v="FALTA SEM JUSTIFICATIVA NOS DIAS 08/02/2023."/>
  </r>
  <r>
    <n v="65"/>
    <s v="KAIQUE SANTOS MONTEIRO"/>
    <x v="58"/>
    <x v="0"/>
    <d v="2021-10-18T00:00:00"/>
    <s v="1ANOS, 3MESES"/>
    <n v="1.3444444444444446"/>
    <x v="2"/>
    <x v="1"/>
    <s v="COLETA DOMICILIAR"/>
    <s v="NOTURNO"/>
    <s v="CARLOS EDUARDO"/>
    <x v="0"/>
    <d v="2023-02-14T00:00:00"/>
    <s v="FEVEREIRO"/>
    <d v="2023-02-16T00:00:00"/>
    <x v="1"/>
    <s v="FEVEREIRO"/>
    <x v="0"/>
    <d v="2023-02-16T00:00:00"/>
    <s v="QUEBRA DE PROCEDIMENTO"/>
    <s v="NÃO COMUNICOU O SINISTRO DO DIA 14/02/2023."/>
  </r>
  <r>
    <n v="66"/>
    <s v="ANDRÉ GILBERTO TAVARES CHAVES"/>
    <x v="19"/>
    <x v="0"/>
    <d v="2017-02-02T00:00:00"/>
    <s v="6ANOS, 0MESES"/>
    <n v="6.1305555555555555"/>
    <x v="3"/>
    <x v="1"/>
    <s v="COLETA DOMICILIAR"/>
    <s v="NOTURNO"/>
    <s v="CARLOS EDUARDO"/>
    <x v="0"/>
    <d v="2023-02-18T00:00:00"/>
    <s v="FEVEREIRO"/>
    <d v="2023-02-18T00:00:00"/>
    <x v="1"/>
    <s v="FEVEREIRO"/>
    <x v="0"/>
    <d v="2023-02-18T00:00:00"/>
    <s v="QUEBRA DE PROCEDIMENTO"/>
    <s v="ARRUMAÇÃO NO ROTEIRO DIA 18/02/2023."/>
  </r>
  <r>
    <n v="67"/>
    <s v="JANDERSON PARENTE DA CRUZ"/>
    <x v="59"/>
    <x v="0"/>
    <d v="2022-08-12T00:00:00"/>
    <s v="0ANOS, 6MESES"/>
    <n v="0.53055555555555556"/>
    <x v="0"/>
    <x v="0"/>
    <s v="COLETA DOMICILIAR"/>
    <s v="DIURNO"/>
    <s v="ANA CAROLINA"/>
    <x v="0"/>
    <d v="2023-02-19T00:00:00"/>
    <s v="FEVEREIRO"/>
    <d v="2023-02-20T00:00:00"/>
    <x v="1"/>
    <s v="FEVEREIRO"/>
    <x v="0"/>
    <d v="2023-02-20T00:00:00"/>
    <s v="FALTA"/>
    <s v="FALTA INJUSTIFICADA EM 19/02/2023, COLABORADOR ALEGA ESTAR COM DOR NA BARRIGA."/>
  </r>
  <r>
    <n v="68"/>
    <s v="RAILSON GOMES MAIA"/>
    <x v="26"/>
    <x v="0"/>
    <d v="2021-06-04T00:00:00"/>
    <s v="1ANOS, 8MESES"/>
    <n v="1.7388888888888889"/>
    <x v="2"/>
    <x v="0"/>
    <s v="COLETA DOMICILIAR"/>
    <s v="DIURNO"/>
    <s v="ANA CAROLINA"/>
    <x v="0"/>
    <d v="2023-02-20T00:00:00"/>
    <s v="FEVEREIRO"/>
    <d v="2023-02-20T00:00:00"/>
    <x v="1"/>
    <s v="FEVEREIRO"/>
    <x v="0"/>
    <d v="2023-02-20T00:00:00"/>
    <s v="INSUBORDINAÇÃO"/>
    <s v="COLABORADOR ESTAVA EXECUTANDO AS ATIVIDADES DE COLETA COM USO INDEVIDO DO FARDAMENTO, CALÇAS POR DENTRO DAS MEIAS (MEIAS ATÉ O JOELHO). FOI CONVERSADO COM O AGENTE NO MOMENTO E ELE NÃO JUSTIFICOU O MOTIVO E PERMANECEU CALADO."/>
  </r>
  <r>
    <n v="69"/>
    <s v="EULONIO SALES VIANA"/>
    <x v="60"/>
    <x v="0"/>
    <d v="2021-08-09T00:00:00"/>
    <s v="1ANOS, 6MESES"/>
    <n v="1.5527777777777778"/>
    <x v="2"/>
    <x v="0"/>
    <s v="COLETA DOMICILIAR"/>
    <s v="NOTURNO"/>
    <s v="CARLOS EDUARDO"/>
    <x v="1"/>
    <d v="2023-02-19T00:00:00"/>
    <s v="FEVEREIRO"/>
    <d v="2023-02-20T00:00:00"/>
    <x v="1"/>
    <s v="FEVEREIRO"/>
    <x v="0"/>
    <d v="2023-02-21T00:00:00"/>
    <s v="FALTA"/>
    <s v="FALTA SEM JUSTIFICATIVA NO DIA 19/02/2023 (DOMINGO)"/>
  </r>
  <r>
    <n v="70"/>
    <s v="ALESSANDRO FERREIRA RODRIGUES"/>
    <x v="61"/>
    <x v="0"/>
    <d v="2021-09-01T00:00:00"/>
    <s v="1ANOS, 5MESES"/>
    <n v="1.4888888888888889"/>
    <x v="2"/>
    <x v="0"/>
    <s v="COLETA DOMICILIAR"/>
    <s v="NOTURNO"/>
    <s v="CARLOS EDUARDO"/>
    <x v="1"/>
    <d v="2023-02-19T00:00:00"/>
    <s v="FEVEREIRO"/>
    <d v="2023-02-20T00:00:00"/>
    <x v="1"/>
    <s v="FEVEREIRO"/>
    <x v="0"/>
    <d v="2023-02-21T00:00:00"/>
    <s v="FALTA"/>
    <s v="FALTA SEM JUTIFICATIVA NO DIA 19/02/2023 (DOMINGO)"/>
  </r>
  <r>
    <n v="71"/>
    <s v="JOÃO MARCOS DE SOUZA CASTRO"/>
    <x v="1"/>
    <x v="0"/>
    <d v="2019-10-01T00:00:00"/>
    <s v="3ANOS, 4MESES"/>
    <n v="3.4472222222222224"/>
    <x v="1"/>
    <x v="0"/>
    <s v="COLETA DOMICILIAR"/>
    <s v="DIURNO"/>
    <s v="ANA CAROLINA"/>
    <x v="0"/>
    <d v="2023-02-23T00:00:00"/>
    <s v="FEVEREIRO"/>
    <d v="2023-02-23T00:00:00"/>
    <x v="1"/>
    <s v="FEVEREIRO"/>
    <x v="0"/>
    <d v="2023-02-23T00:00:00"/>
    <s v="ATRASO"/>
    <s v="COLABORADOR CHEGOU ATRASADO NA DATA DE HOJE AS 06:27H, JÉ SENDO SIDP ORIENTADO QUANTO AO HORÁRIO PADRÃO AS 06:00H."/>
  </r>
  <r>
    <n v="72"/>
    <s v="IGOMAR PEREIRA DE SOUZA"/>
    <x v="62"/>
    <x v="0"/>
    <d v="2022-11-03T00:00:00"/>
    <s v="0ANOS, 3MESES"/>
    <n v="0.30833333333333335"/>
    <x v="0"/>
    <x v="0"/>
    <s v="COLETA DOMICILIAR"/>
    <s v="DIURNO"/>
    <s v="CARLOS EDUARDO"/>
    <x v="1"/>
    <d v="2023-02-22T00:00:00"/>
    <s v="FEVEREIRO"/>
    <d v="2023-02-23T00:00:00"/>
    <x v="1"/>
    <s v="FEVEREIRO"/>
    <x v="0"/>
    <d v="2023-02-24T00:00:00"/>
    <s v="FALTA"/>
    <s v="FALTA INJUSTIFICADA NOS DIAS 20/02, 21/02 E 22/02/23, COLABORADOR APRESENTOU ATESTADO FORA DO PRAZO."/>
  </r>
  <r>
    <n v="73"/>
    <s v="WALBERSON DE SOUZA"/>
    <x v="54"/>
    <x v="0"/>
    <d v="2022-09-01T00:00:00"/>
    <s v="0ANOS, 5MESES"/>
    <n v="0.4861111111111111"/>
    <x v="0"/>
    <x v="0"/>
    <s v="COLETA DOMICILIAR"/>
    <s v="NOTURNO"/>
    <s v="CARLOS EDUARDO"/>
    <x v="1"/>
    <d v="2023-02-23T00:00:00"/>
    <s v="FEVEREIRO"/>
    <d v="2023-02-24T00:00:00"/>
    <x v="1"/>
    <s v="FEVEREIRO"/>
    <x v="0"/>
    <d v="2023-02-25T00:00:00"/>
    <s v="FALTA"/>
    <s v="FALTA SEM JUSTIFICATIVA DO DIA 23/02/2023."/>
  </r>
  <r>
    <n v="74"/>
    <s v="RAILSON GOMES MAIA"/>
    <x v="26"/>
    <x v="0"/>
    <d v="2021-06-04T00:00:00"/>
    <s v="1ANOS, 8MESES"/>
    <n v="1.75"/>
    <x v="2"/>
    <x v="0"/>
    <s v="COLETA DOMICILIAR"/>
    <s v="DIURNO"/>
    <s v="ANA CAROLINA"/>
    <x v="1"/>
    <d v="2023-02-24T00:00:00"/>
    <s v="FEVEREIRO"/>
    <d v="2023-02-25T00:00:00"/>
    <x v="1"/>
    <s v="FEVEREIRO"/>
    <x v="0"/>
    <d v="2023-03-02T00:00:00"/>
    <s v="FALTA"/>
    <s v="FALTA INJUSTIFICADA EM 24/02/2023, COLABORADOR APRESENTOU DECLARAÇÃO FORA DO PRAZO."/>
  </r>
  <r>
    <n v="75"/>
    <s v="RANYELLE OLIVEIRA AZIZE"/>
    <x v="63"/>
    <x v="0"/>
    <d v="2023-01-12T00:00:00"/>
    <s v="0ANOS, 1MESES"/>
    <n v="0.10833333333333334"/>
    <x v="0"/>
    <x v="1"/>
    <s v="COLETA DOMICILIAR"/>
    <s v="NOTURNO"/>
    <s v="CARLOS EDUARDO"/>
    <x v="0"/>
    <d v="2023-02-20T00:00:00"/>
    <s v="FEVEREIRO"/>
    <d v="2023-02-25T00:00:00"/>
    <x v="1"/>
    <s v="FEVEREIRO"/>
    <x v="0"/>
    <d v="2023-02-25T00:00:00"/>
    <s v="QUEBRA DE PROCEDIMENTO"/>
    <s v="NÃO COMUNICOU O SINISTRO DO DIA 13/02/2023."/>
  </r>
  <r>
    <n v="76"/>
    <s v="JORDEL FEITOZA E FEITOZA"/>
    <x v="51"/>
    <x v="0"/>
    <d v="2022-12-01T00:00:00"/>
    <s v="0ANOS, 2MESES"/>
    <n v="0.24722222222222223"/>
    <x v="0"/>
    <x v="0"/>
    <s v="COLETA DOMICILIAR"/>
    <s v="NOTURNO"/>
    <s v="CARLOS EDUARDO"/>
    <x v="1"/>
    <d v="2023-02-28T00:00:00"/>
    <s v="FEVEREIRO"/>
    <d v="2023-02-28T00:00:00"/>
    <x v="1"/>
    <s v="FEVEREIRO"/>
    <x v="0"/>
    <d v="2023-03-01T00:00:00"/>
    <s v="FALTA"/>
    <s v="FALTOU AO TRABALHO DIA 27 E 28/02/2023, SEM JUSTIFICATIVA."/>
  </r>
  <r>
    <n v="77"/>
    <s v="MARCELO FERREIRA PONTES"/>
    <x v="64"/>
    <x v="0"/>
    <d v="2022-10-03T00:00:00"/>
    <s v="0ANOS, 4MESES"/>
    <n v="0.41388888888888886"/>
    <x v="0"/>
    <x v="0"/>
    <s v="COLETA DOMICILIAR"/>
    <s v="DIURNO"/>
    <s v="ANA CAROLINA"/>
    <x v="1"/>
    <d v="2023-03-01T00:00:00"/>
    <s v="MARÇO"/>
    <d v="2023-03-02T00:00:00"/>
    <x v="2"/>
    <s v="MARÇO"/>
    <x v="0"/>
    <d v="2023-03-05T00:00:00"/>
    <s v="FALTA"/>
    <s v="FALTA INJUSTIFICADA EM 01/03/2023, COLABORADOR INFORMA QUE ESTÁ COM DORES NO DENTE, PORÉM NÃO BUSCOU ATENDIMENTO."/>
  </r>
  <r>
    <n v="78"/>
    <s v="JANDERSON LOURENCO DA SILVA"/>
    <x v="65"/>
    <x v="0"/>
    <d v="2021-10-13T00:00:00"/>
    <s v="1ANOS, 4MESES"/>
    <n v="1.3972222222222221"/>
    <x v="2"/>
    <x v="1"/>
    <s v="COLETA DOMICILIAR"/>
    <s v="NOTURNO"/>
    <s v="CARLOS EDUARDO"/>
    <x v="0"/>
    <d v="2023-02-28T00:00:00"/>
    <s v="FEVEREIRO"/>
    <d v="2023-03-03T00:00:00"/>
    <x v="2"/>
    <s v="MARÇO"/>
    <x v="0"/>
    <d v="2023-03-03T00:00:00"/>
    <s v="EXCESSO DE VELOCIDADE"/>
    <s v="EXCEDEU A VELOCIDADE DENTRO DO ATERRO NO DIA 28.02.2023/KM 20,24."/>
  </r>
  <r>
    <n v="79"/>
    <s v="JOSÉ UCHOA DA SILVA"/>
    <x v="55"/>
    <x v="0"/>
    <d v="2013-02-08T00:00:00"/>
    <s v="10ANOS, 0MESES"/>
    <n v="10.205555555555556"/>
    <x v="3"/>
    <x v="1"/>
    <s v="COLETA DOMICILIAR"/>
    <s v="NOTURNO"/>
    <s v="CARLOS EDUARDO"/>
    <x v="0"/>
    <d v="2023-03-02T00:00:00"/>
    <s v="MARÇO"/>
    <d v="2023-03-03T00:00:00"/>
    <x v="2"/>
    <s v="MARÇO"/>
    <x v="0"/>
    <d v="2023-03-03T00:00:00"/>
    <s v="EXCESSO DE VELOCIDADE"/>
    <s v="EXCEDEU A VELOCIDADE PERMITIDA DENTRO DO ATERRO NO DIA "/>
  </r>
  <r>
    <n v="80"/>
    <s v="RAIRO TEIXEIRA LEÃO"/>
    <x v="66"/>
    <x v="0"/>
    <d v="2023-01-12T00:00:00"/>
    <s v="0ANOS, 1MESES"/>
    <n v="0.1361111111111111"/>
    <x v="0"/>
    <x v="1"/>
    <s v="COLETA DOMICILIAR"/>
    <s v="NOTURNO"/>
    <s v="CARLOS EDUARDO"/>
    <x v="0"/>
    <d v="2023-03-02T00:00:00"/>
    <s v="MARÇO"/>
    <d v="2023-03-03T00:00:00"/>
    <x v="2"/>
    <s v="MARÇO"/>
    <x v="0"/>
    <d v="2023-03-03T00:00:00"/>
    <s v="EXCESSO DE VELOCIDADE"/>
    <s v="EXCEDEU A VELOCIDADE PERMITIDA DENTRO DO ATERRO NO DIA 02.03.2023 / KM 20,25"/>
  </r>
  <r>
    <n v="81"/>
    <s v="EDILSINHO SILVA DA SILVA"/>
    <x v="67"/>
    <x v="0"/>
    <d v="2021-09-01T00:00:00"/>
    <s v="1ANOS, 6MESES"/>
    <n v="1.5194444444444444"/>
    <x v="2"/>
    <x v="1"/>
    <s v="COLETA DOMICILIAR"/>
    <s v="NOTURNO"/>
    <s v="CARLOS EDUARDO"/>
    <x v="0"/>
    <d v="2023-03-02T00:00:00"/>
    <s v="MARÇO"/>
    <d v="2023-03-03T00:00:00"/>
    <x v="2"/>
    <s v="MARÇO"/>
    <x v="0"/>
    <d v="2023-03-03T00:00:00"/>
    <s v="EXCESSO DE VELOCIDADE"/>
    <s v="EXCEDEU A VELOCIDADE PERMITIDA DENTRO DO ATERRO NO DIA 02.03.2023 / KM 20,25"/>
  </r>
  <r>
    <n v="82"/>
    <s v="ANDRÉ GILBERTO TAVARES CHAVES"/>
    <x v="19"/>
    <x v="0"/>
    <d v="2017-02-02T00:00:00"/>
    <s v="6ANOS, 0MESES"/>
    <n v="6.1583333333333332"/>
    <x v="3"/>
    <x v="1"/>
    <s v="COLETA DOMICILIAR"/>
    <s v="NOTURNO"/>
    <s v="CARLOS EDUARDO"/>
    <x v="0"/>
    <d v="2023-02-28T00:00:00"/>
    <s v="FEVEREIRO"/>
    <d v="2023-03-03T00:00:00"/>
    <x v="2"/>
    <s v="MARÇO"/>
    <x v="0"/>
    <d v="2023-03-03T00:00:00"/>
    <s v="EXCESSO DE VELOCIDADE"/>
    <s v="EXCEDEU A VELOCIDADE DENTRO DO ATERRO NO DIA 28/02/2023 / KM 20,25"/>
  </r>
  <r>
    <n v="83"/>
    <s v="CLODOMIRO SILVEIRA FILHO"/>
    <x v="68"/>
    <x v="0"/>
    <d v="2017-12-05T00:00:00"/>
    <s v="5ANOS, 1MESES"/>
    <n v="5.2361111111111107"/>
    <x v="3"/>
    <x v="1"/>
    <s v="COLETA DOMICILIAR"/>
    <s v="NOTURNO"/>
    <s v="CARLOS EDUARDO"/>
    <x v="0"/>
    <d v="2023-02-02T00:00:00"/>
    <s v="FEVEREIRO"/>
    <d v="2023-03-03T00:00:00"/>
    <x v="2"/>
    <s v="MARÇO"/>
    <x v="0"/>
    <d v="2023-03-03T00:00:00"/>
    <s v="EXCESSO DE VELOCIDADE"/>
    <s v="EXCEDEU A VELOCIDADE DENTRO DO ATERRO NO DIA 28/02/2023 / KM 20, 29"/>
  </r>
  <r>
    <n v="84"/>
    <s v="EUDES DA SILVA PINTO"/>
    <x v="69"/>
    <x v="0"/>
    <d v="2020-06-01T00:00:00"/>
    <s v="2ANOS, 9MESES"/>
    <n v="2.7888888888888888"/>
    <x v="2"/>
    <x v="1"/>
    <s v="COLETA DOMICILIAR"/>
    <s v="NOTURNO"/>
    <s v="CARLOS EDUARDO"/>
    <x v="0"/>
    <d v="2023-03-02T00:00:00"/>
    <s v="MARÇO"/>
    <d v="2023-03-03T00:00:00"/>
    <x v="2"/>
    <s v="MARÇO"/>
    <x v="0"/>
    <d v="2023-03-03T00:00:00"/>
    <s v="EXCESSO DE VELOCIDADE"/>
    <s v="EXCEDEU A VELOCIDADE PERMITIDA DENTRO DO ATERRO NO DIA 02/03/2023 / XKM 20, 37."/>
  </r>
  <r>
    <n v="85"/>
    <s v="EULONIO SALES VIANA"/>
    <x v="60"/>
    <x v="0"/>
    <d v="2021-08-09T00:00:00"/>
    <s v="1ANOS, 6MESES"/>
    <n v="1.5944444444444446"/>
    <x v="2"/>
    <x v="0"/>
    <s v="COLETA DOMICILIAR"/>
    <s v="NOTURNO"/>
    <s v="CARLOS EDUARDO"/>
    <x v="1"/>
    <d v="2023-03-06T00:00:00"/>
    <s v="MARÇO"/>
    <d v="2023-03-06T00:00:00"/>
    <x v="2"/>
    <s v="MARÇO"/>
    <x v="0"/>
    <d v="2023-03-09T00:00:00"/>
    <s v="INSUBORDINAÇÃO"/>
    <s v="SE NEGOU A CONTINUAR O ROTEIRO COM DOIS, POIS O TERCEIRO AGENTE PASSOU MAU DO ESTÔMAGO E FOI BUSCAR ATENDIMENTO."/>
  </r>
  <r>
    <n v="86"/>
    <s v="DIOGO DA SILVA SANTOS"/>
    <x v="70"/>
    <x v="0"/>
    <d v="2021-03-17T00:00:00"/>
    <s v="1ANOS, 11MESES"/>
    <n v="1.9944444444444445"/>
    <x v="2"/>
    <x v="0"/>
    <s v="COLETA DOMICILIAR"/>
    <s v="NOTURNO"/>
    <s v="CARLOS EDUARDO"/>
    <x v="1"/>
    <d v="2023-03-05T00:00:00"/>
    <s v="MARÇO"/>
    <d v="2023-03-06T00:00:00"/>
    <x v="2"/>
    <s v="MARÇO"/>
    <x v="0"/>
    <d v="2023-03-11T00:00:00"/>
    <s v="FALTA"/>
    <s v="FALTA SEM JUSTIFICATIVA NO DIA 05/03/2023 (DOMINGO)"/>
  </r>
  <r>
    <n v="87"/>
    <s v="NAUM DA SILVA CASTRO ALFAIA"/>
    <x v="71"/>
    <x v="0"/>
    <d v="2022-10-03T00:00:00"/>
    <s v="0ANOS, 5MESES"/>
    <n v="0.42499999999999999"/>
    <x v="0"/>
    <x v="0"/>
    <s v="COLETA DOMICILIAR"/>
    <s v="NOTURNO"/>
    <s v="CARLOS EDUARDO"/>
    <x v="0"/>
    <d v="2023-03-05T00:00:00"/>
    <s v="MARÇO"/>
    <d v="2023-03-06T00:00:00"/>
    <x v="2"/>
    <s v="MARÇO"/>
    <x v="0"/>
    <d v="2023-03-06T00:00:00"/>
    <s v="FALTA"/>
    <s v="FALTA SEM JUSTIFICATIVA NO DIA DO PLANTÃO, 05/03/2023 (DOMINGO)"/>
  </r>
  <r>
    <n v="88"/>
    <s v="DANILO CUNHA DOS SANTOS"/>
    <x v="72"/>
    <x v="0"/>
    <d v="2022-03-07T00:00:00"/>
    <s v="0ANOS, 11MESES"/>
    <n v="1.0111111111111111"/>
    <x v="2"/>
    <x v="0"/>
    <s v="COLETA DOMICILIAR"/>
    <s v="DIURNO"/>
    <s v="ANA CAROLINA"/>
    <x v="0"/>
    <d v="2023-03-06T00:00:00"/>
    <s v="MARÇO"/>
    <d v="2023-03-07T00:00:00"/>
    <x v="2"/>
    <s v="MARÇO"/>
    <x v="0"/>
    <d v="2023-03-07T00:00:00"/>
    <s v="FALTA"/>
    <s v="FALTA INJUSTIFICADA EM 06/03/2023, COLABORADOR INFORMA QUE FOI BUSCAR ATENDIMENTO, PORÉM NÃO TEM ATESTADO MÉDICO."/>
  </r>
  <r>
    <n v="89"/>
    <s v="DOUGLAS ALBERTO DA SILVA E SILVA"/>
    <x v="73"/>
    <x v="2"/>
    <d v="2021-08-02T00:00:00"/>
    <s v="1ANOS, 7MESES"/>
    <n v="1.6138888888888889"/>
    <x v="2"/>
    <x v="5"/>
    <s v="EDUCAÇÃO AMBIENTAL"/>
    <s v="DIURNO"/>
    <s v="ELISÂNGELA COSTA"/>
    <x v="0"/>
    <d v="2023-03-06T00:00:00"/>
    <s v="MARÇO"/>
    <d v="2023-03-10T00:00:00"/>
    <x v="2"/>
    <s v="MARÇO"/>
    <x v="0"/>
    <d v="2023-03-06T00:00:00"/>
    <s v="FALTA"/>
    <s v="O APRENDIZ FALTOU NO DIA 06/03/2023 SEM JUSTIFICATIVA NO CURSO DE APRENDIZAGEM/ADCAM."/>
  </r>
  <r>
    <n v="90"/>
    <s v="BRUNO MELO DA GRACA"/>
    <x v="74"/>
    <x v="0"/>
    <d v="2022-09-01T00:00:00"/>
    <s v="0ANOS, 6MESES"/>
    <n v="0.53333333333333333"/>
    <x v="0"/>
    <x v="0"/>
    <s v="COLETA DOMICILIAR"/>
    <s v="DIURNO"/>
    <s v="ANA CAROLINA"/>
    <x v="0"/>
    <d v="2023-03-12T00:00:00"/>
    <s v="MARÇO"/>
    <d v="2023-03-13T00:00:00"/>
    <x v="2"/>
    <s v="MARÇO"/>
    <x v="0"/>
    <d v="2023-03-13T00:00:00"/>
    <s v="FALTA"/>
    <s v="FALTA INJUSTIFICADA EM 12/03/2023, COLABORADOR INFORMA QUE PERDEU O HORÁRIO."/>
  </r>
  <r>
    <n v="91"/>
    <s v="THIAGO MAR DE SÁ"/>
    <x v="75"/>
    <x v="0"/>
    <d v="2022-06-15T00:00:00"/>
    <s v="0ANOS, 8MESES"/>
    <n v="0.75"/>
    <x v="0"/>
    <x v="0"/>
    <s v="COLETA DOMICILIAR"/>
    <s v="DIURNO"/>
    <s v="ANA CAROLINA"/>
    <x v="0"/>
    <d v="2023-03-12T00:00:00"/>
    <s v="MARÇO"/>
    <d v="2023-03-13T00:00:00"/>
    <x v="2"/>
    <s v="MARÇO"/>
    <x v="0"/>
    <d v="2023-03-13T00:00:00"/>
    <s v="FALTA"/>
    <s v="FALTA INJUSTIFICADA EM 12/03/2023, COLABORADOR INFORMA QUE NÃO TINHA QUEM FICASSE COM O FILHO."/>
  </r>
  <r>
    <n v="92"/>
    <s v="BRUNO JEAN OLIVEIRA DA COSTA"/>
    <x v="76"/>
    <x v="0"/>
    <d v="2019-10-04T00:00:00"/>
    <s v="3ANOS, 5MESES"/>
    <n v="3.4805555555555556"/>
    <x v="1"/>
    <x v="1"/>
    <s v="COLETA DOMICILIAR"/>
    <s v="NOTURNO"/>
    <s v="CARLOS EDUARDO"/>
    <x v="0"/>
    <d v="2023-03-10T00:00:00"/>
    <s v="MARÇO"/>
    <d v="2023-03-13T00:00:00"/>
    <x v="2"/>
    <s v="MARÇO"/>
    <x v="0"/>
    <d v="2023-03-13T00:00:00"/>
    <s v="EXCESSO DE VELOCIDADE"/>
    <s v="EXCESSO DE VELOCIDADE 75 KM, CC 705 NO DIA 10/03/2023 AS 00:14 EM VIA PÚBLICA."/>
  </r>
  <r>
    <n v="93"/>
    <s v="MATHEUS DE ARAÚJO NOGUEIRA"/>
    <x v="77"/>
    <x v="2"/>
    <d v="2021-10-04T00:00:00"/>
    <s v="1ANOS, 5MESES"/>
    <n v="1.4777777777777779"/>
    <x v="2"/>
    <x v="5"/>
    <s v="EDUCAÇÃO AMBIENTAL"/>
    <s v="DIURNO"/>
    <s v="ELISÂNGELA COSTA"/>
    <x v="0"/>
    <d v="2023-03-20T00:00:00"/>
    <s v="MARÇO"/>
    <d v="2023-03-17T00:00:00"/>
    <x v="2"/>
    <s v="MARÇO"/>
    <x v="0"/>
    <d v="2023-03-20T00:00:00"/>
    <s v="FALTA"/>
    <s v="FALTA INJUSTIFICADA EM 17/03/2023, COLABORADOR FOI ORIENTADO A BUSCAR ATENDIMENTO MÉDICO, PORÉM NÃO APRESENTOU NENHUMA JUSTIFICATIVA."/>
  </r>
  <r>
    <n v="94"/>
    <s v="ADEILTON GONCALVES DA SILVA"/>
    <x v="78"/>
    <x v="0"/>
    <d v="2021-11-18T00:00:00"/>
    <s v="1ANOS, 4MESES"/>
    <n v="1.3472222222222223"/>
    <x v="2"/>
    <x v="0"/>
    <s v="COLETA DOMICILIAR"/>
    <s v="DIURNO"/>
    <s v="ANA CAROLINA"/>
    <x v="0"/>
    <d v="2023-03-18T00:00:00"/>
    <s v="MARÇO"/>
    <d v="2023-03-20T00:00:00"/>
    <x v="2"/>
    <s v="MARÇO"/>
    <x v="0"/>
    <d v="2023-03-20T00:00:00"/>
    <s v="FALTA"/>
    <s v="FALTA INJUSTIFICADA EM 18/03/2023, COLABORADOR INFORMA QUE FOI AO MÉDICO PORÉM NÃO TEM ATESTADO MÉDICO."/>
  </r>
  <r>
    <n v="95"/>
    <s v="ANTÔNIO LUIS RIBEIRO ALEXANDRE"/>
    <x v="36"/>
    <x v="1"/>
    <d v="2022-09-01T00:00:00"/>
    <s v="0ANOS, 6MESES"/>
    <n v="0.55277777777777781"/>
    <x v="0"/>
    <x v="0"/>
    <s v="COLETA DOMICILIAR"/>
    <s v="NOTURNO"/>
    <s v="CARLOS EDUARDO"/>
    <x v="0"/>
    <d v="2023-03-19T00:00:00"/>
    <s v="MARÇO"/>
    <d v="2023-03-20T00:00:00"/>
    <x v="2"/>
    <s v="MARÇO"/>
    <x v="0"/>
    <d v="2023-03-20T00:00:00"/>
    <s v="ATRASO"/>
    <s v="CHEGOU ATRASADO NO DOMINGO DIA 19/03/2023."/>
  </r>
  <r>
    <n v="96"/>
    <s v="ADRIANO WALBEG DA SILVA PINTO"/>
    <x v="79"/>
    <x v="0"/>
    <d v="2022-06-01T00:00:00"/>
    <s v="0ANOS, 9MESES"/>
    <n v="0.81388888888888888"/>
    <x v="0"/>
    <x v="1"/>
    <s v="COLETA DOMICILIAR"/>
    <s v="NOTURNO"/>
    <s v="CARLOS EDUARDO"/>
    <x v="0"/>
    <d v="2023-03-21T00:00:00"/>
    <s v="MARÇO"/>
    <d v="2023-03-21T00:00:00"/>
    <x v="2"/>
    <s v="MARÇO"/>
    <x v="0"/>
    <d v="2023-03-21T00:00:00"/>
    <s v="EXCESSO DE VELOCIDADE"/>
    <s v="EXCESSO DE VELOCIDADE 75 KM, CC 01 - 702-20, NO DIA 21/03/2023 AS 00:00 HS... EM VIA PÚBLICA."/>
  </r>
  <r>
    <n v="97"/>
    <s v="JUSSARA ROCHA DA SILVA"/>
    <x v="80"/>
    <x v="0"/>
    <d v="2021-12-09T00:00:00"/>
    <s v="1ANOS, 3MESES"/>
    <n v="1.288888888888889"/>
    <x v="2"/>
    <x v="4"/>
    <s v="EDUCAÇÃO AMBIENTAL"/>
    <s v="DIURNO"/>
    <s v="ELISÂNGELA COSTA"/>
    <x v="0"/>
    <d v="2023-03-18T00:00:00"/>
    <s v="MARÇO"/>
    <d v="2023-03-22T00:00:00"/>
    <x v="2"/>
    <s v="MARÇO"/>
    <x v="0"/>
    <d v="2023-03-22T00:00:00"/>
    <s v="FALTA"/>
    <s v="FALTA NÃO JUSTIFICADA NO DIA 18/03/2023, INFORMOU QUE FOI BUSCAR ATENDIMENTO, PORÉM NÃO APRESENTOU NENHUM DOCUMENTO."/>
  </r>
  <r>
    <n v="98"/>
    <s v="EUDES DA SILVA PINTO"/>
    <x v="69"/>
    <x v="0"/>
    <d v="2020-06-01T00:00:00"/>
    <s v="2ANOS, 9MESES"/>
    <n v="2.8472222222222223"/>
    <x v="2"/>
    <x v="1"/>
    <s v="COLETA DOMICILIAR"/>
    <s v="NOTURNO"/>
    <s v="CARLOS EDUARDO"/>
    <x v="0"/>
    <d v="2023-03-23T00:00:00"/>
    <s v="MARÇO"/>
    <d v="2023-03-23T00:00:00"/>
    <x v="2"/>
    <s v="MARÇO"/>
    <x v="0"/>
    <d v="2023-03-23T00:00:00"/>
    <s v="EXCESSO DE VELOCIDADE"/>
    <s v="EXCESSO DE VELOCIDADE 74 KM, CC 01-697-20, NO DIA 23/03/2023 AS 00.00.07 HS... EM VIA PÚBLICA."/>
  </r>
  <r>
    <n v="99"/>
    <s v="DAVI SOUSA DA COSTA"/>
    <x v="81"/>
    <x v="0"/>
    <d v="2022-06-15T00:00:00"/>
    <s v="0ANOS, 9MESES"/>
    <n v="0.78333333333333333"/>
    <x v="0"/>
    <x v="0"/>
    <s v="COLETA DOMICILIAR"/>
    <s v="DIURNO"/>
    <s v="JOÃO PEDRO"/>
    <x v="0"/>
    <d v="2023-03-24T00:00:00"/>
    <s v="MARÇO"/>
    <d v="2023-03-24T00:00:00"/>
    <x v="2"/>
    <s v="MARÇO"/>
    <x v="0"/>
    <d v="2023-03-24T00:00:00"/>
    <s v="QUEBRA DE PROCEDIMENTO"/>
    <s v="COLABORADOR VEM UTILIZANDO O EPI IRREGULAR, FAZ USO DO BONÉ DESCARACTERIZADO FORA DOS PADRÕES DA EMPRESA."/>
  </r>
  <r>
    <n v="100"/>
    <s v="RAILSON GOMES MAIA"/>
    <x v="26"/>
    <x v="0"/>
    <d v="2021-06-04T00:00:00"/>
    <s v="1ANOS, 9MESES"/>
    <n v="1.8333333333333333"/>
    <x v="2"/>
    <x v="0"/>
    <s v="COLETA DOMICILIAR"/>
    <s v="DIURNO"/>
    <s v="JOÃO PEDRO"/>
    <x v="0"/>
    <d v="2023-03-26T00:00:00"/>
    <s v="MARÇO"/>
    <d v="2023-03-25T00:00:00"/>
    <x v="2"/>
    <s v="MARÇO"/>
    <x v="0"/>
    <d v="2023-03-26T00:00:00"/>
    <s v="QUEBRA DE PROCEDIMENTO"/>
    <s v="COLABORADOR VEM SE RECUSANDO A UTILIZAR OS EPI´S (BONE E MANGAS DA BLUSA) DE FORMA ADEQUADA NA EXECUÇÃO DE SUAS ATIVIDADES, ABORDAGEM FEITA PELO FISCAL E AINDA ASSIM HOUVE A RECUSA POR PARTE DO COLABORADOR."/>
  </r>
  <r>
    <n v="101"/>
    <s v="IOMAR CASTRO DA COSTA JUNIOR"/>
    <x v="48"/>
    <x v="0"/>
    <d v="2021-02-17T00:00:00"/>
    <s v="2ANOS, 1MESES"/>
    <n v="2.1222222222222222"/>
    <x v="2"/>
    <x v="1"/>
    <s v="COLETA DOMICILIAR"/>
    <s v="DIURNO"/>
    <s v="ANA CAROLINA"/>
    <x v="0"/>
    <d v="2023-03-23T00:00:00"/>
    <s v="MARÇO"/>
    <d v="2023-03-25T00:00:00"/>
    <x v="2"/>
    <s v="MARÇO"/>
    <x v="0"/>
    <d v="2023-03-25T00:00:00"/>
    <s v="EXCESSO DE VELOCIDADE"/>
    <s v="COLABORADOR EXCEDEU O LIMITE DE VELOCIDADE PERMITIDO PELA EMPRESA, CHEGANDO A 85 KM NO DIA 23/03 AS 12:45H."/>
  </r>
  <r>
    <n v="102"/>
    <s v="RODRIGO ALMEIDA LOPES"/>
    <x v="82"/>
    <x v="0"/>
    <d v="2021-03-13T00:00:00"/>
    <s v="2ANOS, 0MESES"/>
    <n v="2.0555555555555554"/>
    <x v="2"/>
    <x v="1"/>
    <s v="COLETA DOMICILIAR"/>
    <s v="DIURNO"/>
    <s v="JOÃO PEDRO"/>
    <x v="0"/>
    <d v="2023-03-23T00:00:00"/>
    <s v="MARÇO"/>
    <d v="2023-03-25T00:00:00"/>
    <x v="2"/>
    <s v="MARÇO"/>
    <x v="0"/>
    <d v="2023-03-25T00:00:00"/>
    <s v="EXCESSO DE VELOCIDADE"/>
    <s v="COLABORADOR EXCEDEU O LIMITE DE VELOCIDADE PERMITIDO PELA EMPRESA, CHEGANDO A 72 KM NO DIA 23/03 AS 16:54H."/>
  </r>
  <r>
    <n v="103"/>
    <s v="BRUNO JEAN OLIVEIRA DA COSTA"/>
    <x v="76"/>
    <x v="0"/>
    <d v="2019-10-04T00:00:00"/>
    <s v="3ANOS, 5MESES"/>
    <n v="3.5333333333333332"/>
    <x v="1"/>
    <x v="1"/>
    <s v="COLETA DOMICILIAR"/>
    <s v="NOTURNO"/>
    <s v="CARLOS EDUARDO"/>
    <x v="0"/>
    <d v="2023-03-29T00:00:00"/>
    <s v="MARÇO"/>
    <d v="2023-03-29T00:00:00"/>
    <x v="2"/>
    <s v="MARÇO"/>
    <x v="0"/>
    <d v="2023-03-29T00:00:00"/>
    <s v="QUEBRA DE PROCEDIMENTO"/>
    <s v="NÃO COMUNICOU AO FISCAL NO ATO DO SINISTRO."/>
  </r>
  <r>
    <n v="104"/>
    <s v="MAILSON GOMES MAIA"/>
    <x v="83"/>
    <x v="0"/>
    <d v="2022-12-07T00:00:00"/>
    <s v="0ANOS, 3MESES"/>
    <n v="0.30277777777777776"/>
    <x v="0"/>
    <x v="1"/>
    <s v="COLETA DOMICILIAR"/>
    <s v="NOTURNO"/>
    <s v="JOÃO PEDRO"/>
    <x v="0"/>
    <d v="2023-03-26T00:00:00"/>
    <s v="MARÇO"/>
    <d v="2023-03-29T00:00:00"/>
    <x v="2"/>
    <s v="MARÇO"/>
    <x v="0"/>
    <d v="2023-03-29T00:00:00"/>
    <s v="EXCESSO DE VELOCIDADE"/>
    <s v="COLABORADOR EXCEDEU O LIMITE DE VELOCIDADE PERMITIDA PELA EMPRESA, CHEGANDO A 74 KM NO DIA 26/03 ÁS 12:01."/>
  </r>
  <r>
    <n v="105"/>
    <s v="MAILSON GOMES MAIA"/>
    <x v="83"/>
    <x v="0"/>
    <d v="2022-12-07T00:00:00"/>
    <s v="0ANOS, 3MESES"/>
    <n v="0.29444444444444445"/>
    <x v="0"/>
    <x v="1"/>
    <s v="COLETA DOMICILIAR"/>
    <s v="NOTURNO"/>
    <s v="JOÃO PEDRO"/>
    <x v="0"/>
    <d v="2023-03-23T00:00:00"/>
    <s v="MARÇO"/>
    <d v="2023-03-29T00:00:00"/>
    <x v="2"/>
    <s v="MARÇO"/>
    <x v="0"/>
    <d v="2023-03-29T00:00:00"/>
    <s v="EXCESSO DE VELOCIDADE"/>
    <s v="COLABORADOR EXCEDEU O LIMITE DE VELOCIDADE PERMITIDO PELA MEPRESSA, CHEGANDO A 77KM NO DIA 23/03 ÁS 10:54."/>
  </r>
  <r>
    <n v="106"/>
    <s v="PETHERSON MATHEUS DOS SANTOS COSTA"/>
    <x v="84"/>
    <x v="0"/>
    <d v="2021-06-01T00:00:00"/>
    <s v="1ANOS, 9MESES"/>
    <n v="1.8472222222222223"/>
    <x v="2"/>
    <x v="0"/>
    <s v="COLETA DOMICILIAR"/>
    <s v="NOTURNO"/>
    <s v="CARLOS EDUARDO"/>
    <x v="0"/>
    <d v="2023-03-28T00:00:00"/>
    <s v="MARÇO"/>
    <d v="2023-03-29T00:00:00"/>
    <x v="2"/>
    <s v="MARÇO"/>
    <x v="0"/>
    <d v="2023-03-29T00:00:00"/>
    <s v="FALTA"/>
    <s v="FALTA SEM JUSTIFICATIVA NO DIA 28/03/2023."/>
  </r>
  <r>
    <n v="107"/>
    <s v="THIAGO MAR DE SÁ"/>
    <x v="75"/>
    <x v="0"/>
    <d v="2022-06-15T00:00:00"/>
    <s v="0ANOS, 9MESES"/>
    <n v="0.8"/>
    <x v="0"/>
    <x v="0"/>
    <s v="COLETA DOMICILIAR"/>
    <s v="DIURNO"/>
    <s v="ANA CAROLINA"/>
    <x v="0"/>
    <d v="2023-03-30T00:00:00"/>
    <s v="MARÇO"/>
    <d v="2023-03-30T00:00:00"/>
    <x v="2"/>
    <s v="MARÇO"/>
    <x v="0"/>
    <d v="2023-03-30T00:00:00"/>
    <s v="QUEBRA DE PROCEDIMENTO"/>
    <s v="COLABORADOR ESTAVA FAZENDO ARRUMAÇÃO DE LIXO NO SETOR, SITUAÇÃO IDENTIFICADA E ASSUMIDA PELO AGENTE DE COLETA."/>
  </r>
  <r>
    <n v="108"/>
    <s v="MAX MODESTO CASTRO "/>
    <x v="85"/>
    <x v="0"/>
    <d v="2021-03-08T00:00:00"/>
    <s v="2ANOS, 0MESES"/>
    <n v="2.0916666666666668"/>
    <x v="2"/>
    <x v="0"/>
    <s v="COLETA DOMICILIAR"/>
    <s v="DIURNO"/>
    <s v="JOÃO PEDRO"/>
    <x v="0"/>
    <d v="2023-03-31T00:00:00"/>
    <s v="MARÇO"/>
    <d v="2023-03-30T00:00:00"/>
    <x v="2"/>
    <s v="MARÇO"/>
    <x v="0"/>
    <d v="2023-03-30T00:00:00"/>
    <s v="QUEBRA DE PROCEDIMENTO"/>
    <s v="COLABORADOR NÃO CUMPRIU COM O PROCEDIMENTO EM DESLOCAMENTO NO SETOR, CONFORME PO-08 (EM DESLOCAMENTO OS AGENTES DEVEM IR NA CABINE.) ONDE OCORREU UM SINISTRO DE TRÊNSITO TENDO VÁRIOS AGENTES ACIDENDATOS, POIS ESTAVA NO ESTRIBO DO CAMINHÃO."/>
  </r>
  <r>
    <n v="109"/>
    <s v="RAIMUNDO DE LIMA GORGONHO"/>
    <x v="86"/>
    <x v="0"/>
    <d v="2013-04-01T00:00:00"/>
    <s v="9ANOS, 11MESES"/>
    <n v="10.138888888888889"/>
    <x v="3"/>
    <x v="1"/>
    <s v="COLETA DOMICILIAR"/>
    <s v="DIURNO"/>
    <s v="JOÃO PEDRO"/>
    <x v="0"/>
    <d v="2023-03-30T00:00:00"/>
    <s v="MARÇO"/>
    <d v="2023-03-30T00:00:00"/>
    <x v="2"/>
    <s v="MARÇO"/>
    <x v="0"/>
    <d v="2023-03-30T00:00:00"/>
    <s v="QUEBRA DE PROCEDIMENTO"/>
    <s v="MOTORISTA NÃO SE FEZ CUMPRIR COM O PROCEDIMENTO EM DESLOCAMENTO NO SETOR, CONFORME PO-08 (EM PROCEDIMENTO, OS AGENTES DE COLETA DEVEM IR NA CABINE.) ONDE OCORREU UM SINISTRO DE TRÂNSITO TENDO AGENTES ACIDENTADOS."/>
  </r>
  <r>
    <n v="110"/>
    <s v="CLAUDIONOR CONCEIÇÃO DA SILVA"/>
    <x v="87"/>
    <x v="1"/>
    <d v="2023-03-08T00:00:00"/>
    <s v="0ANOS, 0MESES"/>
    <n v="6.3888888888888884E-2"/>
    <x v="0"/>
    <x v="0"/>
    <s v="COLETA DOMICILIAR"/>
    <s v="DIURNO"/>
    <s v="JOÃO PEDRO"/>
    <x v="0"/>
    <d v="2023-03-31T00:00:00"/>
    <s v="MARÇO"/>
    <d v="2023-03-31T00:00:00"/>
    <x v="2"/>
    <s v="MARÇO"/>
    <x v="0"/>
    <d v="2023-03-31T00:00:00"/>
    <s v="QUEBRA DE PROCEDIMENTO"/>
    <s v="COLABORADOR FOI IDENTIFICADO FAZENDO ARRUMAÇÃO DE LIXO NO SETOR 90.1.114 FORA DOS PADRÕES OPERACIONAIS."/>
  </r>
  <r>
    <n v="111"/>
    <s v="PEDRO IGOR FIDELIS FELICIANO "/>
    <x v="88"/>
    <x v="0"/>
    <d v="2022-02-14T00:00:00"/>
    <s v="1ANOS, 1MESES"/>
    <n v="1.1388888888888888"/>
    <x v="2"/>
    <x v="0"/>
    <s v="COLETA DOMICILIAR"/>
    <s v="DIURNO"/>
    <s v="JOÃO PEDRO"/>
    <x v="0"/>
    <d v="2023-03-31T00:00:00"/>
    <s v="MARÇO"/>
    <d v="2023-03-31T00:00:00"/>
    <x v="2"/>
    <s v="MARÇO"/>
    <x v="0"/>
    <d v="2023-03-31T00:00:00"/>
    <s v="QUEBRA DE PROCEDIMENTO"/>
    <s v="COLABORADOR FOI IDENTIFICADO FAZENDO ARRUMAÇÃO DE LIXO NO SETOR 90.1.114 FORA DOS PADRÕES OPERACIONAIS."/>
  </r>
  <r>
    <n v="112"/>
    <s v="ANA PAULA CARDOSO GUIMARÃES"/>
    <x v="89"/>
    <x v="0"/>
    <d v="2020-01-17T00:00:00"/>
    <s v="3ANOS, 2MESES"/>
    <n v="3.25"/>
    <x v="1"/>
    <x v="4"/>
    <s v="EDUCAÇÃO AMBIENTAL"/>
    <s v="DIURNO"/>
    <s v="ELISANGELA COSTA"/>
    <x v="0"/>
    <d v="2023-04-01T00:00:00"/>
    <s v="ABRIL"/>
    <d v="2023-04-03T00:00:00"/>
    <x v="3"/>
    <s v="ABRIL"/>
    <x v="0"/>
    <d v="2023-04-03T00:00:00"/>
    <s v="FALTA"/>
    <s v="FALTA INJUSTIFICADA NO DIA 01/04/2023, DISSE QUE ESTAVA CANSADA DA SEMANA E NÃO SE SENTIA BEM PARA TRABALHAR."/>
  </r>
  <r>
    <n v="113"/>
    <s v="DERICK PRAXEDES DA MOTA"/>
    <x v="90"/>
    <x v="0"/>
    <d v="2021-11-18T00:00:00"/>
    <s v="1ANOS, 4MESES"/>
    <n v="1.3916666666666666"/>
    <x v="2"/>
    <x v="0"/>
    <s v="COLETA DOMICILIAR"/>
    <s v="DIURNO"/>
    <s v="JOÃO PEDRO"/>
    <x v="1"/>
    <d v="2023-04-03T00:00:00"/>
    <s v="ABRIL"/>
    <d v="2023-04-03T00:00:00"/>
    <x v="3"/>
    <s v="ABRIL"/>
    <x v="0"/>
    <d v="2023-04-06T00:00:00"/>
    <s v="FALTA"/>
    <s v="FALTA INJUSTIFICADA DIA 01/04/2023, COLABORADOR INFORMA QUE NECESSITOU LEVAR O IRMÃO AO MÉDICO POIS ESTAVA COM ALERGIA, PORÉM NÃO APRESENTOU NENHUM DOCUMENTO."/>
  </r>
  <r>
    <n v="114"/>
    <s v="ALVARO FILHO DA SILVA SANTOS"/>
    <x v="3"/>
    <x v="0"/>
    <d v="2020-10-05T00:00:00"/>
    <s v="2ANOS, 5MESES"/>
    <n v="2.5222222222222221"/>
    <x v="2"/>
    <x v="0"/>
    <s v="COLETA DOMICILIAR"/>
    <s v="DIURNO"/>
    <s v="JOÃO PEDRO"/>
    <x v="1"/>
    <d v="2023-04-01T00:00:00"/>
    <s v="ABRIL"/>
    <d v="2023-04-03T00:00:00"/>
    <x v="3"/>
    <s v="ABRIL"/>
    <x v="0"/>
    <d v="2023-04-06T00:00:00"/>
    <s v="FALTA"/>
    <s v="FALTA INJUSTIFICADA DIA 01/04/2023, COLABORADOR INFORMA QUE NÃO ESTAVA SE SENTINDO BEM, PORÉM NÃO PROCUROU ATENDIMENTO."/>
  </r>
  <r>
    <n v="115"/>
    <s v="EDUARDO SILVA DE OLIVEIRA"/>
    <x v="91"/>
    <x v="1"/>
    <d v="2022-12-07T00:00:00"/>
    <s v="0ANOS, 3MESES"/>
    <n v="0.32222222222222224"/>
    <x v="0"/>
    <x v="0"/>
    <s v="COLETA DOMICILIAR"/>
    <s v="NOTURNO"/>
    <s v="CARLOS EDUARDO"/>
    <x v="0"/>
    <d v="2023-04-02T00:00:00"/>
    <s v="ABRIL"/>
    <d v="2023-04-03T00:00:00"/>
    <x v="3"/>
    <s v="ABRIL"/>
    <x v="0"/>
    <d v="2023-04-03T00:00:00"/>
    <s v="FALTA"/>
    <s v="FALTOU NO DIA 02/04/2023, PLANTÃO DE DOMINGO E SEM JUSTIFICATIVA."/>
  </r>
  <r>
    <n v="116"/>
    <s v="EULONIO SALES VIANA "/>
    <x v="60"/>
    <x v="0"/>
    <d v="2021-08-09T00:00:00"/>
    <s v="1ANOS, 7MESES"/>
    <n v="1.6666666666666667"/>
    <x v="2"/>
    <x v="0"/>
    <s v="COLETA DOMICILIAR"/>
    <s v="NOTURNO"/>
    <s v="CARLOS EDUARDO"/>
    <x v="1"/>
    <d v="2023-04-01T00:00:00"/>
    <s v="ABRIL"/>
    <d v="2023-04-03T00:00:00"/>
    <x v="3"/>
    <s v="ABRIL"/>
    <x v="0"/>
    <d v="2023-04-08T00:00:00"/>
    <s v="FALTA"/>
    <s v="FALTOU DOIS DIAS 31/03 E 01/04/2023, SEM JUSTIFICATIVA."/>
  </r>
  <r>
    <n v="117"/>
    <s v="NATANAEL SERRAO MARTINS"/>
    <x v="92"/>
    <x v="0"/>
    <d v="2022-06-01T00:00:00"/>
    <s v="0ANOS, 10MESES"/>
    <n v="0.85277777777777775"/>
    <x v="0"/>
    <x v="0"/>
    <s v="COLETA DOMICILIAR"/>
    <s v="NOTURNO"/>
    <s v="CARLOS EDUARDO"/>
    <x v="0"/>
    <d v="2023-04-04T00:00:00"/>
    <s v="ABRIL"/>
    <d v="2023-04-04T00:00:00"/>
    <x v="3"/>
    <s v="ABRIL"/>
    <x v="0"/>
    <d v="2023-04-04T00:00:00"/>
    <s v="FALTA"/>
    <s v="FALTOU NO DIA 03/04/2023, SEM JUSTIFICATIVA, APRESENTOU UMA DECLARAÇÃO DE COMPARECIMENTO DO DIA 03/04 NO HORÁRIO DE 22:00 ÀS 23:00, NO DIA 04/04/2023."/>
  </r>
  <r>
    <n v="118"/>
    <s v="JHON CLEY BARBOSA DA SILVA"/>
    <x v="34"/>
    <x v="0"/>
    <d v="2022-11-03T00:00:00"/>
    <s v="0ANOS, 4MESES"/>
    <n v="0.41388888888888886"/>
    <x v="0"/>
    <x v="0"/>
    <s v="COLETA DOMICILIAR"/>
    <s v="DIURNO"/>
    <s v="JOÃO PEDRO"/>
    <x v="0"/>
    <d v="2023-04-01T00:00:00"/>
    <s v="ABRIL"/>
    <d v="2023-04-05T00:00:00"/>
    <x v="3"/>
    <s v="ABRIL"/>
    <x v="0"/>
    <d v="2023-04-05T00:00:00"/>
    <s v="FALTA"/>
    <s v="COLABORADOR NÃO COMPARECEU AO TRABALHO NO DIA 01/04/2023, O MESMO NÃO APRESENTOU JUSTIFICATIVA."/>
  </r>
  <r>
    <n v="119"/>
    <s v="RONADE DIMAS GONZAGA"/>
    <x v="93"/>
    <x v="0"/>
    <d v="2021-10-04T00:00:00"/>
    <s v="1ANOS, 6MESES"/>
    <n v="1.5222222222222221"/>
    <x v="2"/>
    <x v="0"/>
    <s v="COLETA DOMICILIAR"/>
    <s v="DIURNO"/>
    <s v="JOÃO PEDRO"/>
    <x v="0"/>
    <d v="2023-04-05T00:00:00"/>
    <s v="ABRIL"/>
    <d v="2023-04-05T00:00:00"/>
    <x v="3"/>
    <s v="ABRIL"/>
    <x v="0"/>
    <d v="2023-04-05T00:00:00"/>
    <s v="QUEBRA DE PROCEDIMENTO"/>
    <s v="AGENTE DE COLETA REALIZANDO ARRUMAÇÃO NO LIXO 90.1.109 NA ABORDAGEM FEITA PELO FISCAL E COM INDICIOS DE EMBRIAGUEZ."/>
  </r>
  <r>
    <n v="120"/>
    <s v="RONADE DIMAS GONZAGA"/>
    <x v="93"/>
    <x v="0"/>
    <d v="2021-10-04T00:00:00"/>
    <s v="1ANOS, 6MESES"/>
    <n v="1.5222222222222221"/>
    <x v="2"/>
    <x v="0"/>
    <s v="COLETA DOMICILIAR"/>
    <s v="DIURNO"/>
    <s v="JOÃO PEDRO"/>
    <x v="0"/>
    <d v="2023-04-05T00:00:00"/>
    <s v="ABRIL"/>
    <d v="2023-04-05T00:00:00"/>
    <x v="3"/>
    <s v="ABRIL"/>
    <x v="0"/>
    <d v="2023-04-05T00:00:00"/>
    <s v="QUEBRA DE PROCEDIMENTO"/>
    <s v="AGENTE DE COLETA REALIZANDO ARRUMAÇÃO NO LIXO 90.1.109 NA ABOORDAGEM PELO FISCAL E COM INDICIOS DE EMBRIAGUEZ."/>
  </r>
  <r>
    <n v="121"/>
    <s v="GEOVANNY MONTEIRO DOS SANTOS "/>
    <x v="94"/>
    <x v="1"/>
    <d v="2023-03-16T00:00:00"/>
    <s v="0ANOS, 0MESES"/>
    <n v="5.5555555555555552E-2"/>
    <x v="0"/>
    <x v="0"/>
    <s v="COLETA DOMICILIAR"/>
    <s v="DIURNO"/>
    <s v="JOÃO PEDRO"/>
    <x v="0"/>
    <d v="2023-04-05T00:00:00"/>
    <s v="ABRIL"/>
    <d v="2023-04-05T00:00:00"/>
    <x v="3"/>
    <s v="ABRIL"/>
    <x v="0"/>
    <d v="2023-04-05T00:00:00"/>
    <s v="QUEBRA DE PROCEDIMENTO"/>
    <s v="COLABORADOR NÃO CUMPRIU COM O PROCEDIMENTO EM DESLOCAMENTO NO SETOR, CONFORME PO-08 (EM DESLOCAMENTO OS AGENTES DEVEM IR NA CABINE.) ONDE OCORREU UM SINISTRO DE TRÊNSITO TENDO VÁRIOS AGENTES ACIDENDATOS, POIS ESTAVA NO ESTRIBO DO CAMINHÃO."/>
  </r>
  <r>
    <n v="122"/>
    <s v="NATANAEL SERRAO MARTINS"/>
    <x v="92"/>
    <x v="0"/>
    <d v="2022-06-01T00:00:00"/>
    <s v="0ANOS, 10MESES"/>
    <n v="0.85833333333333328"/>
    <x v="0"/>
    <x v="0"/>
    <s v="COLETA DOMICILIAR"/>
    <s v="NOTURNO"/>
    <s v="CARLOS EDUARDO"/>
    <x v="1"/>
    <d v="2023-04-06T00:00:00"/>
    <s v="ABRIL"/>
    <d v="2023-04-06T00:00:00"/>
    <x v="3"/>
    <s v="ABRIL"/>
    <x v="0"/>
    <d v="2023-04-07T00:00:00"/>
    <s v="QUEBRA DE PROCEDIMENTO"/>
    <s v="ESTAVA DE MAU PROCEDIMENTO EM RELAÇÃO A COLETA NO MICRO COLETOR 824, O MOTORISTA RECLAMOU DO MESMO QUE ESTAVA JOGANDO O LIXO DE QUALQUER JEITO E SE NEGANDO A JUNTAR O DERRAME, O FISCAL DA AREA FOI ACIONADO E O AGENTE SE ALTEROU DESRESPEITANDO O SEU SUPERIOR IMEDIATO."/>
  </r>
  <r>
    <n v="123"/>
    <s v="WAGNER GOMES DA LUZ"/>
    <x v="30"/>
    <x v="0"/>
    <d v="2021-05-03T00:00:00"/>
    <s v="1ANOS, 11MESES"/>
    <n v="1.9694444444444446"/>
    <x v="2"/>
    <x v="0"/>
    <s v="COLETA DOMICILIAR"/>
    <s v="DIURNO"/>
    <s v="JOÃO PEDRO"/>
    <x v="0"/>
    <d v="2023-04-12T00:00:00"/>
    <s v="ABRIL"/>
    <d v="2023-04-12T00:00:00"/>
    <x v="3"/>
    <s v="ABRIL"/>
    <x v="0"/>
    <d v="2023-04-12T00:00:00"/>
    <s v="QUEBRA DE PROCEDIMENTO"/>
    <s v="COLABORADOR NÃO CUMPRIU COM O PROCEDIMENTO EM DESLOCAMENTO NO SETOR, CONFORME PO-08 (EM DESLOCAMENTO OS AGENTES DEVEM IR NA CABINE.) ONDE OCORREU UM SINISTRO DE TRÊNSITO TENDO VÁRIOS AGENTES ACIDENDATOS, POIS ESTAVA NO ESTRIBO DO CAMINHÃO."/>
  </r>
  <r>
    <n v="124"/>
    <s v="PEDRO IGOR FIDELIS FELICIANO "/>
    <x v="88"/>
    <x v="0"/>
    <d v="2022-02-14T00:00:00"/>
    <s v="1ANOS, 1MESES"/>
    <n v="1.175"/>
    <x v="2"/>
    <x v="0"/>
    <s v="COLETA DOMICILIAR"/>
    <s v="DIURNO"/>
    <s v="JOÃO PEDRO"/>
    <x v="0"/>
    <d v="2023-04-13T00:00:00"/>
    <s v="ABRIL"/>
    <d v="2023-04-13T00:00:00"/>
    <x v="3"/>
    <s v="ABRIL"/>
    <x v="0"/>
    <d v="2023-04-13T00:00:00"/>
    <s v="ATRASO"/>
    <s v="COLABORADOR VEM CHEGANDO ATRASADO COM FREQUÊNCIA (PONTUADO NOS DIAS 04/04, 05/04 E 06/04, 12/04 E 13/04) SEM APRESENTAR JUSTIFICATIVA."/>
  </r>
  <r>
    <n v="125"/>
    <s v="PEDRO IGOR FIDELIS FELICIANO"/>
    <x v="88"/>
    <x v="0"/>
    <d v="2022-02-14T00:00:00"/>
    <s v="1ANOS, 1MESES"/>
    <n v="1.1722222222222223"/>
    <x v="2"/>
    <x v="0"/>
    <s v="COLETA DOMICILIAR"/>
    <s v="DIURNO"/>
    <s v="JOÃO PEDRO"/>
    <x v="0"/>
    <d v="2023-04-12T00:00:00"/>
    <s v="ABRIL"/>
    <d v="2023-04-13T00:00:00"/>
    <x v="3"/>
    <s v="ABRIL"/>
    <x v="0"/>
    <d v="2023-04-13T00:00:00"/>
    <s v="ATRASO"/>
    <s v="COLABORADOR VEM CHEGANDO ATRASADO COM FREQUÊNCIA (PONTUADO NOS DIA 04/04, 05/04 E 06/04, 12/04 E 13/04) SEM APRESENTAR QUALQUER JUSTIFICATIVA."/>
  </r>
  <r>
    <n v="126"/>
    <s v="MAURICIO WAGNER DA SILVA VASCONCELO"/>
    <x v="95"/>
    <x v="0"/>
    <d v="2020-08-10T00:00:00"/>
    <s v="2ANOS, 8MESES"/>
    <n v="2.7027777777777779"/>
    <x v="2"/>
    <x v="1"/>
    <s v="COLETA DOMICILIAR"/>
    <s v="NOTURNO"/>
    <s v="JOÃO PEDRO"/>
    <x v="0"/>
    <d v="2023-04-10T00:00:00"/>
    <s v="ABRIL"/>
    <d v="2023-04-15T00:00:00"/>
    <x v="3"/>
    <s v="ABRIL"/>
    <x v="0"/>
    <d v="2023-04-15T00:00:00"/>
    <s v="EXCESSO DE VELOCIDADE"/>
    <s v="MOTORISTA EXCEDEU A VELOCIDADE PERMITIDO PELA EMPRESA, CHEGANDO A 71 K, NO DIA 10/04/2023 AS 15:47."/>
  </r>
  <r>
    <n v="127"/>
    <s v="ALESSON FARIAS DE ARAÚJO "/>
    <x v="96"/>
    <x v="1"/>
    <d v="2023-03-16T00:00:00"/>
    <s v="0ANOS, 1MESES"/>
    <n v="8.611111111111111E-2"/>
    <x v="0"/>
    <x v="0"/>
    <s v="COLETA DOMICILIAR"/>
    <s v="NOTURNO"/>
    <s v="ANA CAROLINA"/>
    <x v="0"/>
    <d v="2023-04-16T00:00:00"/>
    <s v="ABRIL"/>
    <d v="2023-04-17T00:00:00"/>
    <x v="3"/>
    <s v="ABRIL"/>
    <x v="0"/>
    <d v="2023-04-17T00:00:00"/>
    <s v="FALTA"/>
    <s v="FALTOU AO SERVIÇO NO DIA 16/04/2023, ESCALA DE DOMINGO COLABORADOR INFORMA QUE NÃO SABIA O HORÁRIO DO ÔNIBUS, E DEVIDO A ISSO NÃO CONSEGUIU CHEGAR A EMPRESA NO HORÁRIO ESTIPULADO."/>
  </r>
  <r>
    <n v="128"/>
    <s v="JORGE LUIZ DE SOUZA VIEIRA"/>
    <x v="97"/>
    <x v="0"/>
    <d v="2020-08-03T00:00:00"/>
    <s v="2ANOS, 8MESES"/>
    <n v="2.7527777777777778"/>
    <x v="2"/>
    <x v="1"/>
    <s v="COLETA DOMICILIAR"/>
    <s v="DIURNO"/>
    <s v="JOSÉ ADELMAR"/>
    <x v="0"/>
    <d v="2023-04-21T00:00:00"/>
    <s v="ABRIL"/>
    <d v="2023-04-22T00:00:00"/>
    <x v="3"/>
    <s v="ABRIL"/>
    <x v="0"/>
    <d v="2023-04-22T00:00:00"/>
    <s v="QUEBRA DE PROCEDIMENTO"/>
    <s v="NO DIA 21/04/2023 O MOTORISTA AO SAIR DA EMPRESA FOI DA UMA RÉ NO VEÍCULO NÃO PRESTOU ATENÇÃO NO OUTRO VEÍCULO QUE ESTAVA ATRÁS E VEIO BATER NO PARACHOQUE DIANTEIRO DO VEÍCULO QUE ESTAVA ESTACIONADO ATRÁS."/>
  </r>
  <r>
    <n v="129"/>
    <s v="RAILSON GOMES MAIA"/>
    <x v="26"/>
    <x v="1"/>
    <d v="2021-06-04T00:00:00"/>
    <s v="1ANOS, 10MESES"/>
    <n v="1.9166666666666667"/>
    <x v="2"/>
    <x v="0"/>
    <s v="COLETA DOMICILIAR"/>
    <s v="DIURNO"/>
    <s v="JOSÉ ADELMAR"/>
    <x v="1"/>
    <d v="2023-04-25T00:00:00"/>
    <s v="ABRIL"/>
    <d v="2023-04-25T00:00:00"/>
    <x v="3"/>
    <s v="ABRIL"/>
    <x v="0"/>
    <d v="2023-05-02T00:00:00"/>
    <s v="FALTA"/>
    <s v="NO DIA 24/04/2023, O COLABORADOR SOLICITOU ATENDIMENTO MÉDICO, O FISCAL PRESTOU ATENDIMENTO LEVANDO O MESMO PRA SER ATENDIDO NA UPA DA CAMAPUÃ, NO DIA 28/04/2023, O MESMO NÃO APRESENTOU NENHUM DOCUMENTO COMPROVANDO QUE FOI ATENDIDO CARACTERIZANDO FALTA NO DIA 24/04/2023."/>
  </r>
  <r>
    <n v="130"/>
    <s v="RAILSON GOMES MAIA"/>
    <x v="26"/>
    <x v="0"/>
    <d v="2021-06-04T00:00:00"/>
    <s v="1ANOS, 10MESES"/>
    <n v="1.913888888888889"/>
    <x v="2"/>
    <x v="0"/>
    <s v="COLETA DOMICILIAR"/>
    <s v="DIURNO"/>
    <s v="JOSÉ ADELMAR"/>
    <x v="1"/>
    <d v="2023-04-24T00:00:00"/>
    <s v="ABRIL"/>
    <d v="2023-04-25T00:00:00"/>
    <x v="3"/>
    <s v="ABRIL"/>
    <x v="0"/>
    <d v="2023-05-02T00:00:00"/>
    <s v="FALTA"/>
    <s v="NO DIA 24/04/2023, O COLABORADOR SOLICITOU ATENDIMENTO MÉDICO, O FISCAL PRESTOU ATENDIMENTO LEVANDO O MESMO PRA SER ATENDIDO NA UPA DA CAMAPUÃ, NO DIA 25/04/2023, O MESMO NÃO APRESENTOU NENHUM DOCUMENTO COMPROVANDO QUE FOI ATENDIDO CARACTERIZANDO FALTA NO DIA 24/04/2023."/>
  </r>
  <r>
    <n v="131"/>
    <s v="EDUARDO JAIME COSTA E SILVA FILHO"/>
    <x v="98"/>
    <x v="0"/>
    <d v="2023-01-12T00:00:00"/>
    <s v="0ANOS, 3MESES"/>
    <n v="0.27500000000000002"/>
    <x v="0"/>
    <x v="1"/>
    <s v="COLETA DOMICILIAR"/>
    <s v="NOTURNO"/>
    <s v="JOÃO PEDRO"/>
    <x v="0"/>
    <d v="2023-04-21T00:00:00"/>
    <s v="ABRIL"/>
    <d v="2023-04-25T00:00:00"/>
    <x v="3"/>
    <s v="ABRIL"/>
    <x v="0"/>
    <d v="2023-04-25T00:00:00"/>
    <s v="EXCESSO DE VELOCIDADE"/>
    <s v="EXCESSO DE VELOCIDADE NO DIA 21/04/2023 AS 14:13, CHEGANDO A 73 KM."/>
  </r>
  <r>
    <n v="132"/>
    <s v="ALVARO FILHO DA SILVA SANTOS"/>
    <x v="3"/>
    <x v="0"/>
    <d v="2020-10-04T00:00:00"/>
    <s v="2ANOS, 6MESES"/>
    <n v="2.5944444444444446"/>
    <x v="2"/>
    <x v="0"/>
    <s v="COLETA DOMICILIAR"/>
    <s v="DIURNO"/>
    <s v="JOSÉ ADELMAR"/>
    <x v="1"/>
    <d v="2023-04-26T00:00:00"/>
    <s v="ABRIL"/>
    <d v="2023-04-27T00:00:00"/>
    <x v="3"/>
    <s v="ABRIL"/>
    <x v="0"/>
    <d v="2023-05-02T00:00:00"/>
    <s v="FALTA"/>
    <s v="FALTA INJUSTIFICADA NO DIA 26/04/2023, O COLABORADOR NÃO COMUNICOU SUA CHEFIA IMEDIATA."/>
  </r>
  <r>
    <n v="133"/>
    <s v="JHON CLEY BARBOSA DA SILVA"/>
    <x v="34"/>
    <x v="0"/>
    <d v="2022-11-03T00:00:00"/>
    <s v="0ANOS, 5MESES"/>
    <n v="0.48333333333333334"/>
    <x v="0"/>
    <x v="0"/>
    <s v="COLETA DOMICILIAR"/>
    <s v="DIURNO"/>
    <s v="JOSÉ ADELMAR"/>
    <x v="0"/>
    <d v="2023-04-26T00:00:00"/>
    <s v="ABRIL"/>
    <d v="2023-05-01T00:00:00"/>
    <x v="4"/>
    <s v="MAIO"/>
    <x v="0"/>
    <d v="2023-05-01T00:00:00"/>
    <s v="FALTA"/>
    <s v="FALTA INJUSTIFICADA NO DIA 26/04/2023, O COLABORADOR NÃO COMUNICOU SUA CHEFIA IMEDIATA."/>
  </r>
  <r>
    <n v="134"/>
    <s v="ADEILTON GONCALVES DA SILVA"/>
    <x v="78"/>
    <x v="0"/>
    <d v="2021-11-18T00:00:00"/>
    <s v="1ANOS, 5MESES"/>
    <n v="1.4638888888888888"/>
    <x v="2"/>
    <x v="0"/>
    <s v="COLETA DOMICILIAR"/>
    <s v="DIURNO"/>
    <s v="JOSÉ ADELMAR"/>
    <x v="1"/>
    <d v="2023-04-29T00:00:00"/>
    <s v="ABRIL"/>
    <d v="2023-05-01T00:00:00"/>
    <x v="4"/>
    <s v="MAIO"/>
    <x v="0"/>
    <d v="2023-05-02T00:00:00"/>
    <s v="FALTA"/>
    <s v="FALTA INJUSTIFICADA NO DIA 29/04/2023, O COLABORADOR NÃO COMUNICOU SUA CHEFIA IMEDIATA."/>
  </r>
  <r>
    <n v="135"/>
    <s v="DEUSTEVAN CARNEIRO DA SILVA"/>
    <x v="99"/>
    <x v="0"/>
    <d v="2013-02-08T00:00:00"/>
    <s v="10ANOS, 2MESES"/>
    <n v="10.369444444444444"/>
    <x v="3"/>
    <x v="1"/>
    <s v="COLETA DOMICILIAR"/>
    <s v="DIURNO"/>
    <s v="JOSÉ ADELMAR"/>
    <x v="0"/>
    <d v="2023-04-30T00:00:00"/>
    <s v="ABRIL"/>
    <d v="2023-05-01T00:00:00"/>
    <x v="4"/>
    <s v="MAIO"/>
    <x v="0"/>
    <d v="2023-05-01T00:00:00"/>
    <s v="FALTA"/>
    <s v="FALTA INJUSTIFICADA NO DIA 30/04/2023, FALTOU A ESCALA DE DOMINGO, O COLABORADOR NÃO COMUNICOU SUA CHEFIA IMEDIATA."/>
  </r>
  <r>
    <n v="136"/>
    <s v="FRANCISCO GEOVANE CARVALHO"/>
    <x v="47"/>
    <x v="0"/>
    <d v="2020-12-04T00:00:00"/>
    <s v="2ANOS, 4MESES"/>
    <n v="2.4361111111111109"/>
    <x v="2"/>
    <x v="0"/>
    <s v="COLETA DOMICILIAR"/>
    <s v="DIURNO"/>
    <s v="JOSÉ ADELMAR"/>
    <x v="0"/>
    <d v="2023-04-30T00:00:00"/>
    <s v="ABRIL"/>
    <d v="2023-05-01T00:00:00"/>
    <x v="4"/>
    <s v="MAIO"/>
    <x v="0"/>
    <d v="2023-05-01T00:00:00"/>
    <s v="FALTA"/>
    <s v="FALTA INJUSTIFICADA NO DIA 30/04/2023, FALTOU A ESCALA DE DOMINGO, O COLABORADOR NÃO COMUNICOU SUA CHEFIA IMEDIATA."/>
  </r>
  <r>
    <n v="137"/>
    <s v="RONALD WILLIAM PANTOJA REIS"/>
    <x v="100"/>
    <x v="0"/>
    <d v="2021-04-05T00:00:00"/>
    <s v="2ANOS, 0MESES"/>
    <n v="2.1027777777777779"/>
    <x v="2"/>
    <x v="0"/>
    <s v="COLETA DOMICILIAR"/>
    <s v="DIURNO"/>
    <s v="JOSÉ ADELMAR"/>
    <x v="0"/>
    <d v="2023-05-02T00:00:00"/>
    <s v="MAIO"/>
    <d v="2023-05-03T00:00:00"/>
    <x v="4"/>
    <s v="MAIO"/>
    <x v="0"/>
    <d v="2023-05-03T00:00:00"/>
    <s v="FALTA"/>
    <s v="FALTA INJUSTIFICADA NO DIA 02/05/2023, O COLABORADOR NÃO COMUNICOU SUA CHEFIA IMEDIATA."/>
  </r>
  <r>
    <n v="138"/>
    <s v="GENISON NOBRE DA SILVA"/>
    <x v="101"/>
    <x v="0"/>
    <d v="2021-10-03T00:00:00"/>
    <s v="1ANOS, 6MESES"/>
    <n v="1.6"/>
    <x v="2"/>
    <x v="0"/>
    <s v="COLETA DOMICILIAR"/>
    <s v="DIURNO"/>
    <s v="JOSÉ ADELMAR"/>
    <x v="0"/>
    <d v="2023-05-02T00:00:00"/>
    <s v="MAIO"/>
    <d v="2023-05-03T00:00:00"/>
    <x v="4"/>
    <s v="MAIO"/>
    <x v="0"/>
    <d v="2023-05-03T00:00:00"/>
    <s v="FALTA"/>
    <s v="FALTA INJUSTIFICADA NO DIA 02/05/2023, O COLABORADOR NÃO COMUNICOU SUA CHEFIA IMEDIATA."/>
  </r>
  <r>
    <n v="139"/>
    <s v="ROMARIO GOMES DA SILVA"/>
    <x v="102"/>
    <x v="0"/>
    <d v="2021-01-06T00:00:00"/>
    <s v="2ANOS, 3MESES"/>
    <n v="2.35"/>
    <x v="2"/>
    <x v="0"/>
    <s v="COLETA DOMICILIAR"/>
    <s v="DIURNO"/>
    <s v="JOSÉ ADELMAR"/>
    <x v="0"/>
    <d v="2023-05-02T00:00:00"/>
    <s v="MAIO"/>
    <d v="2023-05-03T00:00:00"/>
    <x v="4"/>
    <s v="MAIO"/>
    <x v="0"/>
    <d v="2023-05-04T00:00:00"/>
    <s v="FALTA"/>
    <s v="FALTA INJUSTIFICADA NOS DIAS 26/04 A 02/05/2023, O COLABORADOR NÃO COMUNICOU SUA CHEFIA IMEDIATA."/>
  </r>
  <r>
    <n v="140"/>
    <s v="EULONIO SALES VIANA "/>
    <x v="60"/>
    <x v="0"/>
    <d v="2021-08-09T00:00:00"/>
    <s v="1ANOS, 8MESES"/>
    <n v="1.7527777777777778"/>
    <x v="2"/>
    <x v="0"/>
    <s v="COLETA DOMICILIAR"/>
    <s v="NOTURNO"/>
    <s v="JOÃO PEDRO"/>
    <x v="1"/>
    <d v="2023-05-02T00:00:00"/>
    <s v="MAIO"/>
    <d v="2023-05-03T00:00:00"/>
    <x v="4"/>
    <s v="MAIO"/>
    <x v="0"/>
    <d v="2023-05-10T00:00:00"/>
    <s v="FALTA"/>
    <s v="COLABORADOR FALTOU SEM JUSTIFICATIVA NO DIA 02/05/2023."/>
  </r>
  <r>
    <n v="141"/>
    <s v="ELIEDSON SOUZA DA SILVA"/>
    <x v="103"/>
    <x v="0"/>
    <d v="2022-09-14T00:00:00"/>
    <s v="0ANOS, 7MESES"/>
    <n v="0.64166666666666672"/>
    <x v="0"/>
    <x v="0"/>
    <s v="COLETA DOMICILIAR"/>
    <s v="DIURNO"/>
    <s v="JOSÉ ADELMAR"/>
    <x v="0"/>
    <d v="2023-05-03T00:00:00"/>
    <s v="MAIO"/>
    <d v="2023-05-04T00:00:00"/>
    <x v="4"/>
    <s v="MAIO"/>
    <x v="0"/>
    <d v="2023-05-04T00:00:00"/>
    <s v="FALTA"/>
    <s v="FALTA INJUSTIFICADA NO DIA 03/05/2023, O COLABORADOR NÃO COMUNICOU SUA CHEFIA IMEDIATA."/>
  </r>
  <r>
    <n v="142"/>
    <s v="NAUM DA SILVA CASTRO ALFAIA"/>
    <x v="71"/>
    <x v="0"/>
    <d v="2022-10-03T00:00:00"/>
    <s v="0ANOS, 7MESES"/>
    <n v="0.58888888888888891"/>
    <x v="0"/>
    <x v="0"/>
    <s v="COLETA DOMICILIAR"/>
    <s v="NOTURNO"/>
    <s v="JOÃO PEDRO"/>
    <x v="1"/>
    <d v="2023-05-03T00:00:00"/>
    <s v="MAIO"/>
    <d v="2023-05-04T00:00:00"/>
    <x v="4"/>
    <s v="MAIO"/>
    <x v="0"/>
    <d v="2023-05-05T00:00:00"/>
    <s v="FALTA"/>
    <s v="COLABORADOR FALTOU SEM JUSTIFICATIVA NOS DIAS 29/04, 01/05, 02/05 E 03/05."/>
  </r>
  <r>
    <n v="143"/>
    <s v="ITALO NEVES DA SILVA"/>
    <x v="104"/>
    <x v="0"/>
    <d v="2022-11-09T00:00:00"/>
    <s v="0ANOS, 11MESES"/>
    <n v="1.0027777777777778"/>
    <x v="2"/>
    <x v="0"/>
    <s v="COLETA DOMICILIAR"/>
    <s v="DIURNO"/>
    <s v="ANA CAROLINA"/>
    <x v="0"/>
    <d v="2023-11-05T00:00:00"/>
    <s v="NOVEMBRO"/>
    <d v="2023-05-06T00:00:00"/>
    <x v="4"/>
    <s v="MAIO"/>
    <x v="0"/>
    <d v="2023-11-06T00:00:00"/>
    <s v="FALTA"/>
    <s v="FALTA INJUSTIFICADA EM 05/11/2023."/>
  </r>
  <r>
    <n v="144"/>
    <s v="ALESSON FARIAS DE ARAÚJO "/>
    <x v="96"/>
    <x v="1"/>
    <d v="2023-03-16T00:00:00"/>
    <s v="0ANOS, 1MESES"/>
    <n v="0.13055555555555556"/>
    <x v="0"/>
    <x v="0"/>
    <s v="COLETA DOMICILIAR"/>
    <s v="NOTURNO"/>
    <s v="JOÃO PEDRO"/>
    <x v="0"/>
    <d v="2023-05-02T00:00:00"/>
    <s v="MAIO"/>
    <d v="2023-05-07T00:00:00"/>
    <x v="4"/>
    <s v="MAIO"/>
    <x v="0"/>
    <d v="2023-05-07T00:00:00"/>
    <s v="FALTA"/>
    <s v="COLABORADOR FALTOU SEM JUSTIFICATIVA NOS DIAS 02/05."/>
  </r>
  <r>
    <n v="145"/>
    <s v="MARCELO FERREIRA PONTES"/>
    <x v="64"/>
    <x v="0"/>
    <d v="2022-10-03T00:00:00"/>
    <s v="0ANOS, 7MESES"/>
    <n v="0.59722222222222221"/>
    <x v="0"/>
    <x v="0"/>
    <s v="COLETA DOMICILIAR"/>
    <s v="DIURNO"/>
    <s v="JOSÉ ADELMAR"/>
    <x v="0"/>
    <d v="2023-05-06T00:00:00"/>
    <s v="MAIO"/>
    <d v="2023-05-08T00:00:00"/>
    <x v="4"/>
    <s v="MAIO"/>
    <x v="0"/>
    <d v="2023-05-08T00:00:00"/>
    <s v="FALTA"/>
    <s v="FALTA INJUSTIFICADA NOS DIAS 04, 05 E 06/05/2023, O COLABORADOR NÃO COMUNICOU SUA CHEFIA IMEDIATA."/>
  </r>
  <r>
    <n v="146"/>
    <s v="FABRICIO LUAM DE SOUZA LIMA"/>
    <x v="105"/>
    <x v="0"/>
    <d v="2021-10-13T00:00:00"/>
    <s v="1ANOS, 6MESES"/>
    <n v="1.586111111111111"/>
    <x v="2"/>
    <x v="0"/>
    <s v="COLETA DOMICILIAR"/>
    <s v="DIURNO"/>
    <s v="JOSÉ ADELMAR"/>
    <x v="0"/>
    <d v="2023-05-07T00:00:00"/>
    <s v="MAIO"/>
    <d v="2023-05-08T00:00:00"/>
    <x v="4"/>
    <s v="MAIO"/>
    <x v="0"/>
    <d v="2023-05-08T00:00:00"/>
    <s v="FALTA"/>
    <s v="FALTA INJUSTIFICADA NO DIA 07/05/2023, O COLABORADOR NÃO COMUNICOU SUA CHEFIA IMEDIATA."/>
  </r>
  <r>
    <n v="147"/>
    <s v="EDUARDO MORAES DE SOUZA"/>
    <x v="106"/>
    <x v="0"/>
    <d v="2020-11-09T00:00:00"/>
    <s v="2ANOS, 5MESES"/>
    <n v="2.5222222222222221"/>
    <x v="2"/>
    <x v="0"/>
    <s v="COLETA DOMICILIAR"/>
    <s v="DIURNO"/>
    <s v="JOSÉ ADELMAR"/>
    <x v="0"/>
    <d v="2023-05-06T00:00:00"/>
    <s v="MAIO"/>
    <d v="2023-05-08T00:00:00"/>
    <x v="4"/>
    <s v="MAIO"/>
    <x v="0"/>
    <d v="2023-05-08T00:00:00"/>
    <s v="FALTA"/>
    <s v="FALTA INJUSTIFICADA NOS DIAS 05/05 E 06/05/2023, O COLABORADOR NÃO COMUNICOU SUA CHEFIA IMEDIATA."/>
  </r>
  <r>
    <n v="148"/>
    <s v="RAYLANDER BATISTA DA SILVA"/>
    <x v="107"/>
    <x v="1"/>
    <d v="2023-04-06T00:00:00"/>
    <s v="0ANOS, 1MESES"/>
    <n v="8.611111111111111E-2"/>
    <x v="0"/>
    <x v="0"/>
    <s v="COLETA DOMICILIAR"/>
    <s v="DIURNO"/>
    <s v="JOSÉ ADELMAR"/>
    <x v="0"/>
    <d v="2023-05-07T00:00:00"/>
    <s v="MAIO"/>
    <d v="2023-05-08T00:00:00"/>
    <x v="4"/>
    <s v="MAIO"/>
    <x v="0"/>
    <d v="2023-05-08T00:00:00"/>
    <s v="FALTA"/>
    <s v="FALTA INJUSTIFICADA NO DIA 07/05/2023, O COLABORADOR NÃO COMUNICOU SUA CHEFIA IMEDIATA."/>
  </r>
  <r>
    <n v="149"/>
    <s v="ADEILTON GONCALVES DA SILVA"/>
    <x v="78"/>
    <x v="0"/>
    <d v="2021-11-18T00:00:00"/>
    <s v="1ANOS, 5MESES"/>
    <n v="1.4833333333333334"/>
    <x v="2"/>
    <x v="0"/>
    <s v="COLETA DOMICILIAR"/>
    <s v="DIURNO"/>
    <s v="JOSÉ ADELMAR"/>
    <x v="1"/>
    <d v="2023-05-06T00:00:00"/>
    <s v="MAIO"/>
    <d v="2023-05-08T00:00:00"/>
    <x v="4"/>
    <s v="MAIO"/>
    <x v="0"/>
    <d v="2023-05-11T00:00:00"/>
    <s v="FALTA"/>
    <s v="FALTA INJUSTIFICADA NO 06/05/2023, O COLABORADOR NÃO COMUNICOU SUA CHEFIA IMEDIATA."/>
  </r>
  <r>
    <n v="150"/>
    <s v="FRANCIOMAR OLIVEIRA DA SILVA"/>
    <x v="108"/>
    <x v="0"/>
    <d v="2023-02-15T00:00:00"/>
    <s v="0ANOS, 2MESES"/>
    <n v="0.22500000000000001"/>
    <x v="0"/>
    <x v="6"/>
    <s v="MANUTENÇÃO"/>
    <s v="DIURNO"/>
    <s v="MARCELO MARINHO"/>
    <x v="0"/>
    <d v="2023-05-07T00:00:00"/>
    <s v="MAIO"/>
    <d v="2023-05-08T00:00:00"/>
    <x v="4"/>
    <s v="MAIO"/>
    <x v="0"/>
    <d v="2023-05-08T00:00:00"/>
    <s v="QUEBRA DE PROCEDIMENTO"/>
    <s v="ALEGOU TER SE ACIDENTADO PORÉM NÃO CUMPRIU OS PROCEDIMENTOS DE SEGURANÇA DO TRABALHO."/>
  </r>
  <r>
    <n v="151"/>
    <s v="FRANCIOMAR OLIVEIRA DA SILVA"/>
    <x v="108"/>
    <x v="0"/>
    <d v="2023-02-15T00:00:00"/>
    <s v="0ANOS, 2MESES"/>
    <n v="0.22222222222222221"/>
    <x v="0"/>
    <x v="6"/>
    <s v="MANUTENÇÃO"/>
    <s v="DIURNO"/>
    <s v="MARCELO MARINHO"/>
    <x v="0"/>
    <d v="2023-05-06T00:00:00"/>
    <s v="MAIO"/>
    <d v="2023-05-08T00:00:00"/>
    <x v="4"/>
    <s v="MAIO"/>
    <x v="0"/>
    <d v="2023-05-08T00:00:00"/>
    <s v="FALTA"/>
    <s v="FALTA SEM JUSTIFICATIVA."/>
  </r>
  <r>
    <n v="152"/>
    <s v="JACKSON DOS SANTOS REIS"/>
    <x v="109"/>
    <x v="1"/>
    <d v="2023-03-16T00:00:00"/>
    <s v="0ANOS, 1MESES"/>
    <n v="0.14722222222222223"/>
    <x v="0"/>
    <x v="0"/>
    <s v="COLETA DOMICILIAR"/>
    <s v="NOTURNO"/>
    <s v="JOÃO PEDRO"/>
    <x v="0"/>
    <d v="2023-05-08T00:00:00"/>
    <s v="MAIO"/>
    <d v="2023-05-08T00:00:00"/>
    <x v="4"/>
    <s v="MAIO"/>
    <x v="0"/>
    <d v="2023-05-08T00:00:00"/>
    <s v="FALTA"/>
    <s v="COLABORADOR FALTOU SEM JUSTIFICATIVA NO DOMINGO 07/05."/>
  </r>
  <r>
    <n v="153"/>
    <s v="RAIR BARROSO DA SILVA"/>
    <x v="110"/>
    <x v="0"/>
    <d v="2022-12-01T00:00:00"/>
    <s v="0ANOS, 4MESES"/>
    <n v="0.41666666666666669"/>
    <x v="0"/>
    <x v="0"/>
    <s v="COLETA DOMICILIAR"/>
    <s v="NOTURNO"/>
    <s v="JOÃO PEDRO"/>
    <x v="0"/>
    <d v="2023-04-30T00:00:00"/>
    <s v="ABRIL"/>
    <d v="2023-05-08T00:00:00"/>
    <x v="4"/>
    <s v="MAIO"/>
    <x v="0"/>
    <d v="2023-05-08T00:00:00"/>
    <s v="QUEBRA DE PROCEDIMENTO"/>
    <s v="COLABORADOR NÃO USOU AS DEVIDAS FERRAMENTAS PARA A COLETA (PÁ E VASSOURA), EM RAZÃO DISSO, O MESMO SE FERIU NO DIA 30/04, GERANDO AFASTAMENTO."/>
  </r>
  <r>
    <n v="154"/>
    <s v="PABLO DIAS COUTINHO"/>
    <x v="111"/>
    <x v="1"/>
    <d v="2023-03-16T00:00:00"/>
    <s v="0ANOS, 1MESES"/>
    <n v="0.1388888888888889"/>
    <x v="0"/>
    <x v="0"/>
    <s v="COLETA DOMICILIAR"/>
    <s v="NOTURNO"/>
    <s v="JOÃO PEDRO"/>
    <x v="1"/>
    <d v="2023-05-05T00:00:00"/>
    <s v="MAIO"/>
    <d v="2023-05-09T00:00:00"/>
    <x v="4"/>
    <s v="MAIO"/>
    <x v="0"/>
    <d v="2023-05-10T00:00:00"/>
    <s v="FALTA"/>
    <s v="COLABORADOR FALTOU SEM JUSTIFICATIVA NO DIA 30/04, 03/05 E 05/05."/>
  </r>
  <r>
    <n v="155"/>
    <s v="FELIPE AUGUSTO BATISTA GOMES"/>
    <x v="112"/>
    <x v="1"/>
    <d v="2023-03-08T00:00:00"/>
    <s v="0ANOS, 1MESES"/>
    <n v="0.16666666666666666"/>
    <x v="0"/>
    <x v="0"/>
    <s v="COLETA DOMICILIAR"/>
    <s v="DIURNO"/>
    <s v="JOSÉ ADELMAR"/>
    <x v="0"/>
    <d v="2023-05-07T00:00:00"/>
    <s v="MAIO"/>
    <d v="2023-05-12T00:00:00"/>
    <x v="4"/>
    <s v="MAIO"/>
    <x v="0"/>
    <d v="2023-05-12T00:00:00"/>
    <s v="FALTA"/>
    <s v="FALTA INJUSTIFICADA NOS DIAS 29/04 E 05, 06, 07/05/2023 O COLABORADOR NÃO COMUNICOU SUA CHEFIA IMEDIATA."/>
  </r>
  <r>
    <n v="156"/>
    <s v="TARCILO GONZAGA DOS SANTOS"/>
    <x v="113"/>
    <x v="0"/>
    <d v="2021-01-06T00:00:00"/>
    <s v="2ANOS, 4MESES"/>
    <n v="2.3833333333333333"/>
    <x v="2"/>
    <x v="0"/>
    <s v="COLETA DOMICILIAR"/>
    <s v="NOTURNO"/>
    <s v="JOÃO PEDRO"/>
    <x v="1"/>
    <d v="2023-05-14T00:00:00"/>
    <s v="MAIO"/>
    <d v="2023-05-15T00:00:00"/>
    <x v="4"/>
    <s v="MAIO"/>
    <x v="0"/>
    <d v="2023-05-16T00:00:00"/>
    <s v="FALTA"/>
    <s v="COLABORADOR FALTOU SEM JUSTIFICATIVA NO DIA 14/05/2023."/>
  </r>
  <r>
    <n v="157"/>
    <s v="EUDES DA SILVA PINTO"/>
    <x v="69"/>
    <x v="0"/>
    <d v="2020-06-01T00:00:00"/>
    <s v="2ANOS, 11MESES"/>
    <n v="2.9916666666666667"/>
    <x v="2"/>
    <x v="1"/>
    <s v="COLETA DOMICILIAR"/>
    <s v="NOTURNO"/>
    <s v="JOÃO PEDRO"/>
    <x v="0"/>
    <d v="2023-05-14T00:00:00"/>
    <s v="MAIO"/>
    <d v="2023-05-15T00:00:00"/>
    <x v="4"/>
    <s v="MAIO"/>
    <x v="0"/>
    <d v="2023-05-15T00:00:00"/>
    <s v="FALTA"/>
    <s v="COLABORADOR FALTOU SEM JUSTIFICATIVA NO DIA 14/05/2023."/>
  </r>
  <r>
    <n v="158"/>
    <s v="SERGIO RAFAEL FERREIRA FREIRE"/>
    <x v="114"/>
    <x v="1"/>
    <d v="2023-05-05T00:00:00"/>
    <s v="0ANOS, 0MESES"/>
    <n v="2.5000000000000001E-2"/>
    <x v="0"/>
    <x v="0"/>
    <s v="COLETA DOMICILIAR"/>
    <s v="DIURNO"/>
    <s v="JOSÉ ADELMAR"/>
    <x v="0"/>
    <d v="2023-05-14T00:00:00"/>
    <s v="MAIO"/>
    <d v="2023-05-16T00:00:00"/>
    <x v="4"/>
    <s v="MAIO"/>
    <x v="0"/>
    <d v="2023-05-16T00:00:00"/>
    <s v="FALTA"/>
    <s v="FALTA INJUSTIFICADA NO DIA 14/05/2023 O COLABORADOR NÃO COMUNICOU SUA CHEFIA IMEDIATA."/>
  </r>
  <r>
    <n v="159"/>
    <s v="GIAN DOMINGOS SAMPAIO CASTRO"/>
    <x v="115"/>
    <x v="0"/>
    <d v="2020-02-04T00:00:00"/>
    <s v="3ANOS, 3MESES"/>
    <n v="3.3222222222222224"/>
    <x v="1"/>
    <x v="0"/>
    <s v="COLETA DOMICILIAR"/>
    <s v="DIURNO"/>
    <s v="JOSÉ ADELMAR"/>
    <x v="0"/>
    <d v="2023-05-15T00:00:00"/>
    <s v="MAIO"/>
    <d v="2023-05-16T00:00:00"/>
    <x v="4"/>
    <s v="MAIO"/>
    <x v="0"/>
    <d v="2023-05-16T00:00:00"/>
    <s v="FALTA"/>
    <s v="FALTA INSJUTIFICADA NO DIA 15/05/2023, O COLABORADOR NÃO COMUNICOU SUA CHEFIA IMEDIATA."/>
  </r>
  <r>
    <n v="160"/>
    <s v="EMERSON DO CANTO EVANGELISTA"/>
    <x v="116"/>
    <x v="0"/>
    <d v="2022-12-01T00:00:00"/>
    <s v="0ANOS, 5MESES"/>
    <n v="0.46666666666666667"/>
    <x v="0"/>
    <x v="0"/>
    <s v="COLETA DOMICILIAR"/>
    <s v="DIURNO"/>
    <s v="JOSÉ ADELMAR"/>
    <x v="0"/>
    <d v="2023-05-18T00:00:00"/>
    <s v="MAIO"/>
    <d v="2023-05-19T00:00:00"/>
    <x v="4"/>
    <s v="MAIO"/>
    <x v="0"/>
    <d v="2023-05-19T00:00:00"/>
    <s v="FALTA"/>
    <s v="FALTA INJUSTIFICADA NO DIA 18/05/2023, O COLABORADOR NÃO COMUNICOU SUA CHEFIA IMEDIATA."/>
  </r>
  <r>
    <n v="161"/>
    <s v="MAURICIO AUGUSTO QUEIROZ DE ARAÚJO"/>
    <x v="24"/>
    <x v="0"/>
    <d v="2022-12-01T00:00:00"/>
    <s v="0ANOS, 5MESES"/>
    <n v="0.46944444444444444"/>
    <x v="0"/>
    <x v="0"/>
    <s v="COLETA DOMICILIAR"/>
    <s v="NOTURNO"/>
    <s v="JOÃO PEDRO"/>
    <x v="0"/>
    <d v="2023-05-19T00:00:00"/>
    <s v="MAIO"/>
    <d v="2023-05-19T00:00:00"/>
    <x v="4"/>
    <s v="MAIO"/>
    <x v="0"/>
    <d v="2023-05-19T00:00:00"/>
    <s v="QUEBRA DE PROCEDIMENTO"/>
    <s v="COLABORADOR ESTAVA EM DESLOCAMENTO EM CIMA DO COXO, EM DESACORDO COM A PO-08."/>
  </r>
  <r>
    <n v="162"/>
    <s v="ANTÔNIO LUIS RIBEIRO ALEXANDRE"/>
    <x v="36"/>
    <x v="0"/>
    <d v="2022-09-01T00:00:00"/>
    <s v="0ANOS, 8MESES"/>
    <n v="0.72222222222222221"/>
    <x v="0"/>
    <x v="0"/>
    <s v="COLETA DOMICILIAR"/>
    <s v="NOTURNO"/>
    <s v="JOÃO PEDRO"/>
    <x v="0"/>
    <d v="2023-05-19T00:00:00"/>
    <s v="MAIO"/>
    <d v="2023-05-19T00:00:00"/>
    <x v="4"/>
    <s v="MAIO"/>
    <x v="0"/>
    <d v="2023-05-19T00:00:00"/>
    <s v="QUEBRA DE PROCEDIMENTO"/>
    <s v="COLABORADOR EM DESACORDO COM A PO-08 ACIONOU O COMANDO DIANTEIRO, SE ACIDENTANDO E COLOCANDO SUA SEGURANÇA E DOS DEMAIS EM RISCO."/>
  </r>
  <r>
    <n v="163"/>
    <s v="WYGUINER PRINTIS DA CRUZ"/>
    <x v="117"/>
    <x v="1"/>
    <d v="2023-03-08T00:00:00"/>
    <s v="0ANOS, 2MESES"/>
    <n v="0.18611111111111112"/>
    <x v="0"/>
    <x v="0"/>
    <s v="COLETA DOMICILIAR"/>
    <s v="NOTURNO"/>
    <s v="JOÃO PEDRO"/>
    <x v="0"/>
    <d v="2023-05-14T00:00:00"/>
    <s v="MAIO"/>
    <d v="2023-05-19T00:00:00"/>
    <x v="4"/>
    <s v="MAIO"/>
    <x v="0"/>
    <d v="2023-05-19T00:00:00"/>
    <s v="FALTA"/>
    <s v="COLABORADOR FALTOU SEM JUSTIFICATIVA NOS DIAS 13/05 R 14/05."/>
  </r>
  <r>
    <n v="164"/>
    <s v="NAUM DA SILVA CASTRO ALFAIA"/>
    <x v="71"/>
    <x v="0"/>
    <d v="2022-10-03T00:00:00"/>
    <s v="0ANOS, 7MESES"/>
    <n v="0.63611111111111107"/>
    <x v="0"/>
    <x v="0"/>
    <s v="COLETA DOMICILIAR"/>
    <s v="NOTURNO"/>
    <s v="JOÃO PEDRO"/>
    <x v="0"/>
    <d v="2023-05-20T00:00:00"/>
    <s v="MAIO"/>
    <d v="2023-05-20T00:00:00"/>
    <x v="4"/>
    <s v="MAIO"/>
    <x v="0"/>
    <d v="2023-05-20T00:00:00"/>
    <s v="QUEBRA DE PROCEDIMENTO"/>
    <s v="AGENTE DE COLETA FOI FLAGRADO ATRAVÉS DE UMA DENÚNCIA DO GSUBOP (COMPROVADA EM VÍDEOS DE CÂMERAS DE SEGURANÇA) ESCONDENDO O LIXO, O MESMO ASSUME A AUTORIA E RELATA QUE FEZ DEVIDO O MOTORISTA JÁ TER PASSADO O PONTO COM O CAMINHÃO."/>
  </r>
  <r>
    <n v="165"/>
    <s v="RAFAEL SOARES DO NASCIMENTO"/>
    <x v="118"/>
    <x v="1"/>
    <d v="2023-05-05T00:00:00"/>
    <s v="0ANOS, 0MESES"/>
    <n v="3.888888888888889E-2"/>
    <x v="0"/>
    <x v="0"/>
    <s v="COLETA DOMICILIAR"/>
    <s v="NOTURNO"/>
    <s v="JOÃO PEDRO"/>
    <x v="0"/>
    <d v="2023-05-19T00:00:00"/>
    <s v="MAIO"/>
    <d v="2023-05-20T00:00:00"/>
    <x v="4"/>
    <s v="MAIO"/>
    <x v="0"/>
    <d v="2023-05-20T00:00:00"/>
    <s v="FALTA"/>
    <s v="AGENTE DE COLETA  FALTOU SEM JUSTIFICATIVA NO DIA 19/05/2023."/>
  </r>
  <r>
    <n v="166"/>
    <s v="RIVALDO CONDERA DO NASCIMENTO JUNIOR"/>
    <x v="119"/>
    <x v="0"/>
    <d v="2022-09-01T00:00:00"/>
    <s v="0ANOS, 8MESES"/>
    <n v="0.72499999999999998"/>
    <x v="0"/>
    <x v="0"/>
    <s v="COLETA DOMICILIAR"/>
    <s v="NOTURNO"/>
    <s v="JOÃO PEDRO"/>
    <x v="0"/>
    <d v="2023-05-20T00:00:00"/>
    <s v="MAIO"/>
    <d v="2023-05-20T00:00:00"/>
    <x v="4"/>
    <s v="MAIO"/>
    <x v="0"/>
    <d v="2023-05-20T00:00:00"/>
    <s v="INSUBORDINAÇÃO"/>
    <s v="COLABORADOR SE NEGOU A BATER UMA CAIXA DE LIXO, ALÉM DE CAUSAR PROBLEMAS COM OUTROS AGENTES DE COLETA."/>
  </r>
  <r>
    <n v="167"/>
    <s v="CARLOS LOBO VIANA"/>
    <x v="120"/>
    <x v="1"/>
    <d v="2023-03-16T00:00:00"/>
    <s v="0ANOS, 2MESES"/>
    <n v="0.18333333333333332"/>
    <x v="0"/>
    <x v="0"/>
    <s v="COLETA DOMICILIAR"/>
    <s v="DIURNO"/>
    <s v="JOSÉ ADELMAR"/>
    <x v="0"/>
    <d v="2023-05-21T00:00:00"/>
    <s v="MAIO"/>
    <d v="2023-05-21T00:00:00"/>
    <x v="4"/>
    <s v="MAIO"/>
    <x v="0"/>
    <d v="2023-05-22T00:00:00"/>
    <s v="FALTA"/>
    <s v="O COLABORADOR FALTOU NO DIA 21/05/2023, NÃO COMUNICOU SUA CHEFIA IMEDIATA."/>
  </r>
  <r>
    <n v="168"/>
    <s v="WARLEM CAVALCANTE RENOVATO"/>
    <x v="121"/>
    <x v="1"/>
    <d v="2023-03-08T00:00:00"/>
    <s v="0ANOS, 2MESES"/>
    <n v="0.20555555555555555"/>
    <x v="0"/>
    <x v="0"/>
    <s v="COLETA DOMICILIAR"/>
    <s v="NOTURNO"/>
    <s v="JOÃO PEDRO"/>
    <x v="0"/>
    <d v="2023-05-21T00:00:00"/>
    <s v="MAIO"/>
    <d v="2023-05-26T00:00:00"/>
    <x v="4"/>
    <s v="MAIO"/>
    <x v="0"/>
    <d v="2023-05-26T00:00:00"/>
    <s v="FALTA"/>
    <s v="COLABORADOR FALTOU SEM JUSTIFICATIVA NO DIA 19/05, 20/05 E 21/05."/>
  </r>
  <r>
    <n v="169"/>
    <s v="EDUARDO MORAES DE SOUZA"/>
    <x v="106"/>
    <x v="0"/>
    <d v="2020-11-09T00:00:00"/>
    <s v="2ANOS, 6MESES"/>
    <n v="2.5805555555555557"/>
    <x v="2"/>
    <x v="0"/>
    <s v="COLETA DOMICILIAR"/>
    <s v="DIURNO"/>
    <s v="JOSÉ ADELMAR"/>
    <x v="1"/>
    <d v="2023-05-27T00:00:00"/>
    <s v="MAIO"/>
    <d v="2023-05-27T00:00:00"/>
    <x v="4"/>
    <s v="MAIO"/>
    <x v="0"/>
    <d v="2023-05-28T00:00:00"/>
    <s v="INSUBORDINAÇÃO"/>
    <s v="FOI INFORMADO VARIAS VEZES AO COLABORADOR PRA PROCURAR O ANALISTA NO FINAL DO EXPEDIENTE, O MESMO VEM DESCUMPRINDO O PROCEDIMENTO DA EMPRESA ELE VEIO E FOI EMBORA SEM FALAR COM O ANALISTA."/>
  </r>
  <r>
    <n v="170"/>
    <s v="DANIEL MACHADO DE SOUZA"/>
    <x v="122"/>
    <x v="0"/>
    <d v="2022-05-02T00:00:00"/>
    <s v="1ANOS, 0MESES"/>
    <n v="1.0833333333333333"/>
    <x v="2"/>
    <x v="0"/>
    <s v="COLETA DOMICILIAR"/>
    <s v="DIURNO"/>
    <s v="JOSÉ ADELMAR"/>
    <x v="0"/>
    <d v="2023-05-27T00:00:00"/>
    <s v="MAIO"/>
    <d v="2023-05-29T00:00:00"/>
    <x v="4"/>
    <s v="MAIO"/>
    <x v="0"/>
    <d v="2023-05-29T00:00:00"/>
    <s v="FALTA"/>
    <s v="O COLABORADOR FALTOU NO DIA 27/05/2023, SEM COMUNICAR SUA CHEFIA IMEDIATA."/>
  </r>
  <r>
    <n v="171"/>
    <s v="RAIRO TEIXEIRA LEÃO"/>
    <x v="66"/>
    <x v="0"/>
    <d v="2023-01-12T00:00:00"/>
    <s v="0ANOS, 4MESES"/>
    <n v="0.375"/>
    <x v="0"/>
    <x v="1"/>
    <s v="COLETA DOMICILIAR"/>
    <s v="NOTURNO"/>
    <s v="JOÃO PEDRO"/>
    <x v="0"/>
    <d v="2023-05-27T00:00:00"/>
    <s v="MAIO"/>
    <d v="2023-05-30T00:00:00"/>
    <x v="4"/>
    <s v="MAIO"/>
    <x v="0"/>
    <d v="2023-05-30T00:00:00"/>
    <s v="EXCESSO DE VELOCIDADE"/>
    <s v="COLABORADOR EXCEDEU O LIMITE DE VELOCIDADE NO DIA 27/05 CHEGANDO Á 73 KM/H."/>
  </r>
  <r>
    <n v="172"/>
    <s v="LEONARDO DA SILVA ROCHA"/>
    <x v="123"/>
    <x v="0"/>
    <d v="2022-10-06T00:00:00"/>
    <s v="0ANOS, 7MESES"/>
    <n v="0.63055555555555554"/>
    <x v="0"/>
    <x v="0"/>
    <s v="COLETA DOMICILIAR"/>
    <s v="NOTURNO"/>
    <s v="JOÃO PEDRO"/>
    <x v="0"/>
    <d v="2023-05-21T00:00:00"/>
    <s v="MAIO"/>
    <d v="2023-06-01T00:00:00"/>
    <x v="5"/>
    <s v="JUNHO"/>
    <x v="0"/>
    <d v="2023-06-01T00:00:00"/>
    <s v="FALTA"/>
    <s v="COLABORADOR FALTOU SEM JUSTIFICATIVA NOS DIAS 20/05 E 21/05."/>
  </r>
  <r>
    <n v="173"/>
    <s v="EDUARDO MORAES DE SOUZA"/>
    <x v="106"/>
    <x v="0"/>
    <d v="2020-11-09T00:00:00"/>
    <s v="2ANOS, 6MESES"/>
    <n v="2.5916666666666668"/>
    <x v="2"/>
    <x v="0"/>
    <s v="COLETA DOMICILIAR"/>
    <s v="DIURNO"/>
    <s v="JOSÉ ADELMAR"/>
    <x v="1"/>
    <d v="2023-05-31T00:00:00"/>
    <s v="MAIO"/>
    <d v="2023-06-01T00:00:00"/>
    <x v="5"/>
    <s v="JUNHO"/>
    <x v="0"/>
    <d v="2023-06-04T00:00:00"/>
    <s v="FALTA"/>
    <s v="O COLABORADOR FALTOU NO DIA 31/05/2023 SEM COMUNICAR SUA CHEFIA IMEDIATA."/>
  </r>
  <r>
    <n v="174"/>
    <s v="GABRIEL REMEDIOS DOS SANTOS OLIVEIRA"/>
    <x v="124"/>
    <x v="0"/>
    <d v="2023-03-08T00:00:00"/>
    <s v="0ANOS, 2MESES"/>
    <n v="0.2361111111111111"/>
    <x v="0"/>
    <x v="0"/>
    <s v="COLETA DOMICILIAR"/>
    <s v="NOTURNO"/>
    <s v="JOÃO PEDRO"/>
    <x v="0"/>
    <d v="2023-06-01T00:00:00"/>
    <s v="JUNHO"/>
    <d v="2023-06-02T00:00:00"/>
    <x v="5"/>
    <s v="JUNHO"/>
    <x v="0"/>
    <d v="2023-06-02T00:00:00"/>
    <s v="FALTA"/>
    <s v="COLABORADOR FALTOU SEM JUSTIFICATIVA NOS DIAS 31/05 E 01/06."/>
  </r>
  <r>
    <n v="175"/>
    <s v="RAIMUNDO ALMEIDA FLORENTINO"/>
    <x v="125"/>
    <x v="1"/>
    <d v="2023-05-05T00:00:00"/>
    <s v="0ANOS, 0MESES"/>
    <n v="7.7777777777777779E-2"/>
    <x v="0"/>
    <x v="0"/>
    <s v="COLETA DOMICILIAR"/>
    <s v="DIURNO"/>
    <s v="JOSÉ ADELMAR"/>
    <x v="0"/>
    <d v="2023-06-02T00:00:00"/>
    <s v="JUNHO"/>
    <d v="2023-06-03T00:00:00"/>
    <x v="5"/>
    <s v="JUNHO"/>
    <x v="0"/>
    <d v="2023-06-03T00:00:00"/>
    <s v="FALTA"/>
    <s v="O COLABORADOR FALTOU NO DIA 02/06/2023 SEM COMUNICAR SUA CHEFIA IMEDIATA."/>
  </r>
  <r>
    <n v="176"/>
    <s v="WENDELL FRANCO GIBSON"/>
    <x v="20"/>
    <x v="0"/>
    <d v="2022-11-03T00:00:00"/>
    <s v="0ANOS, 7MESES"/>
    <n v="0.58888888888888891"/>
    <x v="0"/>
    <x v="0"/>
    <s v="COLETA DOMICILIAR"/>
    <s v="NOTURNO"/>
    <s v="JOÃO PEDRO"/>
    <x v="0"/>
    <d v="2023-06-03T00:00:00"/>
    <s v="JUNHO"/>
    <d v="2023-06-05T00:00:00"/>
    <x v="5"/>
    <s v="JUNHO"/>
    <x v="0"/>
    <d v="2023-06-05T00:00:00"/>
    <s v="FALTA"/>
    <s v="COLABORADOR FALTOU SEM JUSTIFICATIVA NO DIA 03/06/2023."/>
  </r>
  <r>
    <n v="177"/>
    <s v="EDILSON LUIZ CARVALHO DE OLIVEIRA"/>
    <x v="15"/>
    <x v="0"/>
    <d v="2022-01-17T00:00:00"/>
    <s v="1ANOS, 4MESES"/>
    <n v="1.3972222222222221"/>
    <x v="2"/>
    <x v="0"/>
    <s v="COLETA DOMICILIAR"/>
    <s v="NOTURNO"/>
    <s v="JOÃO PEDRO"/>
    <x v="0"/>
    <d v="2023-06-04T00:00:00"/>
    <s v="JUNHO"/>
    <d v="2023-06-05T00:00:00"/>
    <x v="5"/>
    <s v="JUNHO"/>
    <x v="0"/>
    <d v="2023-06-05T00:00:00"/>
    <s v="FALTA"/>
    <s v="COLABORADOR FALTOU SEM JUSTIFICATIVA NO PLANTÃO DE DOMINGO 04/06/2023."/>
  </r>
  <r>
    <n v="178"/>
    <s v="FRANCISCO MAGNO DE ALMEIDA OLIVEIRA"/>
    <x v="126"/>
    <x v="0"/>
    <d v="2022-10-06T00:00:00"/>
    <s v="0ANOS, 7MESES"/>
    <n v="0.66666666666666663"/>
    <x v="0"/>
    <x v="0"/>
    <s v="COLETA DOMICILIAR"/>
    <s v="NOTURNO"/>
    <s v="JOÃO PEDRO"/>
    <x v="0"/>
    <d v="2023-06-03T00:00:00"/>
    <s v="JUNHO"/>
    <d v="2023-06-05T00:00:00"/>
    <x v="5"/>
    <s v="JUNHO"/>
    <x v="0"/>
    <d v="2023-06-05T00:00:00"/>
    <s v="FALTA"/>
    <s v="COLABORADOR FALTOU SEM JUSTIFICATIVA NO DIA 31/05 AO 03/06/2023."/>
  </r>
  <r>
    <n v="179"/>
    <s v="RAYLANDER BATISTA DA SILVA"/>
    <x v="107"/>
    <x v="1"/>
    <d v="2022-04-06T00:00:00"/>
    <s v="1ANOS, 1MESES"/>
    <n v="1.1777777777777778"/>
    <x v="2"/>
    <x v="0"/>
    <s v="COLETA DOMICILIAR"/>
    <s v="DIURNO"/>
    <s v="JOSÉ ADELMAR"/>
    <x v="0"/>
    <d v="2023-06-04T00:00:00"/>
    <s v="JUNHO"/>
    <d v="2023-06-05T00:00:00"/>
    <x v="5"/>
    <s v="JUNHO"/>
    <x v="0"/>
    <d v="2023-06-05T00:00:00"/>
    <s v="FALTA"/>
    <s v="COLABORADOR FALTOU NOS DIAS 03/06 E 04/06/2023 SEM COMUNICAR SUA CHEFIA IMEDIATA."/>
  </r>
  <r>
    <n v="180"/>
    <s v="GUSTAVO HENRIQUE DIAS CAVALCANTE"/>
    <x v="127"/>
    <x v="1"/>
    <d v="2023-05-05T00:00:00"/>
    <s v="0ANOS, 1MESES"/>
    <n v="8.611111111111111E-2"/>
    <x v="0"/>
    <x v="0"/>
    <s v="COLETA DOMICILIAR"/>
    <s v="DIURNO"/>
    <s v="JOSÉ ADELMAR"/>
    <x v="0"/>
    <d v="2023-06-05T00:00:00"/>
    <s v="JUNHO"/>
    <d v="2023-06-06T00:00:00"/>
    <x v="5"/>
    <s v="JUNHO"/>
    <x v="0"/>
    <d v="2023-06-06T00:00:00"/>
    <s v="FALTA"/>
    <s v="O COLABORADOR FALTOU NOS DIAS 03/06/2023 E 05/06/2023 SEM COMUNICAR SUA CHEFIA IMEDIATA."/>
  </r>
  <r>
    <n v="181"/>
    <s v="ALESSANDRO BRITO AMORIM"/>
    <x v="128"/>
    <x v="0"/>
    <d v="2022-11-03T00:00:00"/>
    <s v="0ANOS, 7MESES"/>
    <n v="0.59166666666666667"/>
    <x v="0"/>
    <x v="0"/>
    <s v="COLETA DOMICILIAR"/>
    <s v="NOTURNO"/>
    <s v="JOÃO PEDRO"/>
    <x v="0"/>
    <d v="2023-06-04T00:00:00"/>
    <s v="JUNHO"/>
    <d v="2023-06-06T00:00:00"/>
    <x v="5"/>
    <s v="JUNHO"/>
    <x v="0"/>
    <d v="2023-06-06T00:00:00"/>
    <s v="FALTA"/>
    <s v="COLABORADOR FALTOU SEM JUSTIFICATIVA NO DOMINGO DIA 04/06."/>
  </r>
  <r>
    <n v="182"/>
    <s v="JAMES MARINIS DA CRUZ"/>
    <x v="129"/>
    <x v="1"/>
    <d v="2023-05-05T00:00:00"/>
    <s v="0ANOS, 0MESES"/>
    <n v="7.4999999999999997E-2"/>
    <x v="0"/>
    <x v="0"/>
    <s v="COLETA DOMICILIAR"/>
    <s v="DIURNO"/>
    <s v="JOSÉ ADELMAR"/>
    <x v="0"/>
    <d v="2023-06-01T00:00:00"/>
    <s v="JUNHO"/>
    <d v="2023-06-07T00:00:00"/>
    <x v="5"/>
    <s v="JUNHO"/>
    <x v="0"/>
    <d v="2023-06-01T00:00:00"/>
    <s v="FALTA"/>
    <s v="O COLABORADOR FALTOU NO DIA 01/06/2023 SEM COMUNICAR SUA CHEFIA IMEDIATA."/>
  </r>
  <r>
    <n v="183"/>
    <s v="WILKER BRAGA GOMES"/>
    <x v="130"/>
    <x v="1"/>
    <d v="2022-11-03T00:00:00"/>
    <s v="0ANOS, 7MESES"/>
    <n v="0.59166666666666667"/>
    <x v="0"/>
    <x v="0"/>
    <s v="COLETA DOMICILIAR"/>
    <s v="NOTURNO"/>
    <s v="JOÃO PEDRO"/>
    <x v="0"/>
    <d v="2023-06-04T00:00:00"/>
    <s v="JUNHO"/>
    <d v="2023-06-07T00:00:00"/>
    <x v="5"/>
    <s v="JUNHO"/>
    <x v="0"/>
    <d v="2023-06-04T00:00:00"/>
    <s v="FALTA"/>
    <s v="COLABORADOR FALTOU SEM JUSTIFICATIVA NO DOMINGO DIA 04/06."/>
  </r>
  <r>
    <n v="184"/>
    <s v="KAIQUE SANTOS MONTEIRO"/>
    <x v="58"/>
    <x v="0"/>
    <d v="2021-10-18T00:00:00"/>
    <s v="1ANOS, 7MESES"/>
    <n v="1.6583333333333334"/>
    <x v="2"/>
    <x v="1"/>
    <s v="COLETA DOMICILIAR"/>
    <s v="DIURNO"/>
    <s v="JOSÉ ADELMAR"/>
    <x v="0"/>
    <d v="2023-06-07T00:00:00"/>
    <s v="JUNHO"/>
    <d v="2023-06-07T00:00:00"/>
    <x v="5"/>
    <s v="JUNHO"/>
    <x v="0"/>
    <d v="2023-06-07T00:00:00"/>
    <s v="EXCESSO DE VELOCIDADE"/>
    <s v="O MOTORISTA EXCEDEU O LIMITE DE VELOCIDADE PERMITIDO PELA EMPRESA CHEGANDO A 71 KM."/>
  </r>
  <r>
    <n v="185"/>
    <s v="THAISSA CUNHA DOS SANTOS"/>
    <x v="131"/>
    <x v="2"/>
    <d v="2021-09-01T00:00:00"/>
    <s v="1ANOS, 9MESES"/>
    <n v="1.7861111111111112"/>
    <x v="2"/>
    <x v="5"/>
    <s v="EDUCAÇÃO AMBIENTAL"/>
    <s v="VESPERTINO"/>
    <s v="ELISÂNGELA COSTA"/>
    <x v="0"/>
    <d v="2023-06-06T00:00:00"/>
    <s v="JUNHO"/>
    <d v="2023-06-09T00:00:00"/>
    <x v="5"/>
    <s v="JUNHO"/>
    <x v="0"/>
    <d v="2023-06-09T00:00:00"/>
    <s v="FALTA"/>
    <s v="FALTA NÃO JUSTIFICADA NO DIA 06/06/2023 NO CURSO DE APRENDIZAGEM, INFORMOU QUE FOI BUSCAR ATENDIMENTO, PORÉM NÃO APRESENTOU NENHUM DOCUMENTO."/>
  </r>
  <r>
    <n v="186"/>
    <s v="MARCOS VINICIUS DE CASTRO RIBEIRO"/>
    <x v="132"/>
    <x v="0"/>
    <d v="2022-05-02T00:00:00"/>
    <s v="1ANOS, 1MESES"/>
    <n v="1.1194444444444445"/>
    <x v="2"/>
    <x v="0"/>
    <s v="COLETA DOMICILIAR"/>
    <s v="DIURNO"/>
    <s v="JOSÉ ADELMAR"/>
    <x v="0"/>
    <d v="2023-06-09T00:00:00"/>
    <s v="JUNHO"/>
    <d v="2023-06-10T00:00:00"/>
    <x v="5"/>
    <s v="JUNHO"/>
    <x v="0"/>
    <d v="2023-06-10T00:00:00"/>
    <s v="FALTA"/>
    <s v="O COLABORADOR FALTOU NO DIA 09/06/2023 SEM COMUNICAR SUA CHEFIA IMEDIATA."/>
  </r>
  <r>
    <n v="187"/>
    <s v="RAIMUNDO ALMEIDA FLORENTINO"/>
    <x v="125"/>
    <x v="1"/>
    <d v="2023-05-05T00:00:00"/>
    <s v="0ANOS, 1MESES"/>
    <n v="9.7222222222222224E-2"/>
    <x v="0"/>
    <x v="0"/>
    <s v="COLETA DOMICILIAR"/>
    <s v="DIURNO"/>
    <s v="JOSÉ ADELMAR"/>
    <x v="1"/>
    <d v="2023-06-09T00:00:00"/>
    <s v="JUNHO"/>
    <d v="2023-06-10T00:00:00"/>
    <x v="5"/>
    <s v="JUNHO"/>
    <x v="0"/>
    <d v="2023-06-11T00:00:00"/>
    <s v="FALTA"/>
    <s v="O COLABORADOR FALTOU NO DIA 04/06 E 09/06/2023 SEM COMUNICAR SUA CHEFIA IMEDIATA."/>
  </r>
  <r>
    <n v="188"/>
    <s v="IOMAR CASTRO DA COSTA JUNIOR"/>
    <x v="48"/>
    <x v="0"/>
    <d v="2021-02-17T00:00:00"/>
    <s v="2ANOS, 2MESES"/>
    <n v="2.2000000000000002"/>
    <x v="2"/>
    <x v="1"/>
    <s v="COLETA DOMICILIAR"/>
    <s v="DIURNO"/>
    <s v="JOSÉ ADELMAR"/>
    <x v="0"/>
    <d v="2023-04-20T00:00:00"/>
    <s v="ABRIL"/>
    <d v="2023-06-10T00:00:00"/>
    <x v="5"/>
    <s v="JUNHO"/>
    <x v="0"/>
    <d v="2023-06-10T00:00:00"/>
    <s v="EXCESSO DE VELOCIDADE"/>
    <s v="NO DIA 20/04/2023 O MOTORISTA ESTAVA CONDUZINDO O VEÍCULO DE PREF. 01.702-20 - EXCEDEU O LIMITE DE VELOCIDADE PERMITIDO PELA EMPRESA 75 KM."/>
  </r>
  <r>
    <n v="189"/>
    <s v="WILKER BRAGA GOMES"/>
    <x v="130"/>
    <x v="0"/>
    <d v="2022-11-03T00:00:00"/>
    <s v="0ANOS, 7MESES"/>
    <n v="0.60555555555555551"/>
    <x v="0"/>
    <x v="0"/>
    <s v="COLETA DOMICILIAR"/>
    <s v="NOTURNO"/>
    <s v="JOÃO PEDRO"/>
    <x v="0"/>
    <d v="2023-06-09T00:00:00"/>
    <s v="JUNHO"/>
    <d v="2023-06-11T00:00:00"/>
    <x v="5"/>
    <s v="JUNHO"/>
    <x v="0"/>
    <d v="2023-06-11T00:00:00"/>
    <s v="FALTA"/>
    <s v="COLABORADOR FALTOU SEM JUSTIFICATIVA NO DIA 09/06/2023."/>
  </r>
  <r>
    <n v="190"/>
    <s v="CARLOS LOBO VIANA"/>
    <x v="120"/>
    <x v="1"/>
    <d v="2023-03-16T00:00:00"/>
    <s v="0ANOS, 2MESES"/>
    <n v="0.24166666666666667"/>
    <x v="0"/>
    <x v="0"/>
    <s v="COLETA DOMICILIAR"/>
    <s v="DIURNO"/>
    <s v="JOSÉ ADELMAR"/>
    <x v="1"/>
    <d v="2023-06-11T00:00:00"/>
    <s v="JUNHO"/>
    <d v="2023-06-12T00:00:00"/>
    <x v="5"/>
    <s v="JUNHO"/>
    <x v="0"/>
    <d v="2023-06-13T00:00:00"/>
    <s v="FALTA"/>
    <s v="O COLABORADOR FALTOU NO DIA 11/06/2023 SEM COMUNICAR SUA CHEFIA IMEDIATA."/>
  </r>
  <r>
    <n v="191"/>
    <s v="RENILSON HONORATO TAVARES DOS SANTOS"/>
    <x v="133"/>
    <x v="1"/>
    <d v="2023-05-05T00:00:00"/>
    <s v="0ANOS, 1MESES"/>
    <n v="0.10277777777777777"/>
    <x v="0"/>
    <x v="0"/>
    <s v="COLETA DOMICILIAR"/>
    <s v="DIURNO"/>
    <s v="JOSÉ ADELMAR"/>
    <x v="0"/>
    <d v="2023-06-11T00:00:00"/>
    <s v="JUNHO"/>
    <d v="2023-06-12T00:00:00"/>
    <x v="5"/>
    <s v="JUNHO"/>
    <x v="0"/>
    <d v="2023-06-12T00:00:00"/>
    <s v="FALTA"/>
    <s v="O COLABORADOR FALTOU NO DIA 11/06/2023 SEM COMUNICAR SUA CHEFIA IMEDIATA."/>
  </r>
  <r>
    <n v="192"/>
    <s v="LEONAN NEGREIROS DA SILVA "/>
    <x v="134"/>
    <x v="0"/>
    <d v="2023-02-09T00:00:00"/>
    <s v="0ANOS, 4MESES"/>
    <n v="0.33888888888888891"/>
    <x v="0"/>
    <x v="1"/>
    <s v="COLETA DOMICILIAR"/>
    <s v="NOTURNO"/>
    <s v="JOÃO PEDRO"/>
    <x v="0"/>
    <d v="2023-06-11T00:00:00"/>
    <s v="JUNHO"/>
    <d v="2023-06-12T00:00:00"/>
    <x v="5"/>
    <s v="JUNHO"/>
    <x v="0"/>
    <d v="2023-06-12T00:00:00"/>
    <s v="FALTA"/>
    <s v="COLABORADOR FALTOU SEM JUSTIFICATIVA NO DIA 11/06/2023."/>
  </r>
  <r>
    <n v="193"/>
    <s v="PABLO DIAS COUTINHO"/>
    <x v="111"/>
    <x v="1"/>
    <d v="2023-03-16T00:00:00"/>
    <s v="0ANOS, 2MESES"/>
    <n v="0.24166666666666667"/>
    <x v="0"/>
    <x v="0"/>
    <s v="COLETA DOMICILIAR"/>
    <s v="NOTURNO"/>
    <s v="JOÃO PEDRO"/>
    <x v="1"/>
    <d v="2023-06-11T00:00:00"/>
    <s v="JUNHO"/>
    <d v="2023-06-14T00:00:00"/>
    <x v="5"/>
    <s v="JUNHO"/>
    <x v="0"/>
    <d v="2023-06-17T00:00:00"/>
    <s v="FALTA"/>
    <s v="COLABORADOR FALTOU SEM JUSTIFICATIVA NO DIA 11/06/2023."/>
  </r>
  <r>
    <n v="194"/>
    <s v="MOIZES PEREIRA"/>
    <x v="135"/>
    <x v="0"/>
    <d v="2021-04-19T00:00:00"/>
    <s v="2ANOS, 1MESES"/>
    <n v="2.1833333333333331"/>
    <x v="2"/>
    <x v="0"/>
    <s v="COLETA DOMICILIAR"/>
    <s v="DIURNO"/>
    <s v="JOSÉ ADELMAR"/>
    <x v="0"/>
    <d v="2023-06-14T00:00:00"/>
    <s v="JUNHO"/>
    <d v="2023-06-15T00:00:00"/>
    <x v="5"/>
    <s v="JUNHO"/>
    <x v="0"/>
    <d v="2023-06-16T00:00:00"/>
    <s v="INSUBORDINAÇÃO"/>
    <s v="NO DIA 14/06/2023 O FISCAL FOI ORIENTAR O AGENTE DE COLETA SOBRE OS PROCEDIMENTOS DE COLETA E O COLABORADOR DESFERIU PALAVRAS DE BAIXO CALÃO. (OCORRENDO QUEBRA DE HIERARQUIA.)"/>
  </r>
  <r>
    <n v="195"/>
    <s v="EDUARDO SILVA DE OLIVEIRA"/>
    <x v="91"/>
    <x v="0"/>
    <d v="2022-12-07T00:00:00"/>
    <s v="0ANOS, 6MESES"/>
    <n v="0.53333333333333333"/>
    <x v="0"/>
    <x v="0"/>
    <s v="COLETA DOMICILIAR"/>
    <s v="NOTURNO"/>
    <s v="JOÃO PEDRO"/>
    <x v="0"/>
    <d v="2023-06-17T00:00:00"/>
    <s v="JUNHO"/>
    <d v="2023-06-18T00:00:00"/>
    <x v="5"/>
    <s v="JUNHO"/>
    <x v="0"/>
    <d v="2023-06-18T00:00:00"/>
    <s v="FALTA"/>
    <s v="COLABORADOR FALTOU SEM JUSTIFICATIVA NO DIA 17/06/2023."/>
  </r>
  <r>
    <n v="196"/>
    <s v="FABIO BRITO DOS SANTOS"/>
    <x v="136"/>
    <x v="1"/>
    <d v="2023-03-16T00:00:00"/>
    <s v="0ANOS, 3MESES"/>
    <n v="0.26111111111111113"/>
    <x v="0"/>
    <x v="0"/>
    <s v="COLETA DOMICILIAR"/>
    <s v="DIURNO"/>
    <s v="JOSÉ ADELMAR"/>
    <x v="0"/>
    <d v="2023-06-18T00:00:00"/>
    <s v="JUNHO"/>
    <d v="2023-06-19T00:00:00"/>
    <x v="5"/>
    <s v="JUNHO"/>
    <x v="0"/>
    <d v="2023-06-19T00:00:00"/>
    <s v="FALTA"/>
    <s v="O COLABORADOR FALTOU NO DIA 18/06/2023 NO PLANTÃO DE DOMINGO SEM COMUNICAR SUA CHEFIA IMEDIATA."/>
  </r>
  <r>
    <n v="197"/>
    <s v="FRANCISCO DA SILVA ANTUNES"/>
    <x v="137"/>
    <x v="0"/>
    <d v="2020-09-01T00:00:00"/>
    <s v="2ANOS, 10MESES"/>
    <n v="2.9388888888888891"/>
    <x v="2"/>
    <x v="1"/>
    <s v="COLETA DOMICILIAR"/>
    <s v="DIURNO"/>
    <s v="ANA CAROLINA"/>
    <x v="0"/>
    <d v="2023-07-26T00:00:00"/>
    <s v="JULHO"/>
    <d v="2023-07-31T00:00:00"/>
    <x v="6"/>
    <s v="JULHO"/>
    <x v="0"/>
    <d v="2023-08-01T00:00:00"/>
    <s v="EXCESSO DE VELOCIDADE"/>
    <s v="EXCEDEU O LIMITE DE VELOCIDADE PERMITIDO PELA EMPRESA NO DIA 26/07/2023, CHEGANDO A 81 KM."/>
  </r>
  <r>
    <n v="198"/>
    <s v="EDUARDO MORAES DE SOOUZA"/>
    <x v="106"/>
    <x v="0"/>
    <d v="2020-11-09T00:00:00"/>
    <s v="2ANOS, 8MESES"/>
    <n v="2.7638888888888888"/>
    <x v="2"/>
    <x v="0"/>
    <s v="COLETA DOMICILIAR"/>
    <s v="DIURNO"/>
    <s v="ANA CAROLINA"/>
    <x v="1"/>
    <d v="2023-08-01T00:00:00"/>
    <s v="AGOSTO"/>
    <d v="2023-08-01T00:00:00"/>
    <x v="7"/>
    <s v="AGOSTO"/>
    <x v="0"/>
    <d v="2023-08-02T00:00:00"/>
    <s v="QUEBRA DE PROCEDIMENTO"/>
    <s v="COLABORADOR EM COLETA NA ROTA 90.1.122, TEVE UMA DISCUSSÃO JUNTO AO MORADOR, GERANDO INSATISFAÇÃO E RECLAMAÇÕES POSTERIORES JUNTO AO CLIENTE."/>
  </r>
  <r>
    <n v="199"/>
    <s v="WAGNER CARVALHO DE OLIVEIRA"/>
    <x v="138"/>
    <x v="0"/>
    <d v="2023-02-09T00:00:00"/>
    <s v="0ANOS, 5MESES"/>
    <n v="0.48055555555555557"/>
    <x v="0"/>
    <x v="1"/>
    <s v="COLETA DOMICILIAR"/>
    <s v="DIURNO"/>
    <s v="ANA CAROLINA"/>
    <x v="0"/>
    <d v="2023-08-01T00:00:00"/>
    <s v="AGOSTO"/>
    <d v="2023-08-01T00:00:00"/>
    <x v="7"/>
    <s v="AGOSTO"/>
    <x v="0"/>
    <d v="2023-08-01T00:00:00"/>
    <s v="QUEBRA DE PROCEDIMENTO"/>
    <s v="REALIZAR MANOBRA DE RÉ PERMITINDO QUE O AGENTE DE COLETA PERMANEÇA NO ESTRIBO DO CAMINHÃO 90.1.122."/>
  </r>
  <r>
    <n v="200"/>
    <s v="WILSON DA SILVA FAUSTINO"/>
    <x v="139"/>
    <x v="0"/>
    <d v="2022-11-03T00:00:00"/>
    <s v="0ANOS, 8MESES"/>
    <n v="0.74722222222222223"/>
    <x v="0"/>
    <x v="0"/>
    <s v="COLETA DOMICILIAR"/>
    <s v="NOTURNO"/>
    <s v="JOÃO PEDRO"/>
    <x v="0"/>
    <d v="2023-07-30T00:00:00"/>
    <s v="JULHO"/>
    <d v="2023-08-01T00:00:00"/>
    <x v="7"/>
    <s v="AGOSTO"/>
    <x v="0"/>
    <d v="2023-08-01T00:00:00"/>
    <s v="FALTA"/>
    <s v="O COLABORADOR FALTOU NO DIA 30/07/2023 O MESMO NÃO APRESENTOU NENHUMA JUSTIFICATIVA."/>
  </r>
  <r>
    <n v="201"/>
    <s v="FRANCISCO MAGNO DE ALMEIDA OLIVEIRA"/>
    <x v="140"/>
    <x v="0"/>
    <d v="2022-10-03T00:00:00"/>
    <s v="0ANOS, 9MESES"/>
    <n v="0.8305555555555556"/>
    <x v="0"/>
    <x v="0"/>
    <s v="COLETA DOMICILIAR"/>
    <s v="NOTURNO"/>
    <s v="JOÃO PEDRO"/>
    <x v="1"/>
    <d v="2023-07-29T00:00:00"/>
    <s v="JULHO"/>
    <d v="2023-08-01T00:00:00"/>
    <x v="7"/>
    <s v="AGOSTO"/>
    <x v="0"/>
    <d v="2023-08-01T00:00:00"/>
    <s v="FALTA"/>
    <s v="COLABORADOR FALTOU NO DIA 29/07/2023 E O MESMO NÃO APRESENTOU NENHUMA JUSTIFICATIVA."/>
  </r>
  <r>
    <n v="202"/>
    <s v="NAUM DA SILVA CASTRIO ALFAIA"/>
    <x v="71"/>
    <x v="0"/>
    <d v="2022-10-03T00:00:00"/>
    <s v="0ANOS, 9MESES"/>
    <n v="0.83888888888888891"/>
    <x v="0"/>
    <x v="0"/>
    <s v="COLETA DOMICILIAR"/>
    <s v="NOTURNO"/>
    <s v="JOÃO PEDRO"/>
    <x v="1"/>
    <d v="2023-08-01T00:00:00"/>
    <s v="AGOSTO"/>
    <d v="2023-08-02T00:00:00"/>
    <x v="7"/>
    <s v="AGOSTO"/>
    <x v="0"/>
    <d v="2023-08-05T00:00:00"/>
    <s v="FALTA"/>
    <s v="O COLABORADOR FALTOU NOS DIAS 31/07 E 01/08 E NÃO APRESENTOU NENHUMA JUSTIFICATIVA."/>
  </r>
  <r>
    <n v="203"/>
    <s v="LUCIANO MENEZES DA SILVA"/>
    <x v="141"/>
    <x v="0"/>
    <d v="2021-01-03T00:00:00"/>
    <s v="2ANOS, 6MESES"/>
    <n v="2.6111111111111112"/>
    <x v="2"/>
    <x v="1"/>
    <s v="COLETA DOMICILIAR"/>
    <s v="DIURNO"/>
    <s v="ANA CAROLINA"/>
    <x v="0"/>
    <d v="2023-08-01T00:00:00"/>
    <s v="AGOSTO"/>
    <d v="2023-08-03T00:00:00"/>
    <x v="7"/>
    <s v="AGOSTO"/>
    <x v="0"/>
    <d v="2023-08-03T00:00:00"/>
    <s v="EXCESSO DE VELOCIDADE"/>
    <s v="EXCEDEU O LIMITE DE VELOCIDADE PERMITIDO PELA EMPRESA NO DIA 01/08 AS 06:56H CHEGANDO A 72 KM."/>
  </r>
  <r>
    <n v="204"/>
    <s v="BRUNO RAFAEL GAMA RODRIGUES"/>
    <x v="142"/>
    <x v="1"/>
    <d v="2023-06-01T00:00:00"/>
    <s v="0ANOS, 1MESES"/>
    <n v="0.16388888888888889"/>
    <x v="0"/>
    <x v="0"/>
    <s v="COLETA DOMICILIAR"/>
    <s v="NOTURNO"/>
    <s v="JOÃO PEDRO"/>
    <x v="0"/>
    <d v="2023-07-30T00:00:00"/>
    <s v="JULHO"/>
    <d v="2023-08-04T00:00:00"/>
    <x v="7"/>
    <s v="AGOSTO"/>
    <x v="0"/>
    <d v="2023-08-04T00:00:00"/>
    <s v="FALTA"/>
    <s v="O COLABORADOR FALTOU NO DIA 30/07/2023 O MESMO NÃO APRESENTOU NENHUMA JUSTIFICATIVA."/>
  </r>
  <r>
    <n v="205"/>
    <s v="DANILO CUNHA DOS SANTOS"/>
    <x v="72"/>
    <x v="0"/>
    <d v="2022-03-07T00:00:00"/>
    <s v="1ANOS, 4MESES"/>
    <n v="1.4333333333333333"/>
    <x v="2"/>
    <x v="0"/>
    <s v="COLETA DOMICILIAR"/>
    <s v="DIURNO"/>
    <s v="ANA CAROLINA"/>
    <x v="0"/>
    <d v="2023-08-05T00:00:00"/>
    <s v="AGOSTO"/>
    <d v="2023-08-07T00:00:00"/>
    <x v="7"/>
    <s v="AGOSTO"/>
    <x v="0"/>
    <d v="2023-08-07T00:00:00"/>
    <s v="FALTA"/>
    <s v="FALTA INJUSTIFICADA EM 05/08/2023."/>
  </r>
  <r>
    <n v="206"/>
    <s v="ISAQUE FERNANDES DA CRUZ"/>
    <x v="12"/>
    <x v="0"/>
    <d v="2022-05-02T00:00:00"/>
    <s v="1ANOS, 3MESES"/>
    <n v="1.2833333333333334"/>
    <x v="2"/>
    <x v="0"/>
    <s v="COLETA DOMICILIAR"/>
    <s v="DIURNO"/>
    <s v="ANA CAROLINA"/>
    <x v="0"/>
    <d v="2023-08-07T00:00:00"/>
    <s v="AGOSTO"/>
    <d v="2023-08-07T00:00:00"/>
    <x v="7"/>
    <s v="AGOSTO"/>
    <x v="0"/>
    <d v="2023-08-07T00:00:00"/>
    <s v="FALTA"/>
    <s v="FALTA INJUSTIFICADA EM 06/08/2023."/>
  </r>
  <r>
    <n v="207"/>
    <s v="JARDEL ALHO PINHEIRO"/>
    <x v="143"/>
    <x v="0"/>
    <d v="2023-04-06T00:00:00"/>
    <s v="0ANOS, 4MESES"/>
    <n v="0.33888888888888891"/>
    <x v="0"/>
    <x v="0"/>
    <s v="COLETA DOMICILIAR"/>
    <s v="DIURNO"/>
    <s v="ANA CAROLINA"/>
    <x v="0"/>
    <d v="2023-08-06T00:00:00"/>
    <s v="AGOSTO"/>
    <d v="2023-08-07T00:00:00"/>
    <x v="7"/>
    <s v="AGOSTO"/>
    <x v="0"/>
    <d v="2023-08-07T00:00:00"/>
    <s v="FALTA"/>
    <s v="FALTA INJUSTIFICADA EM 06/08/2023."/>
  </r>
  <r>
    <n v="208"/>
    <s v="RAYNAN BRUNO SILVA FERREIRA"/>
    <x v="144"/>
    <x v="0"/>
    <d v="2023-01-12T00:00:00"/>
    <s v="0ANOS, 6MESES"/>
    <n v="0.56944444444444442"/>
    <x v="0"/>
    <x v="0"/>
    <s v="COLETA DOMICILIAR"/>
    <s v="DIURNO"/>
    <s v="ANA CAROLINA"/>
    <x v="0"/>
    <d v="2023-08-05T00:00:00"/>
    <s v="AGOSTO"/>
    <d v="2023-08-07T00:00:00"/>
    <x v="7"/>
    <s v="AGOSTO"/>
    <x v="0"/>
    <d v="2023-08-07T00:00:00"/>
    <s v="FALTA"/>
    <s v="FALTA INJUSTIFICADA EM 05/08/2023."/>
  </r>
  <r>
    <n v="209"/>
    <s v="RUAN PEREIRA MACEDO"/>
    <x v="145"/>
    <x v="0"/>
    <d v="2022-09-01T00:00:00"/>
    <s v="0ANOS, 11MESES"/>
    <n v="0.94444444444444442"/>
    <x v="0"/>
    <x v="0"/>
    <s v="COLETA DOMICILIAR"/>
    <s v="DIURNO"/>
    <s v="ANA CAROLINA"/>
    <x v="0"/>
    <d v="2023-08-07T00:00:00"/>
    <s v="AGOSTO"/>
    <d v="2023-08-07T00:00:00"/>
    <x v="7"/>
    <s v="AGOSTO"/>
    <x v="0"/>
    <d v="2023-08-07T00:00:00"/>
    <s v="ATRASO"/>
    <s v="COLABORADOR FALTOU NA DATA DE HOJE AS 06:39H, ALEGA QUE PERDEU A HORA."/>
  </r>
  <r>
    <n v="210"/>
    <s v="ALESSANDRO BRITO AMORIM"/>
    <x v="128"/>
    <x v="0"/>
    <d v="2022-11-03T00:00:00"/>
    <s v="0ANOS, 9MESES"/>
    <n v="0.76666666666666672"/>
    <x v="0"/>
    <x v="0"/>
    <s v="COLETA DOMICILIAR"/>
    <s v="NOTURNO"/>
    <s v="JOÃO PEDRO"/>
    <x v="1"/>
    <d v="2023-08-06T00:00:00"/>
    <s v="AGOSTO"/>
    <d v="2023-08-07T00:00:00"/>
    <x v="7"/>
    <s v="AGOSTO"/>
    <x v="0"/>
    <d v="2023-08-08T00:00:00"/>
    <s v="FALTA"/>
    <s v="O COLABORADOR FALTOU NO DIA 06/08 E NÃO APRESENTOU NENHUMA JUSTIFICATIVA."/>
  </r>
  <r>
    <n v="211"/>
    <s v="EDUARDO SILVA DE OLIVEIRA"/>
    <x v="91"/>
    <x v="1"/>
    <d v="2022-12-07T00:00:00"/>
    <s v="0ANOS, 7MESES"/>
    <n v="0.67222222222222228"/>
    <x v="0"/>
    <x v="0"/>
    <s v="COLETA DOMICILIAR"/>
    <s v="NOTURNO"/>
    <s v="JOÃO PEDRO"/>
    <x v="0"/>
    <d v="2023-08-06T00:00:00"/>
    <s v="AGOSTO"/>
    <d v="2023-08-07T00:00:00"/>
    <x v="7"/>
    <s v="AGOSTO"/>
    <x v="0"/>
    <s v="08/08/20236"/>
    <s v="FALTA"/>
    <s v="O COLABORADOR FALTOU NO DIA 05/08 E 06/08 E NÃO APRESENTOU NENHUMA JUSTIFICATIVA."/>
  </r>
  <r>
    <n v="212"/>
    <s v="RAMAYSSA DE SOUZA LIMA"/>
    <x v="146"/>
    <x v="2"/>
    <d v="2021-11-18T00:00:00"/>
    <s v="1ANOS, 8MESES"/>
    <n v="1.7472222222222222"/>
    <x v="2"/>
    <x v="7"/>
    <s v="MANUTENÇÃO"/>
    <s v="INTERMEDIÁRIO"/>
    <s v="TADEU PINTO"/>
    <x v="0"/>
    <d v="2023-08-09T00:00:00"/>
    <s v="AGOSTO"/>
    <d v="2023-08-09T00:00:00"/>
    <x v="7"/>
    <s v="AGOSTO"/>
    <x v="0"/>
    <d v="2023-08-09T00:00:00"/>
    <s v="QUEBRA DE PROCEDIMENTO"/>
    <s v="NÃO REALIZOU O PREENCHIMENTO DOS RELATÓRIOS DA GESTÃO DE PNEUS NO SISTEMA E NÃO COMUNICOU SEUS SUPERIORES IMEDIATOS. ASSIM PREJUDICANDO O BOM FUNCIONAMENTO DESTA EMPRESA."/>
  </r>
  <r>
    <n v="213"/>
    <s v="ITALO DE OLIVEIRA SEIXAS"/>
    <x v="147"/>
    <x v="0"/>
    <d v="2023-03-16T00:00:00"/>
    <s v="0ANOS, 4MESES"/>
    <n v="0.40555555555555556"/>
    <x v="0"/>
    <x v="0"/>
    <s v="COLETA DOMICILIAR"/>
    <s v="DIURNO"/>
    <s v="ANA CAROLINA"/>
    <x v="0"/>
    <d v="2023-08-09T00:00:00"/>
    <s v="AGOSTO"/>
    <d v="2023-08-09T00:00:00"/>
    <x v="7"/>
    <s v="AGOSTO"/>
    <x v="0"/>
    <d v="2023-08-09T00:00:00"/>
    <s v="ATRASO"/>
    <s v="AGENTE DE COLETA CHEGOU ATRASADO NO DIA 09/08 AS 06:28."/>
  </r>
  <r>
    <n v="214"/>
    <s v="CARLOS ALBERTO PERES DE OLIVEIRA"/>
    <x v="45"/>
    <x v="0"/>
    <d v="2022-12-01T00:00:00"/>
    <s v="0ANOS, 8MESES"/>
    <n v="0.7"/>
    <x v="0"/>
    <x v="0"/>
    <s v="COLETA DOMICILIAR"/>
    <s v="DIURNO"/>
    <s v="ELISANGELA ROCHA"/>
    <x v="1"/>
    <d v="2023-08-10T00:00:00"/>
    <s v="AGOSTO"/>
    <d v="2023-08-10T00:00:00"/>
    <x v="7"/>
    <s v="AGOSTO"/>
    <x v="0"/>
    <d v="2023-08-10T00:00:00"/>
    <s v="QUEBRA DE PROCEDIMENTO"/>
    <s v="NO DIA 10/08/2023 NA ROTA 127 O COLABORADOR FOI ABORDADO PELO FISCAL E ANALISTA DE OPERAÇÕES REALIZANDO ARRUMAÇÃO NO ROTEIRO, MESMO RECEBENDO A RECICLAGEM DO TREINAMENTO OPERACIONAL REALIZADO NO MESMO DIA."/>
  </r>
  <r>
    <n v="215"/>
    <s v="JOSENI VIEIRA DE MEIRELES"/>
    <x v="148"/>
    <x v="0"/>
    <d v="2022-12-01T00:00:00"/>
    <s v="0ANOS, 8MESES"/>
    <n v="0.69722222222222219"/>
    <x v="0"/>
    <x v="0"/>
    <s v="COLETA DOMICILIAR"/>
    <s v="DIURNO"/>
    <s v="ELISANGELA ROCHA"/>
    <x v="1"/>
    <d v="2023-08-09T00:00:00"/>
    <s v="AGOSTO"/>
    <d v="2023-08-10T00:00:00"/>
    <x v="7"/>
    <s v="AGOSTO"/>
    <x v="0"/>
    <d v="2023-08-11T00:00:00"/>
    <s v="QUEBRA DE PROCEDIMENTO"/>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6"/>
    <s v="RONDINELES MOREIRA LEITE"/>
    <x v="149"/>
    <x v="0"/>
    <d v="2013-02-08T00:00:00"/>
    <s v="10ANOS, 6MESES"/>
    <n v="10.65"/>
    <x v="3"/>
    <x v="0"/>
    <s v="COLETA DOMICILIAR"/>
    <s v="DIURNO"/>
    <s v="ELISANGELA ROCHA"/>
    <x v="1"/>
    <d v="2023-08-09T00:00:00"/>
    <s v="AGOSTO"/>
    <d v="2023-08-11T00:00:00"/>
    <x v="7"/>
    <s v="AGOSTO"/>
    <x v="0"/>
    <d v="2023-08-11T00:00:00"/>
    <s v="QUEBRA DE PROCEDIMENTO"/>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7"/>
    <s v="LUIZ FERNANDO MENDES VIANA"/>
    <x v="9"/>
    <x v="0"/>
    <d v="2023-03-08T00:00:00"/>
    <s v="0ANOS, 5MESES"/>
    <n v="0.43333333333333335"/>
    <x v="0"/>
    <x v="0"/>
    <s v="COLETA DOMICILIAR"/>
    <s v="DIURNO"/>
    <s v="ANA CAROLINA"/>
    <x v="0"/>
    <d v="2023-08-11T00:00:00"/>
    <s v="AGOSTO"/>
    <d v="2023-08-11T00:00:00"/>
    <x v="7"/>
    <s v="AGOSTO"/>
    <x v="0"/>
    <d v="2023-08-11T00:00:00"/>
    <s v="ATRASO"/>
    <s v="COLABORADOR CHEGOU ATRASADO NA DATA DE HOJE, AS 06:28H, ALEGA QUE FOI ACOMPANHAR O FILHO PARA TOMAR VACINA."/>
  </r>
  <r>
    <n v="218"/>
    <s v="ITALO DE OLIVEIRA SEIXAS"/>
    <x v="147"/>
    <x v="0"/>
    <d v="2023-03-16T00:00:00"/>
    <s v="0ANOS, 4MESES"/>
    <n v="0.40555555555555556"/>
    <x v="0"/>
    <x v="0"/>
    <s v="COLETA DOMICILIAR"/>
    <s v="DIURNO"/>
    <s v="ELISANGELA ROCHA"/>
    <x v="0"/>
    <d v="2023-08-09T00:00:00"/>
    <s v="AGOSTO"/>
    <d v="2023-08-11T00:00:00"/>
    <x v="7"/>
    <s v="AGOSTO"/>
    <x v="0"/>
    <d v="2023-08-11T00:00:00"/>
    <s v="QUEBRA DE PROCEDIMENTO"/>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9"/>
    <s v="PEDRO SERGIO DE SOUZA CHAVES"/>
    <x v="8"/>
    <x v="0"/>
    <d v="2021-11-18T00:00:00"/>
    <s v="1ANOS, 8MESES"/>
    <n v="1.7527777777777778"/>
    <x v="2"/>
    <x v="0"/>
    <s v="COLETA DOMICILIAR"/>
    <s v="DIURNO"/>
    <s v="ELISANGELA ROCHA"/>
    <x v="0"/>
    <d v="2023-08-11T00:00:00"/>
    <s v="AGOSTO"/>
    <d v="2023-08-11T00:00:00"/>
    <x v="7"/>
    <s v="AGOSTO"/>
    <x v="0"/>
    <d v="2023-08-11T00:00:00"/>
    <s v="QUEBRA DE PROCEDIMENTO"/>
    <s v="NO DIA 11/08/2023 O COLABORADOR FOI ABORDADO PELO FISCAL E ANALISTA DE OPERAÇÕES REALIZANDO ARRUMAÇÕES NO ROTEIRO."/>
  </r>
  <r>
    <n v="220"/>
    <s v="IZAQUE SOUZA FURTADO"/>
    <x v="150"/>
    <x v="0"/>
    <d v="2023-05-17T00:00:00"/>
    <s v="0ANOS, 2MESES"/>
    <n v="0.2388888888888889"/>
    <x v="0"/>
    <x v="0"/>
    <s v="COLETA DOMICILIAR"/>
    <s v="DIURNO"/>
    <s v="ELISANGELA ROCHA"/>
    <x v="0"/>
    <d v="2023-08-11T00:00:00"/>
    <s v="AGOSTO"/>
    <d v="2023-08-11T00:00:00"/>
    <x v="7"/>
    <s v="AGOSTO"/>
    <x v="0"/>
    <d v="2023-08-11T00:00:00"/>
    <s v="QUEBRA DE PROCEDIMENTO"/>
    <s v="NO DIA 11/08/2023 O COLABORADOR FOI ABORDADO PELO FISCAL E ANALISTA DE OPERAÇÕES REALIZANDO ARRUMAÇÕES NO ROTEIRO."/>
  </r>
  <r>
    <n v="221"/>
    <s v="JUAN CARLOS LIMA GUTIERREZ"/>
    <x v="151"/>
    <x v="0"/>
    <d v="2022-10-03T00:00:00"/>
    <s v="0ANOS, 10MESES"/>
    <n v="0.8666666666666667"/>
    <x v="0"/>
    <x v="0"/>
    <s v="COLETA DOMICILIAR"/>
    <s v="DIURNO"/>
    <s v="ANA CAROLINA"/>
    <x v="1"/>
    <d v="2023-08-11T00:00:00"/>
    <s v="AGOSTO"/>
    <d v="2023-08-12T00:00:00"/>
    <x v="7"/>
    <s v="AGOSTO"/>
    <x v="0"/>
    <d v="2023-08-13T00:00:00"/>
    <s v="FALTA"/>
    <s v="O COLABORADOR FALTOU NOS DIAS 09/08, 10/08 E 11/08, O MESMO INFORMOU QUE TEM DOIS FILHOS E UM DELES SE ENCONTRAVA HOSPITALIZADO, ELE PRECISOU FICAR EM CASA PARA CUIDAR DO MAIS NOVO, ENQUANTO SUA ESPOSA FICA NO HOSPITAL, POR ESSE MOTIVO NÃO APRESENTOU NENHUMA JUSTIFICATIVA."/>
  </r>
  <r>
    <n v="222"/>
    <s v="ANTONIO MARCOS TAMAIO DA SILVA"/>
    <x v="152"/>
    <x v="0"/>
    <d v="2022-11-03T00:00:00"/>
    <s v="0ANOS, 9MESES"/>
    <n v="0.78333333333333333"/>
    <x v="0"/>
    <x v="0"/>
    <s v="COLETA DOMICILIAR"/>
    <s v="DIURNO"/>
    <s v="ANA CAROLINA"/>
    <x v="0"/>
    <d v="2023-08-12T00:00:00"/>
    <s v="AGOSTO"/>
    <d v="2023-08-12T00:00:00"/>
    <x v="7"/>
    <s v="AGOSTO"/>
    <x v="0"/>
    <d v="2023-08-12T00:00:00"/>
    <s v="QUEBRA DE PROCEDIMENTO"/>
    <s v="NO DIA 12/08 O COLABORADOR FOI ABORDADO PELO FISCAL E ANALISTA DE OPERAÇÕES NA ROTA 125 FAZENDO ARRUMAÇÃO NO ROTEIRO."/>
  </r>
  <r>
    <n v="223"/>
    <s v="THIAGO MAR DE AS"/>
    <x v="75"/>
    <x v="0"/>
    <d v="2022-06-15T00:00:00"/>
    <s v="1ANOS, 1MESES"/>
    <n v="1.175"/>
    <x v="2"/>
    <x v="0"/>
    <s v="COLETA DOMICILIAR"/>
    <s v="DIURNO"/>
    <s v="ELISANGELA ROCHA"/>
    <x v="0"/>
    <d v="2023-08-12T00:00:00"/>
    <s v="AGOSTO"/>
    <d v="2023-08-12T00:00:00"/>
    <x v="7"/>
    <s v="AGOSTO"/>
    <x v="0"/>
    <d v="2023-08-12T00:00:00"/>
    <s v="QUEBRA DE PROCEDIMENTO"/>
    <s v="NO DIA 12/08 O COLABORADOR FOI ABORDADO PELO FISCAL E ANALISTA DE OPERAÇÕES NA ROTA 125 FAZENDO ARRUMAÇÃO NO ROTEIRO."/>
  </r>
  <r>
    <n v="224"/>
    <s v="DIEGO DE SOUZA PINHEIRO"/>
    <x v="153"/>
    <x v="0"/>
    <d v="2020-05-04T00:00:00"/>
    <s v="3ANOS, 3MESES"/>
    <n v="3.3194444444444446"/>
    <x v="1"/>
    <x v="0"/>
    <s v="COLETA DOMICILIAR"/>
    <s v="DIURNO"/>
    <s v="ELISANGELA ROCHA"/>
    <x v="0"/>
    <d v="2023-08-12T00:00:00"/>
    <s v="AGOSTO"/>
    <d v="2023-08-12T00:00:00"/>
    <x v="7"/>
    <s v="AGOSTO"/>
    <x v="0"/>
    <d v="2023-08-12T00:00:00"/>
    <s v="QUEBRA DE PROCEDIMENTO"/>
    <s v="NO DIA 12/08 O COLABORADOR FOI ABORDADO PELO FISCAL E ANALISTA DE OPERAÇÕES NA ROTA 125 FAZENDO ARRUMAÇÃO NO ROTEIRO."/>
  </r>
  <r>
    <n v="225"/>
    <s v="JANDERSON PARENTE DA CRUZ"/>
    <x v="59"/>
    <x v="0"/>
    <d v="2022-08-12T00:00:00"/>
    <s v="1ANOS, 0MESES"/>
    <n v="1.0138888888888888"/>
    <x v="2"/>
    <x v="0"/>
    <s v="COLETA DOMICILIAR"/>
    <s v="DIURNO"/>
    <s v="ELISANGELA ROCHA"/>
    <x v="0"/>
    <d v="2023-08-12T00:00:00"/>
    <s v="AGOSTO"/>
    <d v="2023-08-12T00:00:00"/>
    <x v="7"/>
    <s v="AGOSTO"/>
    <x v="0"/>
    <d v="2023-08-12T00:00:00"/>
    <s v="ATRASO"/>
    <s v="NO DIA 12/08 O COLABORADOR CHEGOU ATRASADO, REGISTRANDO O PONTO AS 07:12, INFORMOU QUE O CELULAR NÃO DESPERTOU."/>
  </r>
  <r>
    <n v="226"/>
    <s v="LEVI WESLLEY ARAUJO DA COSTA"/>
    <x v="154"/>
    <x v="0"/>
    <d v="2022-10-03T00:00:00"/>
    <s v="0ANOS, 10MESES"/>
    <n v="0.87222222222222223"/>
    <x v="0"/>
    <x v="1"/>
    <s v="COLETA DOMICILIAR"/>
    <s v="DIURNO"/>
    <s v="ANA CAROLINA"/>
    <x v="0"/>
    <d v="2023-08-13T00:00:00"/>
    <s v="AGOSTO"/>
    <d v="2023-08-14T00:00:00"/>
    <x v="7"/>
    <s v="AGOSTO"/>
    <x v="0"/>
    <d v="2023-08-14T00:00:00"/>
    <s v="QUEBRA DE PROCEDIMENTO"/>
    <s v="COLABORADOR REALIZANDO A ROTA 90.1.158 NA DATA DE ONTEM 13/08, ACABOU A MANOBRA DE RÉ BATENDO NA LIXEIRA DE CONCRETO QUE FICA LICALIZADA NA RUA CALIFORNIA - NOVA VITORIA, DANIFICANDO A MESMA. COLABORADOR NÃO INFORMOU A EMPRESA DO OCORRIDO."/>
  </r>
  <r>
    <n v="227"/>
    <s v="JACKSON DOS SANTOS REIS "/>
    <x v="109"/>
    <x v="0"/>
    <d v="2023-03-16T00:00:00"/>
    <s v="0ANOS, 4MESES"/>
    <n v="0.41388888888888886"/>
    <x v="0"/>
    <x v="0"/>
    <s v="COLETA DOMICILIAR"/>
    <s v="NOTURNO"/>
    <s v="JOÃO PEDRO"/>
    <x v="0"/>
    <d v="2023-08-12T00:00:00"/>
    <s v="AGOSTO"/>
    <d v="2023-08-14T00:00:00"/>
    <x v="7"/>
    <s v="AGOSTO"/>
    <x v="0"/>
    <d v="2023-08-14T00:00:00"/>
    <s v="FALTA"/>
    <s v="O COLABORADOR FALTOU NO DIA 12/08/2023 E NÃO APRESENTOU NENHUMA JUSTIFICATIVA."/>
  </r>
  <r>
    <n v="228"/>
    <s v="EDUARDO SILVA DE OLIVEIRA"/>
    <x v="91"/>
    <x v="0"/>
    <d v="2022-12-07T00:00:00"/>
    <s v="0ANOS, 8MESES"/>
    <n v="0.68888888888888888"/>
    <x v="0"/>
    <x v="0"/>
    <s v="COLETA DOMICILIAR"/>
    <s v="NOTURNO"/>
    <s v="JOÃO PEDRO"/>
    <x v="1"/>
    <d v="2023-08-12T00:00:00"/>
    <s v="AGOSTO"/>
    <d v="2023-08-14T00:00:00"/>
    <x v="7"/>
    <s v="AGOSTO"/>
    <x v="0"/>
    <d v="2023-08-17T00:00:00"/>
    <s v="FALTA"/>
    <s v="O COLABORADOR FALTOU NO DIA 12/08 E NÃO APRESENTOU NENHUMA JUSTIFICATIVA."/>
  </r>
  <r>
    <n v="229"/>
    <s v="MARCOS ALMEIDA FURTUOZO"/>
    <x v="69"/>
    <x v="0"/>
    <d v="2020-06-01T00:00:00"/>
    <s v="3ANOS, 2MESES"/>
    <n v="3.2361111111111112"/>
    <x v="1"/>
    <x v="1"/>
    <s v="COLETA DOMICILIAR"/>
    <s v="NOTURNO"/>
    <s v="JOÃO PEDRO"/>
    <x v="0"/>
    <d v="2023-08-10T00:00:00"/>
    <s v="AGOSTO"/>
    <d v="2023-08-14T00:00:00"/>
    <x v="7"/>
    <s v="AGOSTO"/>
    <x v="0"/>
    <d v="2023-08-14T00:00:00"/>
    <s v="EXCESSO DE VELOCIDADE"/>
    <s v="EM 10/08 AS 22:12, MOTORISTA EXCEDEU O LIMITE DE VELOCIDADE ATINGINDO 73 KM/H."/>
  </r>
  <r>
    <n v="230"/>
    <s v="EUDES DA SILVA PINTO "/>
    <x v="69"/>
    <x v="0"/>
    <d v="2020-06-01T00:00:00"/>
    <s v="3ANOS, 2MESES"/>
    <n v="3.2361111111111112"/>
    <x v="1"/>
    <x v="1"/>
    <s v="COLETA DOMICILIAR"/>
    <s v="NOTURNO"/>
    <s v="JOÃO PEDRO"/>
    <x v="0"/>
    <d v="2023-08-10T00:00:00"/>
    <s v="AGOSTO"/>
    <d v="2023-08-14T00:00:00"/>
    <x v="7"/>
    <s v="AGOSTO"/>
    <x v="0"/>
    <d v="2023-08-10T00:00:00"/>
    <s v="EXCESSO DE VELOCIDADE"/>
    <s v="EM 14/08/2023 AS 23:24, O MOTORISTA EXCEDEU A VELOCIDADE ATINGINDO 72 KM/H."/>
  </r>
  <r>
    <n v="231"/>
    <s v="GABRIEL SOUZA DA SILVA"/>
    <x v="155"/>
    <x v="0"/>
    <d v="2022-11-03T00:00:00"/>
    <s v="0ANOS, 9MESES"/>
    <n v="0.79166666666666663"/>
    <x v="0"/>
    <x v="0"/>
    <s v="COLETA DOMICILIAR"/>
    <s v="DIURNO"/>
    <s v="ANA CAROLINA"/>
    <x v="0"/>
    <d v="2023-08-15T00:00:00"/>
    <s v="AGOSTO"/>
    <d v="2023-08-15T00:00:00"/>
    <x v="7"/>
    <s v="AGOSTO"/>
    <x v="0"/>
    <d v="2023-08-15T00:00:00"/>
    <s v="QUEBRA DE PROCEDIMENTO"/>
    <s v="DURAANTE A FISCALIZAÇÃO DO ANALISTA DE OPERAÇÕES NO DIA 15/08/2023 NA ROTA 90.1.127 O COLABORADOR FOI PEGO FAZENDO ARRUMAÇÃO DE LIXO NO SETOR."/>
  </r>
  <r>
    <n v="232"/>
    <s v="LUCAS PINHEIRO LOPES"/>
    <x v="156"/>
    <x v="0"/>
    <d v="2022-11-01T00:00:00"/>
    <s v="0ANOS, 9MESES"/>
    <n v="0.79722222222222228"/>
    <x v="0"/>
    <x v="0"/>
    <s v="COLETA DOMICILIAR"/>
    <s v="NOTURNO"/>
    <s v="JOÃO PEDRO"/>
    <x v="0"/>
    <d v="2023-08-15T00:00:00"/>
    <s v="AGOSTO"/>
    <d v="2023-08-16T00:00:00"/>
    <x v="7"/>
    <s v="AGOSTO"/>
    <x v="0"/>
    <d v="2023-08-17T00:00:00"/>
    <s v="FALTA"/>
    <s v="COLABORADOR FALTOU NOS DIAS 15/08 E 16/08 E NÃO APRESENTOU NENHUMA JUSTIFICATIVA."/>
  </r>
  <r>
    <n v="233"/>
    <s v="WANDERSON LIMA DA PALMA"/>
    <x v="157"/>
    <x v="0"/>
    <d v="2022-05-16T00:00:00"/>
    <s v="1ANOS, 3MESES"/>
    <n v="1.2694444444444444"/>
    <x v="2"/>
    <x v="0"/>
    <s v="COLETA DOMICILIAR"/>
    <s v="NOTURNO"/>
    <s v="JOÃO PEDRO"/>
    <x v="0"/>
    <d v="2023-08-16T00:00:00"/>
    <s v="AGOSTO"/>
    <d v="2023-08-16T00:00:00"/>
    <x v="7"/>
    <s v="AGOSTO"/>
    <x v="0"/>
    <d v="2023-08-16T00:00:00"/>
    <s v="ATRASO"/>
    <s v="COLABORADOR CHEGOU ATRASADO NOS DIAS 11/08, 12/08, 14/08 E 16/08."/>
  </r>
  <r>
    <n v="234"/>
    <s v="BRUNO VIEIRA FERREIRA"/>
    <x v="145"/>
    <x v="1"/>
    <d v="2022-09-01T00:00:00"/>
    <s v="0ANOS, 11MESES"/>
    <n v="0.97777777777777775"/>
    <x v="0"/>
    <x v="0"/>
    <s v="COLETA DOMICILIAR"/>
    <s v="NOTURNO"/>
    <s v="JOÃO PEDRO"/>
    <x v="0"/>
    <d v="2023-08-19T00:00:00"/>
    <s v="AGOSTO"/>
    <d v="2023-08-19T00:00:00"/>
    <x v="7"/>
    <s v="AGOSTO"/>
    <x v="0"/>
    <d v="2023-08-19T00:00:00"/>
    <s v="QUEBRA DE PROCEDIMENTO"/>
    <s v="COLABORADOR FALTOU EM 19/08 E NÃO APRESENTOU NENHUMA JUSTIFICATIVA."/>
  </r>
  <r>
    <n v="235"/>
    <s v="RUAN PEREIRA MACEDO"/>
    <x v="145"/>
    <x v="0"/>
    <d v="2022-09-01T00:00:00"/>
    <s v="0ANOS, 11MESES"/>
    <n v="0.97777777777777775"/>
    <x v="0"/>
    <x v="0"/>
    <s v="COLETA DOMICILIAR"/>
    <s v="DIURNO"/>
    <s v="ELISANGELA ROCHA"/>
    <x v="0"/>
    <d v="2023-08-19T00:00:00"/>
    <s v="AGOSTO"/>
    <d v="2023-08-19T00:00:00"/>
    <x v="7"/>
    <s v="AGOSTO"/>
    <x v="0"/>
    <d v="2023-08-19T00:00:00"/>
    <s v="ATRASO"/>
    <s v="O COLABORADOR NO DIA 19/08 CHEGOU ATRASADO REGISTRANDO O PONTO AS 06:35."/>
  </r>
  <r>
    <n v="236"/>
    <s v="JOSE FRANCISCO RODRIGUES DA SILVA"/>
    <x v="158"/>
    <x v="0"/>
    <d v="2021-01-06T00:00:00"/>
    <s v="2ANOS, 7MESES"/>
    <n v="2.6583333333333332"/>
    <x v="2"/>
    <x v="8"/>
    <s v="ADMINISTRATIVO"/>
    <s v="DIURNO"/>
    <s v="ALESSANDRA LIMA"/>
    <x v="0"/>
    <d v="2023-08-21T00:00:00"/>
    <s v="AGOSTO"/>
    <d v="2023-08-21T00:00:00"/>
    <x v="7"/>
    <s v="AGOSTO"/>
    <x v="0"/>
    <d v="2023-08-21T00:00:00"/>
    <s v="QUEBRA DE PROCEDIMENTO"/>
    <s v="COLABORADOR ESTAVA JOGANDO SINUCA EM SEU HORÁRIO DE TRABALHO."/>
  </r>
  <r>
    <n v="237"/>
    <s v="DANILO CUNHA DOS SANTOS"/>
    <x v="72"/>
    <x v="0"/>
    <d v="2022-03-07T00:00:00"/>
    <s v="1ANOS, 5MESES"/>
    <n v="1.4750000000000001"/>
    <x v="2"/>
    <x v="0"/>
    <s v="COLETA DOMICILIAR"/>
    <s v="DIURNO"/>
    <s v="ELISANGELA ROCHA"/>
    <x v="0"/>
    <d v="2023-08-20T00:00:00"/>
    <s v="AGOSTO"/>
    <d v="2023-08-21T00:00:00"/>
    <x v="7"/>
    <s v="AGOSTO"/>
    <x v="0"/>
    <d v="2023-08-21T00:00:00"/>
    <s v="FALTA"/>
    <s v="O COLABORADOR FALTOU NO DIA 20/08 INFORMOU QUE ESTAVA COM DOR DE CABEÇA, PORÉM NÃO BUSCOU ATENDIMENTO."/>
  </r>
  <r>
    <n v="238"/>
    <s v="DEUSTEVAN CARNEIRO DA SILVA"/>
    <x v="99"/>
    <x v="0"/>
    <d v="2013-02-08T00:00:00"/>
    <s v="10ANOS, 6MESES"/>
    <n v="10.672222222222222"/>
    <x v="3"/>
    <x v="1"/>
    <s v="COLETA DOMICILIAR"/>
    <s v="DIURNO"/>
    <s v="ELISANGELA ROCHA"/>
    <x v="0"/>
    <d v="2023-08-17T00:00:00"/>
    <s v="AGOSTO"/>
    <d v="2023-08-21T00:00:00"/>
    <x v="7"/>
    <s v="AGOSTO"/>
    <x v="0"/>
    <d v="2023-08-21T00:00:00"/>
    <s v="EXCESSO DE VELOCIDADE"/>
    <s v="O COLABORADOR EXCEDEU A VELOCIDADE PERMITIDA DE 70KM NO DIA 17/08 AS 08:30, CHEGANDO A 71 KM."/>
  </r>
  <r>
    <n v="239"/>
    <s v="HELINTON KITSINGER PARMELO"/>
    <x v="159"/>
    <x v="0"/>
    <d v="2022-11-03T00:00:00"/>
    <s v="0ANOS, 9MESES"/>
    <n v="0.81111111111111112"/>
    <x v="0"/>
    <x v="0"/>
    <s v="COLETA DOMICILIAR"/>
    <s v="DIURNO"/>
    <s v="ELISANGELA ROCHA"/>
    <x v="0"/>
    <d v="2023-08-22T00:00:00"/>
    <s v="AGOSTO"/>
    <d v="2023-08-22T00:00:00"/>
    <x v="7"/>
    <s v="AGOSTO"/>
    <x v="0"/>
    <d v="2023-08-22T00:00:00"/>
    <s v="ATRASO"/>
    <s v="NO DIA 22/08 O COLABORADOR CHEGOU ATRASADO, REGISTRANDO O PONTO AS 06:52, O MESMO INFORMOU QUE O DESPERTADOR NÃO TOCOU."/>
  </r>
  <r>
    <n v="240"/>
    <s v="EZEQUIEL VASCONCELOS DA CRUZ"/>
    <x v="160"/>
    <x v="0"/>
    <d v="2022-09-01T00:00:00"/>
    <s v="0ANOS, 11MESES"/>
    <n v="0.98333333333333328"/>
    <x v="0"/>
    <x v="0"/>
    <s v="COLETA DOMICILIAR"/>
    <s v="DIURNO"/>
    <s v="ELISANGELA ROCHA"/>
    <x v="0"/>
    <d v="2023-08-21T00:00:00"/>
    <s v="AGOSTO"/>
    <d v="2023-08-22T00:00:00"/>
    <x v="7"/>
    <s v="AGOSTO"/>
    <x v="0"/>
    <d v="2023-08-22T00:00:00"/>
    <s v="FALTA"/>
    <s v="O COLABORADOR TEVE UMA FALTA INJUSTIFICADA NO DIA 21/08, O MESMO INFORMOU QUE PRECISOU LEVAR SUAS FILHAS PARA ATUALIZAR O CADASTRO DO BOLSA FAMILIA."/>
  </r>
  <r>
    <n v="241"/>
    <s v="LUIZ FERNANDO MENDES VIANA"/>
    <x v="9"/>
    <x v="0"/>
    <d v="2022-12-07T00:00:00"/>
    <s v="0ANOS, 8MESES"/>
    <n v="0.71944444444444444"/>
    <x v="0"/>
    <x v="0"/>
    <s v="COLETA DOMICILIAR"/>
    <s v="DIURNO"/>
    <s v="ANA CAROLINA"/>
    <x v="0"/>
    <d v="2023-08-23T00:00:00"/>
    <s v="AGOSTO"/>
    <d v="2023-08-24T00:00:00"/>
    <x v="7"/>
    <s v="AGOSTO"/>
    <x v="0"/>
    <d v="2023-08-24T00:00:00"/>
    <s v="FALTA"/>
    <s v="FALTA INSJUSTIFICADA EM 23/08/2023."/>
  </r>
  <r>
    <n v="242"/>
    <s v="ANTONIO LUIS RIBEIRO ALEXANDRE"/>
    <x v="36"/>
    <x v="0"/>
    <d v="2022-09-01T00:00:00"/>
    <s v="0ANOS, 11MESES"/>
    <n v="0.9916666666666667"/>
    <x v="0"/>
    <x v="0"/>
    <s v="COLETA DOMICILIAR"/>
    <s v="DIURNO"/>
    <s v="ELISANGELA ROCHA"/>
    <x v="0"/>
    <d v="2023-08-24T00:00:00"/>
    <s v="AGOSTO"/>
    <d v="2023-08-25T00:00:00"/>
    <x v="7"/>
    <s v="AGOSTO"/>
    <x v="0"/>
    <d v="2023-08-25T00:00:00"/>
    <s v="FALTA"/>
    <s v="O COLABORADOR TEVE UMA FALTA INJUSTIFICADA NO DIA 24/08, O MESMO INFORMOU QUE O ALARME NÃO DESPERTOU."/>
  </r>
  <r>
    <n v="243"/>
    <s v="BRUNO RAFAEL GAMA RODRIGUES"/>
    <x v="142"/>
    <x v="1"/>
    <d v="2023-06-01T00:00:00"/>
    <s v="0ANOS, 2MESES"/>
    <n v="0.21944444444444444"/>
    <x v="0"/>
    <x v="0"/>
    <s v="COLETA DOMICILIAR"/>
    <s v="NOTURNO"/>
    <s v="JOÃO PEDRO"/>
    <x v="0"/>
    <d v="2023-08-19T00:00:00"/>
    <s v="AGOSTO"/>
    <d v="2023-08-25T00:00:00"/>
    <x v="7"/>
    <s v="AGOSTO"/>
    <x v="0"/>
    <d v="2023-08-25T00:00:00"/>
    <s v="FALTA"/>
    <s v="O COLABORADOR FALTOU EM 19/08 E NÃO APRESENTOU NENHUMA JUSTIFICATIVA."/>
  </r>
  <r>
    <n v="244"/>
    <s v="FRANCISCO MAGNO DE ALMEIDA OLIVEIRA"/>
    <x v="140"/>
    <x v="0"/>
    <d v="2022-10-03T00:00:00"/>
    <s v="0ANOS, 10MESES"/>
    <n v="0.90833333333333333"/>
    <x v="0"/>
    <x v="0"/>
    <s v="COLETA DOMICILIAR"/>
    <s v="NOTURNO"/>
    <s v="JOÃO PEDRO"/>
    <x v="1"/>
    <d v="2023-08-26T00:00:00"/>
    <s v="AGOSTO"/>
    <d v="2023-08-28T00:00:00"/>
    <x v="7"/>
    <s v="AGOSTO"/>
    <x v="0"/>
    <d v="2023-08-31T00:00:00"/>
    <s v="FALTA"/>
    <s v="COLABORADOR FALTOU EM 26/08 E NÃO APRESENTOU NENHUMA JUSTIFICATIVA."/>
  </r>
  <r>
    <n v="245"/>
    <s v="RAYLANDER BATISTA DA SILVA"/>
    <x v="107"/>
    <x v="1"/>
    <d v="2022-04-06T00:00:00"/>
    <s v="1ANOS, 4MESES"/>
    <n v="1.4083333333333334"/>
    <x v="2"/>
    <x v="0"/>
    <s v="COLETA DOMICILIAR"/>
    <s v="NOTURNO"/>
    <s v="ELISANGELA ROCHA"/>
    <x v="0"/>
    <d v="2023-08-26T00:00:00"/>
    <s v="AGOSTO"/>
    <d v="2023-08-28T00:00:00"/>
    <x v="7"/>
    <s v="AGOSTO"/>
    <x v="0"/>
    <d v="2023-08-28T00:00:00"/>
    <s v="FALTA"/>
    <s v="O COLABORADOR FALTOU NO DIA 26/08, O MESMO INFORMOU QUE NÃO CONSEGUIU ACORDAR NO HORÁRIO PARA VIR TRABALHAR."/>
  </r>
  <r>
    <n v="246"/>
    <s v="DANIEL MACHADO DE SOUZA"/>
    <x v="122"/>
    <x v="0"/>
    <d v="2022-05-02T00:00:00"/>
    <s v="1ANOS, 3MESES"/>
    <n v="1.3416666666666666"/>
    <x v="2"/>
    <x v="0"/>
    <s v="COLETA DOMICILIAR"/>
    <s v="NOTURNO"/>
    <s v="JOÃO PEDRO"/>
    <x v="0"/>
    <d v="2023-08-28T00:00:00"/>
    <s v="AGOSTO"/>
    <d v="2023-08-29T00:00:00"/>
    <x v="7"/>
    <s v="AGOSTO"/>
    <x v="0"/>
    <d v="2023-08-29T00:00:00"/>
    <s v="FALTA"/>
    <s v="COLABORADOR FALTOU NOS DIAS 26/08 E 28/08 E NÃO APRESENTOU NENHUMA JUSTIFICATIVA."/>
  </r>
  <r>
    <n v="247"/>
    <s v="DAVI FERREIRA DIAS "/>
    <x v="161"/>
    <x v="0"/>
    <d v="2022-12-07T00:00:00"/>
    <s v="0ANOS, 8MESES"/>
    <n v="0.72777777777777775"/>
    <x v="0"/>
    <x v="1"/>
    <s v="COLETA DOMICILIAR"/>
    <s v="NOTURNO"/>
    <s v="JOÃO PEDRO"/>
    <x v="0"/>
    <d v="2023-08-26T00:00:00"/>
    <s v="AGOSTO"/>
    <d v="2023-08-30T00:00:00"/>
    <x v="7"/>
    <s v="AGOSTO"/>
    <x v="0"/>
    <d v="2023-08-30T00:00:00"/>
    <s v="EXCESSO DE VELOCIDADE"/>
    <s v="COLABORADOR EXCEDEU A VELOCIDADE NO DIA 26/08 AS 05:41  CHEGANDO A 72 KM/H."/>
  </r>
  <r>
    <n v="248"/>
    <s v="ANTONIO LUIS RIBEIRO ALEXANDRE"/>
    <x v="36"/>
    <x v="0"/>
    <d v="2022-09-01T00:00:00"/>
    <s v="0ANOS, 11MESES"/>
    <n v="1.0111111111111111"/>
    <x v="2"/>
    <x v="0"/>
    <s v="COLETA DOMICILIAR"/>
    <s v="DIURNO"/>
    <s v="ELISANGELA ROCHA"/>
    <x v="1"/>
    <d v="2023-08-31T00:00:00"/>
    <s v="AGOSTO"/>
    <d v="2023-09-01T00:00:00"/>
    <x v="8"/>
    <s v="SETEMBRO"/>
    <x v="0"/>
    <d v="2023-09-02T00:00:00"/>
    <s v="FALTA"/>
    <s v="O COLABORADOR TEVE UMA FALTA NÃO JUSTIFICADA NO DIA 31/08. O MESMO INFORMOU QUE LEVOU SEU FILHO AO HOSPITAL, PORÉM, NÃO CONSEGUIU ATENDIMENTO E NÃO COMUNICOU A EMPRESA."/>
  </r>
  <r>
    <n v="249"/>
    <s v="WYGUINER PRINTIS DA CRUZ "/>
    <x v="117"/>
    <x v="1"/>
    <d v="2023-03-08T00:00:00"/>
    <s v="0ANOS, 5MESES"/>
    <n v="0.49166666666666664"/>
    <x v="0"/>
    <x v="0"/>
    <s v="COLETA DOMICILIAR"/>
    <s v="NOTURNO"/>
    <s v="JOÃO PEDRO"/>
    <x v="1"/>
    <d v="2023-09-01T00:00:00"/>
    <s v="SETEMBRO"/>
    <d v="2023-09-02T00:00:00"/>
    <x v="8"/>
    <s v="SETEMBRO"/>
    <x v="0"/>
    <d v="2023-09-05T00:00:00"/>
    <s v="FALTA"/>
    <s v="O COLABORADOR FALTOU NOS DIAS 19/08, 20/08, 25/08, 26/08, 27/08 E 01/09 E NÃO APRESENTOU NEHUMA JUSTIFICATIVA."/>
  </r>
  <r>
    <n v="250"/>
    <s v="BRUNO RAFAEL GAMA RODRIGUES"/>
    <x v="142"/>
    <x v="1"/>
    <d v="2023-06-01T00:00:00"/>
    <s v="0ANOS, 3MESES"/>
    <n v="0.25555555555555554"/>
    <x v="0"/>
    <x v="0"/>
    <s v="COLETA DOMICILIAR"/>
    <s v="NOTURNO"/>
    <s v="JOÃO PEDRO"/>
    <x v="1"/>
    <d v="2023-09-01T00:00:00"/>
    <s v="SETEMBRO"/>
    <d v="2023-09-02T00:00:00"/>
    <x v="8"/>
    <s v="SETEMBRO"/>
    <x v="0"/>
    <d v="2023-09-03T00:00:00"/>
    <s v="FALTA"/>
    <s v="COLABORADOR FALTOU NO DIA 01/09/2023 E NÃO APRESENTOU NENHUMA JUSTIFICATIVA."/>
  </r>
  <r>
    <n v="251"/>
    <s v="EDILSON LUIZ CARVALHO DE SOUZA"/>
    <x v="15"/>
    <x v="0"/>
    <d v="2022-01-07T00:00:00"/>
    <s v="1ANOS, 7MESES"/>
    <n v="1.675"/>
    <x v="2"/>
    <x v="0"/>
    <s v="COLETA DOMICILIAR"/>
    <s v="NOTURNO"/>
    <s v="JOÃO PEDRO"/>
    <x v="0"/>
    <d v="2023-09-02T00:00:00"/>
    <s v="SETEMBRO"/>
    <d v="2023-09-02T00:00:00"/>
    <x v="8"/>
    <s v="SETEMBRO"/>
    <x v="0"/>
    <d v="2023-09-08T00:00:00"/>
    <s v="FALTA"/>
    <s v="FALTOU EM 02/09 E NÃO APRESENTOU NENHUMA JUSTIFICATIVA."/>
  </r>
  <r>
    <n v="252"/>
    <s v="MAURICIO AUGUSTO QUEIROZ DE ARAUJO"/>
    <x v="24"/>
    <x v="0"/>
    <d v="2022-12-07T00:00:00"/>
    <s v="0ANOS, 8MESES"/>
    <n v="0.74722222222222223"/>
    <x v="0"/>
    <x v="0"/>
    <s v="COLETA DOMICILIAR"/>
    <s v="NOTURNO"/>
    <s v="JOÃO PEDRO"/>
    <x v="0"/>
    <d v="2023-09-02T00:00:00"/>
    <s v="SETEMBRO"/>
    <d v="2023-09-03T00:00:00"/>
    <x v="8"/>
    <s v="SETEMBRO"/>
    <x v="0"/>
    <d v="2023-09-02T00:00:00"/>
    <s v="FALTA"/>
    <s v="COLABORADOR FALTOU DIA 02/09 E NÃO APRESENTOU NENHUMA JUSITIFICATIVA."/>
  </r>
  <r>
    <n v="253"/>
    <s v="FELIPE DA COSTA RAMOS "/>
    <x v="27"/>
    <x v="1"/>
    <d v="2022-12-07T00:00:00"/>
    <s v="0ANOS, 8MESES"/>
    <n v="0.75"/>
    <x v="0"/>
    <x v="0"/>
    <s v="COLETA DOMICILIAR"/>
    <s v="DIURNO"/>
    <s v="ELISANGELA ROCHA"/>
    <x v="0"/>
    <d v="2023-09-03T00:00:00"/>
    <s v="SETEMBRO"/>
    <d v="2023-09-04T00:00:00"/>
    <x v="8"/>
    <s v="SETEMBRO"/>
    <x v="0"/>
    <d v="2023-09-04T00:00:00"/>
    <s v="FALTA"/>
    <s v="O COLABORADOR FALTOU NO DIA 03/09 SEM NENHUMA JUSTIFICATIVA, INFORMOU QUE NÃO ESTAVA BEM PARA VIR TRABALHAR, PORÉM NÃO BUSCOU ATENDIMENTO."/>
  </r>
  <r>
    <n v="254"/>
    <s v="EDUARDO SILVEIRA DA SILVA"/>
    <x v="162"/>
    <x v="0"/>
    <d v="2023-02-09T00:00:00"/>
    <s v="0ANOS, 6MESES"/>
    <n v="0.57222222222222219"/>
    <x v="0"/>
    <x v="0"/>
    <s v="COLETA DOMICILIAR"/>
    <s v="NOTURNO"/>
    <s v="JOÃO PEDRO"/>
    <x v="0"/>
    <d v="2023-09-03T00:00:00"/>
    <s v="SETEMBRO"/>
    <d v="2023-09-04T00:00:00"/>
    <x v="8"/>
    <s v="SETEMBRO"/>
    <x v="0"/>
    <d v="2023-09-04T00:00:00"/>
    <s v="FALTA"/>
    <s v="COLABORADOR FALTOU NO DIA 03/09 E NÃO APRESENTOU NENHUMA JUSTIFICATIVA."/>
  </r>
  <r>
    <n v="255"/>
    <s v="RIVALDO CONDERA DO NASCIMENTO JUNIOR"/>
    <x v="119"/>
    <x v="0"/>
    <d v="2022-09-01T00:00:00"/>
    <s v="1ANOS, 0MESES"/>
    <n v="1.0194444444444444"/>
    <x v="2"/>
    <x v="0"/>
    <s v="COLETA DOMICILIAR"/>
    <s v="NOTURNO"/>
    <s v="JOÃO PEDRO"/>
    <x v="0"/>
    <d v="2023-09-03T00:00:00"/>
    <s v="SETEMBRO"/>
    <d v="2023-09-04T00:00:00"/>
    <x v="8"/>
    <s v="SETEMBRO"/>
    <x v="0"/>
    <d v="2023-09-04T00:00:00"/>
    <s v="FALTA"/>
    <s v="COLABORADOR FALTOU NO DIA 03/09 E NÃO APRESENTOU NENHUMA JUSTIFICATIVA."/>
  </r>
  <r>
    <n v="256"/>
    <s v="PAULO HENRIQUE FERREIRA FALCÃO"/>
    <x v="163"/>
    <x v="0"/>
    <d v="2023-04-06T00:00:00"/>
    <s v="0ANOS, 5MESES"/>
    <n v="0.42499999999999999"/>
    <x v="0"/>
    <x v="9"/>
    <s v="MANUTENÇÃO"/>
    <s v="DIURNO"/>
    <s v="TADEU PINTO"/>
    <x v="0"/>
    <d v="2023-09-06T00:00:00"/>
    <s v="SETEMBRO"/>
    <d v="2023-09-06T00:00:00"/>
    <x v="8"/>
    <s v="SETEMBRO"/>
    <x v="0"/>
    <d v="2023-09-06T00:00:00"/>
    <s v="QUEBRA DE PROCEDIMENTO"/>
    <s v="LIBERAÇÃO DE ORDEM DE SERVIÇO NO SISTEMA ESTANDO EM INVENTÁRIO."/>
  </r>
  <r>
    <n v="257"/>
    <s v="PAULO HENRIQUE FERREIRA FALCÃO"/>
    <x v="163"/>
    <x v="0"/>
    <d v="2023-04-06T00:00:00"/>
    <s v="0ANOS, 5MESES"/>
    <n v="0.42499999999999999"/>
    <x v="0"/>
    <x v="9"/>
    <s v="MANUTENÇÃO"/>
    <s v="DIURNO"/>
    <s v="TADEU PINTO"/>
    <x v="0"/>
    <d v="2023-09-06T00:00:00"/>
    <s v="SETEMBRO"/>
    <d v="2023-09-06T00:00:00"/>
    <x v="8"/>
    <s v="SETEMBRO"/>
    <x v="0"/>
    <d v="2023-09-06T00:00:00"/>
    <s v="QUEBRA DE PROCEDIMENTO"/>
    <s v="NOTAS DE SERVIÇOS ENTREGUES FORA DO PRAZO."/>
  </r>
  <r>
    <n v="258"/>
    <s v="ANTONIO LUIS RIBEIRO ALEXANDRE"/>
    <x v="36"/>
    <x v="0"/>
    <d v="2022-09-01T00:00:00"/>
    <s v="1ANOS, 0MESES"/>
    <n v="1.0166666666666666"/>
    <x v="2"/>
    <x v="0"/>
    <s v="COLETA DOMICILIAR"/>
    <s v="DIURNO"/>
    <s v="ELISANGELA ROCHA"/>
    <x v="1"/>
    <d v="2023-09-02T00:00:00"/>
    <s v="SETEMBRO"/>
    <d v="2023-09-06T00:00:00"/>
    <x v="8"/>
    <s v="SETEMBRO"/>
    <x v="0"/>
    <d v="2023-09-09T00:00:00"/>
    <s v="EMBRIAGUEZ"/>
    <s v="NO DIA 02/09 O COLABORADOR RETORNOU DO RETORNOU DO ROTEIRO COM SINAIS DE EMBRIAGUEZ."/>
  </r>
  <r>
    <n v="259"/>
    <s v="DAVI FERREIRA DIAS "/>
    <x v="161"/>
    <x v="0"/>
    <d v="2022-12-07T00:00:00"/>
    <s v="0ANOS, 8MESES"/>
    <n v="0.74444444444444446"/>
    <x v="0"/>
    <x v="1"/>
    <s v="COLETA DOMICILIAR"/>
    <s v="NOTURNO"/>
    <s v="JOÃO PEDRO"/>
    <x v="0"/>
    <d v="2023-09-01T00:00:00"/>
    <s v="SETEMBRO"/>
    <d v="2023-09-08T00:00:00"/>
    <x v="8"/>
    <s v="SETEMBRO"/>
    <x v="0"/>
    <d v="2023-09-08T00:00:00"/>
    <s v="EXCESSO DE VELOCIDADE"/>
    <s v="NO DIA 01/09/2023 AS 22:42 O COLABORADOR EXCEDEU O LIMITE DE VELOCIDADE CHEGANDO A 72 KM/H."/>
  </r>
  <r>
    <n v="260"/>
    <s v="OSMAR FERREIRA VIEIRA NETO"/>
    <x v="52"/>
    <x v="0"/>
    <d v="2022-09-01T00:00:00"/>
    <s v="1ANOS, 0MESES"/>
    <n v="1.0333333333333334"/>
    <x v="2"/>
    <x v="1"/>
    <s v="COLETA DOMICILIAR"/>
    <s v="NOTURNO"/>
    <s v="JOÃO PEDRO"/>
    <x v="0"/>
    <d v="2023-09-08T00:00:00"/>
    <s v="SETEMBRO"/>
    <d v="2023-09-09T00:00:00"/>
    <x v="8"/>
    <s v="SETEMBRO"/>
    <x v="0"/>
    <d v="2023-09-09T00:00:00"/>
    <s v="QUEBRA DE PROCEDIMENTO"/>
    <s v="NO DIA 08/09 O MOTORISTA NÃO FEZ O PROCEDIMENTO CORRETO AO NÃO REALIZAR O CHECKLIST DE FORMA PRECISA, E VERIFICAR O NÍVEL DE ÓLEO HIDRAULICO QUE ESTAVA BAIXO, O QUE OCASIONOU TRANSTORNOS NA OPERAÇÃO."/>
  </r>
  <r>
    <n v="261"/>
    <s v="ISAIAS ROCHA DE ARAUJO"/>
    <x v="164"/>
    <x v="1"/>
    <d v="2023-08-17T00:00:00"/>
    <s v="0ANOS, 0MESES"/>
    <n v="6.6666666666666666E-2"/>
    <x v="0"/>
    <x v="0"/>
    <s v="COLETA DOMICILIAR"/>
    <s v="NOTURNO"/>
    <s v="JOÃO PEDRO"/>
    <x v="0"/>
    <d v="2023-09-10T00:00:00"/>
    <s v="SETEMBRO"/>
    <d v="2023-09-10T00:00:00"/>
    <x v="8"/>
    <s v="SETEMBRO"/>
    <x v="0"/>
    <d v="2023-09-11T00:00:00"/>
    <s v="FALTA"/>
    <s v="COLABORADOR FALTOU NO DIA 10/09 E NÃO APRESENTOU NENHUMA JUSTIFICATIVA."/>
  </r>
  <r>
    <n v="262"/>
    <s v="DANIEL MACHADO DE SOUZA"/>
    <x v="122"/>
    <x v="0"/>
    <d v="2022-05-02T00:00:00"/>
    <s v="1ANOS, 4MESES"/>
    <n v="1.3777777777777778"/>
    <x v="2"/>
    <x v="0"/>
    <s v="COLETA DOMICILIAR"/>
    <s v="NOTURNO"/>
    <s v="JOÃO PEDRO"/>
    <x v="1"/>
    <d v="2023-09-10T00:00:00"/>
    <s v="SETEMBRO"/>
    <d v="2023-09-11T00:00:00"/>
    <x v="8"/>
    <s v="SETEMBRO"/>
    <x v="0"/>
    <d v="2023-09-11T00:00:00"/>
    <s v="FALTA"/>
    <s v="COLABORADOR FALTOU NO DIA 09/09 E 10/09 E NÃO APRESENTOU NENHUMA JUSTIFICATIVA."/>
  </r>
  <r>
    <n v="263"/>
    <s v="LUIZ FERNANDO MENDES VIANA"/>
    <x v="9"/>
    <x v="0"/>
    <d v="2022-12-07T00:00:00"/>
    <s v="0ANOS, 9MESES"/>
    <n v="0.77222222222222225"/>
    <x v="0"/>
    <x v="0"/>
    <s v="COLETA DOMICILIAR"/>
    <s v="DIURNO"/>
    <s v="ELISANGELA ROCHA"/>
    <x v="0"/>
    <d v="2023-09-11T00:00:00"/>
    <s v="SETEMBRO"/>
    <d v="2023-09-11T00:00:00"/>
    <x v="8"/>
    <s v="SETEMBRO"/>
    <x v="0"/>
    <d v="2023-09-11T00:00:00"/>
    <s v="FALTA"/>
    <s v="O COLABORADOR FALTOU NO DIA 11/09 SEM NENHUMA JUSTIFICATIVA, INFORMOU QUE NÃO ESTAVA COM CONDIÇÕES DE TRABALHAR."/>
  </r>
  <r>
    <n v="264"/>
    <s v="DANIEL SOARES DE ANDRADE "/>
    <x v="165"/>
    <x v="0"/>
    <d v="2022-12-01T00:00:00"/>
    <s v="0ANOS, 9MESES"/>
    <n v="0.79166666666666663"/>
    <x v="0"/>
    <x v="0"/>
    <s v="COLETA DOMICILIAR"/>
    <s v="DIURNO"/>
    <s v="ELISANGELA ROCHA"/>
    <x v="0"/>
    <d v="2023-09-12T00:00:00"/>
    <s v="SETEMBRO"/>
    <d v="2023-09-12T00:00:00"/>
    <x v="8"/>
    <s v="SETEMBRO"/>
    <x v="0"/>
    <d v="2023-09-12T00:00:00"/>
    <s v="ATRASO"/>
    <s v="O COLABORADOR CHEGOU ATRASADO NO DIA 12/09 CHEGANDO 06:03, SENDO QUE SEU HORÁRIO É AS 05:50."/>
  </r>
  <r>
    <n v="265"/>
    <s v="RAYNILSON ALVES TAVARES"/>
    <x v="166"/>
    <x v="0"/>
    <d v="2023-07-06T00:00:00"/>
    <s v="0ANOS, 1MESES"/>
    <n v="0.1388888888888889"/>
    <x v="0"/>
    <x v="1"/>
    <s v="COLETA DOMICILIAR"/>
    <s v="NOTURNO"/>
    <s v="JOÃO PEDRO"/>
    <x v="0"/>
    <d v="2023-08-25T00:00:00"/>
    <s v="AGOSTO"/>
    <d v="2023-09-15T00:00:00"/>
    <x v="8"/>
    <s v="SETEMBRO"/>
    <x v="0"/>
    <d v="2023-09-15T00:00:00"/>
    <s v="QUEBRA DE PROCEDIMENTO"/>
    <s v="NO DIA 25/08/2023, O COLABORADOR FEZ UMA CONVERSÃO PROIBIDA OCASIONANDO UM SINISTRO NA PLACA DO POSTO."/>
  </r>
  <r>
    <n v="266"/>
    <s v="WELLINGTON LIMA DA SILVA"/>
    <x v="167"/>
    <x v="0"/>
    <d v="2020-05-04T00:00:00"/>
    <s v="3ANOS, 4MESES"/>
    <n v="3.4166666666666665"/>
    <x v="1"/>
    <x v="0"/>
    <s v="COLETA DOMICILIAR"/>
    <s v="NOTURNO"/>
    <s v="JOÃO PEDRO"/>
    <x v="0"/>
    <d v="2023-09-16T00:00:00"/>
    <s v="SETEMBRO"/>
    <d v="2023-09-15T00:00:00"/>
    <x v="8"/>
    <s v="SETEMBRO"/>
    <x v="0"/>
    <d v="2023-09-15T00:00:00"/>
    <s v="QUEBRA DE PROCEDIMENTO"/>
    <s v="NO DIA 15/09/2023 O COLABORADOR ESTAVA REALIZANDO A COLETA SEM A SUA FARDA COMPLETA, EM DESACORDO COM A PO-08."/>
  </r>
  <r>
    <n v="267"/>
    <s v="FABIO BRITO DOS SANTOS"/>
    <x v="136"/>
    <x v="1"/>
    <d v="2023-03-16T00:00:00"/>
    <s v="0ANOS, 6MESES"/>
    <n v="0.51388888888888884"/>
    <x v="0"/>
    <x v="0"/>
    <s v="COLETA DOMICILIAR"/>
    <s v="DIURNO"/>
    <s v="ANA CAROLINA"/>
    <x v="0"/>
    <d v="2023-09-17T00:00:00"/>
    <s v="SETEMBRO"/>
    <d v="2023-09-18T00:00:00"/>
    <x v="8"/>
    <s v="SETEMBRO"/>
    <x v="0"/>
    <d v="2023-09-18T00:00:00"/>
    <s v="FALTA"/>
    <s v="FALTA INJUSTIFICADA NOS DIAS 12/09 E 17/09, COLABORADOR INFORMA QUE ESTÁ PASSANDO POR PROBLEMAS PESSOAIS."/>
  </r>
  <r>
    <n v="268"/>
    <s v="WENDELL FRANCO GIBSON "/>
    <x v="20"/>
    <x v="0"/>
    <d v="2022-11-03T00:00:00"/>
    <s v="0ANOS, 10MESES"/>
    <n v="0.88611111111111107"/>
    <x v="0"/>
    <x v="0"/>
    <s v="COLETA DOMICILIAR"/>
    <s v="NOTURNO"/>
    <s v="JOÃO PEDRO"/>
    <x v="1"/>
    <d v="2023-09-18T00:00:00"/>
    <s v="SETEMBRO"/>
    <d v="2023-09-19T00:00:00"/>
    <x v="8"/>
    <s v="SETEMBRO"/>
    <x v="0"/>
    <d v="2023-09-26T00:00:00"/>
    <s v="FALTA"/>
    <s v="COLABORADOR FALTOU NOS DIAS 17/09 E 18/09 E NÃO APRESENTOU NENHUMA JUSTIFICATIVA."/>
  </r>
  <r>
    <n v="269"/>
    <s v="RODRIGO DUTRA DAS CHAGAS"/>
    <x v="168"/>
    <x v="0"/>
    <d v="2020-10-04T00:00:00"/>
    <s v="2ANOS, 11MESES"/>
    <n v="2.9916666666666667"/>
    <x v="2"/>
    <x v="0"/>
    <s v="COLETA DOMICILIAR"/>
    <s v="DIURNO"/>
    <s v="ANA CAROLINA"/>
    <x v="1"/>
    <d v="2023-09-16T00:00:00"/>
    <s v="SETEMBRO"/>
    <d v="2023-09-19T00:00:00"/>
    <x v="8"/>
    <s v="SETEMBRO"/>
    <x v="0"/>
    <d v="2023-09-20T00:00:00"/>
    <s v="EMBRIAGUEZ"/>
    <s v="COLABORADOR IDENTIFICADO COM INDICIOS DE EMBRIAGUEZ NO ROTEIRO 90.1.158, MICRO 1 NO DIA 16/09/2023 POR VOLTA DAS 14:00, EM CONVERSA COM O MESMO ELE AFIRMA TER INGERIDO &quot; UM POUCO DE BEBIDA ALCOOLICA&quot;."/>
  </r>
  <r>
    <n v="270"/>
    <s v="LUIZ FERNANDO MENDES VIANA"/>
    <x v="9"/>
    <x v="0"/>
    <d v="2022-12-07T00:00:00"/>
    <s v="0ANOS, 9MESES"/>
    <n v="0.79166666666666663"/>
    <x v="0"/>
    <x v="0"/>
    <s v="COLETA DOMICILIAR"/>
    <s v="DIURNO"/>
    <s v="ANA CAROLINA"/>
    <x v="1"/>
    <d v="2023-09-18T00:00:00"/>
    <s v="SETEMBRO"/>
    <d v="2023-09-19T00:00:00"/>
    <x v="8"/>
    <s v="SETEMBRO"/>
    <x v="0"/>
    <d v="2023-09-20T00:00:00"/>
    <s v="FALTA"/>
    <s v="FALTA INSJUTIFICADA EM 18/09/2023."/>
  </r>
  <r>
    <n v="271"/>
    <s v="HELINTON KITSINGER PARMELO"/>
    <x v="159"/>
    <x v="0"/>
    <d v="2022-11-03T00:00:00"/>
    <s v="0ANOS, 10MESES"/>
    <n v="0.88888888888888884"/>
    <x v="0"/>
    <x v="0"/>
    <s v="COLETA DOMICILIAR"/>
    <s v="DIURNO"/>
    <s v="ANA CAROLINA"/>
    <x v="1"/>
    <d v="2023-09-19T00:00:00"/>
    <s v="SETEMBRO"/>
    <d v="2023-09-20T00:00:00"/>
    <x v="8"/>
    <s v="SETEMBRO"/>
    <x v="0"/>
    <d v="2023-09-21T00:00:00"/>
    <s v="FALTA"/>
    <s v="FALTA INJUSTIFICADA NOS DIAS 18/09 E 19/09, COLABORADOR ALEGA ACOMPANHAR ESPOSA DOENTE."/>
  </r>
  <r>
    <n v="272"/>
    <s v="ISAQUE FERNANDES DA CRUZ"/>
    <x v="12"/>
    <x v="0"/>
    <d v="2022-05-02T00:00:00"/>
    <s v="1ANOS, 4MESES"/>
    <n v="1.4027777777777777"/>
    <x v="2"/>
    <x v="0"/>
    <s v="COLETA DOMICILIAR"/>
    <s v="DIURNO"/>
    <s v="ANA CAROLINA"/>
    <x v="1"/>
    <d v="2023-09-19T00:00:00"/>
    <s v="SETEMBRO"/>
    <d v="2023-09-21T00:00:00"/>
    <x v="8"/>
    <s v="SETEMBRO"/>
    <x v="0"/>
    <d v="2023-09-21T00:00:00"/>
    <s v="FALTA"/>
    <s v="COLABORADOR SE AUSENTOU DA EMPRESA POR 10 DIAS NO PERÍODO DE 08/09 A 19/09, SE APRESENTOU E JUSTIFICOU QUE ESTÁ PASSANDO POR PROBLEMAS PESSOAIS."/>
  </r>
  <r>
    <n v="273"/>
    <s v="WYGUINER PRINTIS DA CRUZ "/>
    <x v="117"/>
    <x v="1"/>
    <d v="2023-03-08T00:00:00"/>
    <s v="0ANOS, 6MESES"/>
    <n v="0.53611111111111109"/>
    <x v="0"/>
    <x v="0"/>
    <s v="COLETA DOMICILIAR"/>
    <s v="NOTURNO"/>
    <s v="JOÃO PEDRO"/>
    <x v="1"/>
    <d v="2023-09-17T00:00:00"/>
    <s v="SETEMBRO"/>
    <d v="2023-09-22T00:00:00"/>
    <x v="8"/>
    <s v="SETEMBRO"/>
    <x v="0"/>
    <d v="2023-09-27T00:00:00"/>
    <s v="FALTA"/>
    <s v="COLABORADOR FALTOU NOS DIAS 16/09 E 17/09 E NÃO APRESENTOU NENHUMA JUSTIFICATIVA."/>
  </r>
  <r>
    <n v="274"/>
    <s v="EDUARDO SILVEIRA DA SILVA"/>
    <x v="162"/>
    <x v="0"/>
    <d v="2023-02-09T00:00:00"/>
    <s v="0ANOS, 7MESES"/>
    <n v="0.625"/>
    <x v="0"/>
    <x v="0"/>
    <s v="COLETA DOMICILIAR"/>
    <s v="NOTURNO"/>
    <s v="JOÃO PEDRO"/>
    <x v="0"/>
    <d v="2023-09-22T00:00:00"/>
    <s v="SETEMBRO"/>
    <d v="2023-09-23T00:00:00"/>
    <x v="8"/>
    <s v="SETEMBRO"/>
    <x v="0"/>
    <d v="2023-09-23T00:00:00"/>
    <s v="FALTA"/>
    <s v="CALABORADOR FALTOU NO DIA 22/09/2023 E NÃO APRESENTOU NENHUMA JUSTIFICATIVA."/>
  </r>
  <r>
    <n v="275"/>
    <s v="RALYSON ROCHA NEVES"/>
    <x v="169"/>
    <x v="0"/>
    <d v="2022-12-07T00:00:00"/>
    <s v="0ANOS, 9MESES"/>
    <n v="0.80555555555555558"/>
    <x v="0"/>
    <x v="0"/>
    <s v="COLETA DOMICILIAR"/>
    <s v="NOTURNO"/>
    <s v="JOÃO PEDRO"/>
    <x v="0"/>
    <d v="2023-09-23T00:00:00"/>
    <s v="SETEMBRO"/>
    <d v="2023-09-24T00:00:00"/>
    <x v="8"/>
    <s v="SETEMBRO"/>
    <x v="0"/>
    <d v="2023-09-24T00:00:00"/>
    <s v="FALTA"/>
    <s v="COLABORADOR FALTOU NO DIA 23/09/2023 E NÃO APRESENTOU NENHUMA JUSTIFICATIVA."/>
  </r>
  <r>
    <n v="276"/>
    <s v="EDUARDO SILVA DE OLIVEIRA"/>
    <x v="91"/>
    <x v="0"/>
    <d v="2022-12-07T00:00:00"/>
    <s v="0ANOS, 9MESES"/>
    <n v="0.80555555555555558"/>
    <x v="0"/>
    <x v="0"/>
    <s v="COLETA DOMICILIAR"/>
    <s v="NOTURNO"/>
    <s v="JOÃO PEDRO"/>
    <x v="1"/>
    <d v="2023-09-23T00:00:00"/>
    <s v="SETEMBRO"/>
    <d v="2023-09-25T00:00:00"/>
    <x v="8"/>
    <s v="SETEMBRO"/>
    <x v="0"/>
    <d v="2023-09-30T00:00:00"/>
    <s v="FALTA"/>
    <s v="COLABORADOR FALTOU NO DIA 23/09/2023 E NÃO APRESENTOU NENHUMA JUSTIFICATIVA."/>
  </r>
  <r>
    <n v="277"/>
    <s v="ALISSON DE ARAUJO DIAS "/>
    <x v="170"/>
    <x v="0"/>
    <d v="2022-12-01T00:00:00"/>
    <s v="0ANOS, 9MESES"/>
    <n v="0.82499999999999996"/>
    <x v="0"/>
    <x v="0"/>
    <s v="COLETA DOMICILIAR"/>
    <s v="NOTURNO"/>
    <s v="JOÃO PEDRO"/>
    <x v="0"/>
    <d v="2023-09-24T00:00:00"/>
    <s v="SETEMBRO"/>
    <d v="2023-09-25T00:00:00"/>
    <x v="8"/>
    <s v="SETEMBRO"/>
    <x v="0"/>
    <d v="2023-09-25T00:00:00"/>
    <s v="FALTA"/>
    <s v="COLABORADOR FALTOU NO DIA 24/09 E NÃO APRESENTOU NENHUMA JUSTIFICATIVA."/>
  </r>
  <r>
    <n v="278"/>
    <s v="KAMILE DA SILVA LEAO"/>
    <x v="171"/>
    <x v="0"/>
    <d v="2022-11-03T00:00:00"/>
    <s v="0ANOS, 10MESES"/>
    <n v="0.91111111111111109"/>
    <x v="0"/>
    <x v="4"/>
    <s v="EDUCAÇÃO AMBIENTAL"/>
    <s v="DIURNO"/>
    <s v="ELISANGELA ROCHA"/>
    <x v="0"/>
    <d v="2023-09-27T00:00:00"/>
    <s v="SETEMBRO"/>
    <d v="2023-09-28T00:00:00"/>
    <x v="8"/>
    <s v="SETEMBRO"/>
    <x v="0"/>
    <d v="2023-09-28T00:00:00"/>
    <s v="FALTA"/>
    <s v="COLABORADOR FALTOU NOS DIAS 22, 23, 24, 25 E 27 SEM JUSITIFICATIVA, PORÉM NO SEU RETORNO, APRESENTOU ATESTADO MÉDICO FORA DO PRAZO, APÓS 48 HS."/>
  </r>
  <r>
    <n v="279"/>
    <s v="ISAQUE FERNANDES DA CRUZ"/>
    <x v="12"/>
    <x v="0"/>
    <d v="2022-05-02T00:00:00"/>
    <s v="1ANOS, 4MESES"/>
    <n v="1.4277777777777778"/>
    <x v="2"/>
    <x v="0"/>
    <s v="COLETA DOMICILIAR"/>
    <s v="DIURNO"/>
    <s v="ANA CAROLINA"/>
    <x v="1"/>
    <d v="2023-09-28T00:00:00"/>
    <s v="SETEMBRO"/>
    <d v="2023-09-29T00:00:00"/>
    <x v="8"/>
    <s v="SETEMBRO"/>
    <x v="0"/>
    <d v="2023-10-02T00:00:00"/>
    <s v="FALTA"/>
    <s v="FALTA INJUSTIFICADA NOS DIAS 25/09 A 28/09, COLABORADOR ALEGA PROBLEMAS PESSOAIS."/>
  </r>
  <r>
    <n v="280"/>
    <s v="FABIO CURITIMA ORTIZ"/>
    <x v="172"/>
    <x v="0"/>
    <d v="2022-09-01T00:00:00"/>
    <s v="1ANOS, 0MESES"/>
    <n v="1.0944444444444446"/>
    <x v="2"/>
    <x v="0"/>
    <s v="COLETA DOMICILIAR"/>
    <s v="NOTURNO"/>
    <s v="JOÃO PEDRO"/>
    <x v="1"/>
    <d v="2023-09-30T00:00:00"/>
    <s v="SETEMBRO"/>
    <d v="2023-10-01T00:00:00"/>
    <x v="9"/>
    <s v="OUTUBRO"/>
    <x v="0"/>
    <d v="2023-10-02T00:00:00"/>
    <s v="FALTA"/>
    <s v="COLABORADOR FALTOU NO DIA 30/09 E NÃO APRESENTOU NENHUMA JUSTIFICATIVA."/>
  </r>
  <r>
    <n v="281"/>
    <s v="PEDRO GABRIEL PERES PEREIRA"/>
    <x v="173"/>
    <x v="1"/>
    <d v="2023-05-17T00:00:00"/>
    <s v="0ANOS, 5MESES"/>
    <n v="0.46944444444444444"/>
    <x v="0"/>
    <x v="0"/>
    <s v="COLETA DOMICILIAR"/>
    <s v="NOTURNO"/>
    <s v="JOÃO PEDRO"/>
    <x v="1"/>
    <d v="2023-11-02T00:00:00"/>
    <s v="NOVEMBRO"/>
    <d v="2023-10-02T00:00:00"/>
    <x v="9"/>
    <s v="OUTUBRO"/>
    <x v="0"/>
    <d v="2023-01-03T00:00:00"/>
    <s v="QUEBRA DE PROCEDIMENTO"/>
    <s v="AO REALIZAR O ROTEIRO NO DIA 02/11 O COLABORADOR INFRINGIU O CÓDIGO DE CONDUTA AO IR AS VIAS DE FATO COM SEU COLEGA DE TRABALHO."/>
  </r>
  <r>
    <n v="282"/>
    <s v="WILMAR SOUZA DE QUEIROZ"/>
    <x v="174"/>
    <x v="0"/>
    <d v="2022-10-03T00:00:00"/>
    <s v="1ANOS, 0MESES"/>
    <n v="1.0138888888888888"/>
    <x v="2"/>
    <x v="0"/>
    <s v="COLETA DOMICILIAR"/>
    <s v="DIURNO"/>
    <s v="ANA CAROLINA"/>
    <x v="1"/>
    <d v="2023-10-03T00:00:00"/>
    <s v="OUTUBRO"/>
    <d v="2023-10-03T00:00:00"/>
    <x v="9"/>
    <s v="OUTUBRO"/>
    <x v="0"/>
    <d v="2023-10-03T00:00:00"/>
    <s v="INSUBORDINAÇÃO"/>
    <s v="AGENTE DE COLETA RECUSOU A ATENDER AOS COMANDOS PASSADOS PELA ANALISTA ELISANGELA PARA ATIVIDADE DE PODA, ALEGANDO QUE NÃO É CONTRATADO PARA TAL SERVIÇOI E SOMENTE PARA ATIVIDADE DE PODA, ALEGANDO QUE NÃO É CONTRATADO PARA TAL SERVIÇO E SIM SOMENTE PARA COLETA DOMICILIAR, O COLABORADOR DEIXOU CLARO A INSATISFAÇÃO EM NÃO CONTINUAR MAIS NO GRUPO."/>
  </r>
  <r>
    <n v="283"/>
    <s v="JARDEL ALHO PINHEIRO"/>
    <x v="143"/>
    <x v="0"/>
    <d v="2023-04-06T00:00:00"/>
    <s v="0ANOS, 5MESES"/>
    <n v="0.49722222222222223"/>
    <x v="0"/>
    <x v="0"/>
    <s v="COLETA DOMICILIAR"/>
    <s v="DIURNO"/>
    <s v="ANA CAROLINA"/>
    <x v="1"/>
    <d v="2023-10-02T00:00:00"/>
    <s v="OUTUBRO"/>
    <d v="2023-10-03T00:00:00"/>
    <x v="9"/>
    <s v="OUTUBRO"/>
    <x v="0"/>
    <d v="2023-10-04T00:00:00"/>
    <s v="FALTA"/>
    <s v="FALTA INJUSTIFICADA NO DIA 02/10/2023, ALEGOU PROBLEMAS PESSOAIS."/>
  </r>
  <r>
    <n v="284"/>
    <s v="FRANCISCO MAGNO DE ALMEIDA OLIVEIRA"/>
    <x v="140"/>
    <x v="0"/>
    <d v="2022-10-03T00:00:00"/>
    <s v="1ANOS, 0MESES"/>
    <n v="1.0194444444444444"/>
    <x v="2"/>
    <x v="0"/>
    <s v="COLETA DOMICILIAR"/>
    <s v="NOTURNO"/>
    <s v="JOÃO PEDRO"/>
    <x v="1"/>
    <d v="2023-10-05T00:00:00"/>
    <s v="OUTUBRO"/>
    <d v="2023-10-03T00:00:00"/>
    <x v="9"/>
    <s v="OUTUBRO"/>
    <x v="0"/>
    <d v="2023-10-08T00:00:00"/>
    <s v="FALTA"/>
    <s v="COLABORADOR FALTOU NO DIA 02/10 E NÃO APRESENTOU NENHUMA JUSTIFIXCATIVA."/>
  </r>
  <r>
    <n v="285"/>
    <s v="ISAQUE FERNANDES DA CRUZ"/>
    <x v="12"/>
    <x v="0"/>
    <d v="2022-05-02T00:00:00"/>
    <s v="1ANOS, 5MESES"/>
    <n v="1.4444444444444444"/>
    <x v="2"/>
    <x v="0"/>
    <s v="COLETA DOMICILIAR"/>
    <s v="DIURNO"/>
    <s v="ANA CAROLINA"/>
    <x v="1"/>
    <d v="2023-10-04T00:00:00"/>
    <s v="OUTUBRO"/>
    <d v="2023-10-04T00:00:00"/>
    <x v="9"/>
    <s v="OUTUBRO"/>
    <x v="0"/>
    <d v="2023-10-09T00:00:00"/>
    <s v="FALTA"/>
    <s v="AGENTE COM FALTA INJUSTIFICADA NO DIAS 02/10 E 03/10."/>
  </r>
  <r>
    <n v="286"/>
    <s v="DAVI FERREIRA DIAS "/>
    <x v="161"/>
    <x v="0"/>
    <d v="2022-12-07T00:00:00"/>
    <s v="0ANOS, 9MESES"/>
    <n v="0.82777777777777772"/>
    <x v="0"/>
    <x v="1"/>
    <s v="COLETA DOMICILIAR"/>
    <s v="NOTURNO"/>
    <s v="JOÃO PEDRO"/>
    <x v="0"/>
    <d v="2023-10-01T00:00:00"/>
    <s v="OUTUBRO"/>
    <d v="2023-10-04T00:00:00"/>
    <x v="9"/>
    <s v="OUTUBRO"/>
    <x v="0"/>
    <d v="2023-10-04T00:00:00"/>
    <s v="EXCESSO DE VELOCIDADE"/>
    <s v="COLABORADOR EXCEDEU O LIMITE DE VELOCIDADE NO DIA 01/10/2023 AS 04:23 CHEGANDO A 79 KM/H."/>
  </r>
  <r>
    <n v="287"/>
    <s v="DANIEL GOMES SEIXAS"/>
    <x v="175"/>
    <x v="0"/>
    <d v="2023-05-05T00:00:00"/>
    <s v="0ANOS, 4MESES"/>
    <n v="0.41944444444444445"/>
    <x v="0"/>
    <x v="0"/>
    <s v="COLETA DOMICILIAR"/>
    <s v="NOTURNO"/>
    <s v="JOÃO PEDRO"/>
    <x v="0"/>
    <d v="2023-10-03T00:00:00"/>
    <s v="OUTUBRO"/>
    <d v="2023-10-04T00:00:00"/>
    <x v="9"/>
    <s v="OUTUBRO"/>
    <x v="0"/>
    <d v="2023-10-04T00:00:00"/>
    <s v="FALTA"/>
    <s v="COLABORADOR FALTOU NO DIA 03/10 E NÃO APRESENTOU NENHUMA JUSTIFICATIVA."/>
  </r>
  <r>
    <n v="288"/>
    <s v="VICTOR RODRIGO DE QUEIROZ OLIVEIRA"/>
    <x v="176"/>
    <x v="0"/>
    <d v="2022-05-14T00:00:00"/>
    <s v="1ANOS, 4MESES"/>
    <n v="1.413888888888889"/>
    <x v="2"/>
    <x v="1"/>
    <s v="COLETA DOMICILIAR"/>
    <s v="DIURNO"/>
    <s v="ANA CAROLINA"/>
    <x v="0"/>
    <d v="2023-10-05T00:00:00"/>
    <s v="OUTUBRO"/>
    <d v="2023-10-05T00:00:00"/>
    <x v="9"/>
    <s v="OUTUBRO"/>
    <x v="0"/>
    <d v="2023-10-05T00:00:00"/>
    <s v="EXCESSO DE VELOCIDADE"/>
    <s v="EXCEDEU O LIMITE DE VELOCIDADE PERMITIDO PELA EMPRESA CHEGANDO A 71 KM DIA 30/09 AS 09:41H NO CC 699."/>
  </r>
  <r>
    <n v="289"/>
    <s v="BRUNO RAFAEL GAMA RODRIGUES"/>
    <x v="142"/>
    <x v="1"/>
    <d v="2023-06-01T00:00:00"/>
    <s v="0ANOS, 4MESES"/>
    <n v="0.33888888888888891"/>
    <x v="0"/>
    <x v="0"/>
    <s v="COLETA DOMICILIAR"/>
    <s v="NOTURNO"/>
    <s v="JOÃO PEDRO"/>
    <x v="1"/>
    <d v="2023-10-01T00:00:00"/>
    <s v="OUTUBRO"/>
    <d v="2023-10-06T00:00:00"/>
    <x v="9"/>
    <s v="OUTUBRO"/>
    <x v="0"/>
    <d v="2023-10-09T00:00:00"/>
    <s v="FALTA"/>
    <s v="COLABORADOR FALTOU NO DIA 01/10 E NÃO APRESENTOU NENHUMA JUSTIFICATIVA."/>
  </r>
  <r>
    <n v="290"/>
    <s v="MAURICIO AUGUSTO QUEIROZ DE ARAUJO"/>
    <x v="24"/>
    <x v="0"/>
    <d v="2022-12-07T00:00:00"/>
    <s v="0ANOS, 9MESES"/>
    <n v="0.82777777777777772"/>
    <x v="0"/>
    <x v="0"/>
    <s v="COLETA DOMICILIAR"/>
    <s v="NOTURNO"/>
    <s v="JOÃO PEDRO"/>
    <x v="0"/>
    <d v="2023-10-01T00:00:00"/>
    <s v="OUTUBRO"/>
    <d v="2023-10-07T00:00:00"/>
    <x v="9"/>
    <s v="OUTUBRO"/>
    <x v="0"/>
    <d v="2023-10-07T00:00:00"/>
    <s v="QUEBRA DE PROCEDIMENTO"/>
    <s v="COLABORADOR AGIU EM DESACORDO COM A PO08 E DEU UM PONTAPÉ NO PORTÃO DE UM MUNÍCIPE."/>
  </r>
  <r>
    <n v="291"/>
    <s v="MAURICIO AUGUSTO QUEIROZ DE ARAUJO"/>
    <x v="24"/>
    <x v="0"/>
    <d v="2022-12-07T00:00:00"/>
    <s v="0ANOS, 10MESES"/>
    <n v="0.85277777777777775"/>
    <x v="0"/>
    <x v="0"/>
    <s v="COLETA DOMICILIAR"/>
    <s v="NOTURNO"/>
    <s v="JOÃO PEDRO"/>
    <x v="0"/>
    <d v="2023-10-10T00:00:00"/>
    <s v="OUTUBRO"/>
    <d v="2023-10-11T00:00:00"/>
    <x v="9"/>
    <s v="OUTUBRO"/>
    <x v="0"/>
    <d v="2023-10-11T00:00:00"/>
    <s v="QUEBRA DE PROCEDIMENTO"/>
    <s v="NO DIA 10/10/2023 NÃO FEZ A COLETA NA AVENIDA MARIO YPIRANGA, 133, VAREJÃO JV, GERANDO RECLAMAÇÃO."/>
  </r>
  <r>
    <n v="292"/>
    <s v="VALCICLE ARAGAO DE MELO"/>
    <x v="177"/>
    <x v="0"/>
    <d v="2022-02-02T00:00:00"/>
    <s v="1ANOS, 8MESES"/>
    <n v="1.7"/>
    <x v="2"/>
    <x v="0"/>
    <s v="COLETA DOMICILIAR"/>
    <s v="NOTURNO"/>
    <s v="JOÃO PEDRO"/>
    <x v="0"/>
    <d v="2023-10-07T00:00:00"/>
    <s v="OUTUBRO"/>
    <d v="2023-10-11T00:00:00"/>
    <x v="9"/>
    <s v="OUTUBRO"/>
    <x v="0"/>
    <d v="2023-10-11T00:00:00"/>
    <s v="FALTA"/>
    <s v="FALTA SEM JUSTIFICATIVA NO DIA 07/10/2023."/>
  </r>
  <r>
    <n v="293"/>
    <s v="VICTOR RODRIGO DE QUEIROZ OLIVEIRA"/>
    <x v="176"/>
    <x v="0"/>
    <d v="2022-05-14T00:00:00"/>
    <s v="1ANOS, 4MESES"/>
    <n v="1.4305555555555556"/>
    <x v="2"/>
    <x v="1"/>
    <s v="COLETA DOMICILIAR"/>
    <s v="DIURNO"/>
    <s v="ANA CAROLINA"/>
    <x v="0"/>
    <d v="2023-10-11T00:00:00"/>
    <s v="OUTUBRO"/>
    <d v="2023-10-13T00:00:00"/>
    <x v="9"/>
    <s v="OUTUBRO"/>
    <x v="0"/>
    <d v="2023-10-13T00:00:00"/>
    <s v="EXCESSO DE VELOCIDADE"/>
    <s v="EXCEDEU O LIMITE DE VELOCIDADE PERMITIDO PELA EMPRESA CHEGANDO A 72 KM/H DIA 11/10/2023 AS 15:59H NO CC 700."/>
  </r>
  <r>
    <n v="294"/>
    <s v="JAIMISON JORGE DA COSTA ROCHA"/>
    <x v="178"/>
    <x v="0"/>
    <d v="2022-04-04T00:00:00"/>
    <s v="1ANOS, 6MESES"/>
    <n v="1.55"/>
    <x v="2"/>
    <x v="0"/>
    <s v="COLETA DOMICILIAR"/>
    <s v="NOTURNO"/>
    <s v="JOÃO PEDRO"/>
    <x v="0"/>
    <d v="2023-10-14T00:00:00"/>
    <s v="OUTUBRO"/>
    <d v="2023-10-16T00:00:00"/>
    <x v="9"/>
    <s v="OUTUBRO"/>
    <x v="0"/>
    <d v="2023-10-16T00:00:00"/>
    <s v="FALTA"/>
    <s v="FALTA SEM JUSTIFICATIVA NO DIA 14/10/2023."/>
  </r>
  <r>
    <n v="295"/>
    <s v="LEONARDO DA SILVA ROCHA"/>
    <x v="123"/>
    <x v="0"/>
    <d v="2022-10-06T00:00:00"/>
    <s v="1ANOS, 0MESES"/>
    <n v="1.0333333333333334"/>
    <x v="2"/>
    <x v="0"/>
    <s v="COLETA DOMICILIAR"/>
    <s v="NOTURNO"/>
    <s v="JOÃO PEDRO"/>
    <x v="0"/>
    <d v="2023-10-13T00:00:00"/>
    <s v="OUTUBRO"/>
    <d v="2023-10-16T00:00:00"/>
    <x v="9"/>
    <s v="OUTUBRO"/>
    <x v="0"/>
    <d v="2023-10-16T00:00:00"/>
    <s v="FALTA"/>
    <s v="FALTA SEM JUSTIFICATIVA NO DIA 13/10/2023."/>
  </r>
  <r>
    <n v="296"/>
    <s v="VALCICLE ARAGAO DE MELO"/>
    <x v="177"/>
    <x v="0"/>
    <d v="2022-02-02T00:00:00"/>
    <s v="1ANOS, 8MESES"/>
    <n v="1.7222222222222223"/>
    <x v="2"/>
    <x v="0"/>
    <s v="COLETA DOMICILIAR"/>
    <s v="NOTURNO"/>
    <s v="JOÃO PEDRO"/>
    <x v="1"/>
    <d v="2023-10-15T00:00:00"/>
    <s v="OUTUBRO"/>
    <d v="2023-10-16T00:00:00"/>
    <x v="9"/>
    <s v="OUTUBRO"/>
    <x v="0"/>
    <d v="2023-10-17T00:00:00"/>
    <s v="FALTA"/>
    <s v="FALTA SEM JUSTIFICATIVA NO DIA 15/10/2023."/>
  </r>
  <r>
    <n v="297"/>
    <s v="MAURICIO DE SOUZA ANDRADE"/>
    <x v="179"/>
    <x v="0"/>
    <d v="2021-10-03T00:00:00"/>
    <s v="2ANOS, 0MESES"/>
    <n v="2.0583333333333331"/>
    <x v="2"/>
    <x v="0"/>
    <s v="COLETA DOMICILIAR"/>
    <s v="DIURNO"/>
    <s v="ANA CAROLINA"/>
    <x v="1"/>
    <d v="2023-10-14T00:00:00"/>
    <s v="OUTUBRO"/>
    <d v="2023-10-18T00:00:00"/>
    <x v="9"/>
    <s v="OUTUBRO"/>
    <x v="0"/>
    <d v="2023-10-19T00:00:00"/>
    <s v="EMBRIAGUEZ"/>
    <s v="AGENTE DE COLETA FOI IDENTIFICADO POR UM MOTORISTA QUE ESTAVA NO CAMINHO DO ATERRO ANDANDO NO SETOR DE COLETA 90.1.177 - MUTIRÃO DESORIENTADO NO DIA 14/10/2023, FISCAL FOI ACIONADO E CHEGANDO AO LOCAL ENCONTROU O AGENTE DE COLETA DEITADO NA CALÇADA CONSTATANDO QUE ENCONTRAVA-SE EMBRIAGADO SEM NENHUMA CONDIÇÃO DE EXPLICAR O OCORRIDO."/>
  </r>
  <r>
    <n v="298"/>
    <s v="WENDELL FRANCO GIBSON "/>
    <x v="20"/>
    <x v="0"/>
    <d v="2022-11-03T00:00:00"/>
    <s v="0ANOS, 11MESES"/>
    <n v="0.97222222222222221"/>
    <x v="0"/>
    <x v="0"/>
    <s v="COLETA DOMICILIAR"/>
    <s v="DIURNO"/>
    <s v="JOÃO PEDRO"/>
    <x v="0"/>
    <d v="2023-10-19T00:00:00"/>
    <s v="OUTUBRO"/>
    <d v="2023-10-19T00:00:00"/>
    <x v="9"/>
    <s v="OUTUBRO"/>
    <x v="0"/>
    <d v="2023-10-19T00:00:00"/>
    <s v="QUEBRA DE PROCEDIMENTO"/>
    <s v="COLABORADOR NÃO COMPARECEU NA EMPRESA PARA FAZER OS DEVIDOS PROCEDIMENTOS APÓS SOFRER UM ACIDENTE COM FURADA DE AGULHA."/>
  </r>
  <r>
    <n v="299"/>
    <s v="WESLLEY RICHARD DE SOUZA DANTAS"/>
    <x v="180"/>
    <x v="0"/>
    <d v="2023-03-16T00:00:00"/>
    <s v="0ANOS, 7MESES"/>
    <n v="0.60555555555555551"/>
    <x v="0"/>
    <x v="0"/>
    <s v="COLETA DOMICILIAR"/>
    <s v="NOTURNO"/>
    <s v="JOÃO PEDRO"/>
    <x v="0"/>
    <d v="2023-10-20T00:00:00"/>
    <s v="OUTUBRO"/>
    <d v="2023-10-21T00:00:00"/>
    <x v="9"/>
    <s v="OUTUBRO"/>
    <x v="0"/>
    <d v="2023-10-21T00:00:00"/>
    <s v="FALTA"/>
    <s v="COLABORADOR FALTOU NO DIA 20/10 E NÃO APRESENTOU NENHUMA JUSTIFICATIVA."/>
  </r>
  <r>
    <n v="300"/>
    <s v="EDILSON LUIZ CARVALHO DE SOUZA"/>
    <x v="15"/>
    <x v="0"/>
    <d v="2022-01-17T00:00:00"/>
    <s v="1ANOS, 9MESES"/>
    <n v="1.7805555555555554"/>
    <x v="2"/>
    <x v="0"/>
    <s v="COLETA DOMICILIAR"/>
    <s v="NOTURNO"/>
    <s v="JOÃO PEDRO"/>
    <x v="0"/>
    <d v="2023-10-20T00:00:00"/>
    <s v="OUTUBRO"/>
    <d v="2023-10-21T00:00:00"/>
    <x v="9"/>
    <s v="OUTUBRO"/>
    <x v="0"/>
    <d v="2023-10-21T00:00:00"/>
    <s v="FALTA"/>
    <s v="COLABORADOR FALTOU NO DIA 20/10 E NÃO APRESENTOU NENHUMA JUSTIFICATIVA."/>
  </r>
  <r>
    <n v="301"/>
    <s v="FELIPE DA COSTA RAMOS "/>
    <x v="27"/>
    <x v="1"/>
    <d v="2022-12-07T00:00:00"/>
    <s v="0ANOS, 10MESES"/>
    <n v="0.88055555555555554"/>
    <x v="0"/>
    <x v="0"/>
    <s v="COLETA DOMICILIAR"/>
    <s v="DIURNO"/>
    <s v="ANA CAROLINA"/>
    <x v="0"/>
    <d v="2023-10-20T00:00:00"/>
    <s v="OUTUBRO"/>
    <d v="2023-10-21T00:00:00"/>
    <x v="9"/>
    <s v="OUTUBRO"/>
    <x v="0"/>
    <d v="2023-10-21T00:00:00"/>
    <s v="FALTA"/>
    <s v="FALTA INSJUSTIFICADA EM 20/10/2023, ALEGA PROBLEMAS PESSOAIS."/>
  </r>
  <r>
    <n v="302"/>
    <s v="FABIO CURITIMA ORTIZ"/>
    <x v="172"/>
    <x v="0"/>
    <d v="2022-09-01T00:00:00"/>
    <s v="1ANOS, 1MESES"/>
    <n v="1.1527777777777777"/>
    <x v="2"/>
    <x v="0"/>
    <s v="COLETA DOMICILIAR"/>
    <s v="NOTURNO"/>
    <s v="JOÃO PEDRO"/>
    <x v="1"/>
    <d v="2023-10-21T00:00:00"/>
    <s v="OUTUBRO"/>
    <d v="2023-10-22T00:00:00"/>
    <x v="9"/>
    <s v="OUTUBRO"/>
    <x v="0"/>
    <d v="2023-10-25T00:00:00"/>
    <s v="FALTA"/>
    <s v="COLABORADOR FALTOU NO DIA 21/10 E NÃO APRESENTOU NENHUMA JUSTIFICATIVA."/>
  </r>
  <r>
    <n v="303"/>
    <s v="JEFFERSON PEREIRA LIMA"/>
    <x v="181"/>
    <x v="0"/>
    <d v="2020-02-04T00:00:00"/>
    <s v="3ANOS, 8MESES"/>
    <n v="3.7666666666666666"/>
    <x v="1"/>
    <x v="0"/>
    <s v="COLETA DOMICILIAR"/>
    <s v="DIURNO"/>
    <s v="ANA CAROLINA"/>
    <x v="0"/>
    <d v="2023-10-22T00:00:00"/>
    <s v="OUTUBRO"/>
    <d v="2023-10-23T00:00:00"/>
    <x v="9"/>
    <s v="OUTUBRO"/>
    <x v="0"/>
    <d v="2023-10-23T00:00:00"/>
    <s v="FALTA"/>
    <s v="COLABORADOR FALTOU NO DIA 22/10/2023 SEM NENHUMA JUSTIFICATIVA."/>
  </r>
  <r>
    <n v="304"/>
    <s v="EDUARDO SILVA DE OLIVEIRA"/>
    <x v="91"/>
    <x v="0"/>
    <d v="2022-12-07T00:00:00"/>
    <s v="0ANOS, 10MESES"/>
    <n v="0.8833333333333333"/>
    <x v="0"/>
    <x v="0"/>
    <s v="COLETA DOMICILIAR"/>
    <s v="NOTURNO"/>
    <s v="JOÃO PEDRO"/>
    <x v="1"/>
    <d v="2023-10-21T00:00:00"/>
    <s v="OUTUBRO"/>
    <d v="2023-10-23T00:00:00"/>
    <x v="9"/>
    <s v="OUTUBRO"/>
    <x v="0"/>
    <d v="2023-10-30T00:00:00"/>
    <s v="FALTA"/>
    <s v="COLABORADOR FALTOU NO DIA 21/10 E NÃO APRESENTOU NENHUMA JUSTIFICATIVA."/>
  </r>
  <r>
    <n v="305"/>
    <s v="LUIZ FERNANDO MENDES VIANA"/>
    <x v="9"/>
    <x v="0"/>
    <d v="2022-12-07T00:00:00"/>
    <s v="0ANOS, 10MESES"/>
    <n v="0.8833333333333333"/>
    <x v="0"/>
    <x v="0"/>
    <s v="COLETA DOMICILIAR"/>
    <s v="NOTURNO"/>
    <s v="JOÃO PEDRO"/>
    <x v="1"/>
    <d v="2023-10-21T00:00:00"/>
    <s v="OUTUBRO"/>
    <d v="2023-10-23T00:00:00"/>
    <x v="9"/>
    <s v="OUTUBRO"/>
    <x v="0"/>
    <d v="2023-10-26T00:00:00"/>
    <s v="FALTA"/>
    <s v="COLABORADOR FALTOU NO DIA 21/10 E NÃO APRESENTOU NENHUMA JUSTIFICATIVA."/>
  </r>
  <r>
    <n v="306"/>
    <s v="BRUNO OLIVEIRA RUBEM"/>
    <x v="182"/>
    <x v="1"/>
    <d v="2023-05-17T00:00:00"/>
    <s v="0ANOS, 5MESES"/>
    <n v="0.43888888888888888"/>
    <x v="0"/>
    <x v="0"/>
    <s v="COLETA DOMICILIAR"/>
    <s v="NOTURNO"/>
    <s v="JOÃO PEDRO"/>
    <x v="1"/>
    <d v="2023-10-22T00:00:00"/>
    <s v="OUTUBRO"/>
    <d v="2023-10-25T00:00:00"/>
    <x v="9"/>
    <s v="OUTUBRO"/>
    <x v="0"/>
    <d v="2023-10-26T00:00:00"/>
    <s v="FALTA"/>
    <s v="COLABORADOR FALTOU NO DIA 22/10 E NÃO APRESENTOU NENHUMA JUSTIFICATIVA."/>
  </r>
  <r>
    <n v="307"/>
    <s v="MAURICIO DE SOUZA ANDRADE"/>
    <x v="179"/>
    <x v="0"/>
    <d v="2021-10-13T00:00:00"/>
    <s v="2ANOS, 0MESES"/>
    <n v="2.0611111111111109"/>
    <x v="2"/>
    <x v="0"/>
    <s v="COLETA DOMICILIAR"/>
    <s v="DIURNO"/>
    <s v="ANA CAROLINA"/>
    <x v="1"/>
    <d v="2023-10-25T00:00:00"/>
    <s v="OUTUBRO"/>
    <d v="2023-10-26T00:00:00"/>
    <x v="9"/>
    <s v="OUTUBRO"/>
    <x v="0"/>
    <d v="2023-10-27T00:00:00"/>
    <s v="INSUBORDINAÇÃO"/>
    <s v="COLABORADOR FOI SOLICITADO QUE DESSE UM APOIO NO SETOR 90.1.126 PETROS NA DATA DE ONTEM 25/10/2023, POIS A SUA ROTA 90.1.178 - NS° DE FATIMA JÁ HAVIA SIDO CONCLUIDA E O CC POSSUIA ESPAÇO E AINDA ESTAVA DENTRO DO HORÁRIO DE TRABALHO (SEM HORA EXCEDIDA), PORÉM HOUVE A RECUSA POR PARTE DO COLABORADOR SEM JUSTIFICATIVA PRÉVIA, POIS AO FINALIZAR SUA ROTA O MESMO PEGOU SEUS PERTENCES E DESCEU O CC SEM CUMPRIR O COMANDO DO ANALISTA EM RETORNAR A GARVAGEM."/>
  </r>
  <r>
    <n v="308"/>
    <s v="GABRIEL SOUZA DA SILVA"/>
    <x v="155"/>
    <x v="0"/>
    <d v="2022-11-03T00:00:00"/>
    <s v="0ANOS, 11MESES"/>
    <n v="0.9916666666666667"/>
    <x v="0"/>
    <x v="0"/>
    <s v="COLETA DOMICILIAR"/>
    <s v="DIURNO"/>
    <s v="ANA CAROLINA"/>
    <x v="0"/>
    <d v="2023-10-26T00:00:00"/>
    <s v="OUTUBRO"/>
    <d v="2023-10-26T00:00:00"/>
    <x v="9"/>
    <s v="OUTUBRO"/>
    <x v="0"/>
    <d v="2023-10-26T00:00:00"/>
    <s v="QUEBRA DE PROCEDIMENTO"/>
    <s v="COLABORADOR IDENTIFICADO NO SETOR 90.1.183 TANCREDO NEVES, USANDO O FARDAMENTO DE FORMA INDEVIDA (CALÇA POR DENTRO DAS MEIAS), SITUAÇÃO JÁ PONTUADA COM ESSE COLABORADOR POR MAIS DE 2 VEZES EM VISTA NO SETOR."/>
  </r>
  <r>
    <n v="309"/>
    <s v="LUIS ARMANDO DA SILVA FREITAS JUNIOR"/>
    <x v="183"/>
    <x v="0"/>
    <d v="2023-05-17T00:00:00"/>
    <s v="0ANOS, 5MESES"/>
    <n v="0.46111111111111114"/>
    <x v="0"/>
    <x v="3"/>
    <s v="TRAFEGO"/>
    <s v="NOTURNO"/>
    <s v="LUIZ HENRIQUE"/>
    <x v="0"/>
    <d v="2023-10-30T00:00:00"/>
    <s v="OUTUBRO"/>
    <d v="2023-10-30T00:00:00"/>
    <x v="9"/>
    <s v="OUTUBRO"/>
    <x v="0"/>
    <d v="2023-10-30T00:00:00"/>
    <s v="QUEBRA DE PROCEDIMENTO"/>
    <s v="CONFORME JÁ PONTUADO NOS DIAS 30.08.2023 E 30.09.2023, ONTEM DIA 30.10.2023 OCORREU UM SINISTRO GOL DA FISCALIZAÇÃO ONDE NOVAMENTE FOI PONTUADO NO GRUPO OS REGISTROS DE FOTOS, FICHA DE ACIDENTE E DEPOIMENTO."/>
  </r>
  <r>
    <n v="310"/>
    <s v="SERGIO RICARDO DOS SANTOS NASCIMENTO"/>
    <x v="184"/>
    <x v="0"/>
    <d v="2021-05-10T00:00:00"/>
    <s v="2ANOS, 5MESES"/>
    <n v="2.5027777777777778"/>
    <x v="2"/>
    <x v="1"/>
    <s v="COLETA DOMICILIAR"/>
    <s v="DIURNO"/>
    <s v="ANA CAROLINA"/>
    <x v="0"/>
    <d v="2023-10-28T00:00:00"/>
    <s v="OUTUBRO"/>
    <d v="2023-10-30T00:00:00"/>
    <x v="9"/>
    <s v="OUTUBRO"/>
    <x v="0"/>
    <d v="2023-10-30T00:00:00"/>
    <s v="EXCESSO DE VELOCIDADE"/>
    <s v="EXCEDEU A O LIMITE DE VELOCIDADE OERMITIDO PELA EMPRESA, CHEGANDO A 72 KM NO DIA 28/10 AS 10:09 NO CC 701."/>
  </r>
  <r>
    <n v="311"/>
    <s v="GERALDO AILTON MARTINS GUIMARAES"/>
    <x v="185"/>
    <x v="0"/>
    <d v="2019-06-03T00:00:00"/>
    <s v="4ANOS, 4MESES"/>
    <n v="4.4749999999999996"/>
    <x v="1"/>
    <x v="1"/>
    <s v="COLETA DOMICILIAR"/>
    <s v="NOTURNO"/>
    <s v="ANA CAROLINA"/>
    <x v="0"/>
    <d v="2023-10-31T00:00:00"/>
    <s v="OUTUBRO"/>
    <d v="2023-10-31T00:00:00"/>
    <x v="9"/>
    <s v="OUTUBRO"/>
    <x v="0"/>
    <d v="2023-10-31T00:00:00"/>
    <s v="EXCESSO DE VELOCIDADE"/>
    <s v="EXCEDEU A VELOCIDADE PERMITIDO PELA EMPRESA, CHEGANDO A 72 KM DIA 30/10 AS 10:58H."/>
  </r>
  <r>
    <n v="312"/>
    <s v="FABIO CURITIMA ORTIZ"/>
    <x v="172"/>
    <x v="0"/>
    <d v="2022-09-01T00:00:00"/>
    <s v="1ANOS, 2MESES"/>
    <n v="1.1833333333333333"/>
    <x v="2"/>
    <x v="0"/>
    <s v="COLETA DOMICILIAR"/>
    <s v="NOTURNO"/>
    <s v="JOÃO PEDRO"/>
    <x v="1"/>
    <d v="2023-11-01T00:00:00"/>
    <s v="NOVEMBRO"/>
    <d v="2023-11-02T00:00:00"/>
    <x v="10"/>
    <s v="NOVEMBRO"/>
    <x v="0"/>
    <d v="2023-11-07T00:00:00"/>
    <s v="FALTA"/>
    <s v="COLABORADOR FALTOU NO DIA 01/11 E NÃO APRESENTOU NENHUMA JUSTIFICATIVA."/>
  </r>
  <r>
    <n v="313"/>
    <s v="WESLLEY DOS SANTOS CORDEIRO"/>
    <x v="186"/>
    <x v="0"/>
    <d v="2023-03-08T00:00:00"/>
    <s v="0ANOS, 7MESES"/>
    <n v="0.66388888888888886"/>
    <x v="0"/>
    <x v="0"/>
    <s v="COLETA DOMICILIAR"/>
    <s v="NOTURNO"/>
    <s v="JOÃO PEDRO"/>
    <x v="1"/>
    <d v="2023-11-02T00:00:00"/>
    <s v="NOVEMBRO"/>
    <d v="2023-11-02T00:00:00"/>
    <x v="10"/>
    <s v="NOVEMBRO"/>
    <x v="0"/>
    <d v="2023-11-03T00:00:00"/>
    <s v="QUEBRA DE PROCEDIMENTO"/>
    <s v="AO REALIZAR O ROTEIRO NO DIA 02/11 O COLABORADOR INFRINGIU O CÓDIGO DE CONDUTA AO IR AS VIAS DE FATO COM SEU COLEGA DE TRABALHO."/>
  </r>
  <r>
    <n v="314"/>
    <s v="CRISTIANO SOARES DUARTE"/>
    <x v="187"/>
    <x v="1"/>
    <d v="2023-10-13T00:00:00"/>
    <s v="0ANOS, 0MESES"/>
    <n v="6.1111111111111109E-2"/>
    <x v="0"/>
    <x v="0"/>
    <s v="COLETA DOMICILIAR"/>
    <s v="DIURNO"/>
    <s v="ANA CAROLINA"/>
    <x v="0"/>
    <d v="2023-11-04T00:00:00"/>
    <s v="NOVEMBRO"/>
    <d v="2023-11-04T00:00:00"/>
    <x v="10"/>
    <s v="NOVEMBRO"/>
    <x v="0"/>
    <d v="2023-11-04T00:00:00"/>
    <s v="FALTA"/>
    <s v="FALTA INJUSTIFICADA EM 04/11/2023."/>
  </r>
  <r>
    <n v="315"/>
    <s v="JORGE ENRIQUE RODRIGUEZ IZQUIEL"/>
    <x v="188"/>
    <x v="0"/>
    <d v="2021-04-05T00:00:00"/>
    <s v="2ANOS, 6MESES"/>
    <n v="2.6194444444444445"/>
    <x v="2"/>
    <x v="0"/>
    <s v="COLETA DOMICILIAR"/>
    <s v="DIURNO"/>
    <s v="ANA CAROLINA"/>
    <x v="0"/>
    <d v="2023-11-04T00:00:00"/>
    <s v="NOVEMBRO"/>
    <d v="2023-11-06T00:00:00"/>
    <x v="10"/>
    <s v="NOVEMBRO"/>
    <x v="0"/>
    <d v="2023-11-06T00:00:00"/>
    <s v="FALTA"/>
    <s v="FALTA INJUSTIFICADA EM 04/11/2023."/>
  </r>
  <r>
    <n v="316"/>
    <s v="MARIANO PEREIRA DOS REIS"/>
    <x v="189"/>
    <x v="0"/>
    <d v="2023-06-01T00:00:00"/>
    <s v="0ANOS, 5MESES"/>
    <n v="0.43333333333333335"/>
    <x v="0"/>
    <x v="0"/>
    <s v="COLETA DOMICILIAR"/>
    <s v="DIURNO"/>
    <s v="ANA CAROLINA"/>
    <x v="0"/>
    <d v="2023-11-04T00:00:00"/>
    <s v="NOVEMBRO"/>
    <d v="2023-11-06T00:00:00"/>
    <x v="10"/>
    <s v="NOVEMBRO"/>
    <x v="0"/>
    <d v="2023-11-06T00:00:00"/>
    <s v="FALTA"/>
    <s v="FALTA INJUSTIFICADA EM 04/11/2023."/>
  </r>
  <r>
    <n v="317"/>
    <s v="ISAQUE FERNANDES DA CRUZ"/>
    <x v="12"/>
    <x v="0"/>
    <d v="2022-05-02T00:00:00"/>
    <s v="1ANOS, 6MESES"/>
    <n v="1.5305555555555554"/>
    <x v="2"/>
    <x v="0"/>
    <s v="COLETA DOMICILIAR"/>
    <s v="DIURNO"/>
    <s v="ANA CAROLINA"/>
    <x v="1"/>
    <d v="2023-11-04T00:00:00"/>
    <s v="NOVEMBRO"/>
    <d v="2023-11-06T00:00:00"/>
    <x v="10"/>
    <s v="NOVEMBRO"/>
    <x v="0"/>
    <d v="2023-11-11T00:00:00"/>
    <s v="FALTA"/>
    <s v="FATA INJUSTIFICADA EM 02/11 E 04/11/2023, ALEGA TER IDO BUSCAR ATENDIMENTO, PORÉM NÃO APRESENTOU DOCUMENTO QUE JUSTIFIQUE AUSÊNCIA."/>
  </r>
  <r>
    <n v="318"/>
    <s v="GABRIEL MARTINS RIBEIRO"/>
    <x v="190"/>
    <x v="1"/>
    <d v="2023-07-03T00:00:00"/>
    <s v="0ANOS, 4MESES"/>
    <n v="0.3527777777777778"/>
    <x v="0"/>
    <x v="0"/>
    <s v="COLETA DOMICILIAR"/>
    <s v="DIURNO"/>
    <s v="ANA CAROLINA"/>
    <x v="0"/>
    <d v="2023-11-07T00:00:00"/>
    <s v="NOVEMBRO"/>
    <d v="2023-11-10T00:00:00"/>
    <x v="10"/>
    <s v="NOVEMBRO"/>
    <x v="0"/>
    <d v="2023-11-10T00:00:00"/>
    <s v="FALTA"/>
    <s v="FALTA INJUSTIFICADA NOS DIAS 06/11 E 07/11/2023."/>
  </r>
  <r>
    <n v="319"/>
    <s v="LUCAS CARLOS DA SILVA E SOUSA "/>
    <x v="191"/>
    <x v="0"/>
    <d v="2023-02-09T00:00:00"/>
    <s v="0ANOS, 8MESES"/>
    <n v="0.75555555555555554"/>
    <x v="0"/>
    <x v="1"/>
    <s v="COLETA DOMICILIAR"/>
    <s v="NOTURNO"/>
    <s v="JOÃO PEDRO"/>
    <x v="0"/>
    <d v="2023-11-08T00:00:00"/>
    <s v="NOVEMBRO"/>
    <d v="2023-11-10T00:00:00"/>
    <x v="10"/>
    <s v="NOVEMBRO"/>
    <x v="0"/>
    <d v="2023-11-10T00:00:00"/>
    <s v="QUEBRA DE PROCEDIMENTO"/>
    <s v="NO DIA 08/11/2023 POR VOLTA DAS 20 HORAS, HOUVE UMA DISCUSSÃO ENTRE O AGENTE DE COLETA VINICIO E O MOTORISTA LUCAS, ONDE AMBOS SE AMEAÇARAM."/>
  </r>
  <r>
    <n v="320"/>
    <s v="FELIPE MAGNO DE SOUZA PALMERE"/>
    <x v="192"/>
    <x v="1"/>
    <d v="2023-09-13T00:00:00"/>
    <s v="0ANOS, 1MESES"/>
    <n v="0.15833333333333333"/>
    <x v="0"/>
    <x v="0"/>
    <s v="COLETA DOMICILIAR"/>
    <s v="DIURNO"/>
    <s v="ANA CAROLINA"/>
    <x v="0"/>
    <d v="2023-11-09T00:00:00"/>
    <s v="NOVEMBRO"/>
    <d v="2023-11-10T00:00:00"/>
    <x v="10"/>
    <s v="NOVEMBRO"/>
    <x v="0"/>
    <d v="2023-11-10T00:00:00"/>
    <s v="FALTA"/>
    <s v="FALTA INJUSTIFICADA EM 09/11/2023."/>
  </r>
  <r>
    <n v="321"/>
    <s v="ITALO MAHEUS ROOL FERREIRA"/>
    <x v="193"/>
    <x v="0"/>
    <d v="2022-11-03T00:00:00"/>
    <s v="1ANOS, 0MESES"/>
    <n v="1.0305555555555554"/>
    <x v="2"/>
    <x v="0"/>
    <s v="COLETA DOMICILIAR"/>
    <s v="NOTURNO"/>
    <s v="JOÃO PEDRO"/>
    <x v="0"/>
    <d v="2023-11-09T00:00:00"/>
    <s v="NOVEMBRO"/>
    <d v="2023-11-11T00:00:00"/>
    <x v="10"/>
    <s v="NOVEMBRO"/>
    <x v="0"/>
    <d v="2023-11-11T00:00:00"/>
    <s v="FALTA"/>
    <s v="FALTA INJUSTIFICADA EM 09/11/2023."/>
  </r>
  <r>
    <n v="322"/>
    <s v="VINICIO CARVALHO DE FREITAS"/>
    <x v="194"/>
    <x v="0"/>
    <d v="2023-11-03T00:00:00"/>
    <s v="0ANOS, 0MESES"/>
    <n v="2.2222222222222223E-2"/>
    <x v="0"/>
    <x v="0"/>
    <s v="COLETA DOMICILIAR"/>
    <s v="NOTURNO"/>
    <s v="JOÃO PEDRO"/>
    <x v="0"/>
    <d v="2023-11-11T00:00:00"/>
    <s v="NOVEMBRO"/>
    <d v="2023-11-13T00:00:00"/>
    <x v="10"/>
    <s v="NOVEMBRO"/>
    <x v="0"/>
    <d v="2023-11-13T00:00:00"/>
    <s v="FALTA"/>
    <s v="FALTA SEM JUSTIFICATIVA NOS DIAS 10/11 E 11/11."/>
  </r>
  <r>
    <n v="323"/>
    <s v="WANDERSON LIMA DA PALMA"/>
    <x v="157"/>
    <x v="0"/>
    <d v="2022-05-14T00:00:00"/>
    <s v="1ANOS, 5MESES"/>
    <n v="1.5222222222222221"/>
    <x v="2"/>
    <x v="0"/>
    <s v="COLETA DOMICILIAR"/>
    <s v="DIURNO"/>
    <s v="ANA CAROLINA"/>
    <x v="1"/>
    <d v="2023-11-13T00:00:00"/>
    <s v="NOVEMBRO"/>
    <d v="2023-11-14T00:00:00"/>
    <x v="10"/>
    <s v="NOVEMBRO"/>
    <x v="0"/>
    <d v="2023-11-15T00:00:00"/>
    <s v="FALTA"/>
    <s v="FALTA INJUSTIFICADA EM 13/11/2023, ALEGAS PROBLEMAS PESSOAIS."/>
  </r>
  <r>
    <n v="324"/>
    <s v="DENNER ROGER QUEIROZ DA SILVA"/>
    <x v="195"/>
    <x v="0"/>
    <d v="2022-05-14T00:00:00"/>
    <s v="1ANOS, 5MESES"/>
    <n v="1.5222222222222221"/>
    <x v="2"/>
    <x v="0"/>
    <s v="COLETA DOMICILIAR"/>
    <s v="NOTURNO"/>
    <s v="JOÃO PEDRO"/>
    <x v="1"/>
    <d v="2023-11-13T00:00:00"/>
    <s v="NOVEMBRO"/>
    <d v="2023-11-14T00:00:00"/>
    <x v="10"/>
    <s v="NOVEMBRO"/>
    <x v="0"/>
    <d v="2023-11-15T00:00:00"/>
    <s v="FALTA"/>
    <s v="COLABORADOR FALTOU SEM JUSTIFICATIVA DOS DIAS 03/11 AO DIA 13/11."/>
  </r>
  <r>
    <n v="325"/>
    <s v="RAYNAN BRUNO SILVA FERREIRA"/>
    <x v="144"/>
    <x v="0"/>
    <d v="2023-01-12T00:00:00"/>
    <s v="0ANOS, 10MESES"/>
    <n v="0.85277777777777775"/>
    <x v="0"/>
    <x v="0"/>
    <s v="COLETA DOMICILIAR"/>
    <s v="DIURNO"/>
    <s v="ANA CAROLINA"/>
    <x v="0"/>
    <d v="2023-11-15T00:00:00"/>
    <s v="NOVEMBRO"/>
    <d v="2023-11-15T00:00:00"/>
    <x v="10"/>
    <s v="NOVEMBRO"/>
    <x v="0"/>
    <d v="2023-11-15T00:00:00"/>
    <s v="QUEBRA DE PROCEDIMENTO"/>
    <s v="AGENTE DE COLETA FAZENDO ARRUMAÇÃO DE LIXO NO SETOR 90.1.177 - MUTIRÃO, GERANDO RECLAMAÇÕES DE MUNICIPES."/>
  </r>
  <r>
    <n v="326"/>
    <s v="DENIS RIBEIRO OTAPIASSIS."/>
    <x v="196"/>
    <x v="0"/>
    <d v="2023-07-06T00:00:00"/>
    <s v="0ANOS, 4MESES"/>
    <n v="0.36388888888888887"/>
    <x v="0"/>
    <x v="1"/>
    <s v="COLETA DOMICILIAR"/>
    <s v="DIURNO"/>
    <s v="ANA CAROLINA"/>
    <x v="0"/>
    <d v="2023-11-14T00:00:00"/>
    <s v="NOVEMBRO"/>
    <d v="2023-11-16T00:00:00"/>
    <x v="10"/>
    <s v="NOVEMBRO"/>
    <x v="0"/>
    <d v="2023-11-16T00:00:00"/>
    <s v="EXCESSO DE VELOCIDADE"/>
    <s v="EXCEDEU O LIMITE DE VELOCIDADE PERMITIDO PELA EMPRESA, CHEGANDO A 77 KM NO DIA 14/11 AS 11:39H."/>
  </r>
  <r>
    <n v="327"/>
    <s v="DANIEL MACHADO DE SOUZA"/>
    <x v="122"/>
    <x v="0"/>
    <d v="2022-05-02T00:00:00"/>
    <s v="1ANOS, 6MESES"/>
    <n v="1.5694444444444444"/>
    <x v="2"/>
    <x v="0"/>
    <s v="COLETA DOMICILIAR"/>
    <s v="NOTURNO"/>
    <s v="JOÃO PEDRO"/>
    <x v="1"/>
    <d v="2023-11-18T00:00:00"/>
    <s v="NOVEMBRO"/>
    <d v="2023-11-20T00:00:00"/>
    <x v="10"/>
    <s v="NOVEMBRO"/>
    <x v="0"/>
    <d v="2023-11-23T00:00:00"/>
    <s v="FALTA"/>
    <s v="COLABORADOR FALTOU SEM JUSTIFICATIVA DO DIA 13/11 AO DIA 18/11."/>
  </r>
  <r>
    <n v="328"/>
    <s v="ISAQUE FERNANDES DA CRUZ"/>
    <x v="12"/>
    <x v="0"/>
    <d v="2022-05-02T00:00:00"/>
    <s v="1ANOS, 6MESES"/>
    <n v="1.5722222222222222"/>
    <x v="2"/>
    <x v="0"/>
    <s v="COLETA DOMICILIAR"/>
    <s v="DIURNO"/>
    <s v="ANA CAROLINA"/>
    <x v="1"/>
    <d v="2023-11-19T00:00:00"/>
    <s v="NOVEMBRO"/>
    <d v="2023-11-21T00:00:00"/>
    <x v="10"/>
    <s v="NOVEMBRO"/>
    <x v="0"/>
    <d v="2023-11-28T00:00:00"/>
    <s v="FALTA"/>
    <s v="FALTA INJUSTIFICADA NOS DIAS 18/11 E 19/11, COLABORADOR ALEGA MOTIVOS PESSOAIS."/>
  </r>
  <r>
    <n v="329"/>
    <s v="CRISTIEU SALES VIANA "/>
    <x v="197"/>
    <x v="1"/>
    <d v="2023-03-08T00:00:00"/>
    <s v="0ANOS, 8MESES"/>
    <n v="0.71111111111111114"/>
    <x v="0"/>
    <x v="0"/>
    <s v="COLETA DOMICILIAR"/>
    <s v="DIURNO"/>
    <s v="ANA CAROLINA"/>
    <x v="1"/>
    <d v="2023-11-19T00:00:00"/>
    <s v="NOVEMBRO"/>
    <d v="2023-11-24T00:00:00"/>
    <x v="10"/>
    <s v="NOVEMBRO"/>
    <x v="0"/>
    <d v="2023-11-25T00:00:00"/>
    <s v="FALTA"/>
    <s v="FALTA INJUSTIFICADA DIA 19/11."/>
  </r>
  <r>
    <n v="330"/>
    <s v="JOÃO BATSTA FERREIRA DA SILVA"/>
    <x v="198"/>
    <x v="1"/>
    <d v="2023-09-13T00:00:00"/>
    <s v="0ANOS, 2MESES"/>
    <n v="0.18611111111111112"/>
    <x v="0"/>
    <x v="0"/>
    <s v="COLETA DOMICILIAR"/>
    <s v="DIURNO"/>
    <s v="ANA CAROLINA"/>
    <x v="0"/>
    <d v="2023-11-19T00:00:00"/>
    <s v="NOVEMBRO"/>
    <d v="2023-11-24T00:00:00"/>
    <x v="10"/>
    <s v="NOVEMBRO"/>
    <x v="0"/>
    <d v="2023-11-24T00:00:00"/>
    <s v="FALTA"/>
    <s v="FALTA INJUSTIFICADA DIA 19/11."/>
  </r>
  <r>
    <n v="331"/>
    <s v="ADRIANO ROCHA DE PAULA"/>
    <x v="42"/>
    <x v="0"/>
    <d v="2019-05-14T00:00:00"/>
    <s v="4ANOS, 6MESES"/>
    <n v="4.6083333333333334"/>
    <x v="1"/>
    <x v="0"/>
    <s v="COLETA DOMICILIAR"/>
    <s v="DIURNO"/>
    <s v="ANA CAROLINA"/>
    <x v="1"/>
    <d v="2023-11-28T00:00:00"/>
    <s v="NOVEMBRO"/>
    <d v="2023-11-29T00:00:00"/>
    <x v="10"/>
    <s v="NOVEMBRO"/>
    <x v="0"/>
    <d v="2023-12-06T00:00:00"/>
    <s v="FALTA"/>
    <s v="O COLABORADOR FALTOU NO DIA 28/11 SEM DOCUMENTO JUSTIFICADO, O MESMO INFORMOU QUE ESTAVA COM FEBRE."/>
  </r>
  <r>
    <n v="332"/>
    <s v="WENDELL FRANCO GIBSON "/>
    <x v="20"/>
    <x v="0"/>
    <d v="2022-11-03T00:00:00"/>
    <s v="1ANOS, 0MESES"/>
    <n v="1.086111111111111"/>
    <x v="2"/>
    <x v="0"/>
    <s v="COLETA DOMICILIAR"/>
    <s v="NOTURNO"/>
    <s v="JOÃO PEDRO"/>
    <x v="1"/>
    <d v="2023-11-29T00:00:00"/>
    <s v="NOVEMBRO"/>
    <d v="2023-11-29T00:00:00"/>
    <x v="10"/>
    <s v="NOVEMBRO"/>
    <x v="0"/>
    <d v="2023-11-30T00:00:00"/>
    <s v="QUEBRA DE PROCEDIMENTO"/>
    <s v="NO DIA 29/11/2023 APÓS A FINALIZAÇÃO DO SETOR, O COLABORADOR SAIU DO ROTEIRO SEM A AUTORIZAÇÃO DA CHEFIA."/>
  </r>
  <r>
    <n v="333"/>
    <s v="IOMAR CASTRO DA COSTA JUNIOR"/>
    <x v="48"/>
    <x v="0"/>
    <d v="2021-02-19T00:00:00"/>
    <s v="2ANOS, 9MESES"/>
    <n v="2.8055555555555554"/>
    <x v="2"/>
    <x v="1"/>
    <s v="COLETA DOMICILIAR"/>
    <s v="DIURNO"/>
    <s v="ANA CAROLINA"/>
    <x v="0"/>
    <d v="2023-11-26T00:00:00"/>
    <s v="NOVEMBRO"/>
    <d v="2023-11-29T00:00:00"/>
    <x v="10"/>
    <s v="NOVEMBRO"/>
    <x v="0"/>
    <d v="2023-11-29T00:00:00"/>
    <s v="EXCESSO DE VELOCIDADE"/>
    <s v="EXCEDEU O LIMITE DE VELOCIDADE NO DIA 26/11 CHEGANDO A 75 KM."/>
  </r>
  <r>
    <n v="334"/>
    <s v="WANDERSON LIMA DA PALMA"/>
    <x v="157"/>
    <x v="0"/>
    <d v="2022-05-14T00:00:00"/>
    <s v="1ANOS, 6MESES"/>
    <n v="1.5666666666666667"/>
    <x v="2"/>
    <x v="0"/>
    <s v="COLETA DOMICILIAR"/>
    <s v="DIURNO"/>
    <s v="ANA CAROLINA"/>
    <x v="1"/>
    <d v="2023-11-29T00:00:00"/>
    <s v="NOVEMBRO"/>
    <d v="2023-11-30T00:00:00"/>
    <x v="10"/>
    <s v="NOVEMBRO"/>
    <x v="0"/>
    <d v="2023-12-01T00:00:00"/>
    <s v="FALTA"/>
    <s v="COLABORADOR FALTOU EM 29/11, ALEGA PROBLEMAS PESSOAIS."/>
  </r>
  <r>
    <n v="335"/>
    <s v="ELLERSON MIRANDA FERNANDES"/>
    <x v="199"/>
    <x v="0"/>
    <d v="2023-09-13T00:00:00"/>
    <s v="0ANOS, 2MESES"/>
    <n v="0.20555555555555555"/>
    <x v="0"/>
    <x v="0"/>
    <s v="COLETA DOMICILIAR"/>
    <s v="NOTURNO"/>
    <s v="JOÃO PEDRO"/>
    <x v="1"/>
    <d v="2023-11-26T00:00:00"/>
    <s v="NOVEMBRO"/>
    <d v="2023-12-01T00:00:00"/>
    <x v="11"/>
    <s v="DEZEMBRO"/>
    <x v="0"/>
    <d v="2023-12-04T00:00:00"/>
    <s v="FALTA"/>
    <s v="FALTA SEM JUSTIFICATIVA NO DIA 26/11/2023."/>
  </r>
  <r>
    <n v="336"/>
    <s v="ARIELSON DA SILVA PEREIRA"/>
    <x v="200"/>
    <x v="0"/>
    <d v="2023-03-08T00:00:00"/>
    <s v="0ANOS, 8MESES"/>
    <n v="0.74444444444444446"/>
    <x v="0"/>
    <x v="0"/>
    <s v="COLETA DOMICILIAR"/>
    <s v="NOTURNO"/>
    <s v="JOÃO PEDRO"/>
    <x v="0"/>
    <d v="2023-12-01T00:00:00"/>
    <s v="DEZEMBRO"/>
    <d v="2023-12-02T00:00:00"/>
    <x v="11"/>
    <s v="DEZEMBRO"/>
    <x v="0"/>
    <d v="2023-12-02T00:00:00"/>
    <s v="FALTA"/>
    <s v="FALTA SEM JUSTIFICATIVA NO DIA 01/12."/>
  </r>
  <r>
    <n v="337"/>
    <s v="ADEVALDO DE SOUZA GOMES"/>
    <x v="201"/>
    <x v="0"/>
    <d v="2013-02-08T00:00:00"/>
    <s v="10ANOS, 9MESES"/>
    <n v="10.972222222222221"/>
    <x v="3"/>
    <x v="0"/>
    <s v="COLETA DOMICILIAR"/>
    <s v="DIURNO"/>
    <s v="ANA CAROLINA"/>
    <x v="0"/>
    <d v="2023-12-03T00:00:00"/>
    <s v="DEZEMBRO"/>
    <d v="2023-12-03T00:00:00"/>
    <x v="11"/>
    <s v="DEZEMBRO"/>
    <x v="0"/>
    <d v="2023-12-03T00:00:00"/>
    <s v="INSUBORDINAÇÃO"/>
    <s v="COLABORADOR SE RECUSOU A CONCLUIR ROTEIRO 90.1.166 - OURO VERDE / COROADO NA REFERIDA DATA 03/12/2023, SEM JUSTIFICATIVA."/>
  </r>
  <r>
    <n v="338"/>
    <s v="LUIZ FERNANDO MENDES VIANA"/>
    <x v="9"/>
    <x v="0"/>
    <d v="2022-12-07T00:00:00"/>
    <s v="0ANOS, 11MESES"/>
    <n v="1"/>
    <x v="2"/>
    <x v="0"/>
    <s v="COLETA DOMICILIAR"/>
    <s v="NOTURNO"/>
    <s v="JOÃO PEDRO"/>
    <x v="1"/>
    <d v="2023-12-02T00:00:00"/>
    <s v="DEZEMBRO"/>
    <d v="2023-12-03T00:00:00"/>
    <x v="11"/>
    <s v="DEZEMBRO"/>
    <x v="0"/>
    <d v="2023-12-08T00:00:00"/>
    <s v="FALTA"/>
    <s v="FALTA SEM JUSTIFICATIVA NOS DIAS 01/12 E 02/12."/>
  </r>
  <r>
    <n v="339"/>
    <s v="DIEGO BELTRAO TEIXEIRA"/>
    <x v="202"/>
    <x v="1"/>
    <d v="2023-11-17T00:00:00"/>
    <s v="0ANOS, 0MESES"/>
    <n v="4.4444444444444446E-2"/>
    <x v="0"/>
    <x v="0"/>
    <s v="COLETA DOMICILIAR"/>
    <s v="DIURNO"/>
    <s v="JOÃO PEDRO"/>
    <x v="0"/>
    <d v="2023-12-03T00:00:00"/>
    <s v="DEZEMBRO"/>
    <d v="2023-12-03T00:00:00"/>
    <x v="11"/>
    <s v="DEZEMBRO"/>
    <x v="0"/>
    <d v="2023-12-03T00:00:00"/>
    <s v="INSUBORDINAÇÃO"/>
    <s v="COLABORADOR RECUSOU-SE A CONCLUIR O ROTEIRO 90.1.166 - OURO VERDE / COROADO MA REFERIDA DATA 03/12/2023, SEM JUSTIFICATIVA."/>
  </r>
  <r>
    <n v="340"/>
    <s v="JAIMISON JORGE DA COSTA ROCHA"/>
    <x v="202"/>
    <x v="0"/>
    <d v="2022-04-04T00:00:00"/>
    <s v="1ANOS, 7MESES"/>
    <n v="1.6805555555555556"/>
    <x v="2"/>
    <x v="0"/>
    <s v="COLETA DOMICILIAR"/>
    <s v="NOTURNO"/>
    <s v="JOÃO PEDRO"/>
    <x v="1"/>
    <d v="2023-11-30T00:00:00"/>
    <s v="NOVEMBRO"/>
    <d v="2023-12-03T00:00:00"/>
    <x v="11"/>
    <s v="DEZEMBRO"/>
    <x v="0"/>
    <d v="2023-12-04T00:00:00"/>
    <s v="FALTA"/>
    <s v="FALTA SEM JUSTIFICATIVA NO DIA 30/11."/>
  </r>
  <r>
    <n v="341"/>
    <s v="RAYLANDER BATISTA DA SILVA"/>
    <x v="107"/>
    <x v="0"/>
    <d v="2023-04-06T00:00:00"/>
    <s v="0ANOS, 7MESES"/>
    <n v="0.66666666666666663"/>
    <x v="0"/>
    <x v="0"/>
    <s v="COLETA DOMICILIAR"/>
    <s v="DIURNO"/>
    <s v="ANA CAROLINA"/>
    <x v="0"/>
    <d v="2023-12-02T00:00:00"/>
    <s v="DEZEMBRO"/>
    <d v="2023-12-04T00:00:00"/>
    <x v="11"/>
    <s v="DEZEMBRO"/>
    <x v="0"/>
    <d v="2023-12-04T00:00:00"/>
    <s v="FALTA"/>
    <s v="FALTA INJUSTIFICADA EM 02/12/2023."/>
  </r>
  <r>
    <n v="342"/>
    <s v="DANIEL MACHADO DE SOUZA"/>
    <x v="122"/>
    <x v="0"/>
    <d v="2022-05-02T00:00:00"/>
    <s v="1ANOS, 7MESES"/>
    <n v="1.6083333333333334"/>
    <x v="2"/>
    <x v="0"/>
    <s v="COLETA DOMICILIAR"/>
    <s v="NOTURNO"/>
    <s v="JOÃO PEDRO"/>
    <x v="1"/>
    <d v="2023-12-02T00:00:00"/>
    <s v="DEZEMBRO"/>
    <d v="2023-12-04T00:00:00"/>
    <x v="11"/>
    <s v="DEZEMBRO"/>
    <x v="0"/>
    <d v="2023-12-09T00:00:00"/>
    <s v="FALTA"/>
    <s v="FALTA SEM JUSTIFICATIVA NO DIA 02/12."/>
  </r>
  <r>
    <n v="343"/>
    <s v="JANDERSON ALHO PINHEIRO"/>
    <x v="203"/>
    <x v="0"/>
    <d v="2023-06-01T00:00:00"/>
    <s v="0ANOS, 6MESES"/>
    <n v="0.51111111111111107"/>
    <x v="0"/>
    <x v="0"/>
    <s v="COLETA DOMICILIAR"/>
    <s v="NOTURNO"/>
    <s v="JOÃO PEDRO"/>
    <x v="0"/>
    <d v="2023-12-02T00:00:00"/>
    <s v="DEZEMBRO"/>
    <d v="2023-12-04T00:00:00"/>
    <x v="11"/>
    <s v="DEZEMBRO"/>
    <x v="0"/>
    <d v="2023-12-04T00:00:00"/>
    <s v="FALTA"/>
    <s v="FALTA SEM JUSTIFICATIVA NO DIA 01/12 E 02/12."/>
  </r>
  <r>
    <n v="344"/>
    <s v="LAIR SILVA DE SOUZA"/>
    <x v="204"/>
    <x v="0"/>
    <d v="2023-02-08T00:00:00"/>
    <s v="0ANOS, 9MESES"/>
    <n v="0.82499999999999996"/>
    <x v="0"/>
    <x v="0"/>
    <s v="COLETA DOMICILIAR"/>
    <s v="NOTURNO"/>
    <s v="JOÃO PEDRO"/>
    <x v="0"/>
    <d v="2023-12-02T00:00:00"/>
    <s v="DEZEMBRO"/>
    <d v="2023-12-04T00:00:00"/>
    <x v="11"/>
    <s v="DEZEMBRO"/>
    <x v="0"/>
    <d v="2023-12-04T00:00:00"/>
    <s v="FALTA"/>
    <s v="FALTA SEM JUSTIFICATIVA NO DIA 02/12."/>
  </r>
  <r>
    <n v="345"/>
    <s v="MARCOS VINICIUS DE CASTRO RIBEIRO"/>
    <x v="132"/>
    <x v="0"/>
    <d v="2022-05-02T00:00:00"/>
    <s v="1ANOS, 7MESES"/>
    <n v="1.6111111111111112"/>
    <x v="2"/>
    <x v="0"/>
    <s v="COLETA DOMICILIAR"/>
    <s v="NOTURNO"/>
    <s v="JOÃO PEDRO"/>
    <x v="0"/>
    <d v="2023-12-03T00:00:00"/>
    <s v="DEZEMBRO"/>
    <d v="2023-12-04T00:00:00"/>
    <x v="11"/>
    <s v="DEZEMBRO"/>
    <x v="0"/>
    <d v="2023-12-04T00:00:00"/>
    <s v="FALTA"/>
    <s v="FALTA SEM JUSTIFICATIVA NO DIA 29/11, 30/11, 01/12, 02/12 E 03/12."/>
  </r>
  <r>
    <n v="346"/>
    <s v="ALISSON DE ARAUJO DIAS "/>
    <x v="170"/>
    <x v="0"/>
    <d v="2022-12-01T00:00:00"/>
    <s v="0ANOS, 11MESES"/>
    <n v="0.93611111111111112"/>
    <x v="0"/>
    <x v="0"/>
    <s v="COLETA DOMICILIAR"/>
    <s v="NOTURNO"/>
    <s v="JOÃO PEDRO"/>
    <x v="1"/>
    <d v="2023-11-03T00:00:00"/>
    <s v="NOVEMBRO"/>
    <d v="2023-12-04T00:00:00"/>
    <x v="11"/>
    <s v="DEZEMBRO"/>
    <x v="0"/>
    <d v="2023-12-05T00:00:00"/>
    <s v="FALTA"/>
    <s v="FALTA SEM JUSTIFICATIVA NO DIA 03/12."/>
  </r>
  <r>
    <n v="347"/>
    <s v="PEDRO GABRIEL PERES PEREIRA"/>
    <x v="173"/>
    <x v="1"/>
    <d v="2023-05-17T00:00:00"/>
    <s v="0ANOS, 6MESES"/>
    <n v="0.55555555555555558"/>
    <x v="0"/>
    <x v="0"/>
    <s v="COLETA DOMICILIAR"/>
    <s v="NOTURNO"/>
    <s v="JOÃO PEDRO"/>
    <x v="0"/>
    <d v="2023-12-03T00:00:00"/>
    <s v="DEZEMBRO"/>
    <d v="2023-12-06T00:00:00"/>
    <x v="11"/>
    <s v="DEZEMBRO"/>
    <x v="0"/>
    <d v="2023-12-06T00:00:00"/>
    <s v="FALTA"/>
    <s v="FALTA SEM JUSTIFICATIVA NO DIA 03/12/2023."/>
  </r>
  <r>
    <n v="348"/>
    <s v="SAYD DOS SANTOS PEREIRA"/>
    <x v="205"/>
    <x v="1"/>
    <d v="2023-07-06T00:00:00"/>
    <s v="0ANOS, 4MESES"/>
    <n v="0.42222222222222222"/>
    <x v="0"/>
    <x v="0"/>
    <s v="COLETA DOMICILIAR"/>
    <s v="NOTURNO"/>
    <s v="JOÃO PEDRO"/>
    <x v="1"/>
    <d v="2023-12-05T00:00:00"/>
    <s v="DEZEMBRO"/>
    <d v="2023-12-10T00:00:00"/>
    <x v="11"/>
    <s v="DEZEMBRO"/>
    <x v="0"/>
    <d v="2023-12-11T00:00:00"/>
    <s v="FALTA"/>
    <s v="FALTA SEM JUSTIFICATIVA NOS DIAS 04/12 E 05/12."/>
  </r>
  <r>
    <n v="349"/>
    <s v="ALDEAN FREITAS DE SOUZA"/>
    <x v="206"/>
    <x v="0"/>
    <d v="2022-11-03T00:00:00"/>
    <s v="1ANOS, 1MESES"/>
    <n v="1.1027777777777779"/>
    <x v="2"/>
    <x v="0"/>
    <s v="COLETA DOMICILIAR"/>
    <s v="NOTURNO"/>
    <s v="PAULO PORTO"/>
    <x v="1"/>
    <d v="2023-12-05T00:00:00"/>
    <s v="DEZEMBRO"/>
    <d v="2023-12-11T00:00:00"/>
    <x v="11"/>
    <s v="DEZEMBRO"/>
    <x v="0"/>
    <d v="2023-12-14T00:00:00"/>
    <s v="QUEBRA DE PROCEDIMENTO"/>
    <s v="NA MADRUGADA DO DIA 06/12, PORÉM REFERENTE AO EXPEDIENTE DE TRABALHO DO TURNO NOTURNO DO DIA 05/12/2023, QUANDO JÁ FINALIZADO O EXPEDIENTE E DO LADO EXTERNO DA EMPRESA, O FUNCIONÁRIO JAIMISON PROVOCA O FUNCIONÁRIO ALDEAN, PRIMEIRAMENTE CHUTANDO A BOLSA DELE ENQUANTO ESTÁ MANOBRANDO SUA MOTO PARA IR EMBORA, AÍ O ALDEAN REAGE JOGANDO UMA PEDRA EM DIREÇÃO DO JAIMISON, INICIANDO UMA DISCUSSÃO."/>
  </r>
  <r>
    <n v="350"/>
    <s v="JANDERSON ALHO PINHEIRO"/>
    <x v="203"/>
    <x v="0"/>
    <d v="2023-06-01T00:00:00"/>
    <s v="0ANOS, 6MESES"/>
    <n v="0.53333333333333333"/>
    <x v="0"/>
    <x v="0"/>
    <s v="COLETA DOMICILIAR"/>
    <s v="NOTURNO"/>
    <s v="JOÃO PEDRO"/>
    <x v="1"/>
    <d v="2023-12-10T00:00:00"/>
    <s v="DEZEMBRO"/>
    <d v="2023-12-11T00:00:00"/>
    <x v="11"/>
    <s v="DEZEMBRO"/>
    <x v="0"/>
    <d v="2023-12-12T00:00:00"/>
    <s v="FALTA"/>
    <s v="FALTA SEM JUSTIFICATIVA NO DIA 10/12/2023."/>
  </r>
  <r>
    <n v="351"/>
    <s v="RIVALDO CONDERA DO NASCIMENTO JUNIOR"/>
    <x v="119"/>
    <x v="0"/>
    <d v="2022-09-01T00:00:00"/>
    <s v="1ANOS, 3MESES"/>
    <n v="1.288888888888889"/>
    <x v="2"/>
    <x v="0"/>
    <s v="COLETA DOMICILIAR"/>
    <s v="NOTURNO"/>
    <s v="JOÃO PEDRO"/>
    <x v="1"/>
    <d v="2023-12-09T00:00:00"/>
    <s v="DEZEMBRO"/>
    <d v="2023-12-11T00:00:00"/>
    <x v="11"/>
    <s v="DEZEMBRO"/>
    <x v="0"/>
    <d v="2023-12-12T00:00:00"/>
    <s v="FALTA"/>
    <s v="FALTA SEM JUSTIFICATIVA NO 09/12/2023."/>
  </r>
  <r>
    <n v="352"/>
    <s v="RALYSON ROCHA NEVES"/>
    <x v="202"/>
    <x v="1"/>
    <d v="2023-03-08T00:00:00"/>
    <s v="0ANOS, 9MESES"/>
    <n v="0.76666666666666672"/>
    <x v="0"/>
    <x v="0"/>
    <s v="COLETA DOMICILIAR"/>
    <s v="NOTURNO"/>
    <s v="JOÃO PEDRO"/>
    <x v="1"/>
    <d v="2023-12-09T00:00:00"/>
    <s v="DEZEMBRO"/>
    <d v="2023-12-12T00:00:00"/>
    <x v="11"/>
    <s v="DEZEMBRO"/>
    <x v="0"/>
    <d v="2023-12-15T00:00:00"/>
    <s v="FALTA"/>
    <s v="FALTA SEM JUSTIFICATIVA NO DIA 09/12/2023."/>
  </r>
  <r>
    <n v="353"/>
    <s v="JAIMISON JORGE DA COSTA ROCHA"/>
    <x v="207"/>
    <x v="0"/>
    <d v="2022-04-04T00:00:00"/>
    <s v="1ANOS, 8MESES"/>
    <n v="1.6944444444444444"/>
    <x v="2"/>
    <x v="0"/>
    <s v="COLETA DOMICILIAR"/>
    <s v="NOTURNO"/>
    <s v="PAULO PORTO"/>
    <x v="1"/>
    <d v="2023-12-05T00:00:00"/>
    <s v="DEZEMBRO"/>
    <d v="2023-12-12T00:00:00"/>
    <x v="11"/>
    <s v="DEZEMBRO"/>
    <x v="0"/>
    <d v="2023-12-15T00:00:00"/>
    <s v="QUEBRA DE PROCEDIMENTO"/>
    <s v="NA MADRUGADA DO DIA 06/12, PORÉM REFERENTE AO EXPEDIENTE DE TRABALHO DO TURNO NOTURNO DO DIA 05/12/2023, QUANDO JÁ FINALIZADO O EXPEDIENTE E DO LADO EXTERNO DA EMPRESA, O FUNCIONÁRIO JAIMISON PROVOCA O FUNCIONÁRIO ALDEAN, PRIMEIRAMENTE CHUTANDO A BOLSA DELE ENQUANTO ESTÁ MANOBRANDO SUA MOTO PARA IR EMBORA, AÍ O ALDEAN REAGE JOGANDO UMA PEDRA EM DIREÇÃO DO JAIMISON, INICIANDO UMA DISCUSSÃO."/>
  </r>
  <r>
    <n v="354"/>
    <s v="LUIZ FERNANDO MENDES VIANA"/>
    <x v="9"/>
    <x v="0"/>
    <d v="2022-12-07T00:00:00"/>
    <s v="1ANOS, 0MESES"/>
    <n v="1.0305555555555554"/>
    <x v="2"/>
    <x v="0"/>
    <s v="COLETA DOMICILIAR"/>
    <s v="NOTURNO"/>
    <s v="JOÃO PEDRO"/>
    <x v="1"/>
    <d v="2023-12-13T00:00:00"/>
    <s v="DEZEMBRO"/>
    <d v="2023-12-14T00:00:00"/>
    <x v="11"/>
    <s v="DEZEMBRO"/>
    <x v="0"/>
    <d v="2023-12-21T00:00:00"/>
    <s v="FALTA"/>
    <s v="FALTA SEM JUSTIFICATIVA NOS DIAS 11/12, 12/12 E 13/12."/>
  </r>
  <r>
    <n v="355"/>
    <s v="MATHEUS MORAES DA SILVA"/>
    <x v="208"/>
    <x v="0"/>
    <d v="2022-12-01T00:00:00"/>
    <s v="1ANOS, 0MESES"/>
    <n v="1.0555555555555556"/>
    <x v="2"/>
    <x v="0"/>
    <s v="COLETA DOMICILIAR"/>
    <s v="DIURNO"/>
    <s v="ANA CAROLINA"/>
    <x v="0"/>
    <d v="2023-12-16T00:00:00"/>
    <s v="DEZEMBRO"/>
    <d v="2023-12-16T00:00:00"/>
    <x v="11"/>
    <s v="DEZEMBRO"/>
    <x v="0"/>
    <d v="2023-12-16T00:00:00"/>
    <s v="QUEBRA DE PROCEDIMENTO"/>
    <s v="COLABORADOR NÃO CONSEGUIU ATENDER AS DEMANDAS DE LIMPEZA DOS ESCUDOS DOS CAMINHÕES CC PROGRAMADO. SENDO IDENTIFICADO RESIDUOS NOS RESPECTIVOS CAMINHÕES 666, 729, 674 E 728."/>
  </r>
  <r>
    <n v="356"/>
    <s v="MAURICIO AUGUSTO QUEIROZ DE ARAUJO"/>
    <x v="24"/>
    <x v="0"/>
    <d v="2022-12-07T00:00:00"/>
    <s v="1ANOS, 0MESES"/>
    <n v="1.038888888888889"/>
    <x v="2"/>
    <x v="0"/>
    <s v="COLETA DOMICILIAR"/>
    <s v="NOTURNO"/>
    <s v="JOÃO PEDRO"/>
    <x v="1"/>
    <d v="2023-12-16T00:00:00"/>
    <s v="DEZEMBRO"/>
    <d v="2023-12-18T00:00:00"/>
    <x v="11"/>
    <s v="DEZEMBRO"/>
    <x v="0"/>
    <d v="2023-12-19T00:00:00"/>
    <s v="FALTA"/>
    <s v="FALTA SEM JUSTIFICATIVA NO DIA 16/12/2023."/>
  </r>
  <r>
    <n v="357"/>
    <s v="DANIEL MACHADO DE SOUZA"/>
    <x v="122"/>
    <x v="0"/>
    <d v="2022-05-02T00:00:00"/>
    <s v="1ANOS, 7MESES"/>
    <n v="1.6416666666666666"/>
    <x v="2"/>
    <x v="0"/>
    <s v="COLETA DOMICILIAR"/>
    <s v="NOTURNO"/>
    <s v="JOÃO PEDRO"/>
    <x v="1"/>
    <d v="2023-12-14T00:00:00"/>
    <s v="DEZEMBRO"/>
    <d v="2023-12-18T00:00:00"/>
    <x v="11"/>
    <s v="DEZEMBRO"/>
    <x v="0"/>
    <d v="2023-12-25T00:00:00"/>
    <s v="FALTA"/>
    <s v="FALTA SEM JUSTIFICATIVA NOS DIAS 13/12 E 14/12."/>
  </r>
  <r>
    <n v="358"/>
    <s v="DENNER ROGER QUEIROZ DA SILVA"/>
    <x v="195"/>
    <x v="0"/>
    <d v="2022-05-14T00:00:00"/>
    <s v="1ANOS, 7MESES"/>
    <n v="1.625"/>
    <x v="2"/>
    <x v="0"/>
    <s v="COLETA DOMICILIAR"/>
    <s v="NOTURNO"/>
    <s v="JOÃO PEDRO"/>
    <x v="1"/>
    <d v="2023-12-20T00:00:00"/>
    <s v="DEZEMBRO"/>
    <d v="2023-12-21T00:00:00"/>
    <x v="11"/>
    <s v="DEZEMBRO"/>
    <x v="0"/>
    <d v="2023-12-24T00:00:00"/>
    <s v="FALTA"/>
    <s v="FALTA SEM JUSTIFICATIVA NO DIA 20/12/2023."/>
  </r>
  <r>
    <n v="359"/>
    <s v="ALISSON DE ARAUJO DIAS "/>
    <x v="170"/>
    <x v="0"/>
    <d v="2022-12-01T00:00:00"/>
    <s v="1ANOS, 0MESES"/>
    <n v="1.0666666666666667"/>
    <x v="2"/>
    <x v="0"/>
    <s v="COLETA DOMICILIAR"/>
    <s v="NOTURNO"/>
    <s v="JOÃO PEDRO"/>
    <x v="1"/>
    <d v="2023-12-20T00:00:00"/>
    <s v="DEZEMBRO"/>
    <d v="2023-12-21T00:00:00"/>
    <x v="11"/>
    <s v="DEZEMBRO"/>
    <x v="0"/>
    <d v="2023-12-24T00:00:00"/>
    <s v="FALTA"/>
    <s v="FALTA SEM JUSTIFICATIVA NO DIA 20/12/2023."/>
  </r>
  <r>
    <n v="360"/>
    <s v="LUCIANO DE ALMEIDA CASTRO"/>
    <x v="209"/>
    <x v="0"/>
    <d v="2023-01-12T00:00:00"/>
    <s v="0ANOS, 11MESES"/>
    <n v="0.95"/>
    <x v="0"/>
    <x v="0"/>
    <s v="COLETA DOMICILIAR"/>
    <s v="DIURNO"/>
    <s v="ELISANGELA ROCHA"/>
    <x v="0"/>
    <d v="2023-12-20T00:00:00"/>
    <s v="DEZEMBRO"/>
    <d v="2023-12-21T00:00:00"/>
    <x v="11"/>
    <s v="DEZEMBRO"/>
    <x v="0"/>
    <d v="2023-12-21T00:00:00"/>
    <s v="QUEBRA DE PROCEDIMENTO"/>
    <s v="O COLABORADOR SE EVADIU DO LOCAL DE TRABALHO NA AV. HILARIO GURJÃO NO DIA 20/12/2023, ANTES DO TÉRMINO DA SUA JORNADA DE TRABALHO QUE SE ENCERRAVA AS 16:20."/>
  </r>
  <r>
    <n v="361"/>
    <s v="EWERTON ROGERIO RIBEIRO ALVES "/>
    <x v="210"/>
    <x v="0"/>
    <d v="2022-03-17T00:00:00"/>
    <s v="1ANOS, 9MESES"/>
    <n v="1.7916666666666667"/>
    <x v="2"/>
    <x v="0"/>
    <s v="COLETA DOMICILIAR"/>
    <s v="DIURNO"/>
    <s v="ANA CAROLINA"/>
    <x v="0"/>
    <d v="2023-12-22T00:00:00"/>
    <s v="DEZEMBRO"/>
    <d v="2023-12-22T00:00:00"/>
    <x v="11"/>
    <s v="DEZEMBRO"/>
    <x v="0"/>
    <d v="2023-12-22T00:00:00"/>
    <s v="QUEBRA DE PROCEDIMENTO"/>
    <s v="COLABORADOR JÁ ESTÁ FAZENDO O USO DO FARDAMENTO DE FORMA INDEVIDA (MANGAS DA BLUSA LEVANTADAS) SENDO JÁ ORIENTADO QUANTO AOS PROCEDIMENTOS DA PO 08."/>
  </r>
  <r>
    <n v="362"/>
    <s v="RALYSON ROCHA NEVES"/>
    <x v="169"/>
    <x v="1"/>
    <d v="2023-03-08T00:00:00"/>
    <s v="0ANOS, 9MESES"/>
    <n v="0.78611111111111109"/>
    <x v="0"/>
    <x v="0"/>
    <s v="COLETA DOMICILIAR"/>
    <s v="DIURNO"/>
    <s v="JOÃO PEDRO"/>
    <x v="1"/>
    <d v="2023-12-16T00:00:00"/>
    <s v="DEZEMBRO"/>
    <d v="2023-12-22T00:00:00"/>
    <x v="11"/>
    <s v="DEZEMBRO"/>
    <x v="0"/>
    <d v="2023-12-22T00:00:00"/>
    <s v="FALTA"/>
    <s v="FALTA SEM JUSTIFICATIVA NOS DIAS 15/12/2023 E 16/12/2023."/>
  </r>
  <r>
    <n v="363"/>
    <s v="JANDERSON ALHO PINHEIRO"/>
    <x v="203"/>
    <x v="0"/>
    <d v="2023-06-01T00:00:00"/>
    <s v="0ANOS, 6MESES"/>
    <n v="0.56388888888888888"/>
    <x v="0"/>
    <x v="0"/>
    <s v="COLETA DOMICILIAR"/>
    <s v="NOTURNO"/>
    <s v="JOÃO PEDRO"/>
    <x v="1"/>
    <d v="2023-12-21T00:00:00"/>
    <s v="DEZEMBRO"/>
    <d v="2023-12-22T00:00:00"/>
    <x v="11"/>
    <s v="DEZEMBRO"/>
    <x v="0"/>
    <d v="2023-12-25T00:00:00"/>
    <s v="FALTA"/>
    <s v="FALTA SEM JUSTIFICATIVA NO DIA 21/12/2023."/>
  </r>
  <r>
    <n v="364"/>
    <s v="EDUARDO SILVEIRA DA SILVA"/>
    <x v="162"/>
    <x v="0"/>
    <d v="2023-02-09T00:00:00"/>
    <s v="0ANOS, 10MESES"/>
    <n v="0.875"/>
    <x v="0"/>
    <x v="0"/>
    <s v="COLETA DOMICILIAR"/>
    <s v="NOTURNO"/>
    <s v="JOÃO PEDRO"/>
    <x v="1"/>
    <d v="2023-12-21T00:00:00"/>
    <s v="DEZEMBRO"/>
    <d v="2023-12-22T00:00:00"/>
    <x v="11"/>
    <s v="DEZEMBRO"/>
    <x v="0"/>
    <d v="2023-12-23T00:00:00"/>
    <s v="FALTA"/>
    <s v="FALTA SEM JUSTIFICATIVA NO DIA 21/12/2023."/>
  </r>
  <r>
    <n v="365"/>
    <s v="JARDEL ALHO PINHEIRO"/>
    <x v="143"/>
    <x v="0"/>
    <d v="2023-04-06T00:00:00"/>
    <s v="0ANOS, 8MESES"/>
    <n v="0.72499999999999998"/>
    <x v="0"/>
    <x v="0"/>
    <s v="COLETA DOMICILIAR"/>
    <s v="DIURNO"/>
    <s v="ELISANGELA ROCHA"/>
    <x v="0"/>
    <d v="2023-12-23T00:00:00"/>
    <s v="DEZEMBRO"/>
    <d v="2023-12-23T00:00:00"/>
    <x v="11"/>
    <s v="DEZEMBRO"/>
    <x v="0"/>
    <d v="2023-12-23T00:00:00"/>
    <s v="QUEBRA DE PROCEDIMENTO"/>
    <s v="O COLABORADOR DURANTE O ROTEIRO DESCUMPRIU O PROCEDIMENTO OPERACIONAL REALIZANDO ARRUMAÇÃO NA 90.1.113 CAUSANDO TRANSTORNO JUNTO AO CLIENTE DEVIDO A TAMPA DE COLETA TER SIDO ABERTA."/>
  </r>
  <r>
    <n v="366"/>
    <s v="JEFFESON RODRIGUES GUIMARAES"/>
    <x v="211"/>
    <x v="0"/>
    <d v="2021-01-11T00:00:00"/>
    <s v="2ANOS, 11MESES"/>
    <n v="2.9888888888888889"/>
    <x v="2"/>
    <x v="0"/>
    <s v="COLETA DOMICILIAR"/>
    <s v="DIURNO"/>
    <s v="ANA CAROLINA"/>
    <x v="0"/>
    <d v="2023-12-23T00:00:00"/>
    <s v="DEZEMBRO"/>
    <d v="2023-12-23T00:00:00"/>
    <x v="11"/>
    <s v="DEZEMBRO"/>
    <x v="0"/>
    <d v="2023-12-23T00:00:00"/>
    <s v="QUEBRA DE PROCEDIMENTO"/>
    <s v="COLABORADOR DURANTE O ROTEIRO DESCUMPRIU O PROCEDIMENTO OPERACIONAL - PO 08 PERMITINDO QUE OS AGENTES FIZESSEM ARRUMAÇÃO DE LIXO NO SETOR, NÃO SENDO POSSÍVEL SER COLETADO DEVIDO A TAMPA DE COLETA TER SIDO ABERTA, CAUSANDO TRANSTORNO JUNTO AO CLIENTE."/>
  </r>
  <r>
    <n v="367"/>
    <s v="MAURICELIO DE LIMA SILCA"/>
    <x v="212"/>
    <x v="0"/>
    <d v="2013-02-08T00:00:00"/>
    <s v="10ANOS, 10MESES"/>
    <n v="11.027777777777779"/>
    <x v="3"/>
    <x v="0"/>
    <s v="COLETA DOMICILIAR"/>
    <s v="DIURNO"/>
    <s v="ELISANGELA ROCHA"/>
    <x v="0"/>
    <d v="2023-12-23T00:00:00"/>
    <s v="DEZEMBRO"/>
    <d v="2023-12-23T00:00:00"/>
    <x v="11"/>
    <s v="DEZEMBRO"/>
    <x v="0"/>
    <d v="2023-12-23T00:00:00"/>
    <s v="QUEBRA DE PROCEDIMENTO"/>
    <s v="O COLABORADOR DURANTE O ROTEIRO DESCUMPRIU O PROCEDIMENTO OPERACIONAL REALIZANDO ARRUMAÇÃO NA 90.1.113 CAUSANDO TRANSTORNO JUNTO AO CLIENTE DEVIDO A TAMPA DE COLETA TER SIDO ABERTA."/>
  </r>
  <r>
    <n v="368"/>
    <s v="RONALDO DA SILVA"/>
    <x v="213"/>
    <x v="0"/>
    <d v="2013-02-08T00:00:00"/>
    <s v="10ANOS, 10MESES"/>
    <n v="11.033333333333333"/>
    <x v="3"/>
    <x v="0"/>
    <s v="COLETA DOMICILIAR"/>
    <s v="DIURNO"/>
    <s v="ANA CAROLINA"/>
    <x v="0"/>
    <d v="2023-12-25T00:00:00"/>
    <s v="DEZEMBRO"/>
    <d v="2023-12-25T00:00:00"/>
    <x v="11"/>
    <s v="DEZEMBRO"/>
    <x v="0"/>
    <d v="2023-12-26T00:00:00"/>
    <s v="FALTA"/>
    <s v="FALTA INJUSTIFICADA DIA 25/12/2023, COLABORADOR ALEGA QUE NÃO QUIS VIR TRABALHAR."/>
  </r>
  <r>
    <n v="369"/>
    <s v="ATILA DOS SANTOS FERNANDES "/>
    <x v="214"/>
    <x v="0"/>
    <d v="2013-05-03T00:00:00"/>
    <s v="10ANOS, 7MESES"/>
    <n v="10.8"/>
    <x v="3"/>
    <x v="0"/>
    <s v="COLETA DOMICILIAR"/>
    <s v="DIURNO"/>
    <s v="ANA CAROLINA"/>
    <x v="0"/>
    <d v="2023-12-25T00:00:00"/>
    <s v="DEZEMBRO"/>
    <d v="2023-12-26T00:00:00"/>
    <x v="11"/>
    <s v="DEZEMBRO"/>
    <x v="0"/>
    <d v="2023-12-26T00:00:00"/>
    <s v="FALTA"/>
    <s v="FALTA INJUSTIFICADA DIA 25/12/2023 ALEGA QUE DEVIDO A COMEMORAÇÃO DE SEU ANIVERSARIO SURPRESA NÃO PODE COMPAREER AO TRABALHO."/>
  </r>
  <r>
    <n v="370"/>
    <s v="GABRIEL SOUZA DA SILVA"/>
    <x v="155"/>
    <x v="0"/>
    <d v="2022-11-03T00:00:00"/>
    <s v="1ANOS, 1MESES"/>
    <n v="1.1611111111111112"/>
    <x v="2"/>
    <x v="0"/>
    <s v="COLETA DOMICILIAR"/>
    <s v="DIURNO"/>
    <s v="ANA CAROLINA"/>
    <x v="0"/>
    <d v="2023-12-26T00:00:00"/>
    <s v="DEZEMBRO"/>
    <d v="2023-12-26T00:00:00"/>
    <x v="11"/>
    <s v="DEZEMBRO"/>
    <x v="0"/>
    <d v="2023-12-26T00:00:00"/>
    <s v="FALTA"/>
    <s v="FALTA INJUSTIFICADA NO DIA 25/12/2023, ALEGA QUE NÃO HAVIA CONDIÇÕES DE TRABALHAR."/>
  </r>
  <r>
    <n v="371"/>
    <s v="SHARLISON DE OLIVEIRA CHAGAS"/>
    <x v="215"/>
    <x v="0"/>
    <d v="2022-08-12T00:00:00"/>
    <s v="1ANOS, 4MESES"/>
    <n v="1.3888888888888888"/>
    <x v="2"/>
    <x v="0"/>
    <s v="COLETA DOMICILIAR"/>
    <s v="DIURNO"/>
    <s v="ANA CAROLINA"/>
    <x v="0"/>
    <d v="2023-12-25T00:00:00"/>
    <s v="DEZEMBRO"/>
    <d v="2023-12-26T00:00:00"/>
    <x v="11"/>
    <s v="DEZEMBRO"/>
    <x v="0"/>
    <d v="2023-12-26T00:00:00"/>
    <s v="FALTA"/>
    <s v="FALTA INJUSTIFICADA DIA 25/12/2023 , ALEGA QUE NÃO CONSEGUIU SAIR DO RAMAL DA CASA DA MÃE."/>
  </r>
  <r>
    <n v="372"/>
    <s v="ANTONIO BRAGA MOTA JUNIOR"/>
    <x v="216"/>
    <x v="1"/>
    <d v="2023-11-17T00:00:00"/>
    <s v="0ANOS, 1MESES"/>
    <n v="0.10555555555555556"/>
    <x v="0"/>
    <x v="0"/>
    <s v="COLETA DOMICILIAR"/>
    <s v="DIURNO"/>
    <s v="ANA CAROLINA"/>
    <x v="0"/>
    <d v="2023-12-25T00:00:00"/>
    <s v="DEZEMBRO"/>
    <d v="2023-12-26T00:00:00"/>
    <x v="11"/>
    <s v="DEZEMBRO"/>
    <x v="0"/>
    <d v="2023-12-26T00:00:00"/>
    <s v="FALTA"/>
    <s v="FALTA INJUSTIFICADA DIA 25/12, ALEGA QUE FOI BJSCAR ATENDIMENTO MÉDICO, PORÉM NÃO CONSEGUIU DOCUMENTO DE JUSTIFICATIVA."/>
  </r>
  <r>
    <n v="373"/>
    <s v="JANDERSON PARENTE DA CRUZ"/>
    <x v="59"/>
    <x v="0"/>
    <d v="2022-08-12T00:00:00"/>
    <s v="1ANOS, 4MESES"/>
    <n v="1.3888888888888888"/>
    <x v="2"/>
    <x v="0"/>
    <s v="COLETA DOMICILIAR"/>
    <s v="DIURNO"/>
    <s v="ANA CAROLINA"/>
    <x v="0"/>
    <d v="2023-12-25T00:00:00"/>
    <s v="DEZEMBRO"/>
    <d v="2023-12-26T00:00:00"/>
    <x v="11"/>
    <s v="DEZEMBRO"/>
    <x v="0"/>
    <d v="2023-12-26T00:00:00"/>
    <s v="FALTA"/>
    <s v="FALTA INJUSTIFICADA DIA 25/12/2023, COLABORADOR ALEGA QUE DEVIDO A CHUVA NÃO CONSEGUIU COMPARECER."/>
  </r>
  <r>
    <n v="374"/>
    <s v="GILSON DOS ANJOS TELES "/>
    <x v="217"/>
    <x v="0"/>
    <d v="2013-02-08T00:00:00"/>
    <s v="10ANOS, 10MESES"/>
    <n v="11.036111111111111"/>
    <x v="3"/>
    <x v="0"/>
    <s v="COLETA DOMICILIAR"/>
    <s v="DIURNO"/>
    <s v="ANA CAROLINA"/>
    <x v="0"/>
    <d v="2023-12-26T00:00:00"/>
    <s v="DEZEMBRO"/>
    <d v="2023-12-26T00:00:00"/>
    <x v="11"/>
    <s v="DEZEMBRO"/>
    <x v="0"/>
    <d v="2023-12-26T00:00:00"/>
    <s v="FALTA"/>
    <s v="FALTA INJUSTIFICADA DIA 25/12/2023, COLABORADOR ALEGA QUE BEBEU DEMAIS E NÃO HAVIA CONDIÇÕES DE VIR TRABALHAR."/>
  </r>
  <r>
    <n v="375"/>
    <s v="ALDEJAN DA SILVA PINTO"/>
    <x v="218"/>
    <x v="1"/>
    <d v="2023-05-05T00:00:00"/>
    <s v="0ANOS, 7MESES"/>
    <n v="0.65277777777777779"/>
    <x v="0"/>
    <x v="0"/>
    <s v="COLETA DOMICILIAR"/>
    <s v="DIURNO"/>
    <s v="ANA CAROLINA"/>
    <x v="0"/>
    <d v="2023-12-26T00:00:00"/>
    <s v="DEZEMBRO"/>
    <d v="2023-12-26T00:00:00"/>
    <x v="11"/>
    <s v="DEZEMBRO"/>
    <x v="0"/>
    <d v="2023-12-26T00:00:00"/>
    <s v="FALTA"/>
    <s v="FALTA INJUSTIFICADA DIA 25/12/2023, COLABORADOR ALEGA QUE PERDEU O ÔNIBUS."/>
  </r>
  <r>
    <n v="376"/>
    <s v="MARCIO MOTA FERREIRA"/>
    <x v="219"/>
    <x v="0"/>
    <d v="2023-02-02T00:00:00"/>
    <s v="0ANOS, 10MESES"/>
    <n v="0.90555555555555556"/>
    <x v="0"/>
    <x v="0"/>
    <s v="COLETA DOMICILIAR"/>
    <s v="DIURNO"/>
    <s v="ANA CAROLINA"/>
    <x v="0"/>
    <d v="2023-12-25T00:00:00"/>
    <s v="DEZEMBRO"/>
    <d v="2023-12-26T00:00:00"/>
    <x v="11"/>
    <s v="DEZEMBRO"/>
    <x v="0"/>
    <d v="2023-12-26T00:00:00"/>
    <s v="FALTA"/>
    <s v="FALTA INJUSTIFICADA DIA 25/12/2023, ALEGA QUE DEVIDO A CHUVA NÃO CONSEGUIU PEDIR APLICATIVO."/>
  </r>
  <r>
    <n v="377"/>
    <s v="JHONATAS RODRIGUES ESTEVAM "/>
    <x v="220"/>
    <x v="1"/>
    <d v="2023-06-01T00:00:00"/>
    <s v="0ANOS, 6MESES"/>
    <n v="0.57499999999999996"/>
    <x v="0"/>
    <x v="0"/>
    <s v="COLETA DOMICILIAR"/>
    <s v="DIURNO"/>
    <s v="ANA CAROLINA"/>
    <x v="0"/>
    <d v="2023-12-25T00:00:00"/>
    <s v="DEZEMBRO"/>
    <d v="2023-12-26T00:00:00"/>
    <x v="11"/>
    <s v="DEZEMBRO"/>
    <x v="0"/>
    <d v="2023-12-26T00:00:00"/>
    <s v="FALTA"/>
    <s v="FALTA INJUSTIFICADA DIA 25/12/2023, ALEGA QUE DEVIDO UM PROBLEMA PARTICULAR."/>
  </r>
  <r>
    <n v="378"/>
    <s v="KAILANE DOS SANTOS ALBANO"/>
    <x v="221"/>
    <x v="0"/>
    <d v="2023-06-16T00:00:00"/>
    <s v="0ANOS, 6MESES"/>
    <n v="0.54166666666666663"/>
    <x v="0"/>
    <x v="10"/>
    <s v="CEU"/>
    <s v="DIURNO"/>
    <s v="ELISANGELA ROCHA"/>
    <x v="0"/>
    <d v="2023-12-25T00:00:00"/>
    <s v="DEZEMBRO"/>
    <d v="2023-12-26T00:00:00"/>
    <x v="11"/>
    <s v="DEZEMBRO"/>
    <x v="0"/>
    <d v="2023-12-26T00:00:00"/>
    <s v="FALTA"/>
    <s v="A COLABORADORA NO DIA 25/12/2023 SOLICITOU DISPENSA DAS SUAS ATIVIDADES ATRAVÉS DE MENSAGEM PELO WHATSAPP AS 05:56H, ALEGANDO QUE ESTAVA COM DIFICULDADES DE VIM TRABALHAR DEVIDO A CHUVA E O UBER ESTAVA COM VALOR MUITO ALTO, QUE ELA NÃO IRIA PAGAR PARA VIR TRABALHAR POR SE TRATAR DE UMA EXTRA E QUE SÓ VIRIA TRABALHAR SE A CHUVA PARASSE."/>
  </r>
  <r>
    <n v="379"/>
    <s v="FRANCISCO EVERTON NASCIMENTO PEREIRA"/>
    <x v="222"/>
    <x v="0"/>
    <d v="2019-03-01T00:00:00"/>
    <s v="4ANOS, 9MESES"/>
    <n v="4.8888888888888893"/>
    <x v="1"/>
    <x v="0"/>
    <s v="COLETA DOMICILIAR"/>
    <s v="NOTURNO"/>
    <s v="JOÃO PEDRO"/>
    <x v="0"/>
    <d v="2023-12-25T00:00:00"/>
    <s v="DEZEMBRO"/>
    <d v="2023-12-26T00:00:00"/>
    <x v="11"/>
    <s v="DEZEMBRO"/>
    <x v="0"/>
    <d v="2023-12-26T00:00:00"/>
    <s v="FALTA"/>
    <s v="FALTA SEM JUSTIFICATIVA NA ESCALA DO FERIADO DO DIA 25/12/2023."/>
  </r>
  <r>
    <n v="380"/>
    <s v="RODRIGO DOS SANTOS PEREIRA"/>
    <x v="223"/>
    <x v="0"/>
    <d v="2021-12-06T00:00:00"/>
    <s v="2ANOS, 0MESES"/>
    <n v="2.0805555555555557"/>
    <x v="2"/>
    <x v="0"/>
    <s v="COLETA DOMICILIAR"/>
    <s v="NOTURNO"/>
    <s v="JOÃO PEDRO"/>
    <x v="0"/>
    <d v="2023-12-25T00:00:00"/>
    <s v="DEZEMBRO"/>
    <d v="2023-12-26T00:00:00"/>
    <x v="11"/>
    <s v="DEZEMBRO"/>
    <x v="0"/>
    <d v="2023-12-26T00:00:00"/>
    <s v="FALTA"/>
    <s v="FALTA SEM JUSTIFICATIVA NO DIA 25/12."/>
  </r>
  <r>
    <n v="381"/>
    <s v="VINICIO CARVALHO DE FREITAS"/>
    <x v="194"/>
    <x v="0"/>
    <d v="2022-11-03T00:00:00"/>
    <s v="1ANOS, 1MESES"/>
    <n v="1.1583333333333334"/>
    <x v="2"/>
    <x v="0"/>
    <s v="COLETA DOMICILIAR"/>
    <s v="NOTURNO"/>
    <s v="JOÃO PEDRO"/>
    <x v="0"/>
    <d v="2023-12-25T00:00:00"/>
    <s v="DEZEMBRO"/>
    <d v="2023-12-26T00:00:00"/>
    <x v="11"/>
    <s v="DEZEMBRO"/>
    <x v="0"/>
    <d v="2023-12-26T00:00:00"/>
    <s v="FALTA"/>
    <s v="FALTA SEM JUSTIFICATIVA NA ESCALA DO FERIADO DO DIA 25/12/2023."/>
  </r>
  <r>
    <n v="382"/>
    <s v="PAULO ROBERTO LIMA MAGALHAES"/>
    <x v="224"/>
    <x v="0"/>
    <d v="2021-05-03T00:00:00"/>
    <s v="2ANOS, 7MESES"/>
    <n v="2.6833333333333331"/>
    <x v="2"/>
    <x v="0"/>
    <s v="COLETA DOMICILIAR"/>
    <s v="NOTURNO"/>
    <s v="JOÃO PEDRO"/>
    <x v="0"/>
    <d v="2023-12-25T00:00:00"/>
    <s v="DEZEMBRO"/>
    <d v="2023-12-26T00:00:00"/>
    <x v="11"/>
    <s v="DEZEMBRO"/>
    <x v="0"/>
    <d v="2023-12-26T00:00:00"/>
    <s v="FALTA"/>
    <s v="FALTA SEM JUSTIFICATIVA NO DIA 25/12."/>
  </r>
  <r>
    <n v="383"/>
    <s v="ROBSON DE SOUZA PINHEIRO"/>
    <x v="225"/>
    <x v="0"/>
    <d v="2022-11-03T00:00:00"/>
    <s v="1ANOS, 1MESES"/>
    <n v="1.1583333333333334"/>
    <x v="2"/>
    <x v="0"/>
    <s v="COLETA DOMICILIAR"/>
    <s v="NOTURNO"/>
    <s v="JOÃO PEDRO"/>
    <x v="0"/>
    <d v="2023-12-25T00:00:00"/>
    <s v="DEZEMBRO"/>
    <d v="2023-12-26T00:00:00"/>
    <x v="11"/>
    <s v="DEZEMBRO"/>
    <x v="0"/>
    <d v="2023-12-26T00:00:00"/>
    <s v="FALTA"/>
    <s v="FALTA SEM JUSTIFICATIVA NA ESCALA DO FERIADO DO DIA 25/12/2023."/>
  </r>
  <r>
    <n v="384"/>
    <s v="CARLOS ROBERTO MIRANDA COSTA"/>
    <x v="226"/>
    <x v="0"/>
    <d v="2021-05-10T00:00:00"/>
    <s v="2ANOS, 7MESES"/>
    <n v="2.6638888888888888"/>
    <x v="2"/>
    <x v="0"/>
    <s v="COLETA DOMICILIAR"/>
    <s v="NOTURNO"/>
    <s v="JOÃO PEDRO"/>
    <x v="0"/>
    <d v="2023-12-25T00:00:00"/>
    <s v="DEZEMBRO"/>
    <d v="2023-12-27T00:00:00"/>
    <x v="11"/>
    <s v="DEZEMBRO"/>
    <x v="0"/>
    <d v="2023-12-27T00:00:00"/>
    <s v="FALTA"/>
    <s v="FALTA SEM JUSTIFICATIVA NO DIA 25/12."/>
  </r>
  <r>
    <n v="385"/>
    <s v="JANDERSON LOURENCO DA SILVA"/>
    <x v="65"/>
    <x v="0"/>
    <d v="2021-10-13T00:00:00"/>
    <s v="2ANOS, 2MESES"/>
    <n v="2.2305555555555556"/>
    <x v="2"/>
    <x v="1"/>
    <s v="COLETA DOMICILIAR"/>
    <s v="NOTURNO"/>
    <s v="JOÃO PEDRO"/>
    <x v="0"/>
    <d v="2023-12-25T00:00:00"/>
    <s v="DEZEMBRO"/>
    <d v="2023-12-27T00:00:00"/>
    <x v="11"/>
    <s v="DEZEMBRO"/>
    <x v="0"/>
    <d v="2023-12-27T00:00:00"/>
    <s v="FALTA"/>
    <s v="FALTA SEM JUSTIFICATIVA NO DIA 25/12."/>
  </r>
  <r>
    <n v="386"/>
    <s v="JAIME HENRIQUE GONÇALVES BARBOSA"/>
    <x v="227"/>
    <x v="1"/>
    <d v="2023-03-08T00:00:00"/>
    <s v="0ANOS, 9MESES"/>
    <n v="0.8"/>
    <x v="0"/>
    <x v="0"/>
    <s v="COLETA DOMICILIAR"/>
    <s v="NOTURNO"/>
    <s v="JOÃO PEDRO"/>
    <x v="0"/>
    <d v="2023-12-21T00:00:00"/>
    <s v="DEZEMBRO"/>
    <d v="2023-12-27T00:00:00"/>
    <x v="11"/>
    <s v="DEZEMBRO"/>
    <x v="0"/>
    <d v="2023-12-27T00:00:00"/>
    <s v="FALTA"/>
    <s v="FALTA SEM JUSTIFICATIVA NO DIA 21/12/2023."/>
  </r>
  <r>
    <n v="387"/>
    <s v="CLODOMIRO FILHO SILVEIRA"/>
    <x v="68"/>
    <x v="0"/>
    <d v="2017-12-05T00:00:00"/>
    <s v="6ANOS, 0MESES"/>
    <n v="6.1472222222222221"/>
    <x v="3"/>
    <x v="1"/>
    <s v="COLETA DOMICILIAR"/>
    <s v="NOTURNO"/>
    <s v="JOÃO PEDRO"/>
    <x v="0"/>
    <d v="2023-12-27T00:00:00"/>
    <s v="DEZEMBRO"/>
    <d v="2023-12-27T00:00:00"/>
    <x v="11"/>
    <s v="DEZEMBRO"/>
    <x v="0"/>
    <d v="2023-12-27T00:00:00"/>
    <s v="FALTA"/>
    <s v="FALTA SEM JUSTIFICATIVA NO DIA 25/12."/>
  </r>
  <r>
    <n v="388"/>
    <s v="WELLINGTON LIMA DA SILVA"/>
    <x v="167"/>
    <x v="0"/>
    <d v="2020-05-04T00:00:00"/>
    <s v="3ANOS, 7MESES"/>
    <n v="3.6944444444444446"/>
    <x v="1"/>
    <x v="0"/>
    <s v="COLETA DOMICILIAR"/>
    <s v="NOTURNO"/>
    <s v="JOÃO PEDRO"/>
    <x v="0"/>
    <d v="2023-12-25T00:00:00"/>
    <s v="DEZEMBRO"/>
    <d v="2023-12-27T00:00:00"/>
    <x v="11"/>
    <s v="DEZEMBRO"/>
    <x v="0"/>
    <d v="2023-12-27T00:00:00"/>
    <s v="FALTA"/>
    <s v="FALTA SEM JUSTIFICATIVA NO DIA 25/12."/>
  </r>
  <r>
    <n v="389"/>
    <s v="HERICLES MENDONCA TRINDADE "/>
    <x v="228"/>
    <x v="0"/>
    <d v="2021-06-01T00:00:00"/>
    <s v="2ANOS, 6MESES"/>
    <n v="2.6027777777777779"/>
    <x v="2"/>
    <x v="0"/>
    <s v="COLETA DOMICILIAR"/>
    <s v="NOTURNO"/>
    <s v="JOÃO PEDRO"/>
    <x v="0"/>
    <d v="2023-12-25T00:00:00"/>
    <s v="DEZEMBRO"/>
    <d v="2023-12-27T00:00:00"/>
    <x v="11"/>
    <s v="DEZEMBRO"/>
    <x v="0"/>
    <d v="2023-12-27T00:00:00"/>
    <s v="FALTA"/>
    <s v="FALTA SEM JUSTIFICATIVA NO DIA 25/12."/>
  </r>
  <r>
    <n v="390"/>
    <s v="ARIELSON DA SILVA PEREIRA"/>
    <x v="200"/>
    <x v="1"/>
    <d v="2021-03-08T00:00:00"/>
    <s v="2ANOS, 9MESES"/>
    <n v="2.8416666666666668"/>
    <x v="2"/>
    <x v="0"/>
    <s v="COLETA DOMICILIAR"/>
    <s v="NOTURNO"/>
    <s v="JOÃO PEDRO"/>
    <x v="0"/>
    <d v="2023-12-26T00:00:00"/>
    <s v="DEZEMBRO"/>
    <d v="2023-12-27T00:00:00"/>
    <x v="11"/>
    <s v="DEZEMBRO"/>
    <x v="0"/>
    <d v="2023-12-30T00:00:00"/>
    <s v="FALTA"/>
    <s v="FALTA SEM JUSTIFICATIVA NOS DIAS 25/12 E 26/12."/>
  </r>
  <r>
    <n v="391"/>
    <s v="ITALO MATHEUS ROOL FERREIRA"/>
    <x v="193"/>
    <x v="1"/>
    <d v="2022-03-08T00:00:00"/>
    <s v="1ANOS, 9MESES"/>
    <n v="1.8277777777777777"/>
    <x v="2"/>
    <x v="0"/>
    <s v="COLETA DOMICILIAR"/>
    <s v="NOTURNO"/>
    <s v="JOÃO PEDRO"/>
    <x v="1"/>
    <d v="2023-12-26T00:00:00"/>
    <s v="DEZEMBRO"/>
    <d v="2023-12-27T00:00:00"/>
    <x v="11"/>
    <s v="DEZEMBRO"/>
    <x v="0"/>
    <d v="2023-12-28T00:00:00"/>
    <s v="FALTA"/>
    <s v="FALTA SEM JUSTIFICATIVA NOS DIAS 25/12 E 26/12."/>
  </r>
  <r>
    <n v="392"/>
    <s v="CLEOMARCIO PEREIRA DE OLIVEIRA"/>
    <x v="229"/>
    <x v="0"/>
    <d v="2022-03-07T00:00:00"/>
    <s v="1ANOS, 9MESES"/>
    <n v="1.836111111111111"/>
    <x v="2"/>
    <x v="0"/>
    <s v="COLETA DOMICILIAR"/>
    <s v="DIURNO"/>
    <s v="ANA CAROLINA"/>
    <x v="0"/>
    <d v="2023-12-28T00:00:00"/>
    <s v="DEZEMBRO"/>
    <d v="2023-12-29T00:00:00"/>
    <x v="11"/>
    <s v="DEZEMBRO"/>
    <x v="0"/>
    <d v="2023-12-29T00:00:00"/>
    <s v="FALTA"/>
    <s v="FALTA INJUSTIFICADA NO DIA 28/12/2023, COLABORADOR ALEGA QUE PERDEU HORÁRIO E NÃO CONSEGUIU COMPARECER AO TRABALHO."/>
  </r>
  <r>
    <n v="393"/>
    <s v="JOANDERSON BRANDAO VIANA "/>
    <x v="230"/>
    <x v="0"/>
    <d v="2023-03-16T00:00:00"/>
    <s v="0ANOS, 9MESES"/>
    <n v="0.79722222222222228"/>
    <x v="0"/>
    <x v="0"/>
    <s v="COLETA DOMICILIAR"/>
    <s v="DIURNO"/>
    <s v="ANA CAROLINA"/>
    <x v="0"/>
    <d v="2023-12-28T00:00:00"/>
    <s v="DEZEMBRO"/>
    <d v="2023-12-29T00:00:00"/>
    <x v="11"/>
    <s v="DEZEMBRO"/>
    <x v="0"/>
    <d v="2023-12-28T00:00:00"/>
    <s v="FALTA"/>
    <s v="FALTA INJUSTIFICADA NO DIA 28/12, COLABORADOR ALEGA QUE FOI BUSCA ATENDIMENTO PORÉM NÃO CONSEGUIU ATESTADO PARA JUSTIFICAR A AUSÊNCIA."/>
  </r>
  <r>
    <n v="394"/>
    <s v="SHARLISSON DE OLIVEIRA CHAGAS "/>
    <x v="215"/>
    <x v="0"/>
    <d v="2022-08-12T00:00:00"/>
    <s v="1ANOS, 4MESES"/>
    <n v="1.4027777777777777"/>
    <x v="2"/>
    <x v="0"/>
    <s v="COLETA DOMICILIAR"/>
    <s v="DIURNO"/>
    <s v="ANA CAROLINA"/>
    <x v="0"/>
    <d v="2023-12-30T00:00:00"/>
    <s v="DEZEMBRO"/>
    <d v="2023-12-30T00:00:00"/>
    <x v="11"/>
    <s v="DEZEMBRO"/>
    <x v="0"/>
    <d v="2023-12-30T00:00:00"/>
    <s v="ATRASO"/>
    <s v="COLABORADOR CHEGOU ATRASADO NA DATA DE HOJE AS 06:12H, ALEGA QUE PERDEU O HORÁRIO."/>
  </r>
  <r>
    <n v="395"/>
    <s v="BRUNO MELO DA GRAÇA"/>
    <x v="74"/>
    <x v="0"/>
    <d v="2022-09-01T00:00:00"/>
    <s v="1ANOS, 3MESES"/>
    <n v="1.3472222222222223"/>
    <x v="2"/>
    <x v="0"/>
    <s v="COLETA DOMICILIAR"/>
    <s v="DIURNO"/>
    <s v="ANA CAROLINA"/>
    <x v="0"/>
    <d v="2023-12-30T00:00:00"/>
    <s v="DEZEMBRO"/>
    <d v="2023-12-30T00:00:00"/>
    <x v="11"/>
    <s v="DEZEMBRO"/>
    <x v="0"/>
    <d v="2023-12-30T00:00:00"/>
    <s v="ATRASO"/>
    <s v="COLABORADOR CHEGOU ATRASADO NA DATA DE HOJE AS 06:32H, ALEGA QUE PERDEU O HORÁRIO."/>
  </r>
  <r>
    <n v="396"/>
    <s v="ITALO NASCIMENTO DE SOUZA"/>
    <x v="16"/>
    <x v="0"/>
    <d v="2022-06-01T00:00:00"/>
    <s v="1ANOS, 6MESES"/>
    <n v="1.6027777777777779"/>
    <x v="2"/>
    <x v="0"/>
    <s v="COLETA DOMICILIAR"/>
    <s v="NOTURNO"/>
    <s v="JOÃO PEDRO"/>
    <x v="0"/>
    <d v="2023-12-30T00:00:00"/>
    <s v="DEZEMBRO"/>
    <d v="2023-12-31T00:00:00"/>
    <x v="11"/>
    <s v="DEZEMBRO"/>
    <x v="0"/>
    <d v="2023-12-31T00:00:00"/>
    <s v="FALTA"/>
    <s v="FALTA SEM JUSTIFICATIVA NO DIA 31/12."/>
  </r>
  <r>
    <n v="397"/>
    <s v="LUIZ FERNANDO BRANCHES DO NASCIMENTO"/>
    <x v="231"/>
    <x v="1"/>
    <d v="2023-08-08T00:00:00"/>
    <s v="0ANOS, 4MESES"/>
    <n v="0.3888888888888889"/>
    <x v="0"/>
    <x v="0"/>
    <s v="COLETA DOMICILIAR"/>
    <s v="NOTURNO"/>
    <s v="JOÃO PEDRO"/>
    <x v="0"/>
    <d v="2023-12-26T00:00:00"/>
    <s v="DEZEMBRO"/>
    <d v="2023-12-31T00:00:00"/>
    <x v="11"/>
    <s v="DEZEMBRO"/>
    <x v="0"/>
    <d v="2023-12-31T00:00:00"/>
    <s v="FALTA"/>
    <s v="FALTA SEM JUSTIFICATIVA NOS DIAS 25/12 E 26/12."/>
  </r>
  <r>
    <n v="398"/>
    <s v="RIVALDO CONDERA DO NASCIMENTO JUNIOR"/>
    <x v="119"/>
    <x v="0"/>
    <d v="2022-09-01T00:00:00"/>
    <s v="1ANOS, 3MESES"/>
    <n v="1.3444444444444446"/>
    <x v="2"/>
    <x v="0"/>
    <s v="COLETA DOMICILIAR"/>
    <s v="NOTURNO"/>
    <s v="JOÃO PEDRO"/>
    <x v="1"/>
    <d v="2023-12-29T00:00:00"/>
    <s v="DEZEMBRO"/>
    <d v="2023-12-31T00:00:00"/>
    <x v="11"/>
    <s v="DEZEMBRO"/>
    <x v="0"/>
    <d v="2024-01-03T00:00:00"/>
    <s v="FALTA"/>
    <s v="FALTA SEM JUSTIFICATIVA NOS DIAS 28/12 E 29/12."/>
  </r>
  <r>
    <n v="399"/>
    <s v="SAYD DOS SANTOS PEREIRA"/>
    <x v="205"/>
    <x v="1"/>
    <d v="2023-07-06T00:00:00"/>
    <s v="0ANOS, 5MESES"/>
    <n v="0.48055555555555557"/>
    <x v="0"/>
    <x v="0"/>
    <s v="COLETA DOMICILIAR"/>
    <s v="NOTURNO"/>
    <s v="JOÃO PEDRO"/>
    <x v="1"/>
    <d v="2023-12-26T00:00:00"/>
    <s v="DEZEMBRO"/>
    <d v="2023-12-31T00:00:00"/>
    <x v="11"/>
    <s v="DEZEMBRO"/>
    <x v="0"/>
    <d v="2024-01-03T00:00:00"/>
    <s v="FALTA"/>
    <s v="FALTA SEM JUSTIFICATIVA NOS DIAS 25/12 E 26/12."/>
  </r>
  <r>
    <n v="400"/>
    <s v="RAYLANDER BATISTA DA SILVA"/>
    <x v="107"/>
    <x v="0"/>
    <d v="2023-04-06T00:00:00"/>
    <s v="0ANOS, 8MESES"/>
    <n v="0.74444444444444446"/>
    <x v="0"/>
    <x v="0"/>
    <s v="COLETA DOMICILIAR"/>
    <s v="NOTURNO"/>
    <s v="JOÃO PEDRO"/>
    <x v="0"/>
    <d v="2023-12-30T00:00:00"/>
    <s v="DEZEMBRO"/>
    <d v="2023-12-31T00:00:00"/>
    <x v="11"/>
    <s v="DEZEMBRO"/>
    <x v="0"/>
    <d v="2024-12-31T00:00:00"/>
    <s v="FALTA"/>
    <s v="FALTA INJUSTIFICADA EM 30/12/2024."/>
  </r>
  <r>
    <n v="401"/>
    <s v="DIEGO DE SOUZA PINHEIRO"/>
    <x v="153"/>
    <x v="0"/>
    <d v="2020-05-04T00:00:00"/>
    <s v="3ANOS, 7MESES"/>
    <n v="3.7111111111111112"/>
    <x v="1"/>
    <x v="0"/>
    <s v="COLETA DOMICILIAR"/>
    <s v="DIURNO"/>
    <s v="ELISANGELA ROCHA"/>
    <x v="0"/>
    <d v="2023-12-31T00:00:00"/>
    <s v="DEZEMBRO"/>
    <d v="2023-12-31T00:00:00"/>
    <x v="11"/>
    <s v="DEZEMBRO"/>
    <x v="0"/>
    <d v="2024-01-01T00:00:00"/>
    <s v="FALTA"/>
    <s v="FALTA NÃO JUSTIFICADA NO DIA 31/12/2023, INFORMOU QUE ESTAVA COM DORES NAS COSTAS, PORÉM NÃO FOI BUSCAR ATENDIMENTO POR NÃO CONSEGUIR SAIR DA CAMA."/>
  </r>
  <r>
    <n v="402"/>
    <s v="BRENDELL BARRADAS REIS "/>
    <x v="232"/>
    <x v="0"/>
    <d v="2023-10-03T00:00:00"/>
    <s v="0ANOS, 2MESES"/>
    <n v="0.23333333333333334"/>
    <x v="0"/>
    <x v="0"/>
    <s v="COLETA DOMICILIAR"/>
    <s v="DIURNO"/>
    <s v="ELISANGELA ROCHA"/>
    <x v="0"/>
    <d v="2023-12-26T00:00:00"/>
    <s v="janeiro"/>
    <d v="2024-01-01T00:00:00"/>
    <x v="12"/>
    <s v="JANEIRO "/>
    <x v="1"/>
    <d v="2024-01-01T00:00:00"/>
    <s v="FALTA"/>
    <s v="FALTA NÃO JUSTIFICADA NO DIA 26/12/203, INFORMOU QUE ESTAVA COM FEBRE, DORES DE CABEÇA, PORÉM NÃO FOI BUSCAR ATENDIMENTO."/>
  </r>
  <r>
    <n v="403"/>
    <s v="ITALO NEVES DA SILVA"/>
    <x v="104"/>
    <x v="0"/>
    <d v="2022-11-09T00:00:00"/>
    <s v="1ANOS, 1MESES"/>
    <n v="1.1583333333333334"/>
    <x v="2"/>
    <x v="0"/>
    <s v="COLETA DOMICILIAR"/>
    <s v="DIURNO"/>
    <s v="ELISANGELA ROCHA"/>
    <x v="0"/>
    <d v="2023-12-31T00:00:00"/>
    <s v="janeiro"/>
    <d v="2024-01-01T00:00:00"/>
    <x v="12"/>
    <s v="JANEIRO "/>
    <x v="1"/>
    <d v="2024-01-01T00:00:00"/>
    <s v="FALTA"/>
    <s v="FALTA NÃO JUSTIFICADA NO DIA 31/12/2023, INFORMOU QUE A ESPOSA ESTAVA COM ATAQUE DE ASMA, FOI LEVAR ELA NO HOSPITAL, PORÉM NÃO TROUXE NENHUMA DOCUMENTAÇÃO."/>
  </r>
  <r>
    <n v="404"/>
    <s v="GERALDO AILTON MARTINS GUIMARAES"/>
    <x v="185"/>
    <x v="0"/>
    <d v="2019-06-03T00:00:00"/>
    <s v="4ANOS, 6MESES"/>
    <n v="4.6222222222222218"/>
    <x v="1"/>
    <x v="1"/>
    <s v="COLETA DOMICILIAR"/>
    <s v="DIURNO"/>
    <s v="ANA CAROLINA"/>
    <x v="0"/>
    <d v="2023-12-23T00:00:00"/>
    <s v="janeiro"/>
    <d v="2024-01-01T00:00:00"/>
    <x v="12"/>
    <s v="JANEIRO "/>
    <x v="1"/>
    <d v="2024-01-01T00:00:00"/>
    <s v="EXCESSO DE VELOCIDADE"/>
    <s v="EXCESSO DE VELOCIDADE NO DIA 23/12/2023 AS 11:13H CHEGANDO A 73 KM, QUANDO O PERMITIDO PELA EMPRESA É 73 KM."/>
  </r>
  <r>
    <n v="405"/>
    <s v="WENDELL ROCHA DE OLIVEIRA"/>
    <x v="233"/>
    <x v="1"/>
    <d v="2023-10-03T00:00:00"/>
    <s v="0ANOS, 2MESES"/>
    <n v="0.24722222222222223"/>
    <x v="0"/>
    <x v="0"/>
    <s v="COLETA DOMICILIAR"/>
    <s v="DIURNO"/>
    <s v="ANA CAROLINA"/>
    <x v="0"/>
    <d v="2023-12-31T00:00:00"/>
    <s v="janeiro"/>
    <d v="2024-01-01T00:00:00"/>
    <x v="12"/>
    <s v="JANEIRO "/>
    <x v="1"/>
    <d v="2024-01-01T00:00:00"/>
    <s v="FALTA"/>
    <s v="FALTA INJUSTIFICADA EM 31/12/2023."/>
  </r>
  <r>
    <n v="406"/>
    <s v="LUIZ FERNANDO BRANCHES DO NASCIMENTO"/>
    <x v="231"/>
    <x v="1"/>
    <d v="2023-08-08T00:00:00"/>
    <s v="0ANOS, 4MESES"/>
    <n v="0.40555555555555556"/>
    <x v="0"/>
    <x v="0"/>
    <s v="COLETA DOMICILIAR"/>
    <s v="NOTURNO"/>
    <s v="JOÃO PEDRO"/>
    <x v="0"/>
    <d v="2024-01-01T00:00:00"/>
    <s v="JANEIRO "/>
    <d v="2024-01-02T00:00:00"/>
    <x v="12"/>
    <s v="JANEIRO "/>
    <x v="1"/>
    <d v="2024-01-02T00:00:00"/>
    <s v="FALTA"/>
    <s v="FALTA SEM JUSTIFICATIVA NO DIA 01/01/2024."/>
  </r>
  <r>
    <n v="407"/>
    <s v="ROBSON DE SOUZA PINHEIRO"/>
    <x v="225"/>
    <x v="0"/>
    <d v="2023-11-03T00:00:00"/>
    <s v="0ANOS, 1MESES"/>
    <n v="0.16388888888888889"/>
    <x v="0"/>
    <x v="0"/>
    <s v="COLETA DOMICILIAR"/>
    <s v="NOTURNO"/>
    <s v="JOÃO PEDRO"/>
    <x v="0"/>
    <d v="2024-01-01T00:00:00"/>
    <s v="JANEIRO "/>
    <d v="2024-01-02T00:00:00"/>
    <x v="12"/>
    <s v="JANEIRO "/>
    <x v="1"/>
    <d v="2024-01-02T00:00:00"/>
    <s v="FALTA"/>
    <s v="FALTA SEM JUSTIFICATIVA NO DIA 01/01/2024."/>
  </r>
  <r>
    <n v="408"/>
    <s v="LEONARDO DA SILVA ROCHA"/>
    <x v="123"/>
    <x v="0"/>
    <d v="2022-10-06T00:00:00"/>
    <s v="1ANOS, 2MESES"/>
    <n v="1.2555555555555555"/>
    <x v="2"/>
    <x v="0"/>
    <s v="COLETA DOMICILIAR"/>
    <s v="NOTURNO"/>
    <s v="JOÃO PEDRO"/>
    <x v="1"/>
    <d v="2024-01-01T00:00:00"/>
    <s v="JANEIRO "/>
    <d v="2024-01-02T00:00:00"/>
    <x v="12"/>
    <s v="JANEIRO "/>
    <x v="1"/>
    <d v="2024-01-03T00:00:00"/>
    <s v="FALTA"/>
    <s v="FALTA SEM JUSTIFICATIVA NOS DIAS 29/12/2023, 31/12/2023 E 01/01/2024."/>
  </r>
  <r>
    <n v="409"/>
    <s v="ANTONIO BRAGA M0TA JUNIOR"/>
    <x v="216"/>
    <x v="1"/>
    <d v="2023-11-17T00:00:00"/>
    <s v="0ANOS, 1MESES"/>
    <n v="0.125"/>
    <x v="0"/>
    <x v="0"/>
    <s v="COLETA DOMICILIAR"/>
    <s v="DIURNO"/>
    <s v="ELISANGELA ROCHA"/>
    <x v="0"/>
    <d v="2024-01-01T00:00:00"/>
    <s v="JANEIRO "/>
    <d v="2024-01-02T00:00:00"/>
    <x v="12"/>
    <s v="JANEIRO "/>
    <x v="1"/>
    <d v="2024-01-02T00:00:00"/>
    <s v="FALTA"/>
    <s v="FALTA INJUSTIFICADA NO DIA 01/01/2024."/>
  </r>
  <r>
    <n v="410"/>
    <s v="JACKSON NASCIMENTO DA SILVA"/>
    <x v="234"/>
    <x v="0"/>
    <d v="2013-02-08T00:00:00"/>
    <s v="10ANOS, 10MESES"/>
    <n v="11.052777777777777"/>
    <x v="3"/>
    <x v="0"/>
    <s v="COLETA DOMICILIAR"/>
    <s v="DIURNO"/>
    <s v="ANA CAROLINA"/>
    <x v="0"/>
    <d v="2024-01-01T00:00:00"/>
    <s v="JANEIRO "/>
    <d v="2024-01-02T00:00:00"/>
    <x v="12"/>
    <s v="JANEIRO "/>
    <x v="1"/>
    <d v="2024-01-02T00:00:00"/>
    <s v="FALTA"/>
    <s v="FALTA INSJUTIFICADA EM 01/01/2023."/>
  </r>
  <r>
    <n v="411"/>
    <s v="FELIPE DA COSTA RAMOS"/>
    <x v="27"/>
    <x v="0"/>
    <d v="2022-12-07T00:00:00"/>
    <s v="1ANOS, 0MESES"/>
    <n v="1.0833333333333333"/>
    <x v="2"/>
    <x v="0"/>
    <s v="COLETA DOMICILIAR"/>
    <s v="DIURNO"/>
    <s v="ELISANGELA ROCHA"/>
    <x v="0"/>
    <d v="2024-01-01T00:00:00"/>
    <s v="JANEIRO "/>
    <d v="2024-01-02T00:00:00"/>
    <x v="12"/>
    <s v="JANEIRO "/>
    <x v="1"/>
    <d v="2024-01-02T00:00:00"/>
    <s v="FALTA"/>
    <s v="O COLABORADOR FALTOU NO DIA 01/01/2024, ALEGANDO UMA NASCIDA NO JOELHO DIREITO, QUE IMPOSSIBILITOU DE VIM TRABALHAR, PORÉM NÃO FOI BUSCAR ATENDIMENTO."/>
  </r>
  <r>
    <n v="412"/>
    <s v="FABIO BRITO DOS SANTOS "/>
    <x v="136"/>
    <x v="1"/>
    <d v="2023-03-16T00:00:00"/>
    <s v="0ANOS, 9MESES"/>
    <n v="0.80833333333333335"/>
    <x v="0"/>
    <x v="0"/>
    <s v="COLETA DOMICILIAR"/>
    <s v="DIURNO"/>
    <s v="ELISANGELA ROCHA"/>
    <x v="0"/>
    <d v="2024-01-01T00:00:00"/>
    <s v="JANEIRO "/>
    <d v="2024-01-02T00:00:00"/>
    <x v="12"/>
    <s v="JANEIRO "/>
    <x v="1"/>
    <d v="2024-01-02T00:00:00"/>
    <s v="FALTA"/>
    <s v="O COLABORADOR FALTOU NO DIA 01/01/2024."/>
  </r>
  <r>
    <n v="413"/>
    <s v="EZEQUIEL VASCONCELOS MARTINS"/>
    <x v="160"/>
    <x v="0"/>
    <d v="2022-09-01T00:00:00"/>
    <s v="1ANOS, 4MESES"/>
    <n v="1.3527777777777779"/>
    <x v="2"/>
    <x v="0"/>
    <s v="COLETA DOMICILIAR"/>
    <s v="DIURNO"/>
    <s v="ELISANGELA ROCHA"/>
    <x v="0"/>
    <d v="2024-01-01T00:00:00"/>
    <s v="JANEIRO "/>
    <d v="2024-01-02T00:00:00"/>
    <x v="12"/>
    <s v="JANEIRO "/>
    <x v="1"/>
    <d v="2024-01-02T00:00:00"/>
    <s v="FALTA"/>
    <s v="O COLABORADOR FALTOU NO DIA 01/01/2024, ALEGANDO QUE NÃO TEVE COMO VIM DEVIDO A FALTA DE ÁGUA NA COMUNIDADE CELEBRIDADE 2 DESDE O DIA 28/12/2024."/>
  </r>
  <r>
    <n v="414"/>
    <s v="LINDONEY DA SILVA LIMA"/>
    <x v="235"/>
    <x v="0"/>
    <d v="2023-03-08T00:00:00"/>
    <s v="0ANOS, 9MESES"/>
    <n v="0.8305555555555556"/>
    <x v="0"/>
    <x v="0"/>
    <s v="COLETA DOMICILIAR"/>
    <s v="DIURNO"/>
    <s v="ANA CAROLINA"/>
    <x v="0"/>
    <d v="2024-01-01T00:00:00"/>
    <s v="JANEIRO "/>
    <d v="2024-01-02T00:00:00"/>
    <x v="12"/>
    <s v="JANEIRO "/>
    <x v="1"/>
    <d v="2024-01-02T00:00:00"/>
    <s v="FALTA"/>
    <s v="FALTA INJUSTIFICADA EM 01/01/2024."/>
  </r>
  <r>
    <n v="415"/>
    <s v="EWERTON ROGERIO RIBEIRO ALVES"/>
    <x v="210"/>
    <x v="0"/>
    <d v="2023-03-17T00:00:00"/>
    <s v="0ANOS, 9MESES"/>
    <n v="0.80555555555555558"/>
    <x v="0"/>
    <x v="0"/>
    <s v="COLETA DOMICILIAR"/>
    <s v="DIURNO"/>
    <s v="ANA CAROLINA"/>
    <x v="0"/>
    <d v="2024-01-01T00:00:00"/>
    <s v="JANEIRO "/>
    <d v="2024-01-02T00:00:00"/>
    <x v="12"/>
    <s v="JANEIRO "/>
    <x v="1"/>
    <d v="2024-01-02T00:00:00"/>
    <s v="FALTA"/>
    <s v="FALTA INJUSTIFICADA EM 01/01/2024."/>
  </r>
  <r>
    <n v="416"/>
    <s v="PEDRO SERGIO DE SOUZA CHAVES"/>
    <x v="8"/>
    <x v="0"/>
    <d v="2021-11-18T00:00:00"/>
    <s v="2ANOS, 1MESES"/>
    <n v="2.15"/>
    <x v="2"/>
    <x v="0"/>
    <s v="COLETA DOMICILIAR"/>
    <s v="DIURNO"/>
    <s v="ANA CAROLINA"/>
    <x v="0"/>
    <d v="2024-01-01T00:00:00"/>
    <s v="JANEIRO "/>
    <d v="2024-01-02T00:00:00"/>
    <x v="12"/>
    <s v="JANEIRO "/>
    <x v="1"/>
    <d v="2024-01-02T00:00:00"/>
    <s v="FALTA"/>
    <s v="FALTA INJUSTIFICADA EM 01/01/2024."/>
  </r>
  <r>
    <n v="417"/>
    <s v="EMERSON DO CANTO EVANGELISTA"/>
    <x v="116"/>
    <x v="0"/>
    <d v="2022-12-01T00:00:00"/>
    <s v="1ANOS, 1MESES"/>
    <n v="1.1000000000000001"/>
    <x v="2"/>
    <x v="0"/>
    <s v="COLETA DOMICILIAR"/>
    <s v="DIURNO"/>
    <s v="ANA CAROLINA"/>
    <x v="0"/>
    <d v="2024-01-01T00:00:00"/>
    <s v="JANEIRO "/>
    <d v="2024-01-02T00:00:00"/>
    <x v="12"/>
    <s v="JANEIRO "/>
    <x v="1"/>
    <d v="2024-01-02T00:00:00"/>
    <s v="FALTA"/>
    <s v="FALTA INJUSTIFICADA EM 01/01/2024."/>
  </r>
  <r>
    <n v="418"/>
    <s v="ADRIANO DAVILA BARROS"/>
    <x v="236"/>
    <x v="0"/>
    <d v="2023-04-06T00:00:00"/>
    <s v="0ANOS, 8MESES"/>
    <n v="0.75"/>
    <x v="0"/>
    <x v="0"/>
    <s v="COLETA DOMICILIAR"/>
    <s v="DIURNO"/>
    <s v="ANA CAROLINA"/>
    <x v="0"/>
    <d v="2024-01-01T00:00:00"/>
    <s v="JANEIRO "/>
    <d v="2024-01-02T00:00:00"/>
    <x v="12"/>
    <s v="JANEIRO "/>
    <x v="1"/>
    <d v="2024-01-02T00:00:00"/>
    <s v="FALTA"/>
    <s v="FALTA INJUSTIFICADA EM 01/01/2024."/>
  </r>
  <r>
    <n v="419"/>
    <s v="CARLOS ALBERTO PERES DE OLIVEIRA"/>
    <x v="45"/>
    <x v="0"/>
    <d v="2022-12-01T00:00:00"/>
    <s v="1ANOS, 1MESES"/>
    <n v="1.1000000000000001"/>
    <x v="2"/>
    <x v="0"/>
    <s v="COLETA DOMICILIAR"/>
    <s v="DIURNO"/>
    <s v="ANA CAROLINA"/>
    <x v="0"/>
    <d v="2024-01-01T00:00:00"/>
    <s v="JANEIRO "/>
    <d v="2024-01-02T00:00:00"/>
    <x v="12"/>
    <s v="JANEIRO "/>
    <x v="1"/>
    <d v="2024-01-02T00:00:00"/>
    <s v="FALTA"/>
    <s v="FALTA INJUSTIFICADA EM 01/01/2024."/>
  </r>
  <r>
    <n v="420"/>
    <s v="DANIEL MENES PERES "/>
    <x v="46"/>
    <x v="0"/>
    <d v="2020-02-04T00:00:00"/>
    <s v="3ANOS, 10MESES"/>
    <n v="3.963888888888889"/>
    <x v="1"/>
    <x v="0"/>
    <s v="COLETA DOMICILIAR"/>
    <s v="DIURNO"/>
    <s v="ANA CAROLINA"/>
    <x v="0"/>
    <d v="2024-01-01T00:00:00"/>
    <s v="JANEIRO "/>
    <d v="2024-01-02T00:00:00"/>
    <x v="12"/>
    <s v="JANEIRO "/>
    <x v="1"/>
    <d v="2024-01-02T00:00:00"/>
    <s v="FALTA"/>
    <s v="FALTA INJUSTIFICADA EM 01/01/2024."/>
  </r>
  <r>
    <n v="421"/>
    <s v="THIAGO MAR DE AS"/>
    <x v="75"/>
    <x v="0"/>
    <d v="2022-06-15T00:00:00"/>
    <s v="1ANOS, 6MESES"/>
    <n v="1.5694444444444444"/>
    <x v="2"/>
    <x v="0"/>
    <s v="COLETA DOMICILIAR"/>
    <s v="DIURNO"/>
    <s v="ELISANGELA ROCHA"/>
    <x v="0"/>
    <d v="2024-01-01T00:00:00"/>
    <s v="JANEIRO "/>
    <d v="2024-01-02T00:00:00"/>
    <x v="12"/>
    <s v="JANEIRO "/>
    <x v="1"/>
    <d v="2024-01-02T00:00:00"/>
    <s v="FALTA"/>
    <s v="O COLABORADOR FALTOU NO DIA 01/01/24, ALEGANDO QUE NÃO TINHA NINGUÉM PARA FICAR COM O SEU FILHO DE 04 ANOS, POIS SE TRATAVA DO SEU DIA DE FICAR COM ELE."/>
  </r>
  <r>
    <n v="422"/>
    <s v="THIAGO SILVA E SILVA"/>
    <x v="237"/>
    <x v="0"/>
    <d v="2023-03-08T00:00:00"/>
    <s v="0ANOS, 9MESES"/>
    <n v="0.8305555555555556"/>
    <x v="0"/>
    <x v="0"/>
    <s v="COLETA DOMICILIAR"/>
    <s v="DIURNO"/>
    <s v="ELISANGELA ROCHA"/>
    <x v="0"/>
    <d v="2024-01-01T00:00:00"/>
    <s v="JANEIRO "/>
    <d v="2024-01-02T00:00:00"/>
    <x v="12"/>
    <s v="JANEIRO "/>
    <x v="1"/>
    <d v="2024-01-03T00:00:00"/>
    <s v="FALTA"/>
    <s v="O COLABORADOR FALTOU NO DIA 01/01/2024, INFORMOU QUE NÃO ESTAVA COM CONDIÇÕES DE TRABALHAR POIS ESTAVA AMANHECIDO."/>
  </r>
  <r>
    <n v="423"/>
    <s v="GABRIEL SOUZA DA SILVA"/>
    <x v="155"/>
    <x v="0"/>
    <d v="2022-11-03T00:00:00"/>
    <s v="1ANOS, 1MESES"/>
    <n v="1.1777777777777778"/>
    <x v="2"/>
    <x v="0"/>
    <s v="COLETA DOMICILIAR"/>
    <s v="DIURNO"/>
    <s v="ELISANGELA ROCHA"/>
    <x v="1"/>
    <d v="2024-01-01T00:00:00"/>
    <s v="JANEIRO "/>
    <d v="2024-01-02T00:00:00"/>
    <x v="12"/>
    <s v="JANEIRO "/>
    <x v="1"/>
    <d v="2024-01-03T00:00:00"/>
    <s v="FALTA"/>
    <s v="O COLABORADOR FALTOU NO DIA 01/01/2024, ALEGANDO MOTIVOS PESSOAIS E POR NÃO ESTAR SE SENTINDO BEM PARA TRABALHAR."/>
  </r>
  <r>
    <n v="424"/>
    <s v="GABRIEL MARTINS RIBEIRO"/>
    <x v="190"/>
    <x v="1"/>
    <d v="2023-07-06T00:00:00"/>
    <s v="0ANOS, 5MESES"/>
    <n v="0.49722222222222223"/>
    <x v="0"/>
    <x v="0"/>
    <s v="COLETA DOMICILIAR"/>
    <s v="DIURNO"/>
    <s v="ANA CAROLINA"/>
    <x v="0"/>
    <d v="2024-01-01T00:00:00"/>
    <s v="JANEIRO "/>
    <d v="2024-01-02T00:00:00"/>
    <x v="12"/>
    <s v="JANEIRO "/>
    <x v="1"/>
    <d v="2024-01-02T00:00:00"/>
    <s v="FALTA"/>
    <s v="FALTA INJUSTIFICADA EM 01/01/2024."/>
  </r>
  <r>
    <n v="425"/>
    <s v="LUCAS PINHEIRO LOPES"/>
    <x v="156"/>
    <x v="0"/>
    <d v="2022-06-01T00:00:00"/>
    <s v="1ANOS, 7MESES"/>
    <n v="1.6111111111111112"/>
    <x v="2"/>
    <x v="0"/>
    <s v="COLETA DOMICILIAR"/>
    <s v="NOTURNO"/>
    <s v="JOSEANE MIGUEL"/>
    <x v="1"/>
    <d v="2024-01-02T00:00:00"/>
    <s v="JANEIRO "/>
    <d v="2024-01-03T00:00:00"/>
    <x v="12"/>
    <s v="JANEIRO "/>
    <x v="1"/>
    <d v="2024-01-04T00:00:00"/>
    <s v="FALTA"/>
    <s v="FALTA SEM JUSTIFICATIVA NOS DIAS 01/01/2024 E 02/01/2024."/>
  </r>
  <r>
    <n v="426"/>
    <s v="RAIR BARROSO DA SILVA"/>
    <x v="110"/>
    <x v="0"/>
    <d v="2022-12-01T00:00:00"/>
    <s v="1ANOS, 1MESES"/>
    <n v="1.1083333333333334"/>
    <x v="2"/>
    <x v="0"/>
    <s v="COLETA DOMICILIAR"/>
    <s v="NOTURNO"/>
    <s v="JOÃO PEDRO"/>
    <x v="0"/>
    <d v="2024-01-04T00:00:00"/>
    <s v="janeiro"/>
    <d v="2024-01-05T00:00:00"/>
    <x v="12"/>
    <s v="JANEIRO "/>
    <x v="1"/>
    <d v="2024-01-05T00:00:00"/>
    <s v="FALTA"/>
    <s v="FALTA SEM JUSTIFICATIVA NO DIA 04/01/2024."/>
  </r>
  <r>
    <n v="427"/>
    <s v="ANTONIO RAIMUNDO CAVALCANTE RENOVATO"/>
    <x v="238"/>
    <x v="0"/>
    <d v="2023-11-17T00:00:00"/>
    <s v="0ANOS, 1MESES"/>
    <n v="0.1361111111111111"/>
    <x v="0"/>
    <x v="0"/>
    <s v="COLETA DOMICILIAR"/>
    <s v="DIURNO"/>
    <s v="ANA CAROLINA"/>
    <x v="0"/>
    <d v="2024-01-05T00:00:00"/>
    <s v="JANEIRO "/>
    <d v="2024-01-06T00:00:00"/>
    <x v="12"/>
    <s v="JANEIRO "/>
    <x v="1"/>
    <d v="2024-01-06T00:00:00"/>
    <s v="FALTA"/>
    <s v="FALTA INJUSTIFICADA NO DIA 05/01/2024, ALEGA QUE ESTAVA VIAJANDO E NÃO CONSEGUIU CHEGAR A TEMPO."/>
  </r>
  <r>
    <n v="428"/>
    <s v="LINDONEY DA SILVA LIMA"/>
    <x v="235"/>
    <x v="0"/>
    <d v="2023-03-08T00:00:00"/>
    <s v="0ANOS, 9MESES"/>
    <n v="0.84722222222222221"/>
    <x v="0"/>
    <x v="0"/>
    <s v="COLETA DOMICILIAR"/>
    <s v="DIURNO"/>
    <s v="ANA CAROLINA"/>
    <x v="1"/>
    <d v="2024-01-07T00:00:00"/>
    <s v="JANEIRO "/>
    <d v="2024-01-08T00:00:00"/>
    <x v="12"/>
    <s v="JANEIRO "/>
    <x v="1"/>
    <d v="2024-01-09T00:00:00"/>
    <s v="FALTA"/>
    <s v="FALTA INJUSITIFICADA NO DIA 07/01/2024, ALEGANDO QUE PRECISOU FICAR COM O FILHO QUE ESTAVA DOENTE."/>
  </r>
  <r>
    <n v="429"/>
    <s v="EDILSON LUIZ CARVALHO DE SOUZA"/>
    <x v="15"/>
    <x v="0"/>
    <d v="2022-01-17T00:00:00"/>
    <s v="1ANOS, 11MESES"/>
    <n v="2"/>
    <x v="2"/>
    <x v="0"/>
    <s v="COLETA DOMICILIAR"/>
    <s v="NOTURNO"/>
    <s v="JOÃO PEDRO"/>
    <x v="1"/>
    <d v="2024-01-07T00:00:00"/>
    <s v="JANEIRO "/>
    <d v="2024-01-08T00:00:00"/>
    <x v="12"/>
    <s v="JANEIRO "/>
    <x v="1"/>
    <d v="2024-01-09T00:00:00"/>
    <s v="FALTA"/>
    <s v="FALTA SEM JUSTIFICATIVA EM 07/01/2024."/>
  </r>
  <r>
    <n v="430"/>
    <s v="JANDERSON ALHO PINHEIRO "/>
    <x v="203"/>
    <x v="0"/>
    <d v="2023-06-01T00:00:00"/>
    <s v="0ANOS, 7MESES"/>
    <n v="0.60833333333333328"/>
    <x v="0"/>
    <x v="0"/>
    <s v="COLETA DOMICILIAR"/>
    <s v="NOTURNO"/>
    <s v="JOÃO PEDRO"/>
    <x v="1"/>
    <d v="2024-01-06T00:00:00"/>
    <s v="JANEIRO "/>
    <d v="2024-01-08T00:00:00"/>
    <x v="12"/>
    <s v="JANEIRO "/>
    <x v="1"/>
    <d v="2024-01-13T00:00:00"/>
    <s v="FALTA"/>
    <s v="FALTA SEM JUSTIFICATIVA EM 06/01/2024."/>
  </r>
  <r>
    <n v="431"/>
    <s v="HERICLES MENDONCA TRINDADE "/>
    <x v="228"/>
    <x v="0"/>
    <d v="2022-06-01T00:00:00"/>
    <s v="1ANOS, 7MESES"/>
    <n v="1.6305555555555555"/>
    <x v="2"/>
    <x v="0"/>
    <s v="COLETA DOMICILIAR"/>
    <s v="NOTURNO"/>
    <s v="JOÃO PEDRO"/>
    <x v="0"/>
    <d v="2024-01-09T00:00:00"/>
    <s v="JANEIRO "/>
    <d v="2024-01-10T00:00:00"/>
    <x v="12"/>
    <s v="JANEIRO "/>
    <x v="1"/>
    <d v="2024-01-10T00:00:00"/>
    <s v="FALTA"/>
    <s v="FALTA SEM JUSTIFICATIVA EM 09/01/2024."/>
  </r>
  <r>
    <n v="432"/>
    <s v="NAUM DA SILVA CASTRO ALFAIA"/>
    <x v="71"/>
    <x v="0"/>
    <d v="2022-10-03T00:00:00"/>
    <s v="1ANOS, 3MESES"/>
    <n v="1.2833333333333334"/>
    <x v="2"/>
    <x v="0"/>
    <s v="COLETA DOMICILIAR"/>
    <s v="NOTURNO"/>
    <s v="PAULO PORTO"/>
    <x v="1"/>
    <d v="2024-01-08T00:00:00"/>
    <s v="JANEIRO "/>
    <d v="2024-01-11T00:00:00"/>
    <x v="12"/>
    <s v="JANEIRO "/>
    <x v="1"/>
    <d v="2024-01-16T00:00:00"/>
    <s v="QUEBRA DE PROCEDIMENTO"/>
    <s v="NO DIA 08/01/2024 NO ROTEIRO 90.3.101 - PRAÇA 14, NA LIXEIRA DO PROSAMIM, SE ENVOLVEU NUMA DISCUSSÃO QUE ACABOU VIRANDO UM CASO DE AGRESSÃO FÍSICA COM O FUNCIONÁRIO LUCAS PEREIRA DA CUNHA (MAT.3146)."/>
  </r>
  <r>
    <n v="433"/>
    <s v="ALEXANDRE ZAGURY SENA"/>
    <x v="239"/>
    <x v="0"/>
    <d v="2023-04-17T00:00:00"/>
    <s v="0ANOS, 8MESES"/>
    <n v="0.74444444444444446"/>
    <x v="0"/>
    <x v="0"/>
    <s v="COLETA DOMICILIAR"/>
    <s v="NOTURNO"/>
    <s v="JOÃO PEDRO"/>
    <x v="0"/>
    <d v="2024-01-10T00:00:00"/>
    <s v="JANEIRO "/>
    <d v="2024-01-11T00:00:00"/>
    <x v="12"/>
    <s v="JANEIRO "/>
    <x v="1"/>
    <d v="2024-01-11T00:00:00"/>
    <s v="FALTA"/>
    <s v="FALTA SEM JUSTIFICATIVA EM 10/01/2024."/>
  </r>
  <r>
    <n v="434"/>
    <s v="RAYLANDER BATISTA DA SILVA"/>
    <x v="107"/>
    <x v="0"/>
    <d v="2023-04-06T00:00:00"/>
    <s v="0ANOS, 9MESES"/>
    <n v="0.77222222222222225"/>
    <x v="0"/>
    <x v="0"/>
    <s v="COLETA DOMICILIAR"/>
    <s v="DIURNO"/>
    <s v="ELISANGELA ROCHA"/>
    <x v="1"/>
    <d v="2024-01-09T00:00:00"/>
    <s v="JANEIRO "/>
    <d v="2024-01-11T00:00:00"/>
    <x v="12"/>
    <s v="JANEIRO "/>
    <x v="1"/>
    <d v="2024-01-12T00:00:00"/>
    <s v="FALTA"/>
    <s v="FALTA INJUSTIFICADA NO DIA 09/01/2024, ALEGA QUE ESTAVA COM PROBLEMAS PESSOAIS E PRECISOU IR AO FORUM."/>
  </r>
  <r>
    <n v="435"/>
    <s v="RICHARD ALEXANDER MEJIA ESPINOZA"/>
    <x v="240"/>
    <x v="0"/>
    <d v="2021-05-03T00:00:00"/>
    <s v="2ANOS, 8MESES"/>
    <n v="2.7305555555555556"/>
    <x v="2"/>
    <x v="0"/>
    <s v="COLETA DOMICILIAR"/>
    <s v="NOTURNO"/>
    <s v="JOÃO PEDRO"/>
    <x v="1"/>
    <d v="2024-01-11T00:00:00"/>
    <s v="JANEIRO "/>
    <d v="2024-01-12T00:00:00"/>
    <x v="12"/>
    <s v="JANEIRO "/>
    <x v="1"/>
    <d v="2024-01-15T00:00:00"/>
    <s v="QUEBRA DE PROCEDIMENTO"/>
    <s v="NO DIA 11/01/2024, NO ROTEIRO 90.3.163 - CIDADE NOVA, COLABORADOR FOI FLAGRADO JOGANDO LIXO NO IGARAPE, INDO EM DESENCONTRO COM PO-08."/>
  </r>
  <r>
    <n v="436"/>
    <s v="LUCAS PEREIRA DA CUNHA"/>
    <x v="241"/>
    <x v="0"/>
    <d v="2023-05-05T00:00:00"/>
    <s v="0ANOS, 8MESES"/>
    <n v="0.68888888888888888"/>
    <x v="0"/>
    <x v="0"/>
    <s v="COLETA DOMICILIAR"/>
    <s v="NOTURNO"/>
    <s v="PAULO PORTO"/>
    <x v="1"/>
    <d v="2024-01-08T00:00:00"/>
    <s v="JANEIRO "/>
    <d v="2024-01-14T00:00:00"/>
    <x v="12"/>
    <s v="JANEIRO "/>
    <x v="1"/>
    <d v="2024-01-17T00:00:00"/>
    <s v="QUEBRA DE PROCEDIMENTO"/>
    <s v="NO DIA 08/01/2024 NO ROTEIRO 90.3.101 - PRAÇA 14, NA LIXEIRA DO PROSAMIM, SE ENVOLVEU NUMA DISCUSSÃO QUE ACABOU VIRANDO UM CASO DE AGRESSÃO FÍSICA COM O FUNCIONÁRIO NAUM CASTRO DE ALFAIA (MAT.2953)."/>
  </r>
  <r>
    <n v="437"/>
    <s v="EMIL SOUSA DE MORAES"/>
    <x v="242"/>
    <x v="1"/>
    <d v="2023-11-03T00:00:00"/>
    <s v="0ANOS, 2MESES"/>
    <n v="0.18611111111111112"/>
    <x v="0"/>
    <x v="0"/>
    <s v="COLETA DOMICILIAR"/>
    <s v="NOTURNO"/>
    <s v="JOÃO PEDRO"/>
    <x v="1"/>
    <d v="2024-01-09T00:00:00"/>
    <s v="JANEIRO "/>
    <d v="2024-01-14T00:00:00"/>
    <x v="12"/>
    <s v="JANEIRO "/>
    <x v="1"/>
    <d v="2024-01-15T00:00:00"/>
    <s v="FALTA"/>
    <s v="FALTA SEM JUSTIFICATIVA EM 09/01/2024. "/>
  </r>
  <r>
    <n v="438"/>
    <s v="LEONARDO DA SILVA ROCHA"/>
    <x v="123"/>
    <x v="0"/>
    <d v="2022-10-06T00:00:00"/>
    <s v="1ANOS, 3MESES"/>
    <n v="1.2916666666666667"/>
    <x v="2"/>
    <x v="0"/>
    <s v="COLETA DOMICILIAR"/>
    <s v="NOTURNO"/>
    <s v="JOÃO PEDRO"/>
    <x v="1"/>
    <d v="2024-01-14T00:00:00"/>
    <s v="JANEIRO "/>
    <d v="2024-01-15T00:00:00"/>
    <x v="12"/>
    <s v="JANEIRO "/>
    <x v="1"/>
    <d v="2024-01-18T00:00:00"/>
    <s v="FALTA"/>
    <s v="FALTA SEM JUSTIFICATIVA EM 14/01/2024."/>
  </r>
  <r>
    <n v="439"/>
    <s v="FABIO BRITO DOS SANTOS "/>
    <x v="136"/>
    <x v="0"/>
    <d v="2023-03-16T00:00:00"/>
    <s v="0ANOS, 9MESES"/>
    <n v="0.84722222222222221"/>
    <x v="0"/>
    <x v="0"/>
    <s v="COLETA DOMICILIAR"/>
    <s v="DIURNO"/>
    <s v="ANA CAROLINA"/>
    <x v="1"/>
    <d v="2024-01-15T00:00:00"/>
    <s v="JANEIRO "/>
    <d v="2024-01-16T00:00:00"/>
    <x v="12"/>
    <s v="JANEIRO "/>
    <x v="1"/>
    <d v="2024-01-17T00:00:00"/>
    <s v="FALTA"/>
    <s v="FALTA INJUSTIFICADA NO DIA 15/01/2024, ALEGA QUE ESTAVA MAL, PORÉM NÃO PROCUROU ATENDIMENTO."/>
  </r>
  <r>
    <n v="440"/>
    <s v="EMERSON DO CANTO EVANGELISTA"/>
    <x v="116"/>
    <x v="1"/>
    <d v="2022-12-01T00:00:00"/>
    <s v="1ANOS, 1MESES"/>
    <n v="1.1416666666666666"/>
    <x v="2"/>
    <x v="0"/>
    <s v="COLETA DOMICILIAR"/>
    <s v="DIURNO"/>
    <s v="ANA CAROLINA"/>
    <x v="1"/>
    <d v="2024-01-16T00:00:00"/>
    <s v="JANEIRO "/>
    <d v="2024-01-16T00:00:00"/>
    <x v="12"/>
    <s v="JANEIRO "/>
    <x v="1"/>
    <d v="2024-01-18T00:00:00"/>
    <s v="FALTA"/>
    <s v="FALTA INJUSTIFICADA NO DIA 16/01/2024, ALEGA QUE FOI REALIZAR UMA ENTREVISTA DE EMPREGO."/>
  </r>
  <r>
    <n v="441"/>
    <s v="EZEQUIEL VASCONCELOS MARTINS"/>
    <x v="160"/>
    <x v="0"/>
    <d v="2022-09-01T00:00:00"/>
    <s v="1ANOS, 4MESES"/>
    <n v="1.3944444444444444"/>
    <x v="2"/>
    <x v="0"/>
    <s v="COLETA DOMICILIAR"/>
    <s v="DIURNO"/>
    <s v="ANA CAROLINA"/>
    <x v="1"/>
    <d v="2024-01-16T00:00:00"/>
    <s v="JANEIRO "/>
    <d v="2024-01-17T00:00:00"/>
    <x v="12"/>
    <s v="JANEIRO "/>
    <x v="1"/>
    <d v="2024-01-18T00:00:00"/>
    <s v="FALTA"/>
    <s v="FALTA INJUSTIFICADA NO DIA 16/01/2024, ALEGA QUE PRECISOU FICAR COM O FILHO."/>
  </r>
  <r>
    <n v="442"/>
    <s v="RAIR BARROSO DA SILVA"/>
    <x v="66"/>
    <x v="1"/>
    <d v="2023-01-12T00:00:00"/>
    <s v="0ANOS, 11MESES"/>
    <n v="1.0111111111111111"/>
    <x v="2"/>
    <x v="1"/>
    <s v="COLETA DOMICILIAR"/>
    <s v="NOTURNO"/>
    <s v="JOÃO PEDRO"/>
    <x v="1"/>
    <d v="2024-01-11T00:00:00"/>
    <s v="JANEIRO "/>
    <d v="2024-01-19T00:00:00"/>
    <x v="12"/>
    <s v="JANEIRO "/>
    <x v="1"/>
    <d v="2024-01-11T00:00:00"/>
    <s v="QUEBRA DE PROCEDIMENTO"/>
    <s v="NO DIA 11/01/2024 POR VOLTA DE 23:15 HORAS, O SR. RAIRO, PAROU O VEÍCULO COMPACTADOR NA AVENIDA UMBERTO CALDERARO FILHO, NA ALÇA DO VIADUTO DA AV. EFIGENIO SALLES, NO INICIO DE UMA PASSAGEM DE NIVEL EM UMA VIA DE TRANSITO RAPIDO, LOCAL PROIBIDO PARA ESTA FINALIDADE, INFRINGINDO O ART. 182 DO CÓDIGO DE TRANSITO BRASILEIRO E COLOCANDO EM RISCO A INTEGRIDADE FISICA DOS AGENTES DE COLETA E A DE TERCEIROS QUE TRANSITAVAM NA VIA. TAL ATO DE FATOR DE DETERMINANTE E GEROU O ACIDENTE DE UM VEÍCULO TERCEIRO QUE COLIDIU NA TRASEIRA DO COMPACTADOR, ONDE OS OCUPANTES TIVERAM FERIMENTOS LEVES."/>
  </r>
  <r>
    <n v="443"/>
    <s v="LUCAS PINHEIRO LOPES"/>
    <x v="156"/>
    <x v="0"/>
    <d v="2022-06-01T00:00:00"/>
    <s v="1ANOS, 7MESES"/>
    <n v="1.6416666666666666"/>
    <x v="2"/>
    <x v="0"/>
    <s v="COLETA DOMICILIAR"/>
    <s v="NOTURNO"/>
    <s v="JOÃO PEDRO"/>
    <x v="1"/>
    <d v="2024-01-13T00:00:00"/>
    <s v="JANEIRO "/>
    <d v="2024-01-20T00:00:00"/>
    <x v="12"/>
    <s v="JANEIRO "/>
    <x v="1"/>
    <d v="2024-01-20T00:00:00"/>
    <s v="FALTA"/>
    <s v="FALTA EM 13/01, ALEGOU ESTAR SENTINDO DORES NO PESCOÇO, MAS NÃO CONSEGUIU NENHUM DOCUMENTO MÉDICO."/>
  </r>
  <r>
    <n v="444"/>
    <s v="MARIANO PEREIRA DOS REIS "/>
    <x v="189"/>
    <x v="0"/>
    <d v="2023-06-01T00:00:00"/>
    <s v="0ANOS, 7MESES"/>
    <n v="0.64722222222222225"/>
    <x v="0"/>
    <x v="0"/>
    <s v="COLETA DOMICILIAR"/>
    <s v="DIURNO"/>
    <s v="ANA CAROLINA"/>
    <x v="1"/>
    <d v="2024-01-20T00:00:00"/>
    <s v="JANEIRO "/>
    <d v="2024-01-20T00:00:00"/>
    <x v="12"/>
    <s v="JANEIRO "/>
    <x v="1"/>
    <d v="2024-01-21T00:00:00"/>
    <s v="INSUBORDINAÇÃO"/>
    <s v="COLABORADOR RECUSOU A ATENDER AO COMANDO PASSADO PELA ANALISTA, REFERENTE AO APOIO SOLICITADO NA ROTA 90.1.165 (CIDADE NOVA - NUCLEOS) DENTRO DO HORÁRIO DE TRABALHO."/>
  </r>
  <r>
    <n v="445"/>
    <s v="MAURICIO DE SOUZA ANDRADE"/>
    <x v="179"/>
    <x v="0"/>
    <d v="2021-10-13T00:00:00"/>
    <s v="2ANOS, 3MESES"/>
    <n v="2.3027777777777776"/>
    <x v="2"/>
    <x v="0"/>
    <s v="COLETA DOMICILIAR"/>
    <s v="DIURNO"/>
    <s v="ANA CAROLINA"/>
    <x v="1"/>
    <d v="2024-01-20T00:00:00"/>
    <s v="JANEIRO "/>
    <d v="2024-01-20T00:00:00"/>
    <x v="12"/>
    <s v="JANEIRO "/>
    <x v="1"/>
    <d v="2024-01-21T00:00:00"/>
    <s v="INSUBORDINAÇÃO"/>
    <s v="COLABORADOR RECUSOU A ATENDER AO COMANDO PASSADO PELA ANALISTA, REFERENTE AO APOIO SOLICITADO NA ROTA 90.1.165 (CIDADE NOVA - NUCLEOS) DENTRO DO HORÁRIO DE TRABALHO."/>
  </r>
  <r>
    <n v="446"/>
    <s v="RICARDO CARRIL MENDONCA JUNIOR"/>
    <x v="243"/>
    <x v="1"/>
    <d v="2023-08-08T00:00:00"/>
    <s v="0ANOS, 5MESES"/>
    <n v="0.45833333333333331"/>
    <x v="0"/>
    <x v="0"/>
    <s v="COLETA DOMICILIAR"/>
    <s v="DIURNO"/>
    <s v="ANA CAROLINA"/>
    <x v="0"/>
    <d v="2024-01-20T00:00:00"/>
    <s v="JANEIRO "/>
    <d v="2024-01-20T00:00:00"/>
    <x v="12"/>
    <s v="JANEIRO "/>
    <x v="1"/>
    <d v="2024-01-20T00:00:00"/>
    <s v="FALTA"/>
    <s v="O COLABORADOR FALTOU NO DIA 20/01/24 E NÃO APRESENTOU NENHUMA JUSTIFICATIVA."/>
  </r>
  <r>
    <n v="447"/>
    <s v="DAVID JOSE GONZALEZ MENDEZ"/>
    <x v="244"/>
    <x v="0"/>
    <d v="2021-06-01T00:00:00"/>
    <s v="2ANOS, 7MESES"/>
    <n v="2.6749999999999998"/>
    <x v="2"/>
    <x v="0"/>
    <s v="COLETA DOMICILIAR"/>
    <s v="NOTURNO"/>
    <s v="JOÃO PEDRO"/>
    <x v="0"/>
    <d v="2024-01-20T00:00:00"/>
    <s v="JANEIRO "/>
    <d v="2024-01-20T00:00:00"/>
    <x v="12"/>
    <s v="JANEIRO "/>
    <x v="1"/>
    <d v="2024-01-23T00:00:00"/>
    <s v="FALTA"/>
    <s v="FALTA EM 20/01/2024, COLABORADOR INFORMOU QUE ESTAVA A CAMINHO DA EMPRESA, PORÉM A SUA MOTO ENTROU EM PANE, E O MESMO NÃO CONSEGUIU CHEGAR NO SEU DESTINO."/>
  </r>
  <r>
    <n v="448"/>
    <s v="EZEQUIEL VASCONCELOS MARTINS"/>
    <x v="160"/>
    <x v="0"/>
    <d v="2022-09-01T00:00:00"/>
    <s v="1ANOS, 4MESES"/>
    <n v="1.4027777777777777"/>
    <x v="2"/>
    <x v="0"/>
    <s v="COLETA DOMICILIAR"/>
    <s v="DIURNO"/>
    <s v="ANA CAROLINA"/>
    <x v="1"/>
    <d v="2024-01-19T00:00:00"/>
    <s v="JANEIRO "/>
    <d v="2024-01-22T00:00:00"/>
    <x v="12"/>
    <s v="JANEIRO "/>
    <x v="1"/>
    <d v="2024-01-25T00:00:00"/>
    <s v="FALTA"/>
    <s v="FALTA INJUSTIFICADA NO DIA 19/01/2024, APRESENTOU DECLARAÇÃO DE COMPARECECIMENTO FORA DO PRAZO."/>
  </r>
  <r>
    <n v="449"/>
    <s v="ISAIAS ROCHA DE ARAUJO"/>
    <x v="164"/>
    <x v="1"/>
    <d v="2023-08-17T00:00:00"/>
    <s v="0ANOS, 5MESES"/>
    <n v="0.43333333333333335"/>
    <x v="0"/>
    <x v="1"/>
    <s v="COLETA DOMICILIAR"/>
    <s v="NOTURNO"/>
    <s v="JOÃO PEDRO"/>
    <x v="0"/>
    <d v="2024-01-20T00:00:00"/>
    <s v="JANEIRO "/>
    <d v="2024-01-23T00:00:00"/>
    <x v="12"/>
    <s v="JANEIRO "/>
    <x v="1"/>
    <d v="2024-01-23T00:00:00"/>
    <s v="EXCESSO DE VELOCIDADE"/>
    <s v="COLABORADOR EXCEDEU A VELOCIDADE PERMITIDO DA EMPRESA CHEGANDO A 72 KM/H."/>
  </r>
  <r>
    <n v="450"/>
    <s v="ROSSIFRANK MATOS CARDOSO"/>
    <x v="245"/>
    <x v="0"/>
    <d v="2022-01-17T00:00:00"/>
    <s v="2ANOS, 0MESES"/>
    <n v="2.0388888888888888"/>
    <x v="2"/>
    <x v="0"/>
    <s v="COLETA DOMICILIAR"/>
    <s v="NOTURNO"/>
    <s v="JOÃO PEDRO"/>
    <x v="0"/>
    <d v="2024-01-21T00:00:00"/>
    <s v="JANEIRO "/>
    <d v="2024-01-23T00:00:00"/>
    <x v="12"/>
    <s v="JANEIRO "/>
    <x v="1"/>
    <d v="2024-01-23T00:00:00"/>
    <s v="FALTA"/>
    <s v="FALTA NO DOMINGO 21/01/2024, COLABORADOR ALEGOU NÃO ESTAR BEM DE SAÚDE, PORÉM NÃO PROCOUROU ATENDIMENTO."/>
  </r>
  <r>
    <n v="451"/>
    <s v="JANDERSON ALHO PINHEIRO "/>
    <x v="203"/>
    <x v="0"/>
    <d v="2023-06-01T00:00:00"/>
    <s v="0ANOS, 7MESES"/>
    <n v="0.65277777777777779"/>
    <x v="0"/>
    <x v="0"/>
    <s v="COLETA DOMICILIAR"/>
    <s v="NOTURNO"/>
    <s v="JOÃO PEDRO"/>
    <x v="1"/>
    <d v="2024-01-22T00:00:00"/>
    <s v="JANEIRO "/>
    <d v="2024-01-23T00:00:00"/>
    <x v="12"/>
    <s v="JANEIRO "/>
    <x v="1"/>
    <d v="2024-01-30T00:00:00"/>
    <s v="FALTA"/>
    <s v="FALTA EM 22/01/2024, COLABORADOR INFORMOU QUE ESTAVA PARA AUTAZES, PORÉM, HOUVE UM ATRASO NA VOLTA, E QUE O IMPOSSIBILITOU DE CHEGAR EM TEMPO HÁBIL NA EMPRESA."/>
  </r>
  <r>
    <n v="452"/>
    <s v="RAYLANDER BATISTA DA SILVA"/>
    <x v="107"/>
    <x v="0"/>
    <d v="2023-04-06T00:00:00"/>
    <s v="0ANOS, 9MESES"/>
    <n v="0.81111111111111112"/>
    <x v="0"/>
    <x v="0"/>
    <s v="COLETA DOMICILIAR"/>
    <s v="DIURNO"/>
    <s v="ANA CAROLINA"/>
    <x v="1"/>
    <d v="2024-01-23T00:00:00"/>
    <s v="JANEIRO "/>
    <d v="2024-01-24T00:00:00"/>
    <x v="12"/>
    <s v="JANEIRO "/>
    <x v="1"/>
    <d v="2024-01-27T00:00:00"/>
    <s v="FALTA"/>
    <s v="FALTA INJUSTIFICADA NOS DIAS 20/01/2024, 21/01/2024, 22/01/2024 E 23/01/2024, COLABORADOR INFORMA QUE ESTÁ COM DORES NA COLUNA, PORÉM NÃO CONSEGUIU BUSCAR ATENDIMENTO."/>
  </r>
  <r>
    <n v="453"/>
    <s v="EDINARDO PERES DA SILVA BRITO"/>
    <x v="246"/>
    <x v="0"/>
    <d v="2013-02-08T00:00:00"/>
    <s v="10ANOS, 11MESES"/>
    <n v="11.113888888888889"/>
    <x v="3"/>
    <x v="1"/>
    <s v="COLETA DOMICILIAR"/>
    <s v="DIURNO"/>
    <s v="ANA CAROLINA"/>
    <x v="0"/>
    <d v="2024-01-23T00:00:00"/>
    <s v="JANEIRO "/>
    <d v="2024-01-24T00:00:00"/>
    <x v="12"/>
    <s v="JANEIRO "/>
    <x v="1"/>
    <d v="2024-01-24T00:00:00"/>
    <s v="EXCESSO DE VELOCIDADE"/>
    <s v="EXCEDEU A VELOCIDADE PERMITIDA PELA EMPRESA CHEGANDO A 75 KM NO DIA 23/01/2024."/>
  </r>
  <r>
    <n v="454"/>
    <s v="LEONARDO DA SILVA ROCHA"/>
    <x v="123"/>
    <x v="0"/>
    <d v="2022-10-06T00:00:00"/>
    <s v="1ANOS, 3MESES"/>
    <n v="1.3222222222222222"/>
    <x v="2"/>
    <x v="0"/>
    <s v="COLETA DOMICILIAR"/>
    <s v="NOTURNO"/>
    <s v="JOÃO PEDRO"/>
    <x v="1"/>
    <d v="2024-01-25T00:00:00"/>
    <s v="JANEIRO "/>
    <d v="2024-01-25T00:00:00"/>
    <x v="12"/>
    <s v="JANEIRO "/>
    <x v="1"/>
    <d v="2024-01-31T00:00:00"/>
    <s v="FALTA"/>
    <s v="FALTA EM 25/01/2024, COLABORADOR NÃO QUIS INFORMAR O MOTIVO DA FALTA."/>
  </r>
  <r>
    <n v="455"/>
    <s v="JANILSON DE OLIVEIRA SACRAMENTO "/>
    <x v="247"/>
    <x v="0"/>
    <d v="2023-06-16T00:00:00"/>
    <s v="0ANOS, 7MESES"/>
    <n v="0.61944444444444446"/>
    <x v="0"/>
    <x v="0"/>
    <s v="COLETA DOMICILIAR"/>
    <s v="NOTURNO"/>
    <s v="JOSEANE MIGUEL"/>
    <x v="0"/>
    <d v="2024-01-25T00:00:00"/>
    <s v="JANEIRO "/>
    <d v="2024-01-28T00:00:00"/>
    <x v="12"/>
    <s v="JANEIRO "/>
    <x v="1"/>
    <d v="2024-01-28T00:00:00"/>
    <s v="FALTA"/>
    <s v="FALTA EM 25/01/2024, COLABORADOR FOI PROCURAR ATENDIMENTO, PORÉM NÃO ENTREGOU NENHUMA DOCUMENTAÇÃO."/>
  </r>
</pivotCacheRecords>
</file>

<file path=xl/pivotCache/pivotCacheRecords4.xml><?xml version="1.0" encoding="utf-8"?>
<pivotCacheRecords xmlns="http://schemas.openxmlformats.org/spreadsheetml/2006/main" xmlns:r="http://schemas.openxmlformats.org/officeDocument/2006/relationships" count="353">
  <r>
    <s v="2770002154"/>
    <s v="ADELSON CARVALHO DA SILVA"/>
    <d v="2019-11-04T00:00:00"/>
    <s v="A"/>
    <s v="AGENTE DE COLETA"/>
    <s v="COLETA DOMICILIAR"/>
    <s v="DIURNO"/>
    <s v="06:00 - 11:00 - 13:00 - 15:20 / Seg a Sab / Dom DSR"/>
    <d v="1985-07-27T00:00:00"/>
    <s v="Solteiro"/>
    <s v="Ativo"/>
    <x v="0"/>
  </r>
  <r>
    <s v="2770000503"/>
    <s v="ADENILSON FERREIRA DOS SANTOS"/>
    <d v="2013-02-08T00:00:00"/>
    <s v="A"/>
    <s v="AGENTE DE COLETA"/>
    <s v="COLETA DOMICILIAR"/>
    <s v="NOTURNO"/>
    <s v="18:00 - 22:00 - 00:00 - 02:55 / Seg a Sab / Dom DSR"/>
    <d v="1982-03-15T00:00:00"/>
    <s v="Solteiro"/>
    <s v="Ativo"/>
    <x v="0"/>
  </r>
  <r>
    <s v="2770002663"/>
    <s v="ADOLFO MENDES DA CRUZ NETO"/>
    <d v="2021-10-04T00:00:00"/>
    <s v="A"/>
    <s v="AGENTE DE COLETA"/>
    <s v="COLETA DOMICILIAR"/>
    <s v="DIURNO"/>
    <s v="06:00 - 11:00 - 13:00 - 15:20 / Seg a Sab / Dom DSR"/>
    <d v="1989-09-22T00:00:00"/>
    <s v="Solteiro"/>
    <s v="Ativo"/>
    <x v="0"/>
  </r>
  <r>
    <s v="2770003120"/>
    <s v="ADRIANO DAVILA BARROS"/>
    <d v="2023-04-06T00:00:00"/>
    <s v="A"/>
    <s v="AGENTE DE COLETA"/>
    <s v="COLETA DOMICILIAR"/>
    <s v="DIURNO"/>
    <s v="06:00 - 11:00 - 13:00 - 15:20 / Seg a Sab / Dom DSR"/>
    <d v="1997-01-11T00:00:00"/>
    <s v="Casado"/>
    <s v="Ativo"/>
    <x v="0"/>
  </r>
  <r>
    <s v="2770002055"/>
    <s v="ADRIANO ROCHA DE PAULA"/>
    <d v="2019-05-14T00:00:00"/>
    <s v="A"/>
    <s v="AGENTE DE COLETA"/>
    <s v="COLETA DOMICILIAR"/>
    <s v="DIURNO"/>
    <s v="06:00 - 11:00 - 13:00 - 15:20 / Seg a Sab / Dom DSR"/>
    <d v="1995-09-18T00:00:00"/>
    <s v="Solteiro"/>
    <s v="Ativo"/>
    <x v="0"/>
  </r>
  <r>
    <s v="2770002669"/>
    <s v="AGENOR CAVALCANTE MARINHO"/>
    <d v="2021-10-04T00:00:00"/>
    <s v="A"/>
    <s v="AGENTE DE COLETA"/>
    <s v="COLETA DOMICILIAR"/>
    <s v="DIURNO"/>
    <s v="06:00 - 11:00 - 13:00 - 15:20 / Seg a Sab / Dom DSR"/>
    <d v="2000-05-28T00:00:00"/>
    <s v="Solteiro"/>
    <s v="Ativo"/>
    <x v="0"/>
  </r>
  <r>
    <s v="2770000377"/>
    <s v="ALDAIR ARAUJO DE SOUZA"/>
    <d v="2013-02-08T00:00:00"/>
    <s v="A"/>
    <s v="AGENTE DE COLETA"/>
    <s v="PODACAO"/>
    <s v="NOTURNO"/>
    <s v="17:00 - 22:00 - 00:00 - 02:02 / Seg a Sab / Dom DSR"/>
    <d v="1991-01-31T00:00:00"/>
    <s v="Solteiro"/>
    <s v="Ativo"/>
    <x v="0"/>
  </r>
  <r>
    <s v="2770002970"/>
    <s v="ALDEAN FREITAS DE SOUZA"/>
    <d v="2022-11-03T00:00:00"/>
    <s v="A"/>
    <s v="AGENTE DE COLETA"/>
    <s v="COLETA DOMICILIAR"/>
    <s v="NOTURNO"/>
    <s v="18:00 - 22:00 - 00:00 - 02:55 / Seg a Sab / Dom DSR"/>
    <d v="1996-02-29T00:00:00"/>
    <s v="Solteiro"/>
    <s v="Ativo"/>
    <x v="0"/>
  </r>
  <r>
    <s v="2770003136"/>
    <s v="ALDEJAN DA SILVA PINTO"/>
    <d v="2023-05-05T00:00:00"/>
    <s v="A"/>
    <s v="AGENTE DE COLETA"/>
    <s v="COLETA DOMICILIAR"/>
    <s v="DIURNO"/>
    <s v="06:00 - 11:00 - 13:00 - 15:20 / Seg a Sab / Dom DSR"/>
    <d v="1991-09-27T00:00:00"/>
    <s v="Solteiro"/>
    <s v="Ativo"/>
    <x v="0"/>
  </r>
  <r>
    <s v="2770003106"/>
    <s v="ALDINEY NUNES DE SOUZA"/>
    <d v="2023-03-16T00:00:00"/>
    <s v="A"/>
    <s v="AGENTE DE COLETA"/>
    <s v="COLETA DOMICILIAR"/>
    <s v="DIURNO"/>
    <s v="06:00 - 11:00 - 13:00 - 15:20 / Seg a Sab / Dom DSR"/>
    <d v="1999-07-08T00:00:00"/>
    <s v="Solteiro"/>
    <s v="Ativo"/>
    <x v="0"/>
  </r>
  <r>
    <s v="2770003247"/>
    <s v="ALESSANDRO ARAUJO LIMA"/>
    <d v="2023-10-13T00:00:00"/>
    <s v="A"/>
    <s v="AGENTE DE COLETA"/>
    <s v="COLETA DOMICILIAR"/>
    <s v="NOTURNO"/>
    <s v="18:00 - 22:00 - 00:00 - 02:55 / Seg e Ter / 14:40 - 21:00 - 23:00 - 23:52 / Dom / Jornada Parcial"/>
    <d v="1985-10-09T00:00:00"/>
    <s v="Solteiro"/>
    <s v="Ativo"/>
    <x v="1"/>
  </r>
  <r>
    <s v="2770002978"/>
    <s v="ALESSANDRO BRITO AMORIM"/>
    <d v="2022-11-03T00:00:00"/>
    <s v="F"/>
    <s v="AGENTE DE COLETA"/>
    <s v="COLETA DOMICILIAR"/>
    <s v="NOTURNO"/>
    <s v="18:00 - 22:00 - 00:00 - 02:55 / Seg a Sab / Dom DSR"/>
    <d v="1996-02-26T00:00:00"/>
    <s v="Solteiro"/>
    <s v="Férias"/>
    <x v="0"/>
  </r>
  <r>
    <s v="2770003224"/>
    <s v="ALEX APOLINARIO DOS SANTOS"/>
    <d v="2023-09-13T00:00:00"/>
    <s v="A"/>
    <s v="AGENTE DE COLETA"/>
    <s v="COLETA EM AREA DE DIFICIL ACESSO II"/>
    <s v="DIURNO"/>
    <s v="06:00 - 11:00 - 13:00 - 15:20 / Seg a Sab / Dom DSR"/>
    <d v="1995-12-17T00:00:00"/>
    <s v="Solteiro"/>
    <s v="Ativo"/>
    <x v="0"/>
  </r>
  <r>
    <s v="2770003190"/>
    <s v="ALEXANDRE DA COSTA PEREIRA"/>
    <d v="2023-07-06T00:00:00"/>
    <s v="A"/>
    <s v="AGENTE DE COLETA"/>
    <s v="COLETA DOMICILIAR"/>
    <s v="NOTURNO"/>
    <s v="18:00 - 22:00 - 00:00 - 02:55 / Seg a Sab / Dom DSR"/>
    <d v="2002-02-05T00:00:00"/>
    <s v="Solteiro"/>
    <s v="Ativo"/>
    <x v="0"/>
  </r>
  <r>
    <s v="2770002601"/>
    <s v="ALEXANDRE DA COSTA PEREIRA"/>
    <d v="2021-07-14T00:00:00"/>
    <s v="A"/>
    <s v="AGENTE DE COLETA"/>
    <s v="COLETA DOMICILIAR"/>
    <s v="NOTURNO"/>
    <s v="18:00 - 22:00 - 00:00 - 02:55 / Seg a Sab / Dom DSR"/>
    <d v="1990-11-11T00:00:00"/>
    <s v="Solteiro"/>
    <s v="Ativo"/>
    <x v="0"/>
  </r>
  <r>
    <s v="2770002484"/>
    <s v="ALEXANDRE FERREIRA DE SOUZA"/>
    <d v="2021-03-08T00:00:00"/>
    <s v="A"/>
    <s v="AGENTE DE COLETA"/>
    <s v="COLETA DOMICILIAR"/>
    <s v="DIURNO"/>
    <s v="06:00 - 11:00 - 13:00 - 15:20 / Seg a Sab / Dom DSR"/>
    <d v="1998-01-20T00:00:00"/>
    <s v="Solteiro"/>
    <s v="Ativo"/>
    <x v="0"/>
  </r>
  <r>
    <s v="2770003133"/>
    <s v="ALEXANDRE ZAGURY SENA"/>
    <d v="2023-04-17T00:00:00"/>
    <s v="A"/>
    <s v="AGENTE DE COLETA"/>
    <s v="COLETA DOMICILIAR"/>
    <s v="NOTURNO"/>
    <s v="18:00 - 22:00 - 00:00 - 02:55 / Seg a Sab / Dom DSR"/>
    <d v="2002-12-07T00:00:00"/>
    <s v="Solteiro"/>
    <s v="Ativo"/>
    <x v="0"/>
  </r>
  <r>
    <s v="2770002954"/>
    <s v="ALEXSANDRO PANTOJA DE SOUZA"/>
    <d v="2022-10-03T00:00:00"/>
    <s v="A"/>
    <s v="AGENTE DE COLETA"/>
    <s v="COLETA DOMICILIAR"/>
    <s v="NOTURNO"/>
    <s v="18:00 - 22:00 - 00:00 - 02:55 / Seg a Sab / Dom DSR"/>
    <d v="2000-07-04T00:00:00"/>
    <s v="Solteiro"/>
    <s v="Ativo"/>
    <x v="0"/>
  </r>
  <r>
    <s v="2770003317"/>
    <s v="ALISSON DA SILVA OLIVEIRA"/>
    <d v="2024-02-16T00:00:00"/>
    <s v="A"/>
    <s v="AGENTE DE COLETA"/>
    <s v="COLETA DOMICILIAR"/>
    <s v="DIURNO"/>
    <s v="06:00 - 11:00 - 13:00 - 15:20 / Seg e Ter / 07:00 - 11:00 - 13:00 - 16:20 / Dom / Jornada Parcial"/>
    <d v="2000-11-13T00:00:00"/>
    <s v="Solteiro"/>
    <s v="Ativo"/>
    <x v="1"/>
  </r>
  <r>
    <s v="2770003022"/>
    <s v="ALISSON DE ARAUJO DIAS"/>
    <d v="2022-12-01T00:00:00"/>
    <s v="A"/>
    <s v="AGENTE DE COLETA"/>
    <s v="COLETA DOMICILIAR"/>
    <s v="NOTURNO"/>
    <s v="18:00 - 22:00 - 00:00 - 02:55 / Seg a Sab / Dom DSR"/>
    <d v="1998-10-03T00:00:00"/>
    <s v="Solteiro"/>
    <s v="Ativo"/>
    <x v="0"/>
  </r>
  <r>
    <s v="2770003175"/>
    <s v="ALIVELTO ALMEIDA GAMA"/>
    <d v="2023-06-16T00:00:00"/>
    <s v="A"/>
    <s v="AGENTE DE COLETA"/>
    <s v="COLETA DOMICILIAR"/>
    <s v="DIURNO"/>
    <s v="06:00 - 11:00 - 13:00 - 15:20 / Seg a Sab / Dom DSR"/>
    <d v="1994-05-18T00:00:00"/>
    <s v="Solteiro"/>
    <s v="Ativo"/>
    <x v="0"/>
  </r>
  <r>
    <s v="2770002369"/>
    <s v="ALVARO FILHO SILVA DOS SANTOS"/>
    <d v="2020-10-05T00:00:00"/>
    <s v="A"/>
    <s v="AGENTE DE COLETA"/>
    <s v="COLETA DOMICILIAR"/>
    <s v="NOTURNO"/>
    <s v="18:00 - 22:00 - 00:00 - 02:55 / Seg a Sab / Dom DSR"/>
    <d v="1998-04-05T00:00:00"/>
    <s v="Solteiro"/>
    <s v="Ativo"/>
    <x v="0"/>
  </r>
  <r>
    <s v="2770003264"/>
    <s v="ANGELO FELIPE DE SOUZA GOMES"/>
    <d v="2023-11-03T00:00:00"/>
    <s v="A"/>
    <s v="AGENTE DE COLETA"/>
    <s v="COLETA DOMICILIAR"/>
    <s v="NOTURNO"/>
    <s v="18:00 - 22:00 - 00:00 - 02:55 / Sex a Dom / Jornada Parcial"/>
    <d v="2000-04-07T00:00:00"/>
    <s v="Solteiro"/>
    <s v="Ativo"/>
    <x v="1"/>
  </r>
  <r>
    <s v="2770000069"/>
    <s v="ANTONIO CARLOS DA SILVA OLIVEIRA"/>
    <d v="2013-02-08T00:00:00"/>
    <s v="A"/>
    <s v="AGENTE DE COLETA"/>
    <s v="LIMPEZA DE FEIRAS"/>
    <s v="NOTURNO"/>
    <s v="22:00 - 02:00 - 03:00 - 05:25 / Seg a Sab / Dom DSR"/>
    <d v="1967-08-04T00:00:00"/>
    <s v="Solteiro"/>
    <s v="Ativo"/>
    <x v="0"/>
  </r>
  <r>
    <s v="2770003168"/>
    <s v="ANTONIO ERISVALDO LISBOA DE SOUZA"/>
    <d v="2023-06-01T00:00:00"/>
    <s v="A"/>
    <s v="AGENTE DE COLETA"/>
    <s v="COLETA DOMICILIAR"/>
    <s v="DIURNO"/>
    <s v="06:00 - 11:00 - 13:00 - 15:20 / Seg a Sab / Dom DSR"/>
    <d v="1995-09-25T00:00:00"/>
    <s v="Solteiro"/>
    <s v="Ativo"/>
    <x v="0"/>
  </r>
  <r>
    <s v="2770000248"/>
    <s v="ANTONIO FERNANDES SOARES"/>
    <d v="2013-02-08T00:00:00"/>
    <s v="A"/>
    <s v="AGENTE DE COLETA"/>
    <s v="COLETA DOMICILIAR"/>
    <s v="DIURNO"/>
    <s v="06:00 - 11:00 - 13:00 - 15:20 / Seg a Sab / Dom DSR"/>
    <d v="1978-02-02T00:00:00"/>
    <s v="Solteiro"/>
    <s v="Ativo"/>
    <x v="0"/>
  </r>
  <r>
    <s v="2770003275"/>
    <s v="ANTONIO RAIMUNDO CAVALCANTE RENOVATO"/>
    <d v="2023-11-17T00:00:00"/>
    <s v="A"/>
    <s v="AGENTE DE COLETA"/>
    <s v="COLETA DOMICILIAR"/>
    <s v="DIURNO"/>
    <s v="06:00 - 11:00 - 13:00 - 15:20 / Seg a Sab / Dom DSR"/>
    <d v="1997-08-06T00:00:00"/>
    <s v="Casado"/>
    <s v="Ativo"/>
    <x v="0"/>
  </r>
  <r>
    <s v="2770003097"/>
    <s v="ARIELSON DA SILVA PEREIRA"/>
    <d v="2023-03-08T00:00:00"/>
    <s v="A"/>
    <s v="AGENTE DE COLETA"/>
    <s v="COLETA DOMICILIAR"/>
    <s v="NOTURNO"/>
    <s v="18:00 - 22:00 - 00:00 - 02:55 / Seg a Sab / Dom DSR"/>
    <d v="1992-11-09T00:00:00"/>
    <s v="Solteiro"/>
    <s v="Ativo"/>
    <x v="0"/>
  </r>
  <r>
    <s v="2770002244"/>
    <s v="ARMANDO FREIRE FERNANDES"/>
    <d v="2020-04-15T00:00:00"/>
    <s v="A"/>
    <s v="AGENTE DE COLETA"/>
    <s v="COLETA DOMICILIAR"/>
    <s v="DIURNO"/>
    <s v="06:00 - 11:00 - 13:00 - 15:20 / Seg a Sab / Dom DSR"/>
    <d v="1991-08-09T00:00:00"/>
    <s v="Solteiro"/>
    <s v="Ativo"/>
    <x v="0"/>
  </r>
  <r>
    <s v="2770003312"/>
    <s v="ASLLAN PEREIRA TRINDADE"/>
    <d v="2024-01-16T00:00:00"/>
    <s v="A"/>
    <s v="AGENTE DE COLETA"/>
    <s v="COLETA DOMICILIAR"/>
    <s v="DIURNO"/>
    <s v="06:00 - 11:00 - 13:00 - 15:20 / Sex a Dom / Jornada Parcial"/>
    <d v="1992-07-13T00:00:00"/>
    <s v="Solteiro"/>
    <s v="Ativo"/>
    <x v="1"/>
  </r>
  <r>
    <s v="2770000769"/>
    <s v="ATILA DOS SANTOS FERNANDES"/>
    <d v="2013-05-03T00:00:00"/>
    <s v="F"/>
    <s v="AGENTE DE COLETA"/>
    <s v="COLETA DOMICILIAR"/>
    <s v="DIURNO"/>
    <s v="06:00 - 11:00 - 13:00 - 15:20 / Seg a Sab / Dom DSR"/>
    <d v="1986-12-25T00:00:00"/>
    <s v="Solteiro"/>
    <s v="Férias"/>
    <x v="0"/>
  </r>
  <r>
    <s v="2770003240"/>
    <s v="BRENDELL BARRADAS REIS"/>
    <d v="2023-10-13T00:00:00"/>
    <s v="A"/>
    <s v="AGENTE DE COLETA"/>
    <s v="COLETA DOMICILIAR"/>
    <s v="DIURNO"/>
    <s v="06:00 - 11:00 - 13:00 - 15:20 / Seg a Sab / Dom DSR"/>
    <d v="1995-07-09T00:00:00"/>
    <s v="Solteiro"/>
    <s v="Ativo"/>
    <x v="0"/>
  </r>
  <r>
    <s v="2770003083"/>
    <s v="BRUNO DA SILVA DE SOUZA"/>
    <d v="2023-03-08T00:00:00"/>
    <s v="A"/>
    <s v="AGENTE DE COLETA"/>
    <s v="COLETA DOMICILIAR"/>
    <s v="DIURNO"/>
    <s v="06:00 - 11:00 - 13:00 - 15:20 / Seg a Sab / Dom DSR"/>
    <d v="1996-04-01T00:00:00"/>
    <s v="Solteiro"/>
    <s v="Ativo"/>
    <x v="0"/>
  </r>
  <r>
    <s v="2770003281"/>
    <s v="BRUNO FIGUEREDO DOS SANTOS"/>
    <d v="2023-12-04T00:00:00"/>
    <s v="A"/>
    <s v="AGENTE DE COLETA"/>
    <s v="COLETA DOMICILIAR"/>
    <s v="DIURNO"/>
    <s v="06:00 - 11:00 - 13:00 - 15:20 / Seg e Ter / 07:00 - 11:00 - 13:00 - 16:20 / Dom / Jornada Parcial"/>
    <d v="2003-12-29T00:00:00"/>
    <s v="Solteiro"/>
    <s v="Ativo"/>
    <x v="1"/>
  </r>
  <r>
    <s v="2770002917"/>
    <s v="BRUNO MELO DA GRACA"/>
    <d v="2022-09-01T00:00:00"/>
    <s v="A"/>
    <s v="AGENTE DE COLETA"/>
    <s v="COLETA DOMICILIAR"/>
    <s v="DIURNO"/>
    <s v="06:00 - 11:00 - 13:00 - 15:20 / Seg a Sab / Dom DSR"/>
    <d v="1989-12-12T00:00:00"/>
    <s v="Casado"/>
    <s v="Ativo"/>
    <x v="0"/>
  </r>
  <r>
    <s v="2770003159"/>
    <s v="BRUNO OLIVEIRA RUBEM"/>
    <d v="2023-05-17T00:00:00"/>
    <s v="A"/>
    <s v="AGENTE DE COLETA"/>
    <s v="COLETA DOMICILIAR"/>
    <s v="NOTURNO"/>
    <s v="18:00 - 22:00 - 00:00 - 02:55 / Seg a Sab / Dom DSR"/>
    <d v="2002-06-03T00:00:00"/>
    <s v="Solteiro"/>
    <s v="Ativo"/>
    <x v="0"/>
  </r>
  <r>
    <s v="2770003011"/>
    <s v="CARLOS ALBERTO PERES DE OLIVEIRA"/>
    <d v="2022-12-01T00:00:00"/>
    <s v="A"/>
    <s v="AGENTE DE COLETA"/>
    <s v="COLETA DOMICILIAR"/>
    <s v="DIURNO"/>
    <s v="06:00 - 11:00 - 13:00 - 15:20 / Seg a Sab / Dom DSR"/>
    <d v="1999-02-18T00:00:00"/>
    <s v="Solteiro"/>
    <s v="Ativo"/>
    <x v="0"/>
  </r>
  <r>
    <s v="2770002553"/>
    <s v="CARLOS ANDRE REIS PEREIRA"/>
    <d v="2021-06-04T00:00:00"/>
    <s v="A"/>
    <s v="AGENTE DE COLETA"/>
    <s v="COLETA DOMICILIAR"/>
    <s v="NOTURNO"/>
    <s v="18:00 - 22:00 - 00:00 - 02:55 / Seg a Sab / Dom DSR"/>
    <d v="1987-04-03T00:00:00"/>
    <s v="Solteiro"/>
    <s v="Ativo"/>
    <x v="0"/>
  </r>
  <r>
    <s v="2770003242"/>
    <s v="CARLOS CESAR PERES DE OLIVEIRA"/>
    <d v="2023-10-13T00:00:00"/>
    <s v="A"/>
    <s v="AGENTE DE COLETA"/>
    <s v="COLETA DOMICILIAR"/>
    <s v="DIURNO"/>
    <s v="06:00 - 11:00 - 13:00 - 15:20 / Seg a Sab / Dom DSR"/>
    <d v="1995-03-07T00:00:00"/>
    <s v="Solteiro"/>
    <s v="Ativo"/>
    <x v="0"/>
  </r>
  <r>
    <s v="2770002831"/>
    <s v="CARLOS DOUGLAS DE SOUZA DA SILVA"/>
    <d v="2022-05-02T00:00:00"/>
    <s v="A"/>
    <s v="AGENTE DE COLETA"/>
    <s v="COLETA DOMICILIAR"/>
    <s v="NOTURNO"/>
    <s v="18:00 - 22:00 - 00:00 - 02:55 / Seg a Sab / Dom DSR"/>
    <d v="1994-07-25T00:00:00"/>
    <s v="Solteiro"/>
    <s v="Ativo"/>
    <x v="0"/>
  </r>
  <r>
    <s v="2770002977"/>
    <s v="CARLOS FELIPE DOS SANTOS CUNHA"/>
    <d v="2022-11-03T00:00:00"/>
    <s v="A"/>
    <s v="AGENTE DE COLETA"/>
    <s v="COLETA DOMICILIAR"/>
    <s v="NOTURNO"/>
    <s v="18:00 - 22:00 - 00:00 - 02:55 / Seg a Sab / Dom DSR"/>
    <d v="2000-05-10T00:00:00"/>
    <s v="Solteiro"/>
    <s v="Ativo"/>
    <x v="0"/>
  </r>
  <r>
    <s v="2770003049"/>
    <s v="CESAR MENEZES DA SILVA"/>
    <d v="2022-12-07T00:00:00"/>
    <s v="F"/>
    <s v="AGENTE DE COLETA"/>
    <s v="COLETA EM AREA DE DIFICIL ACESSO II"/>
    <s v="DIURNO"/>
    <s v="06:00 - 11:00 - 13:00 - 15:20 / Seg a Sab / Dom DSR"/>
    <d v="1982-11-11T00:00:00"/>
    <s v="Casado"/>
    <s v="Férias"/>
    <x v="0"/>
  </r>
  <r>
    <s v="2770003303"/>
    <s v="CLAUDIONEY CASTRO LIMA"/>
    <d v="2024-01-08T00:00:00"/>
    <s v="A"/>
    <s v="AGENTE DE COLETA"/>
    <s v="COLETA DOMICILIAR"/>
    <s v="DIURNO"/>
    <s v="06:00 - 11:00 - 13:00 - 15:20 / Sex a Dom / Jornada Parcial"/>
    <d v="1994-08-07T00:00:00"/>
    <s v="Solteiro"/>
    <s v="Ativo"/>
    <x v="1"/>
  </r>
  <r>
    <s v="2770003092"/>
    <s v="CLAUDIONOR CONCEICAO DA SILVA"/>
    <d v="2023-03-08T00:00:00"/>
    <s v="A"/>
    <s v="AGENTE DE COLETA"/>
    <s v="COLETA DOMICILIAR"/>
    <s v="DIURNO"/>
    <s v="06:00 - 11:00 - 13:00 - 15:20 / Sex a Dom / Jornada Parcial"/>
    <d v="1997-09-26T00:00:00"/>
    <s v="Solteiro"/>
    <s v="Ativo"/>
    <x v="1"/>
  </r>
  <r>
    <s v="2770002996"/>
    <s v="CLEADSON CAVALCANTE DE ANDRADE"/>
    <d v="2022-11-03T00:00:00"/>
    <s v="F"/>
    <s v="AGENTE DE COLETA"/>
    <s v="COLETA DOMICILIAR"/>
    <s v="DIURNO"/>
    <s v="06:00 - 11:00 - 13:00 - 15:20 / Seg a Sab / Dom DSR"/>
    <d v="1991-10-12T00:00:00"/>
    <s v="Solteiro"/>
    <s v="Férias"/>
    <x v="0"/>
  </r>
  <r>
    <s v="2770001902"/>
    <s v="CRISTIANO DA SILVA ROCHA"/>
    <d v="2018-09-18T00:00:00"/>
    <s v="A"/>
    <s v="AGENTE DE COLETA"/>
    <s v="COLETA DOMICILIAR"/>
    <s v="DIURNO"/>
    <s v="06:00 - 11:00 - 13:00 - 15:20 / Seg a Sab / Dom DSR"/>
    <d v="1995-12-09T00:00:00"/>
    <s v="Solteiro"/>
    <s v="Ativo"/>
    <x v="0"/>
  </r>
  <r>
    <s v="2770003088"/>
    <s v="CRISTIEU SALES VIANA"/>
    <d v="2023-03-08T00:00:00"/>
    <s v="A"/>
    <s v="AGENTE DE COLETA"/>
    <s v="COLETA DOMICILIAR"/>
    <s v="DIURNO"/>
    <s v="06:00 - 11:00 - 13:00 - 15:20 / Sex a Dom / Jornada Parcial"/>
    <d v="2003-12-30T00:00:00"/>
    <s v="Solteiro"/>
    <s v="Ativo"/>
    <x v="1"/>
  </r>
  <r>
    <s v="2770002440"/>
    <s v="DANIEL DE MORAIS BRASIL"/>
    <d v="2021-01-06T00:00:00"/>
    <s v="F"/>
    <s v="AGENTE DE COLETA"/>
    <s v="COLETA DOMICILIAR"/>
    <s v="NOTURNO"/>
    <s v="18:00 - 22:00 - 00:00 - 02:55 / Seg a Sab / Dom DSR"/>
    <d v="1998-09-14T00:00:00"/>
    <s v="Solteiro"/>
    <s v="Férias"/>
    <x v="0"/>
  </r>
  <r>
    <s v="2770003145"/>
    <s v="DANIEL GOMES SEIXAS"/>
    <d v="2023-05-05T00:00:00"/>
    <s v="A"/>
    <s v="AGENTE DE COLETA"/>
    <s v="COLETA DOMICILIAR"/>
    <s v="NOTURNO"/>
    <s v="18:00 - 22:00 - 00:00 - 02:55 / Seg a Sab / Dom DSR"/>
    <d v="2001-02-25T00:00:00"/>
    <s v="Casado"/>
    <s v="Ativo"/>
    <x v="0"/>
  </r>
  <r>
    <s v="2770002204"/>
    <s v="DANIEL MENES PERES"/>
    <d v="2020-02-04T00:00:00"/>
    <s v="A"/>
    <s v="AGENTE DE COLETA"/>
    <s v="COLETA DOMICILIAR"/>
    <s v="DIURNO"/>
    <s v="06:00 - 11:00 - 13:00 - 15:20 / Seg a Sab / Dom DSR"/>
    <d v="1994-04-22T00:00:00"/>
    <s v="Solteiro"/>
    <s v="Ativo"/>
    <x v="0"/>
  </r>
  <r>
    <s v="2770003016"/>
    <s v="DANIEL SOARES DE ANDRADE"/>
    <d v="2022-12-01T00:00:00"/>
    <s v="A"/>
    <s v="AGENTE DE COLETA"/>
    <s v="COLETA DOMICILIAR"/>
    <s v="DIURNO"/>
    <s v="06:00 - 11:00 - 13:00 - 15:20 / Seg a Sab / Dom DSR"/>
    <d v="1992-09-18T00:00:00"/>
    <s v="Solteiro"/>
    <s v="Ativo"/>
    <x v="0"/>
  </r>
  <r>
    <s v="2770003112"/>
    <s v="DANIEL YGOR RODRIGUES DA SILVA"/>
    <d v="2023-03-16T00:00:00"/>
    <s v="A"/>
    <s v="AGENTE DE COLETA"/>
    <s v="COLETA DOMICILIAR"/>
    <s v="NOTURNO"/>
    <s v="18:00 - 22:00 - 00:00 - 02:55 / Seg a Sab / Dom DSR"/>
    <d v="1995-08-27T00:00:00"/>
    <s v="Solteiro"/>
    <s v="Ativo"/>
    <x v="0"/>
  </r>
  <r>
    <s v="2770002792"/>
    <s v="DANILO CUNHA DOS SANTOS"/>
    <d v="2022-03-07T00:00:00"/>
    <s v="A"/>
    <s v="AGENTE DE COLETA"/>
    <s v="COLETA DOMICILIAR"/>
    <s v="DIURNO"/>
    <s v="06:00 - 11:00 - 13:00 - 15:20 / Seg a Sab / Dom DSR"/>
    <d v="1989-12-15T00:00:00"/>
    <s v="Solteiro"/>
    <s v="Ativo"/>
    <x v="0"/>
  </r>
  <r>
    <s v="2770002984"/>
    <s v="DAVI DOS SANTOS BATISTA"/>
    <d v="2022-11-03T00:00:00"/>
    <s v="A"/>
    <s v="AGENTE DE COLETA"/>
    <s v="COLETA DOMICILIAR"/>
    <s v="NOTURNO"/>
    <s v="18:00 - 22:00 - 00:00 - 02:55 / Seg a Sab / Dom DSR"/>
    <d v="2000-06-18T00:00:00"/>
    <s v="Solteiro"/>
    <s v="Ativo"/>
    <x v="0"/>
  </r>
  <r>
    <s v="2770002442"/>
    <s v="DAVID JOSE GONZALEZ MENDEZ"/>
    <d v="2021-01-06T00:00:00"/>
    <s v="A"/>
    <s v="AGENTE DE COLETA"/>
    <s v="COLETA DOMICILIAR"/>
    <s v="NOTURNO"/>
    <s v="18:00 - 22:00 - 00:00 - 02:55 / Seg a Sab / Dom DSR"/>
    <d v="1990-05-20T00:00:00"/>
    <s v="Solteiro"/>
    <s v="Ativo"/>
    <x v="0"/>
  </r>
  <r>
    <s v="2770003073"/>
    <s v="DAVID SILVA DE SOUZA"/>
    <d v="2023-02-09T00:00:00"/>
    <s v="A"/>
    <s v="AGENTE DE COLETA"/>
    <s v="COLETA DOMICILIAR"/>
    <s v="NOTURNO"/>
    <s v="18:00 - 22:00 - 00:00 - 02:55 / Seg a Sab / Dom DSR"/>
    <d v="2000-05-12T00:00:00"/>
    <s v="Solteiro"/>
    <s v="Ativo"/>
    <x v="0"/>
  </r>
  <r>
    <s v="2770002252"/>
    <s v="DIEGO DE SOUZA PINHEIRO"/>
    <d v="2020-05-04T00:00:00"/>
    <s v="A"/>
    <s v="AGENTE DE COLETA"/>
    <s v="COLETA DOMICILIAR"/>
    <s v="DIURNO"/>
    <s v="06:00 - 11:00 - 13:00 - 15:20 / Seg a Sab / Dom DSR"/>
    <d v="1995-02-28T00:00:00"/>
    <s v="Solteiro"/>
    <s v="Ativo"/>
    <x v="0"/>
  </r>
  <r>
    <s v="2770002486"/>
    <s v="DIOGO DA SILVA SANTOS"/>
    <d v="2021-03-17T00:00:00"/>
    <s v="A"/>
    <s v="AGENTE DE COLETA"/>
    <s v="COLETA DOMICILIAR"/>
    <s v="NOTURNO"/>
    <s v="18:00 - 22:00 - 00:00 - 02:55 / Seg a Sab / Dom DSR"/>
    <d v="1988-05-21T00:00:00"/>
    <s v="Solteiro"/>
    <s v="Ativo"/>
    <x v="0"/>
  </r>
  <r>
    <s v="2770001616"/>
    <s v="DIVANEI VICTOR DE SOUZA "/>
    <d v="2017-05-15T00:00:00"/>
    <s v="A"/>
    <s v="AGENTE DE COLETA"/>
    <s v="COLETA DOMICILIAR"/>
    <s v="NOTURNO"/>
    <s v="18:00 - 22:00 - 00:00 - 02:55 / Seg a Sab / Dom DSR"/>
    <d v="1979-11-21T00:00:00"/>
    <s v="Solteiro"/>
    <s v="Ativo"/>
    <x v="0"/>
  </r>
  <r>
    <s v="2770003007"/>
    <s v="DOUGLAS SA DE SOUZA"/>
    <d v="2022-11-09T00:00:00"/>
    <s v="A"/>
    <s v="AGENTE DE COLETA"/>
    <s v="COLETA EM AREA DE DIFICIL ACESSO II"/>
    <s v="DIURNO"/>
    <s v="06:00 - 11:00 - 13:00 - 15:20 / Seg a Sab / Dom DSR"/>
    <d v="2002-06-26T00:00:00"/>
    <s v="Solteiro"/>
    <s v="Ativo"/>
    <x v="0"/>
  </r>
  <r>
    <s v="2770003286"/>
    <s v="ECIVALDO CORREIA LIMA"/>
    <d v="2023-12-04T00:00:00"/>
    <s v="A"/>
    <s v="AGENTE DE COLETA"/>
    <s v="COLETA DOMICILIAR"/>
    <s v="DIURNO"/>
    <s v="06:00 - 11:00 - 13:00 - 15:20 / Sex a Dom / Jornada Parcial"/>
    <d v="1994-05-17T00:00:00"/>
    <s v="Solteiro"/>
    <s v="Ativo"/>
    <x v="1"/>
  </r>
  <r>
    <s v="2770001816"/>
    <s v="EDERSON LOPES BATISTA"/>
    <d v="2017-12-06T00:00:00"/>
    <s v="F"/>
    <s v="AGENTE DE COLETA"/>
    <s v="LIMPEZA DE FEIRAS"/>
    <s v="DIURNO"/>
    <s v="09:30 - 12:30 - 13:30 - 17:50 / Seg a Sab / Dom DSR"/>
    <d v="1983-05-07T00:00:00"/>
    <s v="Casado"/>
    <s v="Férias"/>
    <x v="0"/>
  </r>
  <r>
    <s v="2770002769"/>
    <s v="EDILSON LUIZ CARVALHO DE SOUZA"/>
    <d v="2022-01-17T00:00:00"/>
    <s v="A"/>
    <s v="AGENTE DE COLETA"/>
    <s v="COLETA DOMICILIAR"/>
    <s v="NOTURNO"/>
    <s v="18:00 - 22:00 - 00:00 - 02:55 / Seg a Sab / Dom DSR"/>
    <d v="1994-04-06T00:00:00"/>
    <s v="Solteiro"/>
    <s v="Ativo"/>
    <x v="0"/>
  </r>
  <r>
    <s v="2770000341"/>
    <s v="EDINELSON DA SILVA NASCIMENTO"/>
    <d v="2013-02-08T00:00:00"/>
    <s v="A"/>
    <s v="AGENTE DE COLETA"/>
    <s v="COLETA DOMICILIAR"/>
    <s v="DIURNO"/>
    <s v="06:00 - 11:00 - 13:00 - 15:20 / Seg a Sab / Dom DSR"/>
    <d v="1984-05-14T00:00:00"/>
    <s v="Solteiro"/>
    <s v="Ativo"/>
    <x v="0"/>
  </r>
  <r>
    <s v="2770002319"/>
    <s v="EDUARDO JOSE RODRIGUEZ HERNANDEZ"/>
    <d v="2020-08-03T00:00:00"/>
    <s v="A"/>
    <s v="AGENTE DE COLETA"/>
    <s v="PODACAO"/>
    <s v="DIURNO"/>
    <s v="06:00 - 11:00 - 13:00 - 15:20 / Seg a Sab / Dom DSR"/>
    <d v="1990-01-27T00:00:00"/>
    <s v="Casado"/>
    <s v="Ativo"/>
    <x v="0"/>
  </r>
  <r>
    <s v="2770002164"/>
    <s v="EDUARDO LUIS REYES"/>
    <d v="2019-11-13T00:00:00"/>
    <s v="A"/>
    <s v="AGENTE DE COLETA"/>
    <s v="COLETA DOMICILIAR"/>
    <s v="NOTURNO"/>
    <s v="18:00 - 22:00 - 00:00 - 02:55 / Seg a Sab / Dom DSR"/>
    <d v="1989-01-12T00:00:00"/>
    <s v="Solteiro"/>
    <s v="Ativo"/>
    <x v="0"/>
  </r>
  <r>
    <s v="2770003207"/>
    <s v="EDUARDO SILVA DE LIRA"/>
    <d v="2023-08-08T00:00:00"/>
    <s v="A"/>
    <s v="AGENTE DE COLETA"/>
    <s v="COLETA DOMICILIAR"/>
    <s v="NOTURNO"/>
    <s v="18:00 - 22:00 - 00:00 - 02:55 / Seg a Sab / Dom DSR"/>
    <d v="1996-09-09T00:00:00"/>
    <s v="Solteiro"/>
    <s v="Ativo"/>
    <x v="0"/>
  </r>
  <r>
    <s v="2770003076"/>
    <s v="EDUARDO SILVEIRA DA SILVA"/>
    <d v="2023-02-09T00:00:00"/>
    <s v="A"/>
    <s v="AGENTE DE COLETA"/>
    <s v="COLETA DOMICILIAR"/>
    <s v="NOTURNO"/>
    <s v="18:00 - 22:00 - 00:00 - 02:55 / Seg a Sab / Dom DSR"/>
    <d v="2000-05-24T00:00:00"/>
    <s v="Solteiro"/>
    <s v="Ativo"/>
    <x v="0"/>
  </r>
  <r>
    <s v="2770002815"/>
    <s v="ELBIDE CORDEIRO GUEDES JUNIOR"/>
    <d v="2022-04-04T00:00:00"/>
    <s v="A"/>
    <s v="AGENTE DE COLETA"/>
    <s v="COLETA DOMICILIAR"/>
    <s v="NOTURNO"/>
    <s v="18:00 - 22:00 - 00:00 - 02:55 / Seg a Sab / Dom DSR"/>
    <d v="1994-03-13T00:00:00"/>
    <s v="Solteiro"/>
    <s v="Ativo"/>
    <x v="0"/>
  </r>
  <r>
    <s v="2770001207"/>
    <s v="ELENILSON NUNES CUSTODIO "/>
    <d v="2014-11-03T00:00:00"/>
    <s v="A"/>
    <s v="AGENTE DE COLETA"/>
    <s v="COLETA DOMICILIAR"/>
    <s v="NOTURNO"/>
    <s v="18:00 - 22:00 - 00:00 - 02:55 / Seg a Sab / Dom DSR"/>
    <d v="1992-04-12T00:00:00"/>
    <s v="Solteiro"/>
    <s v="Ativo"/>
    <x v="0"/>
  </r>
  <r>
    <s v="2770002341"/>
    <s v="ELIZEU FERREIRA DOS SANTOS"/>
    <d v="2020-09-01T00:00:00"/>
    <s v="A"/>
    <s v="AGENTE DE COLETA"/>
    <s v="LIMPEZA DE FEIRAS"/>
    <s v="DIURNO"/>
    <s v="10:00 - 14:00 - 15:00 - 18:20 / Seg a Sab / Dom DSR"/>
    <d v="1969-08-25T00:00:00"/>
    <s v="Casado"/>
    <s v="Ativo"/>
    <x v="0"/>
  </r>
  <r>
    <s v="2770003228"/>
    <s v="ELLERSON MIRANDA FERNANDES"/>
    <d v="2023-09-13T00:00:00"/>
    <s v="A"/>
    <s v="AGENTE DE COLETA"/>
    <s v="COLETA DOMICILIAR"/>
    <s v="NOTURNO"/>
    <s v="18:00 - 22:00 - 00:00 - 02:55 / Sex a Dom / Jornada Parcial"/>
    <d v="1995-08-02T00:00:00"/>
    <s v="Solteiro"/>
    <s v="Ativo"/>
    <x v="1"/>
  </r>
  <r>
    <s v="2770002610"/>
    <s v="ELTON MOREIRA BELCHIOR"/>
    <d v="2021-08-09T00:00:00"/>
    <s v="A"/>
    <s v="AGENTE DE COLETA"/>
    <s v="COLETA DOMICILIAR"/>
    <s v="DIURNO"/>
    <s v="06:00 - 11:00 - 13:00 - 15:20 / Seg a Sab / Dom DSR"/>
    <d v="1993-06-08T00:00:00"/>
    <s v="Solteiro"/>
    <s v="Ativo"/>
    <x v="0"/>
  </r>
  <r>
    <s v="2770000778"/>
    <s v="ELVIS SANTANA DE SOUZA"/>
    <d v="2013-05-03T00:00:00"/>
    <s v="A"/>
    <s v="AGENTE DE COLETA"/>
    <s v="COLETA DOMICILIAR"/>
    <s v="DIURNO"/>
    <s v="06:00 - 11:00 - 13:00 - 15:20 / Seg a Sab / Dom DSR"/>
    <d v="1991-04-21T00:00:00"/>
    <s v="Solteiro"/>
    <s v="Ativo"/>
    <x v="0"/>
  </r>
  <r>
    <s v="2770003300"/>
    <s v="ELYTON DE CARVALHO ALMEIDA"/>
    <d v="2024-01-08T00:00:00"/>
    <s v="A"/>
    <s v="AGENTE DE COLETA"/>
    <s v="COLETA DOMICILIAR"/>
    <s v="DIURNO"/>
    <s v="06:00 - 11:00 - 13:00 - 15:20 / Qua, Qui e Dom / Jornada Parcial"/>
    <d v="2000-07-08T00:00:00"/>
    <s v="Solteiro"/>
    <s v="Ativo"/>
    <x v="1"/>
  </r>
  <r>
    <s v="2770003014"/>
    <s v="EMERSON DO CANTO EVANGELISTA"/>
    <d v="2022-12-01T00:00:00"/>
    <s v="A"/>
    <s v="AGENTE DE COLETA"/>
    <s v="COLETA DOMICILIAR"/>
    <s v="DIURNO"/>
    <s v="06:00 - 11:00 - 13:00 - 15:20 / Seg a Sab / Dom DSR"/>
    <d v="1996-09-17T00:00:00"/>
    <s v="Solteiro"/>
    <s v="Ativo"/>
    <x v="0"/>
  </r>
  <r>
    <s v="2770003262"/>
    <s v="EMIL SOUSA DE MORAES"/>
    <d v="2023-11-03T00:00:00"/>
    <s v="A"/>
    <s v="AGENTE DE COLETA"/>
    <s v="COLETA DOMICILIAR"/>
    <s v="NOTURNO"/>
    <s v="17:00 - 22:00 - 00:00 - 02:02 / Seg a Sab / Dom DSR"/>
    <d v="1991-11-11T00:00:00"/>
    <s v="Solteiro"/>
    <s v="Ativo"/>
    <x v="0"/>
  </r>
  <r>
    <s v="2770003325"/>
    <s v="ERICK DOUGLAS ROCHA"/>
    <d v="2024-02-16T00:00:00"/>
    <s v="A"/>
    <s v="AGENTE DE COLETA"/>
    <s v="COLETA DOMICILIAR"/>
    <s v="NOTURNO"/>
    <s v="18:00 - 22:00 - 00:00 - 02:55 / Qua, Qui e Dom / Jornada Parcial"/>
    <d v="2000-01-14T00:00:00"/>
    <s v="Solteiro"/>
    <s v="Ativo"/>
    <x v="1"/>
  </r>
  <r>
    <s v="2770000093"/>
    <s v="ERIVALDO PEREIRA BORGES"/>
    <d v="2013-02-08T00:00:00"/>
    <s v="A"/>
    <s v="AGENTE DE COLETA"/>
    <s v="PODACAO"/>
    <s v="DIURNO"/>
    <s v="06:00 - 11:00 - 13:00 - 15:20 / Seg a Sab / Dom DSR"/>
    <d v="1972-08-30T00:00:00"/>
    <s v="Solteiro"/>
    <s v="Ativo"/>
    <x v="0"/>
  </r>
  <r>
    <s v="2770000592"/>
    <s v="ERLISON LEITE DE ALMEIDA"/>
    <d v="2013-02-15T00:00:00"/>
    <s v="A"/>
    <s v="AGENTE DE COLETA"/>
    <s v="PODACAO"/>
    <s v="NOTURNO"/>
    <s v="17:00 - 22:00 - 00:00 - 02:02 / Seg a Sab / Dom DSR"/>
    <d v="1984-10-24T00:00:00"/>
    <s v="Solteiro"/>
    <s v="Ativo"/>
    <x v="0"/>
  </r>
  <r>
    <s v="2770002804"/>
    <s v="EWERTON ROGERIO RIBEIRO ALVES"/>
    <d v="2022-03-17T00:00:00"/>
    <s v="A"/>
    <s v="AGENTE DE COLETA"/>
    <s v="COLETA DOMICILIAR"/>
    <s v="DIURNO"/>
    <s v="06:00 - 11:00 - 13:00 - 15:20 / Seg a Sab / Dom DSR"/>
    <d v="2000-11-27T00:00:00"/>
    <s v="Solteiro"/>
    <s v="Ativo"/>
    <x v="0"/>
  </r>
  <r>
    <s v="2770002920"/>
    <s v="EZEQUIEL VASCONCELOS MARTINS"/>
    <d v="2022-09-01T00:00:00"/>
    <s v="A"/>
    <s v="AGENTE DE COLETA"/>
    <s v="COLETA DOMICILIAR"/>
    <s v="DIURNO"/>
    <s v="06:00 - 11:00 - 13:00 - 15:20 / Seg a Sab / Dom DSR"/>
    <d v="2001-07-20T00:00:00"/>
    <s v="Solteiro"/>
    <s v="Ativo"/>
    <x v="0"/>
  </r>
  <r>
    <s v="2770000539"/>
    <s v="FABIANO MEDEIROS DE ALMEIDA"/>
    <d v="2013-02-08T00:00:00"/>
    <s v="A"/>
    <s v="AGENTE DE COLETA"/>
    <s v="COLETA DOMICILIAR"/>
    <s v="DIURNO"/>
    <s v="06:00 - 11:00 - 13:00 - 15:20 / Seg a Sab / Dom DSR"/>
    <d v="1986-04-05T00:00:00"/>
    <s v="Solteiro"/>
    <s v="Ativo"/>
    <x v="0"/>
  </r>
  <r>
    <s v="2770003108"/>
    <s v="FABIO BRITO DOS SANTOS"/>
    <d v="2023-03-16T00:00:00"/>
    <s v="A"/>
    <s v="AGENTE DE COLETA"/>
    <s v="COLETA DOMICILIAR"/>
    <s v="DIURNO"/>
    <s v="06:00 - 11:00 - 13:00 - 15:20 / Seg e Ter / 07:00 - 11:00 - 13:00 - 16:20 / Dom / Jornada Parcial"/>
    <d v="1986-11-24T00:00:00"/>
    <s v="Solteiro"/>
    <s v="Ativo"/>
    <x v="1"/>
  </r>
  <r>
    <s v="2770002926"/>
    <s v="FABIO CURITIMA ORTIZ"/>
    <d v="2022-09-01T00:00:00"/>
    <s v="A"/>
    <s v="AGENTE DE COLETA"/>
    <s v="COLETA DOMICILIAR"/>
    <s v="NOTURNO"/>
    <s v="18:00 - 22:00 - 00:00 - 02:55 / Seg a Sab / Dom DSR"/>
    <d v="1992-01-20T00:00:00"/>
    <s v="Solteiro"/>
    <s v="Ativo"/>
    <x v="0"/>
  </r>
  <r>
    <s v="2770003206"/>
    <s v="FABRICIO BARBOZA MENEZES"/>
    <d v="2023-08-08T00:00:00"/>
    <s v="A"/>
    <s v="AGENTE DE COLETA"/>
    <s v="COLETA DOMICILIAR"/>
    <s v="NOTURNO"/>
    <s v="18:00 - 22:00 - 00:00 - 02:55 / Seg e Ter / 14:40 - 21:00 - 23:00 - 23:52 / Dom / Jornada Parcial"/>
    <d v="2000-08-27T00:00:00"/>
    <s v="Solteiro"/>
    <s v="Ativo"/>
    <x v="1"/>
  </r>
  <r>
    <s v="2770002676"/>
    <s v="FABRICIO LUAM DE SOUZA LIMA"/>
    <d v="2021-10-13T00:00:00"/>
    <s v="A"/>
    <s v="AGENTE DE COLETA"/>
    <s v="COLETA DOMICILIAR"/>
    <s v="DIURNO"/>
    <s v="06:00 - 11:00 - 13:00 - 15:20 / Seg a Sab / Dom DSR"/>
    <d v="1992-09-07T00:00:00"/>
    <s v="Solteiro"/>
    <s v="Ativo"/>
    <x v="0"/>
  </r>
  <r>
    <s v="2770003263"/>
    <s v="FAGNER VIANA DA SILVA"/>
    <d v="2023-11-03T00:00:00"/>
    <s v="A"/>
    <s v="AGENTE DE COLETA"/>
    <s v="COLETA DOMICILIAR"/>
    <s v="NOTURNO"/>
    <s v="18:00 - 22:00 - 00:00 - 02:55 / Seg e Ter / 14:40 - 21:00 - 23:00 - 23:52 / Dom / Jornada Parcial"/>
    <d v="1992-12-13T00:00:00"/>
    <s v="Solteiro"/>
    <s v="Ativo"/>
    <x v="1"/>
  </r>
  <r>
    <s v="2770003075"/>
    <s v="FELIPE DOS SANTOS PIMENTEL"/>
    <d v="2023-02-09T00:00:00"/>
    <s v="A"/>
    <s v="AGENTE DE COLETA"/>
    <s v="COLETA DOMICILIAR"/>
    <s v="NOTURNO"/>
    <s v="18:00 - 22:00 - 00:00 - 02:55 / Seg a Sab / Dom DSR"/>
    <d v="1995-07-02T00:00:00"/>
    <s v="Solteiro"/>
    <s v="Ativo"/>
    <x v="0"/>
  </r>
  <r>
    <s v="2770000180"/>
    <s v="FRANCISCO ARAUJO DA SILVA"/>
    <d v="2013-02-08T00:00:00"/>
    <s v="A"/>
    <s v="AGENTE DE COLETA"/>
    <s v="PODACAO"/>
    <s v="DIURNO"/>
    <s v="06:00 - 11:00 - 13:00 - 15:20 / Seg a Sab / Dom DSR"/>
    <d v="1972-04-18T00:00:00"/>
    <s v="Solteiro"/>
    <s v="Ativo"/>
    <x v="0"/>
  </r>
  <r>
    <s v="2770002910"/>
    <s v="FRANCISCO BASTOS TEIXEIRA"/>
    <d v="2022-08-12T00:00:00"/>
    <s v="A"/>
    <s v="AGENTE DE COLETA"/>
    <s v="COLETA DOMICILIAR"/>
    <s v="NOTURNO"/>
    <s v="18:00 - 22:00 - 00:00 - 02:55 / Seg a Sab / Dom DSR"/>
    <d v="1996-10-08T00:00:00"/>
    <s v="Solteiro"/>
    <s v="Ativo"/>
    <x v="0"/>
  </r>
  <r>
    <s v="2770000447"/>
    <s v="FRANCISCO CARLOS CANDIDO FREIRE"/>
    <d v="2013-02-08T00:00:00"/>
    <s v="A"/>
    <s v="AGENTE DE COLETA"/>
    <s v="COLETA DOMICILIAR"/>
    <s v="DIURNO"/>
    <s v="06:00 - 11:00 - 13:00 - 15:20 / Seg a Sab / Dom DSR"/>
    <d v="1982-12-23T00:00:00"/>
    <s v="Solteiro"/>
    <s v="Ativo"/>
    <x v="0"/>
  </r>
  <r>
    <s v="2770003071"/>
    <s v="FRANCISCO DE OLIVEIRA GODINHO NETO"/>
    <d v="2023-02-06T00:00:00"/>
    <s v="A"/>
    <s v="AGENTE DE COLETA"/>
    <s v="COLETA EM AREA DE DIFICIL ACESSO II"/>
    <s v="DIURNO"/>
    <s v="06:00 - 11:00 - 13:00 - 15:20 / Seg a Sab / Dom DSR"/>
    <d v="1988-12-26T00:00:00"/>
    <s v="Solteiro"/>
    <s v="Ativo"/>
    <x v="0"/>
  </r>
  <r>
    <s v="2770002021"/>
    <s v="FRANCISCO EVERTON NASCIMENTO PEREIRA"/>
    <d v="2019-03-01T00:00:00"/>
    <s v="A"/>
    <s v="AGENTE DE COLETA"/>
    <s v="COLETA DOMICILIAR"/>
    <s v="NOTURNO"/>
    <s v="18:00 - 22:00 - 00:00 - 02:55 / Seg a Sab / Dom DSR"/>
    <d v="1989-01-16T00:00:00"/>
    <s v="Solteiro"/>
    <s v="Ativo"/>
    <x v="0"/>
  </r>
  <r>
    <s v="2770002956"/>
    <s v="FRANCISCO MAGNO DE ALMEIDA OLIVEIRA"/>
    <d v="2022-10-03T00:00:00"/>
    <s v="F"/>
    <s v="AGENTE DE COLETA"/>
    <s v="COLETA DOMICILIAR"/>
    <s v="NOTURNO"/>
    <s v="18:00 - 22:00 - 00:00 - 02:55 / Seg a Sab / Dom DSR"/>
    <d v="1993-04-26T00:00:00"/>
    <s v="Solteiro"/>
    <s v="Férias"/>
    <x v="0"/>
  </r>
  <r>
    <s v="2770002760"/>
    <s v="FRANCISCO RUBENS TELLES OLIVEIRA"/>
    <d v="2022-01-10T00:00:00"/>
    <s v="F"/>
    <s v="AGENTE DE COLETA"/>
    <s v="COLETA DOMICILIAR"/>
    <s v="NOTURNO"/>
    <s v="18:00 - 22:00 - 00:00 - 02:55 / Seg a Sab / Dom DSR"/>
    <d v="1995-05-27T00:00:00"/>
    <s v="Solteiro"/>
    <s v="Férias"/>
    <x v="0"/>
  </r>
  <r>
    <s v="2770002886"/>
    <s v="GABRIEL LIRA TRINDADE"/>
    <d v="2022-06-15T00:00:00"/>
    <s v="A"/>
    <s v="AGENTE DE COLETA"/>
    <s v="COLETA DOMICILIAR"/>
    <s v="DIURNO"/>
    <s v="06:00 - 11:00 - 13:00 - 15:20 / Seg a Sab / Dom DSR"/>
    <d v="1999-03-04T00:00:00"/>
    <s v="Solteiro"/>
    <s v="Ativo"/>
    <x v="0"/>
  </r>
  <r>
    <s v="2770002994"/>
    <s v="GABRIEL SOUZA DA SILVA"/>
    <d v="2022-11-03T00:00:00"/>
    <s v="F"/>
    <s v="AGENTE DE COLETA"/>
    <s v="COLETA DOMICILIAR"/>
    <s v="DIURNO"/>
    <s v="06:00 - 11:00 - 13:00 - 15:20 / Seg a Sab / Dom DSR"/>
    <d v="1999-11-05T00:00:00"/>
    <s v="Solteiro"/>
    <s v="Férias"/>
    <x v="0"/>
  </r>
  <r>
    <s v="2770003216"/>
    <s v="GEOVANE GOMES DE AZEVEDO"/>
    <d v="2023-08-17T00:00:00"/>
    <s v="A"/>
    <s v="AGENTE DE COLETA"/>
    <s v="COLETA DOMICILIAR"/>
    <s v="DIURNO"/>
    <s v="06:00 - 11:00 - 13:00 - 15:20 / Seg a Sab / Dom DSR"/>
    <d v="1996-02-04T00:00:00"/>
    <s v="Solteiro"/>
    <s v="Ativo"/>
    <x v="0"/>
  </r>
  <r>
    <s v="2770002921"/>
    <s v="GEOVANE NATALINO CRUZ DE FREITAS"/>
    <d v="2022-09-01T00:00:00"/>
    <s v="A"/>
    <s v="AGENTE DE COLETA"/>
    <s v="COLETA DOMICILIAR"/>
    <s v="NOTURNO"/>
    <s v="18:00 - 22:00 - 00:00 - 02:55 / Seg a Sab / Dom DSR"/>
    <d v="1995-12-25T00:00:00"/>
    <s v="Solteiro"/>
    <s v="Ativo"/>
    <x v="0"/>
  </r>
  <r>
    <s v="2770003109"/>
    <s v="GEOVANNY MONTEIRO DOS SANTOS"/>
    <d v="2023-03-16T00:00:00"/>
    <s v="A"/>
    <s v="AGENTE DE COLETA"/>
    <s v="COLETA DOMICILIAR"/>
    <s v="DIURNO"/>
    <s v="06:00 - 11:00 - 13:00 - 15:20 / Seg a Sab / Dom DSR"/>
    <d v="1997-02-04T00:00:00"/>
    <s v="Solteiro"/>
    <s v="Ativo"/>
    <x v="0"/>
  </r>
  <r>
    <s v="2770002210"/>
    <s v="GIAN DOMINGOS SAMPAIO CASTRO"/>
    <d v="2020-02-04T00:00:00"/>
    <s v="A"/>
    <s v="AGENTE DE COLETA"/>
    <s v="COLETA DOMICILIAR"/>
    <s v="DIURNO"/>
    <s v="06:00 - 11:00 - 13:00 - 15:20 / Seg a Sab / Dom DSR"/>
    <d v="1991-08-14T00:00:00"/>
    <s v="Casado"/>
    <s v="Ativo"/>
    <x v="0"/>
  </r>
  <r>
    <s v="2770002617"/>
    <s v="GILSON CARLOS PIMENTA PEREIRA"/>
    <d v="2021-08-09T00:00:00"/>
    <s v="A"/>
    <s v="AGENTE DE COLETA"/>
    <s v="COLETA DOMICILIAR"/>
    <s v="NOTURNO"/>
    <s v="18:00 - 22:00 - 00:00 - 02:55 / Seg a Sab / Dom DSR"/>
    <d v="1992-06-18T00:00:00"/>
    <s v="Solteiro"/>
    <s v="Ativo"/>
    <x v="0"/>
  </r>
  <r>
    <s v="2770000538"/>
    <s v="GILSON DOS ANJOS TELES"/>
    <d v="2013-02-08T00:00:00"/>
    <s v="A"/>
    <s v="AGENTE DE COLETA"/>
    <s v="COLETA DOMICILIAR"/>
    <s v="DIURNO"/>
    <s v="06:00 - 11:00 - 13:00 - 15:20 / Seg a Sab / Dom DSR"/>
    <d v="1972-08-14T00:00:00"/>
    <s v="Solteiro"/>
    <s v="Ativo"/>
    <x v="0"/>
  </r>
  <r>
    <s v="2770002511"/>
    <s v="GISELE FERREIRA DA SILVA"/>
    <d v="2021-04-19T00:00:00"/>
    <s v="A"/>
    <s v="AGENTE DE COLETA"/>
    <s v="COLETA EM AREA DE DIFICIL ACESSO II"/>
    <s v="NOTURNO"/>
    <s v="18:00 - 22:00 - 00:00 - 02:55 / Seg a Sab / Dom DSR"/>
    <d v="1982-02-14T00:00:00"/>
    <s v="Solteiro"/>
    <s v="Ativo"/>
    <x v="0"/>
  </r>
  <r>
    <s v="2770003028"/>
    <s v="GLEICIOMAR SILVA DA COSTA"/>
    <d v="2022-12-01T00:00:00"/>
    <s v="A"/>
    <s v="AGENTE DE COLETA"/>
    <s v="COLETA DOMICILIAR"/>
    <s v="NOTURNO"/>
    <s v="18:00 - 22:00 - 00:00 - 02:55 / Seg a Sab / Dom DSR"/>
    <d v="1997-06-19T00:00:00"/>
    <s v="Solteiro"/>
    <s v="Ativo"/>
    <x v="0"/>
  </r>
  <r>
    <s v="2770002701"/>
    <s v="GLEISON NOBRE MACIEL"/>
    <d v="2021-11-18T00:00:00"/>
    <s v="A"/>
    <s v="AGENTE DE COLETA"/>
    <s v="COLETA DOMICILIAR"/>
    <s v="DIURNO"/>
    <s v="06:00 - 11:00 - 13:00 - 15:20 / Seg a Sab / Dom DSR"/>
    <d v="1992-01-13T00:00:00"/>
    <s v="Solteiro"/>
    <s v="Ativo"/>
    <x v="0"/>
  </r>
  <r>
    <s v="2770003291"/>
    <s v="GUIBSON SALES DA COSTA"/>
    <d v="2023-12-04T00:00:00"/>
    <s v="A"/>
    <s v="AGENTE DE COLETA"/>
    <s v="COLETA DOMICILIAR"/>
    <s v="NOTURNO"/>
    <s v="18:00 - 22:00 - 00:00 - 02:55 / Sex a Dom / Jornada Parcial"/>
    <d v="2001-07-29T00:00:00"/>
    <s v="Solteiro"/>
    <s v="Ativo"/>
    <x v="1"/>
  </r>
  <r>
    <s v="2770002422"/>
    <s v="HELIO REIS DE FREITAS"/>
    <d v="2020-12-01T00:00:00"/>
    <s v="A"/>
    <s v="AGENTE DE COLETA"/>
    <s v="COLETA DOMICILIAR"/>
    <s v="NOTURNO"/>
    <s v="18:00 - 22:00 - 00:00 - 02:55 / Seg a Sab / Dom DSR"/>
    <d v="1989-11-14T00:00:00"/>
    <s v="Solteiro"/>
    <s v="Ativo"/>
    <x v="0"/>
  </r>
  <r>
    <s v="2770000520"/>
    <s v="HELION BETON DA SILVA OLIVEIRA"/>
    <d v="2013-02-08T00:00:00"/>
    <s v="A"/>
    <s v="AGENTE DE COLETA"/>
    <s v="COLETA DOMICILIAR"/>
    <s v="DIURNO"/>
    <s v="06:00 - 11:00 - 13:00 - 15:20 / Seg a Sab / Dom DSR"/>
    <d v="1988-07-10T00:00:00"/>
    <s v="Solteiro"/>
    <s v="Ativo"/>
    <x v="0"/>
  </r>
  <r>
    <s v="2770002940"/>
    <s v="HENRIQUE GOMES DO NASCIMENTO"/>
    <d v="2022-09-14T00:00:00"/>
    <s v="A"/>
    <s v="AGENTE DE COLETA"/>
    <s v="COLETA DOMICILIAR"/>
    <s v="NOTURNO"/>
    <s v="18:00 - 22:00 - 00:00 - 02:55 / Seg a Sab / Dom DSR"/>
    <d v="1998-11-21T00:00:00"/>
    <s v="Solteiro"/>
    <s v="Ativo"/>
    <x v="0"/>
  </r>
  <r>
    <s v="2770002546"/>
    <s v="HERICLES MENDONCA TRINDADE"/>
    <d v="2021-06-01T00:00:00"/>
    <s v="A"/>
    <s v="AGENTE DE COLETA"/>
    <s v="COLETA DOMICILIAR"/>
    <s v="NOTURNO"/>
    <s v="18:00 - 22:00 - 00:00 - 02:55 / Seg a Sab / Dom DSR"/>
    <d v="1997-12-11T00:00:00"/>
    <s v="Solteiro"/>
    <s v="Ativo"/>
    <x v="0"/>
  </r>
  <r>
    <s v="2770002943"/>
    <s v="HERVERTON BELARMINO MACENA"/>
    <d v="2022-09-14T00:00:00"/>
    <s v="A"/>
    <s v="AGENTE DE COLETA"/>
    <s v="COLETA DOMICILIAR"/>
    <s v="NOTURNO"/>
    <s v="18:00 - 22:00 - 00:00 - 02:55 / Seg a Sab / Dom DSR"/>
    <d v="1995-04-02T00:00:00"/>
    <s v="Solteiro"/>
    <s v="Ativo"/>
    <x v="0"/>
  </r>
  <r>
    <s v="2770002980"/>
    <s v="ISAAC DA SILVA ESQUERDO"/>
    <d v="2022-11-03T00:00:00"/>
    <s v="A"/>
    <s v="AGENTE DE COLETA"/>
    <s v="COLETA EM AREA DE DIFICIL ACESSO II"/>
    <s v="DIURNO"/>
    <s v="06:00 - 11:00 - 13:00 - 15:20 / Seg a Sab / Dom DSR"/>
    <d v="1996-09-27T00:00:00"/>
    <s v="Solteiro"/>
    <s v="Ativo"/>
    <x v="0"/>
  </r>
  <r>
    <s v="2770002827"/>
    <s v="ISAQUE FERNANDES DA CRUZ"/>
    <d v="2022-05-02T00:00:00"/>
    <s v="A"/>
    <s v="AGENTE DE COLETA"/>
    <s v="COLETA DOMICILIAR"/>
    <s v="DIURNO"/>
    <s v="06:00 - 11:00 - 13:00 - 15:20 / Seg a Sab / Dom DSR"/>
    <d v="1990-11-06T00:00:00"/>
    <s v="Casado"/>
    <s v="Ativo"/>
    <x v="0"/>
  </r>
  <r>
    <s v="2770003110"/>
    <s v="ITALO DE OLIVEIRA SEIXAS"/>
    <d v="2023-03-16T00:00:00"/>
    <s v="A"/>
    <s v="AGENTE DE COLETA"/>
    <s v="COLETA DOMICILIAR"/>
    <s v="DIURNO"/>
    <s v="06:00 - 11:00 - 13:00 - 15:20 / Seg a Sab / Dom DSR"/>
    <d v="2000-04-03T00:00:00"/>
    <s v="Solteiro"/>
    <s v="Ativo"/>
    <x v="0"/>
  </r>
  <r>
    <s v="2770002974"/>
    <s v="ITALO MATHEUS ROOL FERREIRA"/>
    <d v="2022-11-03T00:00:00"/>
    <s v="A"/>
    <s v="AGENTE DE COLETA"/>
    <s v="COLETA DOMICILIAR"/>
    <s v="NOTURNO"/>
    <s v="18:00 - 22:00 - 00:00 - 02:55 / Seg a Sab / Dom DSR"/>
    <d v="1997-03-06T00:00:00"/>
    <s v="Solteiro"/>
    <s v="Ativo"/>
    <x v="0"/>
  </r>
  <r>
    <s v="2770002875"/>
    <s v="ITALO NASCIMENTO DE SOUZA"/>
    <d v="2022-06-01T00:00:00"/>
    <s v="A"/>
    <s v="AGENTE DE COLETA"/>
    <s v="COLETA DOMICILIAR"/>
    <s v="NOTURNO"/>
    <s v="18:00 - 22:00 - 00:00 - 02:55 / Seg a Sab / Dom DSR"/>
    <d v="1998-11-17T00:00:00"/>
    <s v="Solteiro"/>
    <s v="Ativo"/>
    <x v="0"/>
  </r>
  <r>
    <s v="2770003004"/>
    <s v="ITALO NEVES DA SILVA"/>
    <d v="2022-11-09T00:00:00"/>
    <s v="A"/>
    <s v="AGENTE DE COLETA"/>
    <s v="COLETA DOMICILIAR"/>
    <s v="DIURNO"/>
    <s v="06:00 - 11:00 - 13:00 - 15:20 / Seg a Sab / Dom DSR"/>
    <d v="1999-11-20T00:00:00"/>
    <s v="Solteiro"/>
    <s v="Ativo"/>
    <x v="0"/>
  </r>
  <r>
    <s v="2770003115"/>
    <s v="JACKSON DOS SANTOS REIS"/>
    <d v="2023-03-16T00:00:00"/>
    <s v="A"/>
    <s v="AGENTE DE COLETA"/>
    <s v="COLETA DOMICILIAR"/>
    <s v="NOTURNO"/>
    <s v="18:00 - 22:00 - 00:00 - 02:55 / Seg a Sab / Dom DSR"/>
    <d v="1996-09-16T00:00:00"/>
    <s v="Solteiro"/>
    <s v="Ativo"/>
    <x v="0"/>
  </r>
  <r>
    <s v="2770000243"/>
    <s v="JACKSON NASCIMENTO DA SILVA"/>
    <d v="2013-02-08T00:00:00"/>
    <s v="A"/>
    <s v="AGENTE DE COLETA"/>
    <s v="COLETA DOMICILIAR"/>
    <s v="DIURNO"/>
    <s v="06:00 - 11:00 - 13:00 - 15:20 / Seg a Sab / Dom DSR"/>
    <d v="1979-08-20T00:00:00"/>
    <s v="Solteiro"/>
    <s v="Ativo"/>
    <x v="0"/>
  </r>
  <r>
    <s v="2770003095"/>
    <s v="JAIME HENRIQUE GONCALVES BARBOSA"/>
    <d v="2023-03-08T00:00:00"/>
    <s v="A"/>
    <s v="AGENTE DE COLETA"/>
    <s v="COLETA DOMICILIAR"/>
    <s v="NOTURNO"/>
    <s v="18:00 - 22:00 - 00:00 - 02:55 / Qua, Qui e Dom / Jornada Parcial"/>
    <d v="1993-11-19T00:00:00"/>
    <s v="Solteiro"/>
    <s v="Ativo"/>
    <x v="1"/>
  </r>
  <r>
    <s v="2770002817"/>
    <s v="JAIMISOM JORGE DA COSTA ROCHA"/>
    <d v="2022-04-04T00:00:00"/>
    <s v="A"/>
    <s v="AGENTE DE COLETA"/>
    <s v="COLETA DOMICILIAR"/>
    <s v="NOTURNO"/>
    <s v="18:00 - 22:00 - 00:00 - 02:55 / Seg a Sab / Dom DSR"/>
    <d v="1993-08-06T00:00:00"/>
    <s v="Solteiro"/>
    <s v="Ativo"/>
    <x v="0"/>
  </r>
  <r>
    <s v="2770003282"/>
    <s v="JAIRO SANTOS DE MELO"/>
    <d v="2023-12-04T00:00:00"/>
    <s v="A"/>
    <s v="AGENTE DE COLETA"/>
    <s v="COLETA DOMICILIAR"/>
    <s v="DIURNO"/>
    <s v="06:00 - 11:00 - 13:00 - 15:20 / Qua, Qui e Dom / Jornada Parcial"/>
    <d v="1994-08-23T00:00:00"/>
    <s v="Solteiro"/>
    <s v="Ativo"/>
    <x v="1"/>
  </r>
  <r>
    <s v="2770000494"/>
    <s v="JANDER VIEIRA DA SILVA"/>
    <d v="2013-02-08T00:00:00"/>
    <s v="A"/>
    <s v="AGENTE DE COLETA"/>
    <s v="COLETA DOMICILIAR"/>
    <s v="DIURNO"/>
    <s v="06:00 - 11:00 - 13:00 - 15:20 / Seg a Sab / Dom DSR"/>
    <d v="1983-09-30T00:00:00"/>
    <s v="Solteiro"/>
    <s v="Ativo"/>
    <x v="0"/>
  </r>
  <r>
    <s v="2770002904"/>
    <s v="JANDERSON RODRIGUES ZAGURY"/>
    <d v="2022-08-12T00:00:00"/>
    <s v="A"/>
    <s v="AGENTE DE COLETA"/>
    <s v="COLETA DOMICILIAR"/>
    <s v="NOTURNO"/>
    <s v="18:00 - 22:00 - 00:00 - 02:55 / Seg a Sab / Dom DSR"/>
    <d v="1992-12-30T00:00:00"/>
    <s v="Solteiro"/>
    <s v="Ativo"/>
    <x v="0"/>
  </r>
  <r>
    <s v="2770003176"/>
    <s v="JANILSON DE OLIVEIRA SACRAMENTO"/>
    <d v="2023-06-16T00:00:00"/>
    <s v="A"/>
    <s v="AGENTE DE COLETA"/>
    <s v="COLETA DOMICILIAR"/>
    <s v="NOTURNO"/>
    <s v="18:00 - 22:00 - 00:00 - 02:55 / Qua, Qui e Dom / Jornada Parcial"/>
    <d v="1993-07-04T00:00:00"/>
    <s v="Solteiro"/>
    <s v="Ativo"/>
    <x v="1"/>
  </r>
  <r>
    <s v="2770003126"/>
    <s v="JARDEL ALHO PINHEIRO"/>
    <d v="2023-04-06T00:00:00"/>
    <s v="A"/>
    <s v="AGENTE DE COLETA"/>
    <s v="COLETA DOMICILIAR"/>
    <s v="DIURNO"/>
    <s v="06:00 - 11:00 - 13:00 - 15:20 / Seg a Sab / Dom DSR"/>
    <d v="1997-02-22T00:00:00"/>
    <s v="Solteiro"/>
    <s v="Ativo"/>
    <x v="0"/>
  </r>
  <r>
    <s v="2770002526"/>
    <s v="JEAN DE FRANCA MARINHO"/>
    <d v="2021-05-10T00:00:00"/>
    <s v="A"/>
    <s v="AGENTE DE COLETA"/>
    <s v="COLETA DOMICILIAR"/>
    <s v="DIURNO"/>
    <s v="06:00 - 11:00 - 13:00 - 15:20 / Seg a Sab / Dom DSR"/>
    <d v="1998-07-27T00:00:00"/>
    <s v="Solteiro"/>
    <s v="Ativo"/>
    <x v="0"/>
  </r>
  <r>
    <s v="2770003322"/>
    <s v="JEAN MATOS DA ROCHA"/>
    <d v="2024-02-16T00:00:00"/>
    <s v="A"/>
    <s v="AGENTE DE COLETA"/>
    <s v="COLETA DOMICILIAR"/>
    <s v="NOTURNO"/>
    <s v="18:00 - 22:00 - 00:00 - 02:55 / Seg e Ter / 14:40 - 21:00 - 23:00 - 23:52 / Dom / Jornada Parcial"/>
    <d v="1982-11-03T00:00:00"/>
    <s v="Solteiro"/>
    <s v="Ativo"/>
    <x v="1"/>
  </r>
  <r>
    <s v="2770003292"/>
    <s v="JEFERSON AREVALO PERES"/>
    <d v="2023-12-04T00:00:00"/>
    <s v="A"/>
    <s v="AGENTE DE COLETA"/>
    <s v="COLETA DOMICILIAR"/>
    <s v="NOTURNO"/>
    <s v="18:00 - 22:00 - 00:00 - 02:55 / Sex a Dom / Jornada Parcial"/>
    <d v="1998-11-30T00:00:00"/>
    <s v="Solteiro"/>
    <s v="Ativo"/>
    <x v="1"/>
  </r>
  <r>
    <s v="2770002205"/>
    <s v="JEFFERSON PEREIRA LIMA"/>
    <d v="2020-02-04T00:00:00"/>
    <s v="A"/>
    <s v="AGENTE DE COLETA"/>
    <s v="COLETA DOMICILIAR"/>
    <s v="DIURNO"/>
    <s v="06:00 - 11:00 - 13:00 - 15:20 / Seg a Sab / Dom DSR"/>
    <d v="2000-03-30T00:00:00"/>
    <s v="Solteiro"/>
    <s v="Ativo"/>
    <x v="0"/>
  </r>
  <r>
    <s v="2770003280"/>
    <s v="JENDERSON AURELIO BEZERRA"/>
    <d v="2023-12-04T00:00:00"/>
    <s v="A"/>
    <s v="AGENTE DE COLETA"/>
    <s v="COLETA DOMICILIAR"/>
    <s v="DIURNO"/>
    <s v="06:00 - 11:00 - 13:00 - 15:20 / Seg e Ter / 07:00 - 11:00 - 13:00 - 16:20 / Dom / Jornada Parcial"/>
    <d v="1999-06-29T00:00:00"/>
    <s v="Solteiro"/>
    <s v="Ativo"/>
    <x v="1"/>
  </r>
  <r>
    <s v="2770003164"/>
    <s v="JHONATAS RODRIGUES ESTEVAM"/>
    <d v="2023-06-01T00:00:00"/>
    <s v="A"/>
    <s v="AGENTE DE COLETA"/>
    <s v="COLETA DOMICILIAR"/>
    <s v="DIURNO"/>
    <s v="06:00 - 11:00 - 13:00 - 15:20 / Seg e Ter / 07:00 - 11:00 - 13:00 - 16:20 / Dom / Jornada Parcial"/>
    <d v="2001-02-02T00:00:00"/>
    <s v="Solteiro"/>
    <s v="Ativo"/>
    <x v="1"/>
  </r>
  <r>
    <s v="2770003183"/>
    <s v="JHONNATHA LIMA RODRIGUES"/>
    <d v="2023-07-06T00:00:00"/>
    <s v="A"/>
    <s v="AGENTE DE COLETA"/>
    <s v="COLETA DOMICILIAR"/>
    <s v="DIURNO"/>
    <s v="06:00 - 11:00 - 13:00 - 15:20 / Seg e Ter / 07:00 - 11:00 - 13:00 - 16:20 / Dom / Jornada Parcial"/>
    <d v="2001-11-06T00:00:00"/>
    <s v="Solteiro"/>
    <s v="Ativo"/>
    <x v="1"/>
  </r>
  <r>
    <s v="2770002143"/>
    <s v="JOAO BATISTA DE LIMA DA SILVA"/>
    <d v="2019-10-14T00:00:00"/>
    <s v="F"/>
    <s v="AGENTE DE COLETA"/>
    <s v="COLETA DOMICILIAR II AVENIDAS"/>
    <s v="DIURNO"/>
    <s v="06:00 - 11:00 - 13:00 - 15:20 / Seg a Sab / Dom DSR"/>
    <d v="1985-09-21T00:00:00"/>
    <s v="Solteiro"/>
    <s v="Férias"/>
    <x v="0"/>
  </r>
  <r>
    <s v="2770003226"/>
    <s v="JOAO BATISTA FERREIRA DA SILVA"/>
    <d v="2023-09-13T00:00:00"/>
    <s v="A"/>
    <s v="AGENTE DE COLETA"/>
    <s v="COLETA DOMICILIAR"/>
    <s v="DIURNO"/>
    <s v="05:30 - 10:00 - 12:00 - 14:50 / Sex, Sab e Dom / Jornada Parcial"/>
    <d v="1991-11-23T00:00:00"/>
    <s v="Solteiro"/>
    <s v="Ativo"/>
    <x v="1"/>
  </r>
  <r>
    <s v="2770003153"/>
    <s v="JOAO FELIPE DA SILVA LOPES"/>
    <d v="2023-05-17T00:00:00"/>
    <s v="A"/>
    <s v="AGENTE DE COLETA"/>
    <s v="COLETA DOMICILIAR"/>
    <s v="NOTURNO"/>
    <s v="18:00 - 22:00 - 00:00 - 02:55 / Seg a Sab / Dom DSR"/>
    <d v="1999-11-07T00:00:00"/>
    <s v="Solteiro"/>
    <s v="Ativo"/>
    <x v="0"/>
  </r>
  <r>
    <s v="2770003032"/>
    <s v="JONISSON OLIVEIRA MARINHO"/>
    <d v="2022-12-01T00:00:00"/>
    <s v="A"/>
    <s v="AGENTE DE COLETA"/>
    <s v="COLETA DOMICILIAR"/>
    <s v="DIURNO"/>
    <s v="06:00 - 11:00 - 13:00 - 15:20 / Seg a Sab / Dom DSR"/>
    <d v="1988-12-24T00:00:00"/>
    <s v="Solteiro"/>
    <s v="Ativo"/>
    <x v="0"/>
  </r>
  <r>
    <s v="2770003217"/>
    <s v="JONNY STEFERSON CORREA DA SILVA"/>
    <d v="2023-08-17T00:00:00"/>
    <s v="A"/>
    <s v="AGENTE DE COLETA"/>
    <s v="COLETA DOMICILIAR"/>
    <s v="NOTURNO"/>
    <s v="18:00 - 22:00 - 00:00 - 02:55 / Sex a Dom / Jornada Parcial"/>
    <d v="1993-01-15T00:00:00"/>
    <s v="Solteiro"/>
    <s v="Ativo"/>
    <x v="1"/>
  </r>
  <r>
    <s v="2770002496"/>
    <s v="JORGE ENRIQUE RODRIGUEZ IZQUIEL"/>
    <d v="2021-04-05T00:00:00"/>
    <s v="A"/>
    <s v="AGENTE DE COLETA"/>
    <s v="COLETA DOMICILIAR"/>
    <s v="DIURNO"/>
    <s v="06:00 - 11:00 - 13:00 - 15:20 / Seg a Sab / Dom DSR"/>
    <d v="1983-01-18T00:00:00"/>
    <s v="Solteiro"/>
    <s v="Ativo"/>
    <x v="0"/>
  </r>
  <r>
    <s v="2770003144"/>
    <s v="JOSE ADAIL BONARDE RONDON"/>
    <d v="2023-05-05T00:00:00"/>
    <s v="A"/>
    <s v="AGENTE DE COLETA"/>
    <s v="COLETA DOMICILIAR"/>
    <s v="NOTURNO"/>
    <s v="18:00 - 22:00 - 00:00 - 02:55 / Seg a Sab / Dom DSR"/>
    <d v="1996-06-30T00:00:00"/>
    <s v="Solteiro"/>
    <s v="Ativo"/>
    <x v="0"/>
  </r>
  <r>
    <s v="2770000297"/>
    <s v="JOSE RAIMUNDO REIS PEREIRA"/>
    <d v="2013-02-08T00:00:00"/>
    <s v="A"/>
    <s v="AGENTE DE COLETA"/>
    <s v="COLETA DOMICILIAR"/>
    <s v="DIURNO"/>
    <s v="06:00 - 11:00 - 13:00 - 15:20 / Seg a Sab / Dom DSR"/>
    <d v="1985-12-31T00:00:00"/>
    <s v="Solteiro"/>
    <s v="Ativo"/>
    <x v="0"/>
  </r>
  <r>
    <s v="2770000083"/>
    <s v="JOSE ROMILSON SANTIAGO DA COSTA"/>
    <d v="2013-02-08T00:00:00"/>
    <s v="A"/>
    <s v="AGENTE DE COLETA"/>
    <s v="COLETA DOMICILIAR"/>
    <s v="NOTURNO"/>
    <s v="18:00 - 22:00 - 00:00 - 02:55 / Seg a Sab / Dom DSR"/>
    <d v="1969-01-13T00:00:00"/>
    <s v="Solteiro"/>
    <s v="Ativo"/>
    <x v="0"/>
  </r>
  <r>
    <s v="2770001405"/>
    <s v="JOSELILTON FERREIRA DE OLIVEIRA"/>
    <d v="2016-03-11T00:00:00"/>
    <s v="A"/>
    <s v="AGENTE DE COLETA"/>
    <s v="COLETA DOMICILIAR"/>
    <s v="DIURNO"/>
    <s v="06:00 - 11:00 - 13:00 - 15:20 / Seg a Sab / Dom DSR"/>
    <d v="1990-12-22T00:00:00"/>
    <s v="Casado"/>
    <s v="Ativo"/>
    <x v="0"/>
  </r>
  <r>
    <s v="2770003010"/>
    <s v="JOSENI VIEIRA DE MEIRELES"/>
    <d v="2022-12-01T00:00:00"/>
    <s v="A"/>
    <s v="AGENTE DE COLETA"/>
    <s v="COLETA DOMICILIAR"/>
    <s v="DIURNO"/>
    <s v="06:00 - 11:00 - 13:00 - 15:20 / Seg a Sab / Dom DSR"/>
    <d v="1990-01-09T00:00:00"/>
    <s v="Solteiro"/>
    <s v="Ativo"/>
    <x v="0"/>
  </r>
  <r>
    <s v="2770002560"/>
    <s v="JOSIMARLISON DA SILVA LIMA"/>
    <d v="2021-06-04T00:00:00"/>
    <s v="A"/>
    <s v="AGENTE DE COLETA"/>
    <s v="COLETA DOMICILIAR"/>
    <s v="NOTURNO"/>
    <s v="18:00 - 22:00 - 00:00 - 02:55 / Seg a Sab / Dom DSR"/>
    <d v="1997-11-05T00:00:00"/>
    <s v="Solteiro"/>
    <s v="Ativo"/>
    <x v="0"/>
  </r>
  <r>
    <s v="2770003059"/>
    <s v="JOSIVALDO DE SOUSA BORGES"/>
    <d v="2023-01-12T00:00:00"/>
    <s v="A"/>
    <s v="AGENTE DE COLETA"/>
    <s v="COLETA DOMICILIAR"/>
    <s v="NOTURNO"/>
    <s v="18:00 - 22:00 - 00:00 - 02:55 / Seg a Sab / Dom DSR"/>
    <d v="1994-06-03T00:00:00"/>
    <s v="Solteiro"/>
    <s v="Ativo"/>
    <x v="0"/>
  </r>
  <r>
    <s v="2770002700"/>
    <s v="JUNI MILLER ROCHA DOS SANTOS"/>
    <d v="2021-11-18T00:00:00"/>
    <s v="A"/>
    <s v="AGENTE DE COLETA"/>
    <s v="COLETA DOMICILIAR II AVENIDAS"/>
    <s v="DIURNO"/>
    <s v="06:00 - 11:00 - 13:00 - 15:20 / Seg a Sab / Dom DSR"/>
    <d v="1997-10-19T00:00:00"/>
    <s v="Solteiro"/>
    <s v="Ativo"/>
    <x v="0"/>
  </r>
  <r>
    <s v="2770000028"/>
    <s v="JUSTINO DA SILVA OLIVEIRA"/>
    <d v="2013-02-08T00:00:00"/>
    <s v="A"/>
    <s v="AGENTE DE COLETA"/>
    <s v="LIMPEZA DE FEIRAS"/>
    <s v="DIURNO"/>
    <s v="10:00 - 13:00 - 14:00 - 18:20 / Seg a Sab / Dom DSR"/>
    <d v="1966-04-14T00:00:00"/>
    <s v="Solteiro"/>
    <s v="Ativo"/>
    <x v="0"/>
  </r>
  <r>
    <s v="2770002624"/>
    <s v="KENNEDY SILVA DA SILVA"/>
    <d v="2021-08-16T00:00:00"/>
    <s v="A"/>
    <s v="AGENTE DE COLETA"/>
    <s v="COLETA DOMICILIAR"/>
    <s v="DIURNO"/>
    <s v="06:00 - 11:00 - 13:00 - 15:20 / Seg a Sab / Dom DSR"/>
    <d v="1995-08-20T00:00:00"/>
    <s v="Solteiro"/>
    <s v="Ativo"/>
    <x v="0"/>
  </r>
  <r>
    <s v="2770002439"/>
    <s v="KLINGER SOARES DA SILVA"/>
    <d v="2021-01-06T00:00:00"/>
    <s v="A"/>
    <s v="AGENTE DE COLETA"/>
    <s v="COLETA DOMICILIAR"/>
    <s v="DIURNO"/>
    <s v="06:00 - 11:00 - 13:00 - 15:20 / Seg a Sab / Dom DSR"/>
    <d v="1986-09-04T00:00:00"/>
    <s v="Solteiro"/>
    <s v="Ativo"/>
    <x v="0"/>
  </r>
  <r>
    <s v="2770000234"/>
    <s v="LAIR SILVA DE SOUZA"/>
    <d v="2013-02-08T00:00:00"/>
    <s v="A"/>
    <s v="AGENTE DE COLETA"/>
    <s v="COLETA DOMICILIAR"/>
    <s v="NOTURNO"/>
    <s v="18:00 - 22:00 - 00:00 - 02:55 / Seg a Sab / Dom DSR"/>
    <d v="1980-08-28T00:00:00"/>
    <s v="Solteiro"/>
    <s v="Ativo"/>
    <x v="0"/>
  </r>
  <r>
    <s v="2770002628"/>
    <s v="LAZARO MIRANDA GOMES NETO"/>
    <d v="2021-08-16T00:00:00"/>
    <s v="A"/>
    <s v="AGENTE DE COLETA"/>
    <s v="COLETA DOMICILIAR"/>
    <s v="NOTURNO"/>
    <s v="18:00 - 22:00 - 00:00 - 02:55 / Seg a Sab / Dom DSR"/>
    <d v="1997-12-16T00:00:00"/>
    <s v="Solteiro"/>
    <s v="Ativo"/>
    <x v="0"/>
  </r>
  <r>
    <s v="2770002503"/>
    <s v="LEANDRO MACIEL BATISTA"/>
    <d v="2021-04-05T00:00:00"/>
    <s v="A"/>
    <s v="AGENTE DE COLETA"/>
    <s v="COLETA DOMICILIAR"/>
    <s v="NOTURNO"/>
    <s v="18:00 - 22:00 - 00:00 - 02:55 / Seg a Sab / Dom DSR"/>
    <d v="1992-06-25T00:00:00"/>
    <s v="Solteiro"/>
    <s v="Ativo"/>
    <x v="0"/>
  </r>
  <r>
    <s v="2770003123"/>
    <s v="LEANDRO TAVARES DA SILVA"/>
    <d v="2023-04-06T00:00:00"/>
    <s v="A"/>
    <s v="AGENTE DE COLETA"/>
    <s v="COLETA DOMICILIAR"/>
    <s v="NOTURNO"/>
    <s v="18:00 - 22:00 - 00:00 - 02:55 / Qua, Qui e Dom / Jornada Parcial"/>
    <d v="1995-08-23T00:00:00"/>
    <s v="Solteiro"/>
    <s v="Ativo"/>
    <x v="1"/>
  </r>
  <r>
    <s v="2770003121"/>
    <s v="LENNO MENDES DA COSTA"/>
    <d v="2023-04-06T00:00:00"/>
    <s v="A"/>
    <s v="AGENTE DE COLETA"/>
    <s v="COLETA DOMICILIAR"/>
    <s v="NOTURNO"/>
    <s v="18:00 - 22:00 - 00:00 - 02:55 / Seg a Sab / Dom DSR"/>
    <d v="1994-09-23T00:00:00"/>
    <s v="Solteiro"/>
    <s v="Ativo"/>
    <x v="0"/>
  </r>
  <r>
    <s v="2770003276"/>
    <s v="LEONARDO DO NASCIMENTO FERREIRA"/>
    <d v="2023-11-17T00:00:00"/>
    <s v="A"/>
    <s v="AGENTE DE COLETA"/>
    <s v="COLETA DOMICILIAR"/>
    <s v="NOTURNO"/>
    <s v="18:00 - 22:00 - 00:00 - 02:55 / Sex a Dom / Jornada Parcial"/>
    <d v="2001-05-09T00:00:00"/>
    <s v="Solteiro"/>
    <s v="Ativo"/>
    <x v="1"/>
  </r>
  <r>
    <s v="2770003324"/>
    <s v="LEONARDO LUCENA DIAS DA SILVA"/>
    <d v="2024-02-16T00:00:00"/>
    <s v="A"/>
    <s v="AGENTE DE COLETA"/>
    <s v="COLETA DOMICILIAR"/>
    <s v="NOTURNO"/>
    <s v="18:00 - 22:00 - 00:00 - 02:55 / Qua, Qui e Dom / Jornada Parcial"/>
    <d v="1977-12-27T00:00:00"/>
    <s v="Solteiro"/>
    <s v="Ativo"/>
    <x v="1"/>
  </r>
  <r>
    <s v="2770003307"/>
    <s v="LEONARDO MENDES MARTINS"/>
    <d v="2024-01-16T00:00:00"/>
    <s v="A"/>
    <s v="AGENTE DE COLETA"/>
    <s v="COLETA DOMICILIAR"/>
    <s v="DIURNO"/>
    <s v="06:00 - 11:00 - 13:00 - 15:20 / Seg e Ter / 07:00 - 11:00 - 13:00 - 16:20 / Dom / Jornada Parcial"/>
    <d v="1998-12-01T00:00:00"/>
    <s v="Solteiro"/>
    <s v="Ativo"/>
    <x v="1"/>
  </r>
  <r>
    <s v="2770003283"/>
    <s v="LEONARDO OLIVEIRA LIMA"/>
    <d v="2023-12-04T00:00:00"/>
    <s v="A"/>
    <s v="AGENTE DE COLETA"/>
    <s v="COLETA DOMICILIAR"/>
    <s v="DIURNO"/>
    <s v="06:00 - 11:00 - 13:00 - 15:20 / Qua, Qui e Dom / Jornada Parcial"/>
    <d v="2002-01-13T00:00:00"/>
    <s v="Solteiro"/>
    <s v="Ativo"/>
    <x v="1"/>
  </r>
  <r>
    <s v="2770003244"/>
    <s v="LEVI DA SILVA DIOGO"/>
    <d v="2023-10-13T00:00:00"/>
    <s v="A"/>
    <s v="AGENTE DE COLETA"/>
    <s v="COLETA DOMICILIAR"/>
    <s v="DIURNO"/>
    <s v="06:00 - 11:00 - 13:00 - 15:20 / Seg a Sab / Dom DSR"/>
    <d v="1998-05-05T00:00:00"/>
    <s v="Solteiro"/>
    <s v="Ativo"/>
    <x v="0"/>
  </r>
  <r>
    <s v="2770003189"/>
    <s v="LINDERSON SIMPSON PEREIRA"/>
    <d v="2023-07-06T00:00:00"/>
    <s v="A"/>
    <s v="AGENTE DE COLETA"/>
    <s v="COLETA DOMICILIAR"/>
    <s v="NOTURNO"/>
    <s v="18:00 - 22:00 - 00:00 - 02:55 / Qua, Qui e Dom / Jornada Parcial"/>
    <d v="2000-11-01T00:00:00"/>
    <s v="Solteiro"/>
    <s v="Ativo"/>
    <x v="1"/>
  </r>
  <r>
    <s v="2770003085"/>
    <s v="LINDONEY DA SILVA LIMA"/>
    <d v="2023-03-08T00:00:00"/>
    <s v="A"/>
    <s v="AGENTE DE COLETA"/>
    <s v="COLETA DOMICILIAR"/>
    <s v="DIURNO"/>
    <s v="06:00 - 11:00 - 13:00 - 15:20 / Seg a Sab / Dom DSR"/>
    <d v="1998-03-05T00:00:00"/>
    <s v="Solteiro"/>
    <s v="Ativo"/>
    <x v="0"/>
  </r>
  <r>
    <s v="2770003290"/>
    <s v="LUCAS ALMEIDA DE CARVALHO"/>
    <d v="2023-12-04T00:00:00"/>
    <s v="A"/>
    <s v="AGENTE DE COLETA"/>
    <s v="COLETA DOMICILIAR"/>
    <s v="NOTURNO"/>
    <s v="18:00 - 22:00 - 00:00 - 02:55 / Qua, Qui e Dom / Jornada Parcial"/>
    <d v="1998-10-29T00:00:00"/>
    <s v="Solteiro"/>
    <s v="Ativo"/>
    <x v="1"/>
  </r>
  <r>
    <s v="2770003288"/>
    <s v="LUCAS ASSUNCAO BATISTA"/>
    <d v="2023-12-04T00:00:00"/>
    <s v="A"/>
    <s v="AGENTE DE COLETA"/>
    <s v="COLETA DOMICILIAR"/>
    <s v="NOTURNO"/>
    <s v="18:00 - 22:00 - 00:00 - 02:55 / Qua, Qui e Dom / Jornada Parcial"/>
    <d v="1993-09-22T00:00:00"/>
    <s v="Casado"/>
    <s v="Ativo"/>
    <x v="1"/>
  </r>
  <r>
    <s v="2770003178"/>
    <s v="LUCAS DA SILVA MARTINS"/>
    <d v="2023-06-16T00:00:00"/>
    <s v="A"/>
    <s v="AGENTE DE COLETA"/>
    <s v="COLETA DOMICILIAR"/>
    <s v="NOTURNO"/>
    <s v="18:00 - 22:00 - 00:00 - 02:55 / Sex a Dom / Jornada Parcial"/>
    <d v="1995-12-20T00:00:00"/>
    <s v="Solteiro"/>
    <s v="Ativo"/>
    <x v="1"/>
  </r>
  <r>
    <s v="2770003146"/>
    <s v="LUCAS PEREIRA DA CUNHA"/>
    <d v="2023-05-05T00:00:00"/>
    <s v="A"/>
    <s v="AGENTE DE COLETA"/>
    <s v="COLETA DOMICILIAR"/>
    <s v="NOTURNO"/>
    <s v="18:00 - 22:00 - 00:00 - 02:55 / Seg e Ter / 14:40 - 21:00 - 23:00 - 23:52 / Dom / Jornada Parcial"/>
    <d v="2002-05-12T00:00:00"/>
    <s v="Solteiro"/>
    <s v="Ativo"/>
    <x v="1"/>
  </r>
  <r>
    <s v="2770002873"/>
    <s v="LUCAS PINHEIRO LOPES"/>
    <d v="2022-06-01T00:00:00"/>
    <s v="A"/>
    <s v="AGENTE DE COLETA"/>
    <s v="COLETA DOMICILIAR"/>
    <s v="NOTURNO"/>
    <s v="18:00 - 22:00 - 00:00 - 02:55 / Seg a Sab / Dom DSR"/>
    <d v="1996-11-07T00:00:00"/>
    <s v="Solteiro"/>
    <s v="Ativo"/>
    <x v="0"/>
  </r>
  <r>
    <s v="2770003167"/>
    <s v="LUCAS RODRIGO DE LIMA FLAUZINO"/>
    <d v="2023-06-01T00:00:00"/>
    <s v="A"/>
    <s v="AGENTE DE COLETA"/>
    <s v="COLETA DOMICILIAR"/>
    <s v="DIURNO"/>
    <s v="06:00 - 11:00 - 13:00 - 15:20 / Seg a Sab / Dom DSR"/>
    <d v="1998-03-23T00:00:00"/>
    <s v="Solteiro"/>
    <s v="Ativo"/>
    <x v="0"/>
  </r>
  <r>
    <s v="2770003064"/>
    <s v="LUCIANO DE ALMEIDA CASTRO"/>
    <d v="2023-01-12T00:00:00"/>
    <s v="A"/>
    <s v="AGENTE DE COLETA"/>
    <s v="COLETA EM AREA DE DIFICIL ACESSO II"/>
    <s v="DIURNO"/>
    <s v="06:00 - 11:00 - 13:00 - 15:20 / Seg a Sab / Dom DSR"/>
    <d v="1985-08-20T00:00:00"/>
    <s v="Casado"/>
    <s v="Ativo"/>
    <x v="0"/>
  </r>
  <r>
    <s v="2770003023"/>
    <s v="LUCIANO DE LIMA TRAJANO"/>
    <d v="2022-12-01T00:00:00"/>
    <s v="A"/>
    <s v="AGENTE DE COLETA"/>
    <s v="COLETA DOMICILIAR"/>
    <s v="NOTURNO"/>
    <s v="18:00 - 22:00 - 00:00 - 02:55 / Seg a Sab / Dom DSR"/>
    <d v="1993-03-24T00:00:00"/>
    <s v="Solteiro"/>
    <s v="Ativo"/>
    <x v="0"/>
  </r>
  <r>
    <s v="2770002909"/>
    <s v="LUIZ AUGUSTO PRAIA REIS"/>
    <d v="2022-08-12T00:00:00"/>
    <s v="A"/>
    <s v="AGENTE DE COLETA"/>
    <s v="COLETA DOMICILIAR"/>
    <s v="NOTURNO"/>
    <s v="18:00 - 22:00 - 00:00 - 02:55 / Seg a Sab / Dom DSR"/>
    <d v="2000-02-29T00:00:00"/>
    <s v="Solteiro"/>
    <s v="Ativo"/>
    <x v="0"/>
  </r>
  <r>
    <s v="2770003208"/>
    <s v="LUIZ FERNANDO BRANCHES DO NASCIMENTO"/>
    <d v="2023-08-08T00:00:00"/>
    <s v="A"/>
    <s v="AGENTE DE COLETA"/>
    <s v="COLETA DOMICILIAR"/>
    <s v="NOTURNO"/>
    <s v="18:00 - 22:00 - 00:00 - 02:55 / Seg e Ter / 14:40 - 21:00 - 23:00 - 23:52 / Dom / Jornada Parcial"/>
    <d v="2004-08-12T00:00:00"/>
    <s v="Solteiro"/>
    <s v="Ativo"/>
    <x v="1"/>
  </r>
  <r>
    <s v="2770002928"/>
    <s v="LUIZ FERNANDO GONCALVES DE LIMA"/>
    <d v="2022-09-01T00:00:00"/>
    <s v="A"/>
    <s v="AGENTE DE COLETA"/>
    <s v="COLETA DOMICILIAR"/>
    <s v="NOTURNO"/>
    <s v="18:00 - 22:00 - 00:00 - 02:55 / Seg a Sab / Dom DSR"/>
    <d v="1996-05-16T00:00:00"/>
    <s v="Solteiro"/>
    <s v="Ativo"/>
    <x v="0"/>
  </r>
  <r>
    <s v="2770002927"/>
    <s v="LUIZ HENRIQUE PALHETA BARBOSA"/>
    <d v="2022-09-01T00:00:00"/>
    <s v="A"/>
    <s v="AGENTE DE COLETA"/>
    <s v="COLETA DOMICILIAR"/>
    <s v="DIURNO"/>
    <s v="06:00 - 11:00 - 13:00 - 15:20 / Seg a Sab / Dom DSR"/>
    <d v="1993-10-25T00:00:00"/>
    <s v="Solteiro"/>
    <s v="Ativo"/>
    <x v="0"/>
  </r>
  <r>
    <s v="2770003266"/>
    <s v="MAGNO DA SILVA OLIVEIRA"/>
    <d v="2023-11-03T00:00:00"/>
    <s v="A"/>
    <s v="AGENTE DE COLETA"/>
    <s v="PODACAO"/>
    <s v="NOTURNO"/>
    <s v="17:00 - 22:00 - 00:00 - 02:02 / Seg a Sab / Dom DSR"/>
    <d v="1996-10-30T00:00:00"/>
    <s v="Solteiro"/>
    <s v="Ativo"/>
    <x v="0"/>
  </r>
  <r>
    <s v="2770001151"/>
    <s v="MANOEL FANDA CARVALHO DA SILVA"/>
    <d v="2014-07-10T00:00:00"/>
    <s v="A"/>
    <s v="AGENTE DE COLETA"/>
    <s v="COLETA DOMICILIAR"/>
    <s v="DIURNO"/>
    <s v="06:00 - 11:00 - 13:00 - 15:20 / Seg a Sab / Dom DSR"/>
    <d v="1986-03-22T00:00:00"/>
    <s v="Solteiro"/>
    <s v="Ativo"/>
    <x v="0"/>
  </r>
  <r>
    <s v="2770000934"/>
    <s v="MANUEL MONTEIRO DE OLIVEIRA FILHO"/>
    <d v="2013-11-14T00:00:00"/>
    <s v="A"/>
    <s v="AGENTE DE COLETA"/>
    <s v="COLETA DOMICILIAR"/>
    <s v="DIURNO"/>
    <s v="06:00 - 11:00 - 13:00 - 15:20 / Seg a Sab / Dom DSR"/>
    <d v="1982-09-13T00:00:00"/>
    <s v="Solteiro"/>
    <s v="Ativo"/>
    <x v="0"/>
  </r>
  <r>
    <s v="2770003321"/>
    <s v="MARCELO GOMES DO NASCIMENTO"/>
    <d v="2024-02-16T00:00:00"/>
    <s v="A"/>
    <s v="AGENTE DE COLETA"/>
    <s v="COLETA DOMICILIAR"/>
    <s v="DIURNO"/>
    <s v="06:00 - 11:00 - 13:00 - 15:20 / Sex a Dom / Jornada Parcial"/>
    <d v="1987-03-31T00:00:00"/>
    <s v="Solteiro"/>
    <s v="Ativo"/>
    <x v="1"/>
  </r>
  <r>
    <s v="2770000507"/>
    <s v="MARCIO BATISTA DA SILVA"/>
    <d v="2013-02-08T00:00:00"/>
    <s v="A"/>
    <s v="AGENTE DE COLETA"/>
    <s v="COLETA DOMICILIAR"/>
    <s v="NOTURNO"/>
    <s v="18:00 - 22:00 - 00:00 - 02:55 / Seg a Sab / Dom DSR"/>
    <d v="1987-09-05T00:00:00"/>
    <s v="Solteiro"/>
    <s v="Ativo"/>
    <x v="0"/>
  </r>
  <r>
    <s v="2770002611"/>
    <s v="MARCIO MALAQUIAS DA SILVA"/>
    <d v="2021-08-09T00:00:00"/>
    <s v="F"/>
    <s v="AGENTE DE COLETA"/>
    <s v="COLETA DOMICILIAR"/>
    <s v="NOTURNO"/>
    <s v="18:00 - 22:00 - 00:00 - 02:55 / Seg a Sab / Dom DSR"/>
    <d v="1998-06-20T00:00:00"/>
    <s v="Solteiro"/>
    <s v="Férias"/>
    <x v="0"/>
  </r>
  <r>
    <s v="2770002773"/>
    <s v="MARCIO MOTA FERREIRA"/>
    <d v="2022-02-02T00:00:00"/>
    <s v="F"/>
    <s v="AGENTE DE COLETA"/>
    <s v="COLETA DOMICILIAR"/>
    <s v="DIURNO"/>
    <s v="07:00 - 11:00 - 13:00 - 16:20 / Seg a Sab / Dom DSR"/>
    <d v="1991-08-04T00:00:00"/>
    <s v="Solteiro"/>
    <s v="Férias"/>
    <x v="0"/>
  </r>
  <r>
    <s v="2770003225"/>
    <s v="MARCOS ANTONIO DOS ANJOS DA COSTA"/>
    <d v="2023-09-13T00:00:00"/>
    <s v="A"/>
    <s v="AGENTE DE COLETA"/>
    <s v="COLETA DOMICILIAR"/>
    <s v="DIURNO"/>
    <s v="06:00 - 11:00 - 13:00 - 15:20 / Seg a Sab / Dom DSR"/>
    <d v="1996-06-25T00:00:00"/>
    <s v="Solteiro"/>
    <s v="Ativo"/>
    <x v="0"/>
  </r>
  <r>
    <s v="2770002828"/>
    <s v="MARCOS VINICIUS DE CASTRO RIBEIRO"/>
    <d v="2022-05-02T00:00:00"/>
    <s v="A"/>
    <s v="AGENTE DE COLETA"/>
    <s v="COLETA DOMICILIAR"/>
    <s v="NOTURNO"/>
    <s v="18:00 - 22:00 - 00:00 - 02:55 / Seg a Sab / Dom DSR"/>
    <d v="2000-02-15T00:00:00"/>
    <s v="Solteiro"/>
    <s v="Ativo"/>
    <x v="0"/>
  </r>
  <r>
    <s v="2770002993"/>
    <s v="MARCOS VINICIUS OLIVEIRA DOS SANTOS"/>
    <d v="2022-11-03T00:00:00"/>
    <s v="A"/>
    <s v="AGENTE DE COLETA"/>
    <s v="COLETA DOMICILIAR"/>
    <s v="DIURNO"/>
    <s v="06:00 - 11:00 - 13:00 - 15:20 / Seg a Sab / Dom DSR"/>
    <d v="1991-09-15T00:00:00"/>
    <s v="Solteiro"/>
    <s v="Ativo"/>
    <x v="0"/>
  </r>
  <r>
    <s v="2770003166"/>
    <s v="MARIANO PEREIRA DOS REIS"/>
    <d v="2023-06-01T00:00:00"/>
    <s v="A"/>
    <s v="AGENTE DE COLETA"/>
    <s v="COLETA DOMICILIAR"/>
    <s v="DIURNO"/>
    <s v="06:00 - 11:00 - 13:00 - 15:20 / Seg a Sab / Dom DSR"/>
    <d v="1995-01-11T00:00:00"/>
    <s v="Solteiro"/>
    <s v="Ativo"/>
    <x v="0"/>
  </r>
  <r>
    <s v="2770003054"/>
    <s v="MARIO SERGIO DO NASCIMENTO MORAIS"/>
    <d v="2023-01-12T00:00:00"/>
    <s v="A"/>
    <s v="AGENTE DE COLETA"/>
    <s v="COLETA DOMICILIAR"/>
    <s v="NOTURNO"/>
    <s v="18:00 - 22:00 - 00:00 - 02:55 / Seg a Sab / Dom DSR"/>
    <d v="1993-08-16T00:00:00"/>
    <s v="Solteiro"/>
    <s v="Ativo"/>
    <x v="0"/>
  </r>
  <r>
    <s v="2770003211"/>
    <s v="MATEUS PEREIRA AVELINO"/>
    <d v="2023-08-08T00:00:00"/>
    <s v="A"/>
    <s v="AGENTE DE COLETA"/>
    <s v="COLETA DOMICILIAR"/>
    <s v="NOTURNO"/>
    <s v="18:00 - 22:00 - 00:00 - 02:55 / Seg a Sab / Dom DSR"/>
    <d v="1997-08-27T00:00:00"/>
    <s v="Solteiro"/>
    <s v="Ativo"/>
    <x v="0"/>
  </r>
  <r>
    <s v="2770003150"/>
    <s v="MATEUS SOUZA DA SILVA"/>
    <d v="2023-05-05T00:00:00"/>
    <s v="A"/>
    <s v="AGENTE DE COLETA"/>
    <s v="COLETA DOMICILIAR"/>
    <s v="NOTURNO"/>
    <s v="18:00 - 22:00 - 00:00 - 02:55 / Sex a Dom / Jornada Parcial"/>
    <d v="1996-11-13T00:00:00"/>
    <s v="Solteiro"/>
    <s v="Ativo"/>
    <x v="1"/>
  </r>
  <r>
    <s v="2770003020"/>
    <s v="MATHEUS MORAES DA SILVA"/>
    <d v="2022-12-01T00:00:00"/>
    <s v="A"/>
    <s v="AGENTE DE COLETA"/>
    <s v="COLETA DOMICILIAR"/>
    <s v="DIURNO"/>
    <s v="06:00 - 11:00 - 13:00 - 15:20 / Seg a Sab / Dom DSR"/>
    <d v="1999-03-29T00:00:00"/>
    <s v="Casado"/>
    <s v="Ativo"/>
    <x v="0"/>
  </r>
  <r>
    <s v="2770003149"/>
    <s v="MATHEUS SALES FERREIRA"/>
    <d v="2023-05-05T00:00:00"/>
    <s v="A"/>
    <s v="AGENTE DE COLETA"/>
    <s v="COLETA DOMICILIAR"/>
    <s v="NOTURNO"/>
    <s v="18:00 - 22:00 - 00:00 - 02:55 / Sex a Dom / Jornada Parcial"/>
    <d v="2001-03-25T00:00:00"/>
    <s v="Solteiro"/>
    <s v="Ativo"/>
    <x v="1"/>
  </r>
  <r>
    <s v="2770003074"/>
    <s v="MAURI BARRETO BARROSO"/>
    <d v="2023-02-09T00:00:00"/>
    <s v="A"/>
    <s v="AGENTE DE COLETA"/>
    <s v="COLETA DOMICILIAR"/>
    <s v="NOTURNO"/>
    <s v="18:00 - 22:00 - 00:00 - 02:55 / Seg a Sab / Dom DSR"/>
    <d v="2001-07-25T00:00:00"/>
    <s v="Solteiro"/>
    <s v="Ativo"/>
    <x v="0"/>
  </r>
  <r>
    <s v="2770000518"/>
    <s v="MAURICELIO DE LIMA SILVA"/>
    <d v="2013-02-08T00:00:00"/>
    <s v="A"/>
    <s v="AGENTE DE COLETA"/>
    <s v="COLETA DOMICILIAR"/>
    <s v="DIURNO"/>
    <s v="06:00 - 11:00 - 13:00 - 15:20 / Seg a Sab / Dom DSR"/>
    <d v="1986-10-12T00:00:00"/>
    <s v="Solteiro"/>
    <s v="Ativo"/>
    <x v="0"/>
  </r>
  <r>
    <s v="2770002675"/>
    <s v="MAURICIO DE SOUZA ANDRADE"/>
    <d v="2021-10-13T00:00:00"/>
    <s v="A"/>
    <s v="AGENTE DE COLETA"/>
    <s v="COLETA DOMICILIAR"/>
    <s v="DIURNO"/>
    <s v="06:00 - 11:00 - 13:00 - 15:20 / Seg a Sab / Dom DSR"/>
    <d v="1992-09-26T00:00:00"/>
    <s v="Solteiro"/>
    <s v="Ativo"/>
    <x v="0"/>
  </r>
  <r>
    <s v="2770002689"/>
    <s v="MAX PEREIRA DOS SANTOS"/>
    <d v="2021-11-03T00:00:00"/>
    <s v="F"/>
    <s v="AGENTE DE COLETA"/>
    <s v="COLETA DOMICILIAR"/>
    <s v="DIURNO"/>
    <s v="06:00 - 11:00 - 13:00 - 15:20 / Seg a Sab / Dom DSR"/>
    <d v="2000-02-19T00:00:00"/>
    <s v="Solteiro"/>
    <s v="Férias"/>
    <x v="0"/>
  </r>
  <r>
    <s v="2770003241"/>
    <s v="MAX THIAGO DO CARMO SILVA"/>
    <d v="2023-10-13T00:00:00"/>
    <s v="A"/>
    <s v="AGENTE DE COLETA"/>
    <s v="COLETA DOMICILIAR"/>
    <s v="DIURNO"/>
    <s v="06:00 - 11:00 - 13:00 - 15:20 / Seg a Sab / Dom DSR"/>
    <d v="1991-11-18T00:00:00"/>
    <s v="Solteiro"/>
    <s v="Ativo"/>
    <x v="0"/>
  </r>
  <r>
    <s v="2770003077"/>
    <s v="MILTON MARINHO BELEM FILHO"/>
    <d v="2023-02-09T00:00:00"/>
    <s v="A"/>
    <s v="AGENTE DE COLETA"/>
    <s v="COLETA DOMICILIAR"/>
    <s v="NOTURNO"/>
    <s v="18:00 - 22:00 - 00:00 - 02:55 / Seg a Sab / Dom DSR"/>
    <d v="1987-01-22T00:00:00"/>
    <s v="Solteiro"/>
    <s v="Ativo"/>
    <x v="0"/>
  </r>
  <r>
    <s v="2770002510"/>
    <s v="MOIZES PEREIRA"/>
    <d v="2021-04-19T00:00:00"/>
    <s v="A"/>
    <s v="AGENTE DE COLETA"/>
    <s v="COLETA EM AREA DE DIFICIL ACESSO II"/>
    <s v="DIURNO"/>
    <s v="06:00 - 11:00 - 13:00 - 15:20 / Seg a Sab / Dom DSR"/>
    <d v="1957-06-06T00:00:00"/>
    <s v="Solteiro"/>
    <s v="Ativo"/>
    <x v="0"/>
  </r>
  <r>
    <s v="2770002953"/>
    <s v="NAUM DA SILVA CASTRO ALFAIA"/>
    <d v="2022-10-03T00:00:00"/>
    <s v="A"/>
    <s v="AGENTE DE COLETA"/>
    <s v="COLETA DOMICILIAR"/>
    <s v="NOTURNO"/>
    <s v="18:00 - 22:00 - 00:00 - 02:55 / Seg a Sab / Dom DSR"/>
    <d v="1995-10-14T00:00:00"/>
    <s v="Solteiro"/>
    <s v="Ativo"/>
    <x v="0"/>
  </r>
  <r>
    <s v="2770003318"/>
    <s v="NILTON NASCIMENTO DOS SANTOS"/>
    <d v="2024-02-16T00:00:00"/>
    <s v="A"/>
    <s v="AGENTE DE COLETA"/>
    <s v="COLETA DOMICILIAR"/>
    <s v="DIURNO"/>
    <s v="06:00 - 11:00 - 13:00 - 15:20 / Qua, Qui e Dom / Jornada Parcial"/>
    <d v="1996-10-31T00:00:00"/>
    <s v="Solteiro"/>
    <s v="Ativo"/>
    <x v="1"/>
  </r>
  <r>
    <s v="2770003320"/>
    <s v="PATRICIO DE SOUZA DUARTE"/>
    <d v="2024-02-16T00:00:00"/>
    <s v="A"/>
    <s v="AGENTE DE COLETA"/>
    <s v="COLETA DOMICILIAR"/>
    <s v="DIURNO"/>
    <s v="06:00 - 11:00 - 13:00 - 15:20 / Qua, Qui e Dom / Jornada Parcial"/>
    <d v="1994-05-20T00:00:00"/>
    <s v="Casado"/>
    <s v="Ativo"/>
    <x v="1"/>
  </r>
  <r>
    <s v="2770002518"/>
    <s v="PAULO ROBERTO LIMA MAGALHAES"/>
    <d v="2021-05-03T00:00:00"/>
    <s v="A"/>
    <s v="AGENTE DE COLETA"/>
    <s v="COLETA DOMICILIAR"/>
    <s v="NOTURNO"/>
    <s v="18:00 - 22:00 - 00:00 - 02:55 / Seg a Sab / Dom DSR"/>
    <d v="1990-06-12T00:00:00"/>
    <s v="Solteiro"/>
    <s v="Ativo"/>
    <x v="0"/>
  </r>
  <r>
    <s v="2770003134"/>
    <s v="PAULO WILLIAM DE SOUZA CURINTIMA"/>
    <d v="2023-04-17T00:00:00"/>
    <s v="A"/>
    <s v="AGENTE DE COLETA"/>
    <s v="COLETA DOMICILIAR"/>
    <s v="NOTURNO"/>
    <s v="18:00 - 22:00 - 00:00 - 02:55 / Seg a Sab / Dom DSR"/>
    <d v="2002-06-04T00:00:00"/>
    <s v="Solteiro"/>
    <s v="Ativo"/>
    <x v="0"/>
  </r>
  <r>
    <s v="2770002584"/>
    <s v="PEDRO ALENCAR DE SOUZA NETO"/>
    <d v="2021-07-01T00:00:00"/>
    <s v="A"/>
    <s v="AGENTE DE COLETA"/>
    <s v="COLETA DOMICILIAR"/>
    <s v="NOTURNO"/>
    <s v="18:00 - 22:00 - 00:00 - 02:55 / Seg a Sab / Dom DSR"/>
    <d v="1988-09-26T00:00:00"/>
    <s v="Solteiro"/>
    <s v="Ativo"/>
    <x v="0"/>
  </r>
  <r>
    <s v="2770003155"/>
    <s v="PEDRO GABRIEL PERES PEREIRA"/>
    <d v="2023-05-17T00:00:00"/>
    <s v="A"/>
    <s v="AGENTE DE COLETA"/>
    <s v="COLETA DOMICILIAR"/>
    <s v="NOTURNO"/>
    <s v="18:00 - 22:00 - 00:00 - 02:55 / Qua, Qui e Dom / Jornada Parcial"/>
    <d v="1995-11-11T00:00:00"/>
    <s v="Solteiro"/>
    <s v="Ativo"/>
    <x v="1"/>
  </r>
  <r>
    <s v="2770002786"/>
    <s v="PEDRO IGOR FIDELIS FELICIANO"/>
    <d v="2022-02-14T00:00:00"/>
    <s v="A"/>
    <s v="AGENTE DE COLETA"/>
    <s v="COLETA DOMICILIAR"/>
    <s v="DIURNO"/>
    <s v="06:00 - 11:00 - 13:00 - 15:20 / Seg a Sab / Dom DSR"/>
    <d v="1997-10-31T00:00:00"/>
    <s v="Solteiro"/>
    <s v="Ativo"/>
    <x v="0"/>
  </r>
  <r>
    <s v="2770002646"/>
    <s v="PEDRO PAULO DOS SANTOS RAFAEL JUNIOR"/>
    <d v="2021-09-01T00:00:00"/>
    <s v="F"/>
    <s v="AGENTE DE COLETA"/>
    <s v="COLETA DOMICILIAR"/>
    <s v="NOTURNO"/>
    <s v="18:00 - 22:00 - 00:00 - 02:55 / Seg a Sab / Dom DSR"/>
    <d v="1988-03-15T00:00:00"/>
    <s v="Casado"/>
    <s v="Férias"/>
    <x v="0"/>
  </r>
  <r>
    <s v="2770002709"/>
    <s v="PEDRO SERGIO DE SOUZA CHAVES"/>
    <d v="2021-11-18T00:00:00"/>
    <s v="F"/>
    <s v="AGENTE DE COLETA"/>
    <s v="COLETA DOMICILIAR"/>
    <s v="DIURNO"/>
    <s v="06:00 - 11:00 - 13:00 - 15:20 / Seg a Sab / Dom DSR"/>
    <d v="1997-09-15T00:00:00"/>
    <s v="Solteiro"/>
    <s v="Férias"/>
    <x v="0"/>
  </r>
  <r>
    <s v="2770002821"/>
    <s v="PETHERSON MATHEUS DOS SANTOS COSTA"/>
    <d v="2022-04-13T00:00:00"/>
    <s v="A"/>
    <s v="AGENTE DE COLETA"/>
    <s v="COLETA DOMICILIAR"/>
    <s v="NOTURNO"/>
    <s v="18:00 - 22:00 - 00:00 - 02:55 / Seg a Sab / Dom DSR"/>
    <d v="1999-04-10T00:00:00"/>
    <s v="Solteiro"/>
    <s v="Ativo"/>
    <x v="0"/>
  </r>
  <r>
    <s v="2770003319"/>
    <s v="RAFAEL BARRETO DA SILVA"/>
    <d v="2024-02-16T00:00:00"/>
    <s v="A"/>
    <s v="AGENTE DE COLETA"/>
    <s v="COLETA DOMICILIAR"/>
    <s v="DIURNO"/>
    <s v="06:00 - 11:00 - 13:00 - 15:20 / Qua, Qui e Dom / Jornada Parcial"/>
    <d v="1997-02-23T00:00:00"/>
    <s v="Solteiro"/>
    <s v="Ativo"/>
    <x v="1"/>
  </r>
  <r>
    <s v="2770002509"/>
    <s v="RAFAELA BANDEIRA DA SILVA"/>
    <d v="2021-04-19T00:00:00"/>
    <s v="A"/>
    <s v="AGENTE DE COLETA"/>
    <s v="COLETA EM AREA DE DIFICIL ACESSO II"/>
    <s v="DIURNO"/>
    <s v="06:00 - 11:00 - 13:00 - 15:20 / Seg a Sab / Dom DSR"/>
    <d v="1986-12-29T00:00:00"/>
    <s v="Solteiro"/>
    <s v="Ativo"/>
    <x v="0"/>
  </r>
  <r>
    <s v="2770003302"/>
    <s v="RAILSON DE LIMA SILVA"/>
    <d v="2024-01-08T00:00:00"/>
    <s v="A"/>
    <s v="AGENTE DE COLETA"/>
    <s v="COLETA DOMICILIAR"/>
    <s v="DIURNO"/>
    <s v="06:00 - 11:00 - 13:00 - 15:20 / Seg e Ter / 07:00 - 11:00 - 13:00 - 16:20 / Dom / Jornada Parcial"/>
    <d v="1991-05-09T00:00:00"/>
    <s v="Solteiro"/>
    <s v="Ativo"/>
    <x v="1"/>
  </r>
  <r>
    <s v="2770003182"/>
    <s v="RAILTON KAYCK DE SOUZA DA SILVA"/>
    <d v="2023-07-06T00:00:00"/>
    <s v="A"/>
    <s v="AGENTE DE COLETA"/>
    <s v="COLETA DOMICILIAR"/>
    <s v="DIURNO"/>
    <s v="06:00 - 11:00 - 13:00 - 15:20 / Seg a Sab / Dom DSR"/>
    <d v="2001-06-20T00:00:00"/>
    <s v="Solteiro"/>
    <s v="Ativo"/>
    <x v="0"/>
  </r>
  <r>
    <s v="2770002207"/>
    <s v="RAIMUNDO DA SILVA SANTOS"/>
    <d v="2020-02-04T00:00:00"/>
    <s v="A"/>
    <s v="AGENTE DE COLETA"/>
    <s v="COLETA DOMICILIAR"/>
    <s v="NOTURNO"/>
    <s v="18:00 - 22:00 - 00:00 - 02:55 / Seg a Sab / Dom DSR"/>
    <d v="1988-08-31T00:00:00"/>
    <s v="Casado"/>
    <s v="Ativo"/>
    <x v="0"/>
  </r>
  <r>
    <s v="2770000477"/>
    <s v="RAIMUNDO FERNANDO DA COSTA"/>
    <d v="2013-02-08T00:00:00"/>
    <s v="A"/>
    <s v="AGENTE DE COLETA"/>
    <s v="COLETA DOMICILIAR"/>
    <s v="NOTURNO"/>
    <s v="22:00 - 02:00 - 03:00 - 05:25 / Seg a Sab / Dom DSR"/>
    <d v="1979-02-06T00:00:00"/>
    <s v="Solteiro"/>
    <s v="Ativo"/>
    <x v="0"/>
  </r>
  <r>
    <s v="2770002105"/>
    <s v="RAIMUNDO LIMA DE ANDRADE FILHO"/>
    <d v="2019-08-01T00:00:00"/>
    <s v="A"/>
    <s v="AGENTE DE COLETA"/>
    <s v="COLETA DOMICILIAR"/>
    <s v="NOTURNO"/>
    <s v="18:00 - 22:00 - 00:00 - 02:55 / Seg a Sab / Dom DSR"/>
    <d v="1992-11-05T00:00:00"/>
    <s v="Solteiro"/>
    <s v="Ativo"/>
    <x v="0"/>
  </r>
  <r>
    <s v="2770003021"/>
    <s v="RAIR BARROSO DA SILVA"/>
    <d v="2022-12-01T00:00:00"/>
    <s v="F"/>
    <s v="AGENTE DE COLETA"/>
    <s v="COLETA DOMICILIAR"/>
    <s v="NOTURNO"/>
    <s v="18:00 - 22:00 - 00:00 - 02:55 / Seg a Sab / Dom DSR"/>
    <d v="1993-08-19T00:00:00"/>
    <s v="Solteiro"/>
    <s v="Férias"/>
    <x v="0"/>
  </r>
  <r>
    <s v="2770003003"/>
    <s v="RAIR MACIEL DA SILVA"/>
    <d v="2022-11-09T00:00:00"/>
    <s v="A"/>
    <s v="AGENTE DE COLETA"/>
    <s v="COLETA DOMICILIAR"/>
    <s v="DIURNO"/>
    <s v="06:00 - 11:00 - 13:00 - 15:20 / Seg e Ter / 07:00 - 11:00 - 13:00 - 16:20 / Dom / Jornada Parcial"/>
    <d v="1992-02-12T00:00:00"/>
    <s v="Solteiro"/>
    <s v="Ativo"/>
    <x v="1"/>
  </r>
  <r>
    <s v="2770003093"/>
    <s v="RALYSON ROCHA NEVES"/>
    <d v="2023-03-08T00:00:00"/>
    <s v="A"/>
    <s v="AGENTE DE COLETA"/>
    <s v="COLETA DOMICILIAR"/>
    <s v="NOTURNO"/>
    <s v="18:00 - 22:00 - 00:00 - 02:55 / Sex a Dom / Jornada Parcial"/>
    <d v="1999-11-27T00:00:00"/>
    <s v="Solteiro"/>
    <s v="Ativo"/>
    <x v="1"/>
  </r>
  <r>
    <s v="2770001769"/>
    <s v="REGINALDO CANDIDO DOS SANTOS"/>
    <d v="2017-11-06T00:00:00"/>
    <s v="A"/>
    <s v="AGENTE DE COLETA"/>
    <s v="COLETA DOMICILIAR"/>
    <s v="DIURNO"/>
    <s v="06:00 - 11:00 - 12:00 - 14:20 / Seg a Sab / Dom DSR"/>
    <d v="1997-10-10T00:00:00"/>
    <s v="Solteiro"/>
    <s v="Ativo"/>
    <x v="0"/>
  </r>
  <r>
    <s v="2770001479"/>
    <s v="RENATO DA SILVA RODRIGUES"/>
    <d v="2016-12-02T00:00:00"/>
    <s v="A"/>
    <s v="AGENTE DE COLETA"/>
    <s v="COLETA DOMICILIAR"/>
    <s v="DIURNO"/>
    <s v="06:00 - 11:00 - 13:00 - 15:20 / Seg a Sab / Dom DSR"/>
    <d v="1987-01-29T00:00:00"/>
    <s v="Solteiro"/>
    <s v="Ativo"/>
    <x v="0"/>
  </r>
  <r>
    <s v="2770003265"/>
    <s v="RENETH PAZ NUNES"/>
    <d v="2023-11-03T00:00:00"/>
    <s v="A"/>
    <s v="AGENTE DE COLETA"/>
    <s v="COLETA DOMICILIAR"/>
    <s v="NOTURNO"/>
    <s v="18:00 - 22:00 - 00:00 - 02:55 / Sex a Dom / Jornada Parcial"/>
    <d v="1991-06-22T00:00:00"/>
    <s v="Solteiro"/>
    <s v="Ativo"/>
    <x v="1"/>
  </r>
  <r>
    <s v="2770003204"/>
    <s v="RICARDO CARRIL MENDONCA JUNIOR"/>
    <d v="2023-08-08T00:00:00"/>
    <s v="A"/>
    <s v="AGENTE DE COLETA"/>
    <s v="COLETA DOMICILIAR"/>
    <s v="FOLGA"/>
    <s v="FOLGA"/>
    <d v="2000-11-03T00:00:00"/>
    <s v="Solteiro"/>
    <s v="Ativo"/>
    <x v="0"/>
  </r>
  <r>
    <s v="2770002517"/>
    <s v="RICHARD ALEXANDER MEJIA ESPINOZA"/>
    <d v="2021-05-03T00:00:00"/>
    <s v="A"/>
    <s v="AGENTE DE COLETA"/>
    <s v="COLETA DOMICILIAR"/>
    <s v="NOTURNO"/>
    <s v="18:00 - 22:00 - 00:00 - 02:55 / Seg a Sab / Dom DSR"/>
    <d v="1995-03-20T00:00:00"/>
    <s v="Solteiro"/>
    <s v="Ativo"/>
    <x v="0"/>
  </r>
  <r>
    <s v="2770003261"/>
    <s v="RICHARD GUEDES MELO"/>
    <d v="2023-11-03T00:00:00"/>
    <s v="A"/>
    <s v="AGENTE DE COLETA"/>
    <s v="COLETA DOMICILIAR"/>
    <s v="NOTURNO"/>
    <s v="18:00 - 22:00 - 00:00 - 02:55 / Seg e Ter / 14:40 - 21:00 - 23:00 - 23:52 / Dom / Jornada Parcial"/>
    <d v="2003-02-26T00:00:00"/>
    <s v="Solteiro"/>
    <s v="Ativo"/>
    <x v="1"/>
  </r>
  <r>
    <s v="2770002908"/>
    <s v="RIVALDO MACIEL GOMES"/>
    <d v="2022-08-12T00:00:00"/>
    <s v="A"/>
    <s v="AGENTE DE COLETA"/>
    <s v="COLETA DOMICILIAR"/>
    <s v="NOTURNO"/>
    <s v="18:00 - 22:00 - 00:00 - 02:55 / Seg a Sab / Dom DSR"/>
    <d v="1999-03-14T00:00:00"/>
    <s v="Solteiro"/>
    <s v="Ativo"/>
    <x v="0"/>
  </r>
  <r>
    <s v="2770002692"/>
    <s v="ROBSON DE SOUZA PINHEIRO"/>
    <d v="2021-11-03T00:00:00"/>
    <s v="F"/>
    <s v="AGENTE DE COLETA"/>
    <s v="COLETA DOMICILIAR"/>
    <s v="NOTURNO"/>
    <s v="18:00 - 22:00 - 00:00 - 02:55 / Seg a Sab / Dom DSR"/>
    <d v="1999-02-07T00:00:00"/>
    <s v="Solteiro"/>
    <s v="Férias"/>
    <x v="0"/>
  </r>
  <r>
    <s v="2770002648"/>
    <s v="RODRIGO CAETANO ARAUJO"/>
    <d v="2021-09-01T00:00:00"/>
    <s v="A"/>
    <s v="AGENTE DE COLETA"/>
    <s v="PODACAO"/>
    <s v="DIURNO"/>
    <s v="06:00 - 11:00 - 13:00 - 15:20 / Seg a Sab / Dom DSR"/>
    <d v="1990-11-30T00:00:00"/>
    <s v="Solteiro"/>
    <s v="Ativo"/>
    <x v="0"/>
  </r>
  <r>
    <s v="2770000468"/>
    <s v="RODRIGO DOS SANTOS MAIA"/>
    <d v="2013-02-08T00:00:00"/>
    <s v="A"/>
    <s v="AGENTE DE COLETA"/>
    <s v="COLETA DOMICILIAR"/>
    <s v="NOTURNO"/>
    <s v="18:00 - 22:00 - 00:00 - 02:55 / Seg a Sab / Dom DSR"/>
    <d v="1986-01-13T00:00:00"/>
    <s v="Solteiro"/>
    <s v="Ativo"/>
    <x v="0"/>
  </r>
  <r>
    <s v="2770002737"/>
    <s v="RODRIGO DOS SANTOS PEREIRA"/>
    <d v="2021-12-06T00:00:00"/>
    <s v="A"/>
    <s v="AGENTE DE COLETA"/>
    <s v="COLETA DOMICILIAR"/>
    <s v="NOTURNO"/>
    <s v="18:00 - 22:00 - 00:00 - 02:55 / Seg a Sab / Dom DSR"/>
    <d v="1995-11-18T00:00:00"/>
    <s v="Solteiro"/>
    <s v="Ativo"/>
    <x v="0"/>
  </r>
  <r>
    <s v="2770002665"/>
    <s v="RODRIGO DUTRA DAS CHAGAS"/>
    <d v="2021-10-04T00:00:00"/>
    <s v="A"/>
    <s v="AGENTE DE COLETA"/>
    <s v="COLETA DOMICILIAR"/>
    <s v="DIURNO"/>
    <s v="06:00 - 11:00 - 13:00 - 15:20 / Seg a Sab / Dom DSR"/>
    <d v="1996-05-27T00:00:00"/>
    <s v="Solteiro"/>
    <s v="Ativo"/>
    <x v="0"/>
  </r>
  <r>
    <s v="2770003308"/>
    <s v="RODRIGO NEVES DA SILVA"/>
    <d v="2024-01-16T00:00:00"/>
    <s v="A"/>
    <s v="AGENTE DE COLETA"/>
    <s v="COLETA DOMICILIAR"/>
    <s v="DIURNO"/>
    <s v="06:00 - 11:00 - 13:00 - 15:20 / Sex a Dom / Jornada Parcial"/>
    <d v="1991-06-30T00:00:00"/>
    <s v="Solteiro"/>
    <s v="Ativo"/>
    <x v="1"/>
  </r>
  <r>
    <s v="2770000149"/>
    <s v="RONALDO BRUCE DE FIGUEIREDO"/>
    <d v="2013-02-08T00:00:00"/>
    <s v="A"/>
    <s v="AGENTE DE COLETA"/>
    <s v="LIMPEZA DE FEIRAS"/>
    <s v="DIURNO"/>
    <s v="06:00 - 11:00 - 13:00 - 15:20 / Seg a Sab / Dom DSR"/>
    <d v="1968-07-29T00:00:00"/>
    <s v="Solteiro"/>
    <s v="Ativo"/>
    <x v="0"/>
  </r>
  <r>
    <s v="2770000129"/>
    <s v="RONALDO DA SILVA"/>
    <d v="2013-02-08T00:00:00"/>
    <s v="A"/>
    <s v="AGENTE DE COLETA"/>
    <s v="COLETA DOMICILIAR II AVENIDAS"/>
    <s v="DIURNO"/>
    <s v="06:00 - 11:00 - 13:00 - 15:20 / Seg a Sab / Dom DSR"/>
    <d v="1979-07-18T00:00:00"/>
    <s v="Solteiro"/>
    <s v="Ativo"/>
    <x v="0"/>
  </r>
  <r>
    <s v="2770000343"/>
    <s v="RONDINELES MOREIRA LEITE"/>
    <d v="2013-02-08T00:00:00"/>
    <s v="A"/>
    <s v="AGENTE DE COLETA"/>
    <s v="COLETA DOMICILIAR"/>
    <s v="DIURNO"/>
    <s v="06:00 - 11:00 - 13:00 - 15:20 / Seg a Sab / Dom DSR"/>
    <d v="1977-02-08T00:00:00"/>
    <s v="Solteiro"/>
    <s v="Ativo"/>
    <x v="0"/>
  </r>
  <r>
    <s v="2770003311"/>
    <s v="ROSENILDO GOMES RAMOS"/>
    <d v="2024-01-16T00:00:00"/>
    <s v="A"/>
    <s v="AGENTE DE COLETA"/>
    <s v="COLETA DOMICILIAR"/>
    <s v="DIURNO"/>
    <s v="06:00 - 11:00 - 13:00 - 15:20 / Qua, Qui e Dom / Jornada Parcial"/>
    <d v="1991-09-20T00:00:00"/>
    <s v="Solteiro"/>
    <s v="Ativo"/>
    <x v="1"/>
  </r>
  <r>
    <s v="2770003309"/>
    <s v="ROSINEY SENA COELHO"/>
    <d v="2024-01-16T00:00:00"/>
    <s v="A"/>
    <s v="AGENTE DE COLETA"/>
    <s v="COLETA DOMICILIAR"/>
    <s v="DIURNO"/>
    <s v="06:00 - 11:00 - 13:00 - 15:20 / Sex a Dom / Jornada Parcial"/>
    <d v="1990-10-03T00:00:00"/>
    <s v="Solteiro"/>
    <s v="Ativo"/>
    <x v="1"/>
  </r>
  <r>
    <s v="2770002764"/>
    <s v="ROSSIFRANK MATOS CARDOSO"/>
    <d v="2022-01-17T00:00:00"/>
    <s v="A"/>
    <s v="AGENTE DE COLETA"/>
    <s v="COLETA DOMICILIAR"/>
    <s v="NOTURNO"/>
    <s v="18:00 - 22:00 - 00:00 - 02:55 / Seg a Sab / Dom DSR"/>
    <d v="1996-08-15T00:00:00"/>
    <s v="Solteiro"/>
    <s v="Ativo"/>
    <x v="0"/>
  </r>
  <r>
    <s v="2770002916"/>
    <s v="RUAN PEREIRA MACEDO"/>
    <d v="2022-09-01T00:00:00"/>
    <s v="A"/>
    <s v="AGENTE DE COLETA"/>
    <s v="COLETA DOMICILIAR"/>
    <s v="DIURNO"/>
    <s v="06:00 - 11:00 - 13:00 - 15:20 / Seg a Sab / Dom DSR"/>
    <d v="1999-10-12T00:00:00"/>
    <s v="Solteiro"/>
    <s v="Ativo"/>
    <x v="0"/>
  </r>
  <r>
    <s v="2770003316"/>
    <s v="RUAN ROGER BRUCE PINTO"/>
    <d v="2024-02-16T00:00:00"/>
    <s v="A"/>
    <s v="AGENTE DE COLETA"/>
    <s v="COLETA DOMICILIAR"/>
    <s v="DIURNO"/>
    <s v="06:00 - 11:00 - 13:00 - 15:20 / Seg e Ter / 07:00 - 11:00 - 13:00 - 16:20 / Dom / Jornada Parcial"/>
    <d v="2002-03-20T00:00:00"/>
    <s v="Solteiro"/>
    <s v="Ativo"/>
    <x v="1"/>
  </r>
  <r>
    <s v="2770003249"/>
    <s v="SAMUEL DA SILVA DE OLIVEIRA"/>
    <d v="2023-10-13T00:00:00"/>
    <s v="A"/>
    <s v="AGENTE DE COLETA"/>
    <s v="COLETA DOMICILIAR"/>
    <s v="NOTURNO"/>
    <s v="18:00 - 22:00 - 00:00 - 02:55 / Qua, Qui e Dom / Jornada Parcial"/>
    <d v="1988-01-01T00:00:00"/>
    <s v="Casado"/>
    <s v="Ativo"/>
    <x v="1"/>
  </r>
  <r>
    <s v="2770003188"/>
    <s v="SAYD DOS SANTOS PEREIRA"/>
    <d v="2023-07-06T00:00:00"/>
    <s v="A"/>
    <s v="AGENTE DE COLETA"/>
    <s v="COLETA DOMICILIAR"/>
    <s v="NOTURNO"/>
    <s v="18:00 - 22:00 - 00:00 - 02:55 / Seg e Ter / 14:40 - 21:00 - 23:00 - 23:52 / Dom / Jornada Parcial"/>
    <d v="2001-03-17T00:00:00"/>
    <s v="Solteiro"/>
    <s v="Ativo"/>
    <x v="1"/>
  </r>
  <r>
    <s v="2770002897"/>
    <s v="SHARLISON DE OLIVEIRA CHAGAS"/>
    <d v="2022-08-12T00:00:00"/>
    <s v="A"/>
    <s v="AGENTE DE COLETA"/>
    <s v="COLETA DOMICILIAR"/>
    <s v="DIURNO"/>
    <s v="06:00 - 11:00 - 13:00 - 15:20 / Seg a Sab / Dom DSR"/>
    <d v="1994-08-02T00:00:00"/>
    <s v="Solteiro"/>
    <s v="Ativo"/>
    <x v="0"/>
  </r>
  <r>
    <s v="2770002512"/>
    <s v="SILVANA DE SANTIAGO FIGUEIREDO"/>
    <d v="2021-04-19T00:00:00"/>
    <s v="A"/>
    <s v="AGENTE DE COLETA"/>
    <s v="COLETA EM AREA DE DIFICIL ACESSO II"/>
    <s v="NOTURNO"/>
    <s v="18:00 - 22:00 - 00:00 - 02:55 / Seg a Sab / Dom DSR"/>
    <d v="1976-03-03T00:00:00"/>
    <s v="Solteiro"/>
    <s v="Ativo"/>
    <x v="0"/>
  </r>
  <r>
    <s v="2770002443"/>
    <s v="TARCILO GONZAGA DOS SANTOS"/>
    <d v="2021-01-06T00:00:00"/>
    <s v="A"/>
    <s v="AGENTE DE COLETA"/>
    <s v="COLETA DOMICILIAR"/>
    <s v="NOTURNO"/>
    <s v="18:00 - 22:00 - 00:00 - 02:55 / Seg a Sab / Dom DSR"/>
    <d v="1992-06-07T00:00:00"/>
    <s v="Solteiro"/>
    <s v="Ativo"/>
    <x v="0"/>
  </r>
  <r>
    <s v="2770003289"/>
    <s v="THALISON YHORRANN MONTEIRO"/>
    <d v="2023-12-04T00:00:00"/>
    <s v="A"/>
    <s v="AGENTE DE COLETA"/>
    <s v="COLETA DOMICILIAR"/>
    <s v="NOTURNO"/>
    <s v="18:00 - 22:00 - 00:00 - 02:55 / Sex a Dom / Jornada Parcial"/>
    <d v="2000-03-03T00:00:00"/>
    <s v="Solteiro"/>
    <s v="Ativo"/>
    <x v="1"/>
  </r>
  <r>
    <s v="2770002885"/>
    <s v="THIAGO MAR DE SA"/>
    <d v="2022-06-15T00:00:00"/>
    <s v="A"/>
    <s v="AGENTE DE COLETA"/>
    <s v="COLETA DOMICILIAR"/>
    <s v="DIURNO"/>
    <s v="06:00 - 11:00 - 13:00 - 15:20 / Seg a Sab / Dom DSR"/>
    <d v="2001-06-01T00:00:00"/>
    <s v="Solteiro"/>
    <s v="Ativo"/>
    <x v="0"/>
  </r>
  <r>
    <s v="2770002918"/>
    <s v="THIAGO RODRIGUES ESTEVAO"/>
    <d v="2022-09-01T00:00:00"/>
    <s v="A"/>
    <s v="AGENTE DE COLETA"/>
    <s v="COLETA DOMICILIAR"/>
    <s v="DIURNO"/>
    <s v="06:00 - 11:00 - 13:00 - 15:20 / Seg a Sab / Dom DSR"/>
    <d v="1999-09-28T00:00:00"/>
    <s v="Solteiro"/>
    <s v="Ativo"/>
    <x v="0"/>
  </r>
  <r>
    <s v="2770003091"/>
    <s v="THIAGO SILVA E SILVA"/>
    <d v="2023-03-08T00:00:00"/>
    <s v="A"/>
    <s v="AGENTE DE COLETA"/>
    <s v="COLETA DOMICILIAR"/>
    <s v="DIURNO"/>
    <s v="06:00 - 11:00 - 13:00 - 15:20 / Seg a Sab / Dom DSR"/>
    <d v="1991-02-09T00:00:00"/>
    <s v="Solteiro"/>
    <s v="Ativo"/>
    <x v="0"/>
  </r>
  <r>
    <s v="2770000888"/>
    <s v="VALCEMIR ALEXANDRE DE OLIVEIRA"/>
    <d v="2013-09-02T00:00:00"/>
    <s v="A"/>
    <s v="AGENTE DE COLETA"/>
    <s v="COLETA DOMICILIAR II AVENIDAS"/>
    <s v="DIURNO"/>
    <s v="06:00 - 11:00 - 13:00 - 15:20 / Seg a Sab / Dom DSR"/>
    <d v="1979-05-28T00:00:00"/>
    <s v="Solteiro"/>
    <s v="Ativo"/>
    <x v="0"/>
  </r>
  <r>
    <s v="2770002776"/>
    <s v="VALCICLE ARAGAO DE MELO"/>
    <d v="2022-02-02T00:00:00"/>
    <s v="A"/>
    <s v="AGENTE DE COLETA"/>
    <s v="COLETA DOMICILIAR"/>
    <s v="NOTURNO"/>
    <s v="18:00 - 22:00 - 00:00 - 02:55 / Seg a Sab / Dom DSR"/>
    <d v="1994-11-02T00:00:00"/>
    <s v="Solteiro"/>
    <s v="Ativo"/>
    <x v="0"/>
  </r>
  <r>
    <s v="2770000523"/>
    <s v="VALDENILSON SOUSA DE OLIVEIRA"/>
    <d v="2013-02-08T00:00:00"/>
    <s v="A"/>
    <s v="AGENTE DE COLETA"/>
    <s v="PODACAO"/>
    <s v="NOTURNO"/>
    <s v="17:00 - 22:00 - 00:00 - 02:02 / Seg a Sab / Dom DSR"/>
    <d v="1976-05-15T00:00:00"/>
    <s v="Solteiro"/>
    <s v="Ativo"/>
    <x v="0"/>
  </r>
  <r>
    <s v="2770001125"/>
    <s v="VANDELSON ALVES DE FREITAS"/>
    <d v="2014-06-13T00:00:00"/>
    <s v="A"/>
    <s v="AGENTE DE COLETA"/>
    <s v="COLETA DOMICILIAR"/>
    <s v="DIURNO"/>
    <s v="06:00 - 11:00 - 13:00 - 15:20 / Seg a Sab / Dom DSR"/>
    <d v="1982-11-24T00:00:00"/>
    <s v="Solteiro"/>
    <s v="Ativo"/>
    <x v="0"/>
  </r>
  <r>
    <s v="2770000497"/>
    <s v="VANDENILSON GALDINO DA CRUZ"/>
    <d v="2013-02-08T00:00:00"/>
    <s v="A"/>
    <s v="AGENTE DE COLETA"/>
    <s v="COLETA DOMICILIAR"/>
    <s v="DIURNO"/>
    <s v="06:00 - 11:00 - 13:00 - 15:20 / Seg a Sab / Dom DSR"/>
    <d v="1986-03-18T00:00:00"/>
    <s v="Solteiro"/>
    <s v="Ativo"/>
    <x v="0"/>
  </r>
  <r>
    <s v="2770003156"/>
    <s v="VICTOR COELHO DE OLIVEIRA"/>
    <d v="2023-05-17T00:00:00"/>
    <s v="A"/>
    <s v="AGENTE DE COLETA"/>
    <s v="COLETA DOMICILIAR"/>
    <s v="NOTURNO"/>
    <s v="18:00 - 22:00 - 00:00 - 02:55 / Seg a Sab / Dom DSR"/>
    <d v="2000-08-19T00:00:00"/>
    <s v="Solteiro"/>
    <s v="Ativo"/>
    <x v="0"/>
  </r>
  <r>
    <s v="2770003048"/>
    <s v="VIVIAN DA SILVA PINTO"/>
    <d v="2022-12-07T00:00:00"/>
    <s v="A"/>
    <s v="AGENTE DE COLETA"/>
    <s v="COLETA EM AREA DE DIFICIL ACESSO II"/>
    <s v="DIURNO"/>
    <s v="06:00 - 11:00 - 13:00 - 15:20 / Seg a Sab / Dom DSR"/>
    <d v="1982-05-03T00:00:00"/>
    <s v="Solteiro"/>
    <s v="Ativo"/>
    <x v="0"/>
  </r>
  <r>
    <s v="2770002520"/>
    <s v="WAGNER GOMES DA LUZ"/>
    <d v="2021-05-03T00:00:00"/>
    <s v="A"/>
    <s v="AGENTE DE COLETA"/>
    <s v="COLETA DOMICILIAR"/>
    <s v="DIURNO"/>
    <s v="06:00 - 11:00 - 13:00 - 15:20 / Seg a Sab / Dom DSR"/>
    <d v="1995-06-18T00:00:00"/>
    <s v="Solteiro"/>
    <s v="Ativo"/>
    <x v="0"/>
  </r>
  <r>
    <s v="2770000898"/>
    <s v="WALMIR DIAS DO NASCIMENTO"/>
    <d v="2013-10-03T00:00:00"/>
    <s v="A"/>
    <s v="AGENTE DE COLETA"/>
    <s v="COLETA DOMICILIAR"/>
    <s v="DIURNO"/>
    <s v="06:00 - 11:00 - 13:00 - 15:20 / Seg a Sab / Dom DSR"/>
    <d v="1978-12-04T00:00:00"/>
    <s v="Solteiro"/>
    <s v="Ativo"/>
    <x v="0"/>
  </r>
  <r>
    <s v="2770003310"/>
    <s v="WEKXLLEN DA SILVA CASTRO"/>
    <d v="2024-01-16T00:00:00"/>
    <s v="A"/>
    <s v="AGENTE DE COLETA"/>
    <s v="COLETA DOMICILIAR"/>
    <s v="DIURNO"/>
    <s v="06:00 - 11:00 - 13:00 - 15:20 / Qua, Qui e Dom / Jornada Parcial"/>
    <d v="2000-07-04T00:00:00"/>
    <s v="Solteiro"/>
    <s v="Ativo"/>
    <x v="1"/>
  </r>
  <r>
    <s v="2770003323"/>
    <s v="WELLINGTON FLORES DE OLIVEIRA"/>
    <d v="2024-02-16T00:00:00"/>
    <s v="A"/>
    <s v="AGENTE DE COLETA"/>
    <s v="COLETA DOMICILIAR"/>
    <s v="NOTURNO"/>
    <s v="18:00 - 22:00 - 00:00 - 02:55 / Seg e Ter / 14:40 - 21:00 - 23:00 - 23:52 / Dom / Jornada Parcial"/>
    <d v="2004-06-16T00:00:00"/>
    <s v="Solteiro"/>
    <s v="Ativo"/>
    <x v="1"/>
  </r>
  <r>
    <s v="2770002254"/>
    <s v="WELLINGTON LIMA DA SILVA"/>
    <d v="2020-05-04T00:00:00"/>
    <s v="A"/>
    <s v="AGENTE DE COLETA"/>
    <s v="COLETA DOMICILIAR"/>
    <s v="NOTURNO"/>
    <s v="18:00 - 22:00 - 00:00 - 02:55 / Seg a Sab / Dom DSR"/>
    <d v="1992-12-16T00:00:00"/>
    <s v="Solteiro"/>
    <s v="Ativo"/>
    <x v="0"/>
  </r>
  <r>
    <s v="2770002836"/>
    <s v="WELLINGTON SILVA DA SILVA"/>
    <d v="2022-05-14T00:00:00"/>
    <s v="A"/>
    <s v="AGENTE DE COLETA"/>
    <s v="COLETA DOMICILIAR"/>
    <s v="DIURNO"/>
    <s v="06:00 - 11:00 - 13:00 - 15:20 / Seg a Sab / Dom DSR"/>
    <d v="1999-09-07T00:00:00"/>
    <s v="Casado"/>
    <s v="Ativo"/>
    <x v="0"/>
  </r>
  <r>
    <s v="2770003177"/>
    <s v="WELLINGTON SILVA DE PAULA VERAS"/>
    <d v="2023-06-16T00:00:00"/>
    <s v="A"/>
    <s v="AGENTE DE COLETA"/>
    <s v="COLETA DOMICILIAR"/>
    <s v="NOTURNO"/>
    <s v="18:00 - 22:00 - 00:00 - 02:55 / Seg a Sab / Dom DSR"/>
    <d v="1995-09-17T00:00:00"/>
    <s v="Solteiro"/>
    <s v="Ativo"/>
    <x v="0"/>
  </r>
  <r>
    <s v="2770003243"/>
    <s v="WENDEL ROCHA DE OLIVEIRA"/>
    <d v="2023-10-13T00:00:00"/>
    <s v="A"/>
    <s v="AGENTE DE COLETA"/>
    <s v="COLETA DOMICILIAR"/>
    <s v="DIURNO"/>
    <s v="06:00 - 11:00 - 13:00 - 15:20 / Seg a Sab / Dom DSR"/>
    <d v="2000-04-06T00:00:00"/>
    <s v="Solteiro"/>
    <s v="Ativo"/>
    <x v="0"/>
  </r>
  <r>
    <s v="2770003301"/>
    <s v="WENDERSSON PENA DE MORAES"/>
    <d v="2024-01-08T00:00:00"/>
    <s v="A"/>
    <s v="AGENTE DE COLETA"/>
    <s v="COLETA DOMICILIAR"/>
    <s v="DIURNO"/>
    <s v="06:00 - 11:00 - 13:00 - 15:20 / Qua, Qui e Dom / Jornada Parcial"/>
    <d v="2004-03-06T00:00:00"/>
    <s v="Solteiro"/>
    <s v="Ativo"/>
    <x v="1"/>
  </r>
  <r>
    <s v="2770003100"/>
    <s v="WESLLEY DOS SANTOS CORDEIRO"/>
    <d v="2023-03-08T00:00:00"/>
    <s v="A"/>
    <s v="AGENTE DE COLETA"/>
    <s v="COLETA DOMICILIAR"/>
    <s v="NOTURNO"/>
    <s v="18:00 - 22:00 - 00:00 - 02:55 / Seg a Sab / Dom DSR"/>
    <d v="1996-06-06T00:00:00"/>
    <s v="Solteiro"/>
    <s v="Ativo"/>
    <x v="0"/>
  </r>
  <r>
    <s v="2770001587"/>
    <s v="WESLLEY FONTENELLE PEREIRA DA SILVA"/>
    <d v="2017-05-02T00:00:00"/>
    <s v="A"/>
    <s v="AGENTE DE COLETA"/>
    <s v="COLETA DOMICILIAR"/>
    <s v="DIURNO"/>
    <s v="06:00 - 11:00 - 13:00 - 15:20 / Seg a Sab / Dom DSR"/>
    <d v="1992-08-30T00:00:00"/>
    <s v="Solteiro"/>
    <s v="Ativo"/>
    <x v="0"/>
  </r>
  <r>
    <s v="2770003113"/>
    <s v="WESLLEY RICHARD DE SOUZA DANTAS"/>
    <d v="2023-03-16T00:00:00"/>
    <s v="A"/>
    <s v="AGENTE DE COLETA"/>
    <s v="COLETA DOMICILIAR"/>
    <s v="NOTURNO"/>
    <s v="18:00 - 22:00 - 00:00 - 02:55 / Seg a Sab / Dom DSR"/>
    <d v="2004-05-01T00:00:00"/>
    <s v="Solteiro"/>
    <s v="Ativo"/>
    <x v="0"/>
  </r>
  <r>
    <s v="2770002972"/>
    <s v="WILKER BRAGA GOMES"/>
    <d v="2022-11-03T00:00:00"/>
    <s v="A"/>
    <s v="AGENTE DE COLETA"/>
    <s v="COLETA DOMICILIAR"/>
    <s v="NOTURNO"/>
    <s v="18:00 - 22:00 - 00:00 - 02:55 / Seg a Sab / Dom DSR"/>
    <d v="1993-12-27T00:00:00"/>
    <s v="Solteiro"/>
    <s v="Ativo"/>
    <x v="0"/>
  </r>
  <r>
    <s v="2770003287"/>
    <s v="YURI BORGES DA SILVA"/>
    <d v="2023-12-04T00:00:00"/>
    <s v="A"/>
    <s v="AGENTE DE COLETA"/>
    <s v="COLETA DOMICILIAR"/>
    <s v="NOTURNO"/>
    <s v="18:00 - 22:00 - 00:00 - 02:55 / Qua, Qui e Dom / Jornada Parcial"/>
    <d v="1994-02-20T00:00:00"/>
    <s v="Solteiro"/>
    <s v="Ativo"/>
    <x v="1"/>
  </r>
  <r>
    <s v="2770002881"/>
    <s v="ADRIANO WALBEG DA SILVA PINTO"/>
    <d v="2022-06-01T00:00:00"/>
    <s v="A"/>
    <s v="MOTORISTA"/>
    <s v="COLETA DOMICILIAR"/>
    <s v="NOTURNO"/>
    <s v="18:00 - 22:00 - 22:30 - 02:00 / Seg / 18:00 - 22:00 - 22:30 - 01:25 / Ter / Dom DSR"/>
    <d v="1980-08-04T00:00:00"/>
    <s v="Solteiro"/>
    <s v="Ativo"/>
    <x v="0"/>
  </r>
  <r>
    <s v="2770002361"/>
    <s v="ALEXSANDRO OLIVEIRA DE ASSUNCAO"/>
    <d v="2020-09-18T00:00:00"/>
    <s v="A"/>
    <s v="MOTORISTA"/>
    <s v="COLETA DOMICILIAR"/>
    <s v="DIURNO"/>
    <s v="07:00 - 11:00 - 11:30 - 14:50 / Seg a Sab / Dom DSR"/>
    <d v="1993-06-22T00:00:00"/>
    <s v="Solteiro"/>
    <s v="Ativo"/>
    <x v="0"/>
  </r>
  <r>
    <s v="2770003229"/>
    <s v="ANDERSON CASTRO FREITAS"/>
    <d v="2023-09-13T00:00:00"/>
    <s v="A"/>
    <s v="MOTORISTA"/>
    <s v="COLETA DOMICILIAR"/>
    <s v="NOTURNO"/>
    <s v="18:00 - 22:00 - 22:30 - 02:00 / Seg / 18:00 - 22:00 - 22:30 - 01:25 / Ter / Dom DSR"/>
    <d v="1985-03-07T00:00:00"/>
    <s v="Casado"/>
    <s v="Ativo"/>
    <x v="0"/>
  </r>
  <r>
    <s v="2770003056"/>
    <s v="ANDERSON GIBSON FRANCO"/>
    <d v="2023-01-12T00:00:00"/>
    <s v="A"/>
    <s v="MOTORISTA"/>
    <s v="COLETA DOMICILIAR"/>
    <s v="DIURNO"/>
    <s v="06:00 - 11:00 - 11:30 - 14:30 / Seg / 06:00 - 11:00 - 11:30 - 13:50 / Ter / Dom DSR"/>
    <d v="1990-10-26T00:00:00"/>
    <s v="Solteiro"/>
    <s v="Ativo"/>
    <x v="0"/>
  </r>
  <r>
    <s v="2770003304"/>
    <s v="ANDERSON MACIEL MOREIRA"/>
    <d v="2024-01-08T00:00:00"/>
    <s v="A"/>
    <s v="MOTORISTA"/>
    <s v="COLETA DOMICILIAR"/>
    <s v="DIURNO"/>
    <s v="06:00 - 11:00 - 11:30 - 14:30 / Seg / 06:00 - 11:00 - 11:30 - 13:50 / Ter / Dom DSR"/>
    <d v="1982-04-08T00:00:00"/>
    <s v="Casado"/>
    <s v="Ativo"/>
    <x v="0"/>
  </r>
  <r>
    <s v="2770000172"/>
    <s v="ANDRE LUIZ JESUS DE SOUZA"/>
    <d v="2013-02-08T00:00:00"/>
    <s v="A"/>
    <s v="MOTORISTA"/>
    <s v="COLETA DOMICILIAR"/>
    <s v="DIURNO"/>
    <s v="06:00 - 11:00 - 11:30 - 14:30 / Seg / 06:00 - 11:00 - 11:30 - 13:50 / Ter / Dom DSR"/>
    <d v="1979-08-03T00:00:00"/>
    <s v="Solteiro"/>
    <s v="Ativo"/>
    <x v="0"/>
  </r>
  <r>
    <s v="2770002379"/>
    <s v="ANTONIO FERREIRA DE SOUZA JUNIOR"/>
    <d v="2020-10-14T00:00:00"/>
    <s v="A"/>
    <s v="MOTORISTA"/>
    <s v="COLETA DOMICILIAR"/>
    <s v="NOTURNO"/>
    <s v="18:00 - 22:00 - 22:30 - 02:00 / Seg / 18:00 - 22:00 - 22:30 - 01:25 / Ter / Dom DSR"/>
    <d v="1982-08-11T00:00:00"/>
    <s v="Solteiro"/>
    <s v="Ativo"/>
    <x v="0"/>
  </r>
  <r>
    <s v="2770002381"/>
    <s v="ANTONIO JOSE COSTA DE SOUZA"/>
    <d v="2020-10-14T00:00:00"/>
    <s v="A"/>
    <s v="MOTORISTA"/>
    <s v="COLETA DOMICILIAR"/>
    <s v="DIURNO"/>
    <s v="07:00 - 11:00 - 11:30 - 14:50 / Seg a Sab / Dom DSR"/>
    <d v="1969-08-05T00:00:00"/>
    <s v="Casado"/>
    <s v="Ativo"/>
    <x v="0"/>
  </r>
  <r>
    <s v="2770002272"/>
    <s v="ANTONIO SILVA DE ARAUJO"/>
    <d v="2020-06-01T00:00:00"/>
    <s v="A"/>
    <s v="MOTORISTA"/>
    <s v="COLETA DOMICILIAR"/>
    <s v="DIURNO"/>
    <s v="06:00 - 11:00 - 11:30 - 14:30 / Seg / 06:00 - 11:00 - 11:30 - 13:50 / Ter / Dom DSR"/>
    <d v="1988-10-26T00:00:00"/>
    <s v="Solteiro"/>
    <s v="Ativo"/>
    <x v="0"/>
  </r>
  <r>
    <s v="2770002131"/>
    <s v="BRUNO JEAN OLIVEIRA DA COSTA"/>
    <d v="2019-10-04T00:00:00"/>
    <s v="A"/>
    <s v="MOTORISTA"/>
    <s v="LIMPEZA DE FEIRAS"/>
    <s v="NOTURNO"/>
    <s v="18:00 - 22:00 - 22:30 - 02:00 / Seg / 18:00 - 22:00 - 22:30 - 01:25 / Ter / Dom DSR"/>
    <d v="1986-05-09T00:00:00"/>
    <s v="Solteiro"/>
    <s v="Ativo"/>
    <x v="0"/>
  </r>
  <r>
    <s v="2770003268"/>
    <s v="BRUNO MONTEIRO DE OLIVEIRA"/>
    <d v="2023-11-03T00:00:00"/>
    <s v="A"/>
    <s v="MOTORISTA"/>
    <s v="COLETA DOMICILIAR"/>
    <s v="NOTURNO"/>
    <s v="18:00 - 22:00 - 22:30 - 02:00 / Seg / 18:00 - 22:00 - 22:30 - 01:25 / Ter / Dom DSR"/>
    <d v="1986-11-27T00:00:00"/>
    <s v="Solteiro"/>
    <s v="Ativo"/>
    <x v="0"/>
  </r>
  <r>
    <s v="2770002538"/>
    <s v="CARLOS ROBERTO MIRANDA COSTA"/>
    <d v="2021-05-10T00:00:00"/>
    <s v="A"/>
    <s v="MOTORISTA"/>
    <s v="COLETA DOMICILIAR"/>
    <s v="NOTURNO"/>
    <s v="18:00 - 22:00 - 22:30 - 02:00 / Seg / 18:00 - 22:00 - 22:30 - 01:25 / Ter / Dom DSR"/>
    <d v="1981-09-06T00:00:00"/>
    <s v="Solteiro"/>
    <s v="Ativo"/>
    <x v="0"/>
  </r>
  <r>
    <s v="2770003267"/>
    <s v="CLODOALDO TEODORO DOS SANTOS"/>
    <d v="2023-11-03T00:00:00"/>
    <s v="A"/>
    <s v="MOTORISTA"/>
    <s v="COLETA DOMICILIAR"/>
    <s v="NOTURNO"/>
    <s v="18:00 - 22:00 - 22:30 - 02:00 / Seg / 18:00 - 22:00 - 22:30 - 01:25 / Ter / Dom DSR"/>
    <d v="1977-11-13T00:00:00"/>
    <s v="Solteiro"/>
    <s v="Ativo"/>
    <x v="0"/>
  </r>
  <r>
    <s v="2770001800"/>
    <s v="CLODOMIRO FILHO SILVEIRA"/>
    <d v="2017-12-05T00:00:00"/>
    <s v="F"/>
    <s v="MOTORISTA"/>
    <s v="COLETA DOMICILIAR"/>
    <s v="NOTURNO"/>
    <s v="18:00 - 22:00 - 22:30 - 02:00 / Seg / 18:00 - 22:00 - 22:30 - 01:25 / Ter / Dom DSR"/>
    <d v="1986-10-15T00:00:00"/>
    <s v="Solteiro"/>
    <s v="Férias"/>
    <x v="0"/>
  </r>
  <r>
    <s v="2770003250"/>
    <s v="DANIEL PAIVA DACIO"/>
    <d v="2023-10-13T00:00:00"/>
    <s v="A"/>
    <s v="MOTORISTA"/>
    <s v="COLETA DOMICILIAR"/>
    <s v="DIURNO"/>
    <s v="06:00 - 11:00 - 11:30 - 14:30 / Seg / 06:00 - 11:00 - 11:30 - 13:50 / Ter / Dom DSR"/>
    <d v="1998-10-04T00:00:00"/>
    <s v="Solteiro"/>
    <s v="Ativo"/>
    <x v="0"/>
  </r>
  <r>
    <s v="2770003191"/>
    <s v="DENIS RIBEIRO OTAPIASSIS"/>
    <d v="2023-07-06T00:00:00"/>
    <s v="A"/>
    <s v="MOTORISTA"/>
    <s v="COLETA DOMICILIAR"/>
    <s v="DIURNO"/>
    <s v="06:00 - 11:00 - 11:30 - 14:30 / Seg / 06:00 - 11:00 - 11:30 - 13:50 / Ter / Dom DSR"/>
    <d v="1975-06-03T00:00:00"/>
    <s v="Solteiro"/>
    <s v="Ativo"/>
    <x v="0"/>
  </r>
  <r>
    <s v="2770000036"/>
    <s v="DEUSTEVAN CARNEIRO DA SILVA"/>
    <d v="2013-02-08T00:00:00"/>
    <s v="A"/>
    <s v="MOTORISTA"/>
    <s v="COLETA DOMICILIAR II AVENIDAS"/>
    <s v="INTERMEDIARIO"/>
    <s v="06:20 - 11:20 - 11:50 - 14:50 / Seg / 06:20 - 11:20 - 11:50 - 14:10 / Ter / Dom DSR"/>
    <d v="1964-07-12T00:00:00"/>
    <s v="Solteiro"/>
    <s v="Ativo"/>
    <x v="0"/>
  </r>
  <r>
    <s v="2770002265"/>
    <s v="DONIELSON PEREIRA DA SILVA"/>
    <d v="2020-05-12T00:00:00"/>
    <s v="A"/>
    <s v="MOTORISTA"/>
    <s v="COLETA DOMICILIAR"/>
    <s v="DIURNO"/>
    <s v="06:00 - 11:00 - 11:30 - 14:30 / Seg / 06:00 - 11:00 - 11:30 - 13:50 / Ter / Dom DSR"/>
    <d v="1985-11-27T00:00:00"/>
    <s v="Solteiro"/>
    <s v="Ativo"/>
    <x v="0"/>
  </r>
  <r>
    <s v="2770000144"/>
    <s v="EDINARDO PERES DA SILVA BRITO"/>
    <d v="2013-02-08T00:00:00"/>
    <s v="A"/>
    <s v="MOTORISTA"/>
    <s v="COLETA DOMICILIAR"/>
    <s v="DIURNO"/>
    <s v="06:00 - 11:00 - 11:30 - 14:30 / Seg / 06:00 - 11:00 - 11:30 - 13:50 / Ter / Dom DSR"/>
    <d v="1976-09-25T00:00:00"/>
    <s v="Solteiro"/>
    <s v="Ativo"/>
    <x v="0"/>
  </r>
  <r>
    <s v="2770002650"/>
    <s v="EDSON CARDOSO DOS SANTOS"/>
    <d v="2021-09-01T00:00:00"/>
    <s v="A"/>
    <s v="MOTORISTA"/>
    <s v="COLETA DOMICILIAR"/>
    <s v="DIURNO"/>
    <s v="06:00 - 11:00 - 11:30 - 14:30 / Seg / 06:00 - 11:00 - 11:30 - 13:50 / Ter / Dom DSR"/>
    <d v="1981-07-05T00:00:00"/>
    <s v="Casado"/>
    <s v="Ativo"/>
    <x v="0"/>
  </r>
  <r>
    <s v="2770003063"/>
    <s v="EDUARDO JAIME COSTA E SILVA FILHO"/>
    <d v="2023-01-12T00:00:00"/>
    <s v="A"/>
    <s v="MOTORISTA"/>
    <s v="COLETA DOMICILIAR"/>
    <s v="NOTURNO"/>
    <s v="18:00 - 22:00 - 22:30 - 02:00 / Seg / 18:00 - 22:00 - 22:30 - 01:25 / Ter / Dom DSR"/>
    <d v="1982-10-20T00:00:00"/>
    <s v="Casado"/>
    <s v="Ativo"/>
    <x v="0"/>
  </r>
  <r>
    <s v="2770000085"/>
    <s v="ELADYO DE SALES RIBEIRO"/>
    <d v="2013-02-08T00:00:00"/>
    <s v="A"/>
    <s v="MOTORISTA"/>
    <s v="EDUCACAO AMBIENTAL"/>
    <s v="DIURNO"/>
    <s v="07:30 - 11:30 - 12:30 - 16:30 / Seg a Sex / 07:30 - 11:30 / Sab / Dom DSR "/>
    <d v="1972-10-23T00:00:00"/>
    <s v="Solteiro"/>
    <s v="Ativo"/>
    <x v="0"/>
  </r>
  <r>
    <s v="2770003192"/>
    <s v="ESMAEL TIAGO DOS SANTOS"/>
    <d v="2023-07-06T00:00:00"/>
    <s v="A"/>
    <s v="MOTORISTA"/>
    <s v="COLETA DOMICILIAR"/>
    <s v="NOTURNO"/>
    <s v="18:00 - 22:00 - 22:30 - 02:00 / Seg / 18:00 - 22:00 - 22:30 - 01:25 / Ter / Dom DSR"/>
    <d v="1985-05-21T00:00:00"/>
    <s v="Solteiro"/>
    <s v="Ativo"/>
    <x v="0"/>
  </r>
  <r>
    <s v="2770002941"/>
    <s v="EVERALDO SEIXAS MORAIS"/>
    <d v="2022-09-14T00:00:00"/>
    <s v="A"/>
    <s v="MOTORISTA"/>
    <s v="COLETA DOMICILIAR"/>
    <s v="NOTURNO"/>
    <s v="18:00 - 22:00 - 22:30 - 02:00 / Seg / 18:00 - 22:00 - 22:30 - 01:25 / Ter / Dom DSR"/>
    <d v="1977-05-04T00:00:00"/>
    <s v="Casado"/>
    <s v="Ativo"/>
    <x v="0"/>
  </r>
  <r>
    <s v="2770002936"/>
    <s v="EWERTON COELHO DE OLIVEIRA"/>
    <d v="2022-09-01T00:00:00"/>
    <s v="A"/>
    <s v="MOTORISTA"/>
    <s v="COLETA DOMICILIAR"/>
    <s v="NOTURNO"/>
    <s v="18:00 - 22:00 - 22:30 - 02:00 / Seg / 18:00 - 22:00 - 22:30 - 01:25 / Ter / Dom DSR"/>
    <d v="1981-05-10T00:00:00"/>
    <s v="Solteiro"/>
    <s v="Ativo"/>
    <x v="0"/>
  </r>
  <r>
    <s v="2770003293"/>
    <s v="FERNANDO MARQUES DA ROCHA"/>
    <d v="2023-12-04T00:00:00"/>
    <s v="A"/>
    <s v="MOTORISTA"/>
    <s v="COLETA DOMICILIAR"/>
    <s v="DIURNO"/>
    <s v="06:00 - 11:00 - 11:30 - 14:30 / Seg / 06:00 - 11:00 - 11:30 - 13:50 / Ter / Dom DSR"/>
    <d v="1980-08-08T00:00:00"/>
    <s v="Solteiro"/>
    <s v="Ativo"/>
    <x v="0"/>
  </r>
  <r>
    <s v="2770000210"/>
    <s v="FRANCISCO GUEDES DA SILVA"/>
    <d v="2013-02-08T00:00:00"/>
    <s v="A"/>
    <s v="MOTORISTA"/>
    <s v="COLETA DOMICILIAR"/>
    <s v="DIURNO"/>
    <s v="06:20 - 11:20 - 11:50 - 14:50 / Seg / 06:20 - 11:20 - 11:50 - 14:10 / Ter / Dom DSR"/>
    <d v="1980-03-04T00:00:00"/>
    <s v="Solteiro"/>
    <s v="Ativo"/>
    <x v="0"/>
  </r>
  <r>
    <s v="2770002172"/>
    <s v="FRANCISCO ORLEILSON RODRIGUES ESTEVAO"/>
    <d v="2019-11-18T00:00:00"/>
    <s v="F"/>
    <s v="MOTORISTA"/>
    <s v="COLETA DOMICILIAR"/>
    <s v="DIURNO"/>
    <s v="06:00 - 11:00 - 11:30 - 14:30 / Seg / 06:00 - 11:00 - 11:30 - 13:50 / Ter / Dom DSR"/>
    <d v="1982-12-30T00:00:00"/>
    <s v="Casado"/>
    <s v="Férias"/>
    <x v="0"/>
  </r>
  <r>
    <s v="2770002323"/>
    <s v="FRANCISCO SIDNEY BARROS DE ALMEIDA"/>
    <d v="2020-08-03T00:00:00"/>
    <s v="A"/>
    <s v="MOTORISTA"/>
    <s v="COLETA DOMICILIAR"/>
    <s v="DIURNO"/>
    <s v="FOLGA"/>
    <d v="1981-05-28T00:00:00"/>
    <s v="Casado"/>
    <s v="Ativo"/>
    <x v="0"/>
  </r>
  <r>
    <s v="2770000065"/>
    <s v="FRANCISCO SOUSA NASCIMENTO"/>
    <d v="2013-02-08T00:00:00"/>
    <s v="A"/>
    <s v="MOTORISTA"/>
    <s v="COLETA DOMICILIAR"/>
    <s v="DIURNO"/>
    <s v="07:00 - 11:00 - 11:30 - 14:50 / Seg a Sab / Dom DSR"/>
    <d v="1968-01-10T00:00:00"/>
    <s v="Solteiro"/>
    <s v="Ativo"/>
    <x v="0"/>
  </r>
  <r>
    <s v="2770002999"/>
    <s v="FRANCISCO VALDEMIR SILVA DO NASCIMENTO"/>
    <d v="2022-11-03T00:00:00"/>
    <s v="A"/>
    <s v="MOTORISTA"/>
    <s v="COLETA DOMICILIAR"/>
    <s v="NOTURNO"/>
    <s v="18:00 - 22:00 - 22:30 - 02:00 / Seg / 18:00 - 22:00 - 22:30 - 01:25 / Ter / Dom DSR"/>
    <d v="1980-11-09T00:00:00"/>
    <s v="Casado"/>
    <s v="Ativo"/>
    <x v="0"/>
  </r>
  <r>
    <s v="2770002071"/>
    <s v="GERALDO AILTON MARTINS GUIMARAES"/>
    <d v="2019-06-03T00:00:00"/>
    <s v="A"/>
    <s v="MOTORISTA"/>
    <s v="COLETA DOMICILIAR"/>
    <s v="DIURNO"/>
    <s v="06:20 - 11:20 - 11:50 - 14:50 / Seg / 06:20 - 11:20 - 11:50 - 14:10 / Ter / Dom DSR"/>
    <d v="1973-01-23T00:00:00"/>
    <s v="Solteiro"/>
    <s v="Ativo"/>
    <x v="0"/>
  </r>
  <r>
    <s v="2770000836"/>
    <s v="HENRIQUE BRITO NETO"/>
    <d v="2013-07-03T00:00:00"/>
    <s v="A"/>
    <s v="MOTORISTA"/>
    <s v="LIMPEZA DE FEIRAS"/>
    <s v="INTERMEDIARIO"/>
    <s v="14:00 - 18:00 - 18:30 - 21:50 / Seg a Sab / Dom DSR"/>
    <d v="1961-02-27T00:00:00"/>
    <s v="Solteiro"/>
    <s v="Ativo"/>
    <x v="0"/>
  </r>
  <r>
    <s v="2770002470"/>
    <s v="IOMAR CASTRO DA COSTA JUNIOR"/>
    <d v="2021-02-17T00:00:00"/>
    <s v="A"/>
    <s v="MOTORISTA"/>
    <s v="COLETA DOMICILIAR"/>
    <s v="DIURNO"/>
    <s v="06:00 - 11:00 - 11:30 - 14:30 / Seg / 06:00 - 11:00 - 11:30 - 13:50 / Ter / Dom DSR"/>
    <d v="1987-10-25T00:00:00"/>
    <s v="Casado"/>
    <s v="Ativo"/>
    <x v="0"/>
  </r>
  <r>
    <s v="2770003219"/>
    <s v="ISAIAS ROCHA DE ARAUJO"/>
    <d v="2023-08-17T00:00:00"/>
    <s v="A"/>
    <s v="MOTORISTA"/>
    <s v="COLETA DOMICILIAR"/>
    <s v="NOTURNO"/>
    <s v="18:00 - 22:00 - 22:30 - 02:00 / Seg / 18:00 - 22:00 - 22:30 - 01:25 / Ter / Dom DSR"/>
    <d v="1990-04-05T00:00:00"/>
    <s v="Casado"/>
    <s v="Ativo"/>
    <x v="0"/>
  </r>
  <r>
    <s v="2770002681"/>
    <s v="JANDERSON LOURENCO DA SILVA"/>
    <d v="2021-10-13T00:00:00"/>
    <s v="A"/>
    <s v="MOTORISTA"/>
    <s v="COLETA DOMICILIAR"/>
    <s v="NOTURNO"/>
    <s v="18:00 - 22:00 - 22:30 - 02:00 / Seg / 18:00 - 22:00 - 22:30 - 01:25 / Ter / Dom DSR"/>
    <d v="1988-05-13T00:00:00"/>
    <s v="Solteiro"/>
    <s v="Ativo"/>
    <x v="0"/>
  </r>
  <r>
    <s v="2770002434"/>
    <s v="JANDERSON SAMPAIO DE AGUIAR"/>
    <d v="2020-12-04T00:00:00"/>
    <s v="A"/>
    <s v="MOTORISTA"/>
    <s v="COLETA DOMICILIAR"/>
    <s v="DIURNO"/>
    <s v="07:00 - 11:00 - 11:30 - 14:50 / Seg a Sab / Dom DSR"/>
    <d v="1982-04-14T00:00:00"/>
    <s v="Solteiro"/>
    <s v="Ativo"/>
    <x v="0"/>
  </r>
  <r>
    <s v="2770002460"/>
    <s v="JEFFESON RODRIGUES GUIMARAES"/>
    <d v="2021-01-11T00:00:00"/>
    <s v="F"/>
    <s v="MOTORISTA"/>
    <s v="COLETA DOMICILIAR"/>
    <s v="DIURNO"/>
    <s v="06:00 - 11:00 - 11:30 - 14:30 / Seg / 06:00 - 11:00 - 11:30 - 13:50 / Ter / Dom DSR"/>
    <d v="1990-09-08T00:00:00"/>
    <s v="Solteiro"/>
    <s v="Férias"/>
    <x v="0"/>
  </r>
  <r>
    <s v="2770002913"/>
    <s v="JHONOCLEY DE SA CARNEIRO"/>
    <d v="2022-08-12T00:00:00"/>
    <s v="A"/>
    <s v="MOTORISTA"/>
    <s v="COLETA DOMICILIAR"/>
    <s v="NOTURNO"/>
    <s v="18:00 - 22:00 - 22:30 - 02:00 / Seg / 18:00 - 22:00 - 22:30 - 01:25 / Ter / Dom DSR"/>
    <d v="1986-09-23T00:00:00"/>
    <s v="Solteiro"/>
    <s v="Ativo"/>
    <x v="0"/>
  </r>
  <r>
    <s v="2770003327"/>
    <s v="JOAO PAULO QUEIROZ BRANDAO"/>
    <d v="2024-02-16T00:00:00"/>
    <s v="A"/>
    <s v="MOTORISTA"/>
    <s v="COLETA DOMICILIAR"/>
    <s v="NOTURNO"/>
    <s v="18:00 - 22:00 - 22:30 - 02:00 / Seg / 18:00 - 22:00 - 22:30 - 01:25 / Ter / Dom DSR"/>
    <d v="1979-06-24T00:00:00"/>
    <s v="Casado"/>
    <s v="Ativo"/>
    <x v="0"/>
  </r>
  <r>
    <s v="2770002842"/>
    <s v="JOCI CAETANO DE SOUZA"/>
    <d v="2022-05-14T00:00:00"/>
    <s v="A"/>
    <s v="MOTORISTA"/>
    <s v="COLETA DOMICILIAR"/>
    <s v="INTERMEDIARIO"/>
    <s v="13:30 - 17:30 - 18:30 - 21:50 / Seg a Sab / Dom DSR"/>
    <d v="1975-08-18T00:00:00"/>
    <s v="Casado"/>
    <s v="Ativo"/>
    <x v="0"/>
  </r>
  <r>
    <s v="2770002975"/>
    <s v="JOILSON MOREIRA SERRAO"/>
    <d v="2022-11-03T00:00:00"/>
    <s v="F"/>
    <s v="MOTORISTA"/>
    <s v="COLETA DOMICILIAR"/>
    <s v="DIURNO"/>
    <s v="06:20 - 11:20 - 11:50 - 14:50 / Seg / 06:20 - 11:20 - 11:50 - 14:10 / Ter / Dom DSR"/>
    <d v="1979-12-12T00:00:00"/>
    <s v="Casado"/>
    <s v="Férias"/>
    <x v="0"/>
  </r>
  <r>
    <s v="2770002321"/>
    <s v="JORGE LUIZ DE SOUZA VIEIRA"/>
    <d v="2020-08-03T00:00:00"/>
    <s v="A"/>
    <s v="MOTORISTA"/>
    <s v="COLETA DOMICILIAR"/>
    <s v="DIURNO"/>
    <s v="07:00 - 11:00 - 11:30 - 14:50 / Seg a Sab / Dom DSR"/>
    <d v="1979-05-03T00:00:00"/>
    <s v="Casado"/>
    <s v="Ativo"/>
    <x v="0"/>
  </r>
  <r>
    <s v="2770003252"/>
    <s v="JORGE LUIZ GOMES"/>
    <d v="2023-10-13T00:00:00"/>
    <s v="A"/>
    <s v="MOTORISTA"/>
    <s v="COLETA DOMICILIAR"/>
    <s v="NOTURNO"/>
    <s v="18:00 - 22:00 - 22:30 - 02:00 / Seg / 18:00 - 22:00 - 22:30 - 01:25 / Ter / Dom DSR"/>
    <d v="1982-04-20T00:00:00"/>
    <s v="Solteiro"/>
    <s v="Ativo"/>
    <x v="0"/>
  </r>
  <r>
    <s v="2770003220"/>
    <s v="JOSE RAIMUNDO MARTINS DE OLIVEIRA"/>
    <d v="2023-08-17T00:00:00"/>
    <s v="A"/>
    <s v="MOTORISTA"/>
    <s v="COLETA DOMICILIAR"/>
    <s v="NOTURNO"/>
    <s v="18:00 - 22:00 - 22:30 - 02:00 / Seg / 18:00 - 22:00 - 22:30 - 01:25 / Ter / Dom DSR"/>
    <d v="1973-11-20T00:00:00"/>
    <s v="Casado"/>
    <s v="Ativo"/>
    <x v="0"/>
  </r>
  <r>
    <s v="2770000097"/>
    <s v="JOSE UCHOA DA SILVA"/>
    <d v="2013-02-08T00:00:00"/>
    <s v="A"/>
    <s v="MOTORISTA"/>
    <s v="COLETA DOMICILIAR"/>
    <s v="NOTURNO"/>
    <s v="18:00 - 22:00 - 22:30 - 02:00 / Seg / 18:00 - 22:00 - 22:30 - 01:25 / Ter / Dom DSR"/>
    <d v="1970-12-23T00:00:00"/>
    <s v="Solteiro"/>
    <s v="Ativo"/>
    <x v="0"/>
  </r>
  <r>
    <s v="2770002686"/>
    <s v="KAIQUE SANTOS MONTEIRO"/>
    <d v="2021-10-18T00:00:00"/>
    <s v="A"/>
    <s v="MOTORISTA"/>
    <s v="COLETA DOMICILIAR"/>
    <s v="DIURNO"/>
    <s v="06:00 - 11:00 - 13:00 - 15:20 / Seg a Sab / Dom DSR"/>
    <d v="1991-01-16T00:00:00"/>
    <s v="Solteiro"/>
    <s v="Ativo"/>
    <x v="0"/>
  </r>
  <r>
    <s v="2770002657"/>
    <s v="LEANDRO DA SILVA CAVALCANTE"/>
    <d v="2021-09-08T00:00:00"/>
    <s v="A"/>
    <s v="MOTORISTA"/>
    <s v="COLETA DOMICILIAR"/>
    <s v="NOTURNO"/>
    <s v="18:00 - 22:00 - 22:30 - 02:00 / Seg / 18:00 - 22:00 - 22:30 - 01:25 / Ter / Dom DSR"/>
    <d v="1979-04-05T00:00:00"/>
    <s v="Casado"/>
    <s v="Ativo"/>
    <x v="0"/>
  </r>
  <r>
    <s v="2770002173"/>
    <s v="LEIDSON DIAS DE OLIVEIRA"/>
    <d v="2019-11-18T00:00:00"/>
    <s v="A"/>
    <s v="MOTORISTA"/>
    <s v="COLETA DOMICILIAR"/>
    <s v="DIURNO"/>
    <s v="06:00 - 11:00 - 13:00 - 15:20 / Seg a Sab / Dom DSR"/>
    <d v="1977-03-01T00:00:00"/>
    <s v="Solteiro"/>
    <s v="Ativo"/>
    <x v="0"/>
  </r>
  <r>
    <s v="2770002901"/>
    <s v="LEVI WESLLEY ARAUJO DA COSTA"/>
    <d v="2022-08-12T00:00:00"/>
    <s v="A"/>
    <s v="MOTORISTA"/>
    <s v="COLETA DOMICILIAR"/>
    <s v="DIURNO"/>
    <s v="06:00 - 11:00 - 11:30 - 14:30 / Seg / 06:00 - 11:00 - 11:30 - 13:50 / Ter / Dom DSR"/>
    <d v="1992-03-05T00:00:00"/>
    <s v="Solteiro"/>
    <s v="Ativo"/>
    <x v="0"/>
  </r>
  <r>
    <s v="2770003079"/>
    <s v="LUCAS CARLOS DA SILVA E SOUSA"/>
    <d v="2023-02-09T00:00:00"/>
    <s v="A"/>
    <s v="MOTORISTA"/>
    <s v="COLETA DOMICILIAR"/>
    <s v="NOTURNO"/>
    <s v="18:00 - 22:00 - 22:30 - 02:00 / Seg / 18:00 - 22:00 - 22:30 - 01:25 / Ter / Dom DSR"/>
    <d v="1995-04-01T00:00:00"/>
    <s v="Casado"/>
    <s v="Ativo"/>
    <x v="0"/>
  </r>
  <r>
    <s v="2770003251"/>
    <s v="MAICO RODOLFO BARBOSA DE MELO"/>
    <d v="2023-10-13T00:00:00"/>
    <s v="A"/>
    <s v="MOTORISTA"/>
    <s v="COLETA DOMICILIAR"/>
    <s v="NOTURNO"/>
    <s v="18:00 - 22:00 - 22:30 - 02:00 / Seg / 18:00 - 22:00 - 22:30 - 01:25 / Ter / Dom DSR"/>
    <d v="1994-10-14T00:00:00"/>
    <s v="Solteiro"/>
    <s v="Ativo"/>
    <x v="0"/>
  </r>
  <r>
    <s v="2770003046"/>
    <s v="MAILSON GOMES FERNANDES"/>
    <d v="2022-12-07T00:00:00"/>
    <s v="A"/>
    <s v="MOTORISTA"/>
    <s v="COLETA DOMICILIAR"/>
    <s v="NOTURNO"/>
    <s v="18:00 - 22:00 - 22:30 - 02:00 / Seg / 18:00 - 22:00 - 22:30 - 01:25 / Ter / Dom DSR"/>
    <d v="1977-11-10T00:00:00"/>
    <s v="Casado"/>
    <s v="Ativo"/>
    <x v="0"/>
  </r>
  <r>
    <s v="2770002073"/>
    <s v="MANOEL CARDOSO CRUZ"/>
    <d v="2019-06-03T00:00:00"/>
    <s v="F"/>
    <s v="MOTORISTA"/>
    <s v="COLETA DOMICILIAR"/>
    <s v="DIURNO"/>
    <s v="06:00 - 11:00 - 11:30 - 14:30 / Seg / 06:00 - 11:00 - 11:30 - 13:50 / Ter / Dom DSR"/>
    <d v="1980-09-29T00:00:00"/>
    <s v="Solteiro"/>
    <s v="Férias"/>
    <x v="0"/>
  </r>
  <r>
    <s v="2770003194"/>
    <s v="MARCELO PEREIRA GUERREIRO"/>
    <d v="2023-07-06T00:00:00"/>
    <s v="A"/>
    <s v="MOTORISTA"/>
    <s v="COLETA DOMICILIAR"/>
    <s v="NOTURNO"/>
    <s v="18:00 - 22:00 - 22:30 - 02:00 / Seg / 18:00 - 22:00 - 22:30 - 01:25 / Ter / Dom DSR"/>
    <d v="1982-11-06T00:00:00"/>
    <s v="Solteiro"/>
    <s v="Ativo"/>
    <x v="0"/>
  </r>
  <r>
    <s v="2770000917"/>
    <s v="MARCIO DA COSTA MARTINS"/>
    <d v="2013-11-04T00:00:00"/>
    <s v="A"/>
    <s v="MOTORISTA"/>
    <s v="COLETA DOMICILIAR"/>
    <s v="DIURNO"/>
    <s v="06:00 - 11:00 - 11:30 - 14:30 / Seg / 06:00 - 11:00 - 11:30 - 13:50 / Ter / Dom DSR"/>
    <d v="1978-02-28T00:00:00"/>
    <s v="Solteiro"/>
    <s v="Ativo"/>
    <x v="0"/>
  </r>
  <r>
    <s v="2770001958"/>
    <s v="MARCIO LUIZ MARQUES DE OLIVEIRA"/>
    <d v="2018-12-06T00:00:00"/>
    <s v="A"/>
    <s v="MOTORISTA"/>
    <s v="COLETA DOMICILIAR"/>
    <s v="NOTURNO"/>
    <s v="18:00 - 22:00 - 22:30 - 02:00 / Seg / 18:00 - 22:00 - 22:30 - 01:25 / Ter / Dom DSR"/>
    <d v="1984-07-09T00:00:00"/>
    <s v="Solteiro"/>
    <s v="Ativo"/>
    <x v="0"/>
  </r>
  <r>
    <s v="2770002322"/>
    <s v="MARCOS ALMEIDA FURTUOZO"/>
    <d v="2020-08-03T00:00:00"/>
    <s v="A"/>
    <s v="MOTORISTA"/>
    <s v="COLETA DOMICILIAR"/>
    <s v="DIURNO"/>
    <s v="06:00 - 11:00 - 11:30 - 14:30 / Seg / 06:00 - 11:00 - 11:30 - 13:50 / Ter / Dom DSR"/>
    <d v="1988-05-29T00:00:00"/>
    <s v="Casado"/>
    <s v="Ativo"/>
    <x v="0"/>
  </r>
  <r>
    <s v="2770003326"/>
    <s v="MARILSON DE JESUS SOUSA SERRA"/>
    <d v="2024-02-16T00:00:00"/>
    <s v="A"/>
    <s v="MOTORISTA"/>
    <s v="COLETA DOMICILIAR"/>
    <s v="NOTURNO"/>
    <s v="18:00 - 22:00 - 22:30 - 02:00 / Seg / 18:00 - 22:00 - 22:30 - 01:25 / Ter / Dom DSR"/>
    <d v="1982-04-23T00:00:00"/>
    <s v="Solteiro"/>
    <s v="Ativo"/>
    <x v="0"/>
  </r>
  <r>
    <s v="2770002331"/>
    <s v="MAURICIO WAGNER DA SILVA VASCONCELOS"/>
    <d v="2020-08-10T00:00:00"/>
    <s v="A"/>
    <s v="MOTORISTA"/>
    <s v="COLETA DOMICILIAR"/>
    <s v="DIURNO"/>
    <s v="06:00 - 11:00 - 11:30 - 14:30 / Seg / 06:00 - 11:00 - 11:30 - 13:50 / Ter / Dom DSR"/>
    <d v="1989-07-05T00:00:00"/>
    <s v="Solteiro"/>
    <s v="Ativo"/>
    <x v="0"/>
  </r>
  <r>
    <s v="2770002593"/>
    <s v="ORLEILSON LIMA DE ARAUJO"/>
    <d v="2021-07-01T00:00:00"/>
    <s v="A"/>
    <s v="MOTORISTA"/>
    <s v="COLETA DOMICILIAR"/>
    <s v="DIURNO"/>
    <s v="06:20 - 11:20 - 11:50 - 14:50 / Seg / 06:20 - 11:20 - 11:50 - 14:10 / Ter / Dom DSR"/>
    <d v="1989-02-16T00:00:00"/>
    <s v="Solteiro"/>
    <s v="Ativo"/>
    <x v="0"/>
  </r>
  <r>
    <s v="2770002935"/>
    <s v="OSMAR FERREIRA VIEIRA NETO"/>
    <d v="2022-09-01T00:00:00"/>
    <s v="A"/>
    <s v="MOTORISTA"/>
    <s v="COLETA DOMICILIAR"/>
    <s v="NOTURNO"/>
    <s v="18:00 - 22:00 - 22:30 - 02:00 / Seg / 18:00 - 22:00 - 22:30 - 01:25 / Ter / Dom DSR"/>
    <d v="1982-09-04T00:00:00"/>
    <s v="Divorciado"/>
    <s v="Ativo"/>
    <x v="0"/>
  </r>
  <r>
    <s v="2770003157"/>
    <s v="OZEQUIEL DE OLIVEIRA MACIEL"/>
    <d v="2023-05-17T00:00:00"/>
    <s v="A"/>
    <s v="MOTORISTA"/>
    <s v="COLETA DOMICILIAR"/>
    <s v="NOTURNO"/>
    <s v="18:00 - 22:00 - 22:30 - 02:00 / Seg / 18:00 - 22:00 - 22:30 - 01:25 / Ter / Dom DSR"/>
    <d v="1994-08-23T00:00:00"/>
    <s v="Solteiro"/>
    <s v="Ativo"/>
    <x v="0"/>
  </r>
  <r>
    <s v="2770003218"/>
    <s v="PAULO RICARDO DUARTE NOGUEIRA"/>
    <d v="2023-08-17T00:00:00"/>
    <s v="A"/>
    <s v="MOTORISTA"/>
    <s v="COLETA DOMICILIAR"/>
    <s v="NOTURNO"/>
    <s v="18:00 - 22:00 - 22:30 - 02:00 / Seg / 18:00 - 22:00 - 22:30 - 01:25 / Ter / Dom DSR"/>
    <d v="1988-01-20T00:00:00"/>
    <s v="Solteiro"/>
    <s v="Ativo"/>
    <x v="0"/>
  </r>
  <r>
    <s v="2770000099"/>
    <s v="RADEMAK FERNANDES DE AGUIAR"/>
    <d v="2013-02-08T00:00:00"/>
    <s v="A"/>
    <s v="MOTORISTA"/>
    <s v="LIMPEZA DE FEIRAS"/>
    <s v="DIURNO"/>
    <s v="06:20 - 10:10 - 10:40 - 14:10 / Seg a Sab / Dom DSR"/>
    <d v="1974-09-29T00:00:00"/>
    <s v="Solteiro"/>
    <s v="Ativo"/>
    <x v="0"/>
  </r>
  <r>
    <s v="2770000705"/>
    <s v="RAIMUNDO DE LIMA GORGONHO"/>
    <d v="2013-04-01T00:00:00"/>
    <s v="A"/>
    <s v="MOTORISTA"/>
    <s v="COLETA DOMICILIAR"/>
    <s v="DIURNO"/>
    <s v="06:00 - 11:00 - 11:30 - 14:30 / Seg / 06:00 - 11:00 - 11:30 - 13:50 / Ter / Dom DSR"/>
    <d v="1978-03-04T00:00:00"/>
    <s v="Casado"/>
    <s v="Ativo"/>
    <x v="0"/>
  </r>
  <r>
    <s v="2770003294"/>
    <s v="RAIMUNDO HILTON DA SILVA OLIVEIRA"/>
    <d v="2023-12-04T00:00:00"/>
    <s v="A"/>
    <s v="MOTORISTA"/>
    <s v="COLETA DOMICILIAR"/>
    <s v="NOTURNO"/>
    <s v="18:00 - 22:00 - 22:30 - 02:00 / Seg / 18:00 - 22:00 - 22:30 - 01:25 / Ter / Dom DSR"/>
    <d v="1981-07-07T00:00:00"/>
    <s v="Casado"/>
    <s v="Ativo"/>
    <x v="0"/>
  </r>
  <r>
    <s v="2770000105"/>
    <s v="RAIMUNDO NAZARINO CALAZANS DE AMARAL"/>
    <d v="2013-02-08T00:00:00"/>
    <s v="A"/>
    <s v="MOTORISTA"/>
    <s v="COLETA DOMICILIAR"/>
    <s v="DIURNO"/>
    <s v="06:00 - 11:00 - 11:30 - 14:30 / Seg / 06:00 - 11:00 - 11:30 - 13:50 / Ter / Dom DSR"/>
    <d v="1973-12-24T00:00:00"/>
    <s v="Solteiro"/>
    <s v="Ativo"/>
    <x v="0"/>
  </r>
  <r>
    <s v="2770003060"/>
    <s v="RAIRO TEIXEIRA LEAO"/>
    <d v="2023-01-12T00:00:00"/>
    <s v="F"/>
    <s v="MOTORISTA"/>
    <s v="COLETA DOMICILIAR"/>
    <s v="NOTURNO"/>
    <s v="18:00 - 22:00 - 22:30 - 02:00 / Seg / 18:00 - 22:00 - 22:30 - 01:25 / Ter / Dom DSR"/>
    <d v="1990-05-13T00:00:00"/>
    <s v="Solteiro"/>
    <s v="Férias"/>
    <x v="0"/>
  </r>
  <r>
    <s v="2770003193"/>
    <s v="RAYNILSON ALVES TAVARES"/>
    <d v="2023-07-06T00:00:00"/>
    <s v="A"/>
    <s v="MOTORISTA"/>
    <s v="COLETA DOMICILIAR"/>
    <s v="NOTURNO"/>
    <s v="18:00 - 22:00 - 22:30 - 02:00 / Seg / 18:00 - 22:00 - 22:30 - 01:25 / Ter / Dom DSR"/>
    <d v="1984-04-26T00:00:00"/>
    <s v="Solteiro"/>
    <s v="Ativo"/>
    <x v="0"/>
  </r>
  <r>
    <s v="2770002826"/>
    <s v="ROBSON MINEIRO MAFRA"/>
    <d v="2022-04-13T00:00:00"/>
    <s v="A"/>
    <s v="MOTORISTA"/>
    <s v="COLETA DOMICILIAR"/>
    <s v="NOTURNO"/>
    <s v="18:00 - 22:00 - 22:30 - 02:00 / Seg / 18:00 - 22:00 - 22:30 - 01:25 / Ter / Dom DSR"/>
    <d v="1984-10-24T00:00:00"/>
    <s v="Solteiro"/>
    <s v="Ativo"/>
    <x v="0"/>
  </r>
  <r>
    <s v="2770002273"/>
    <s v="RODRIGO BARROSO PEREIRA"/>
    <d v="2020-06-01T00:00:00"/>
    <s v="A"/>
    <s v="MOTORISTA"/>
    <s v="COLETA DOMICILIAR"/>
    <s v="DIURNO"/>
    <s v="06:00 - 11:00 - 11:30 - 14:30 / Seg / 06:00 - 11:00 - 11:30 - 13:50 / Ter / Dom DSR"/>
    <d v="1984-09-27T00:00:00"/>
    <s v="Casado"/>
    <s v="Ativo"/>
    <x v="0"/>
  </r>
  <r>
    <s v="2770002491"/>
    <s v="RODRIGO DE ALMEIDA LOPES"/>
    <d v="2021-03-17T00:00:00"/>
    <s v="A"/>
    <s v="MOTORISTA"/>
    <s v="COLETA DOMICILIAR"/>
    <s v="DIURNO"/>
    <s v="06:00 - 11:00 - 11:30 - 14:30 / Seg / 06:00 - 11:00 - 11:30 - 13:50 / Ter / Dom DSR"/>
    <d v="1984-01-20T00:00:00"/>
    <s v="Solteiro"/>
    <s v="Ativo"/>
    <x v="0"/>
  </r>
  <r>
    <s v="2770003158"/>
    <s v="ROZIEL FERREIRA DOS SANTOS"/>
    <d v="2023-05-17T00:00:00"/>
    <s v="A"/>
    <s v="MOTORISTA"/>
    <s v="COLETA DOMICILIAR"/>
    <s v="NOTURNO"/>
    <s v="18:00 - 22:00 - 22:30 - 02:00 / Seg / 18:00 - 22:00 - 22:30 - 01:25 / Ter / Dom DSR"/>
    <d v="1992-05-17T00:00:00"/>
    <s v="Casado"/>
    <s v="Ativo"/>
    <x v="0"/>
  </r>
  <r>
    <s v="2770003210"/>
    <s v="SEBASTIAO BARROS DAMASCENO"/>
    <d v="2023-08-08T00:00:00"/>
    <s v="A"/>
    <s v="MOTORISTA"/>
    <s v="COLETA DOMICILIAR"/>
    <s v="NOTURNO"/>
    <s v="18:00 - 22:00 - 22:30 - 02:00 / Seg / 18:00 - 22:00 - 22:30 - 01:25 / Ter / Dom DSR"/>
    <d v="1975-01-05T00:00:00"/>
    <s v="Solteiro"/>
    <s v="Ativo"/>
    <x v="0"/>
  </r>
  <r>
    <s v="2770002534"/>
    <s v="SERGIO RICARDO DOS SANTOS NASCIMENTO"/>
    <d v="2021-05-10T00:00:00"/>
    <s v="A"/>
    <s v="MOTORISTA"/>
    <s v="COLETA DOMICILIAR"/>
    <s v="DIURNO"/>
    <s v="06:00 - 11:00 - 11:30 - 14:30 / Seg / 06:00 - 11:00 - 11:30 - 13:50 / Ter / Dom DSR"/>
    <d v="1984-01-18T00:00:00"/>
    <s v="Casado"/>
    <s v="Ativo"/>
    <x v="0"/>
  </r>
  <r>
    <s v="2770002934"/>
    <s v="SIDNEY DE SOUSA GOMES"/>
    <d v="2022-09-01T00:00:00"/>
    <s v="A"/>
    <s v="MOTORISTA"/>
    <s v="COLETA DOMICILIAR"/>
    <s v="DIURNO"/>
    <s v="06:00 - 11:00 - 11:30 - 14:30 / Seg / 06:00 - 11:00 - 11:30 - 13:50 / Ter / Dom DSR"/>
    <d v="1986-06-20T00:00:00"/>
    <s v="Solteiro"/>
    <s v="Ativo"/>
    <x v="0"/>
  </r>
  <r>
    <s v="2770002420"/>
    <s v="VALTO CARDOSO"/>
    <d v="2020-12-01T00:00:00"/>
    <s v="A"/>
    <s v="MOTORISTA"/>
    <s v="COLETA DOMICILIAR"/>
    <s v="NOTURNO"/>
    <s v="18:00 - 22:00 - 22:30 - 02:00 / Seg / 18:00 - 22:00 - 22:30 - 01:25 / Ter / Dom DSR"/>
    <d v="1975-02-27T00:00:00"/>
    <s v="Solteiro"/>
    <s v="Ativo"/>
    <x v="0"/>
  </r>
  <r>
    <s v="2770002492"/>
    <s v="VANDERLAN GOMES SOUZA"/>
    <d v="2021-03-17T00:00:00"/>
    <s v="A"/>
    <s v="MOTORISTA"/>
    <s v="COLETA DOMICILIAR"/>
    <s v="DIURNO"/>
    <s v="06:00 - 11:00 - 11:30 - 14:30 / Seg / 06:00 - 11:00 - 11:30 - 13:50 / Ter / Dom DSR"/>
    <d v="1988-05-04T00:00:00"/>
    <s v="Casado"/>
    <s v="Ativo"/>
    <x v="0"/>
  </r>
  <r>
    <s v="2770002866"/>
    <s v="VICTOR RODRIGO DE QUEIROZ OLIVEIRA"/>
    <d v="2022-05-14T00:00:00"/>
    <s v="A"/>
    <s v="MOTORISTA"/>
    <s v="LIMPEZA DE FEIRAS"/>
    <s v="DIURNO"/>
    <s v="06:20 - 11:20 - 11:50 - 14:50 / Seg / 06:20 - 11:20 - 11:50 - 14:10 / Ter / Dom DSR"/>
    <d v="1988-05-07T00:00:00"/>
    <s v="Divorciado"/>
    <s v="Ativo"/>
    <x v="0"/>
  </r>
  <r>
    <s v="2770002783"/>
    <s v="WAGNER CARVALHO DE OLIVEIRA"/>
    <d v="2022-02-09T00:00:00"/>
    <s v="A"/>
    <s v="MOTORISTA"/>
    <s v="COLETA DOMICILIAR"/>
    <s v="DIURNO"/>
    <s v="06:00 - 11:00 - 11:30 - 14:30 / Seg / 06:00 - 11:00 - 11:30 - 13:50 / Ter / Dom DSR"/>
    <d v="1982-05-29T00:00:00"/>
    <s v="Casado"/>
    <s v="Ativo"/>
    <x v="0"/>
  </r>
  <r>
    <s v="2770002825"/>
    <s v="WILLIAM BARBOSA DA SILVA MIRANDA"/>
    <d v="2022-04-13T00:00:00"/>
    <s v="A"/>
    <s v="MOTORISTA"/>
    <s v="COLETA DOMICILIAR"/>
    <s v="NOTURNO"/>
    <s v="18:00 - 22:00 - 22:30 - 02:00 / Seg / 18:00 - 22:00 - 22:30 - 01:25 / Ter / Dom DSR"/>
    <d v="1991-09-30T00:00:00"/>
    <s v="Casado"/>
    <s v="Ativo"/>
    <x v="0"/>
  </r>
</pivotCacheRecords>
</file>

<file path=xl/pivotCache/pivotCacheRecords5.xml><?xml version="1.0" encoding="utf-8"?>
<pivotCacheRecords xmlns="http://schemas.openxmlformats.org/spreadsheetml/2006/main" xmlns:r="http://schemas.openxmlformats.org/officeDocument/2006/relationships" count="455">
  <r>
    <n v="1"/>
    <s v="AUGUSTO CESAR DA SILVA CORREA"/>
    <n v="2770002772"/>
    <s v="NORMAL"/>
    <d v="2022-02-02T00:00:00"/>
    <s v="0ANOS, 10MESES"/>
    <n v="0.92500000000000004"/>
    <s v="0 A 01 ANO"/>
    <s v="AGENTE DE COLETA"/>
    <s v="COLETA DOMICILIAR"/>
    <s v="DIURNO"/>
    <s v="JOSÉ ADELMAR"/>
    <x v="0"/>
    <d v="2023-01-01T00:00:00"/>
    <s v="JANEIRO "/>
    <d v="2023-01-02T00:00:00"/>
    <s v="jan/2023"/>
    <s v="JANEIRO "/>
    <n v="2023"/>
    <d v="2023-01-02T00:00:00"/>
    <s v="FALTA"/>
    <s v="O COLABORADOR FALTOU O PLANTÃO DO DIA 01/01/2023, SEM JUSTIFICATIVA A SUA CHEFIA IMEDIATA."/>
  </r>
  <r>
    <n v="2"/>
    <s v="JOÃO MARCOS DE SOUZA CASTRO"/>
    <n v="2770002134"/>
    <s v="NORMAL"/>
    <d v="2019-10-09T00:00:00"/>
    <s v="3ANOS, 2MESES"/>
    <n v="3.2777777777777777"/>
    <s v="03 A 05 ANOS"/>
    <s v="AGENTE DE COLETA"/>
    <s v="COLETA DOMICILIAR"/>
    <s v="DIURNO"/>
    <s v="JOSÉ ADELMAR"/>
    <x v="1"/>
    <d v="2023-01-01T00:00:00"/>
    <s v="JANEIRO "/>
    <d v="2023-01-02T00:00:00"/>
    <s v="jan/2023"/>
    <s v="JANEIRO "/>
    <n v="2023"/>
    <d v="2023-01-05T00:00:00"/>
    <s v="FALTA"/>
    <s v="O COLABORADOR FALTOU O PLANTÃO DO DIA 01/01/2023, SEM JUSTIFICATIVA A SUA CHEFIA IMEDIATA."/>
  </r>
  <r>
    <n v="3"/>
    <s v="NILTON NASCIMENTO QUADROS"/>
    <n v="2770002191"/>
    <s v="NORMAL"/>
    <d v="2019-11-18T00:00:00"/>
    <s v="3ANOS, 1MESES"/>
    <n v="3.1666666666666665"/>
    <s v="03 A 05 ANOS"/>
    <s v="AGENTE DE COLETA"/>
    <s v="COLETA DOMICILIAR"/>
    <s v="DIURNO"/>
    <s v="JOSÉ ADELMAR"/>
    <x v="1"/>
    <d v="2023-01-01T00:00:00"/>
    <s v="JANEIRO "/>
    <d v="2023-01-02T00:00:00"/>
    <s v="jan/2023"/>
    <s v="JANEIRO "/>
    <n v="2023"/>
    <d v="2023-01-03T00:00:00"/>
    <s v="FALTA"/>
    <s v="O COLABORADOR FALTOU O PLANTÃO DO DIA 01/01/2023, SEM JUSTIFICATIVA A SUA CHEFIA IMEDIATA."/>
  </r>
  <r>
    <n v="4"/>
    <s v="ALVARO FILHO DA SILVA SANTOS"/>
    <n v="2770002369"/>
    <s v="NORMAL"/>
    <d v="2020-10-05T00:00:00"/>
    <s v="2ANOS, 2MESES"/>
    <n v="2.2722222222222221"/>
    <s v="01 A 03 ANOS"/>
    <s v="AGENTE DE COLETA"/>
    <s v="COLETA DOMICILIAR"/>
    <s v="DIURNO"/>
    <s v="JOSÉ ADELMAR"/>
    <x v="1"/>
    <d v="2023-01-01T00:00:00"/>
    <s v="JANEIRO "/>
    <d v="2023-01-02T00:00:00"/>
    <s v="jan/2023"/>
    <s v="JANEIRO "/>
    <n v="2023"/>
    <d v="2023-01-03T00:00:00"/>
    <s v="FALTA"/>
    <s v="O COLABORADOR FALTOU O PLANTÃO DO DIA 01/01/2023, SEM JUSTIFICATIVA A SUA CHEFIA IMEDIATA."/>
  </r>
  <r>
    <n v="5"/>
    <s v="ALDENILSO RAMOS DE OLIVEIRA"/>
    <n v="2770002896"/>
    <s v="PARCIAL"/>
    <d v="2022-08-12T00:00:00"/>
    <s v="0ANOS, 4MESES"/>
    <n v="0.39444444444444443"/>
    <s v="0 A 01 ANO"/>
    <s v="AGENTE DE COLETA"/>
    <s v="COLETA DOMICILIAR"/>
    <s v="DIURNO"/>
    <s v="JOSÉ ADELMAR"/>
    <x v="1"/>
    <d v="2023-01-01T00:00:00"/>
    <s v="JANEIRO "/>
    <d v="2023-01-02T00:00:00"/>
    <s v="jan/2023"/>
    <s v="JANEIRO "/>
    <n v="2023"/>
    <d v="2023-01-05T00:00:00"/>
    <s v="FALTA"/>
    <s v="O COLABORADOR FALTOU O PLANTÃO DO DIA 01/01/2023, SEM JUSTIFICATIVA A SUA CHEFIA IMEDIATA."/>
  </r>
  <r>
    <n v="6"/>
    <s v="SIDNEY LUAN CRUZ RIBEIRO"/>
    <n v="2770002919"/>
    <s v="PARCIAL"/>
    <d v="2022-09-01T00:00:00"/>
    <s v="0ANOS, 4MESES"/>
    <n v="0.33888888888888891"/>
    <s v="0 A 01 ANO"/>
    <s v="AGENTE DE COLETA"/>
    <s v="COLETA DOMICILIAR"/>
    <s v="DIURNO"/>
    <s v="JOSÉ ADELMAR"/>
    <x v="1"/>
    <d v="2023-01-01T00:00:00"/>
    <s v="JANEIRO "/>
    <d v="2023-01-02T00:00:00"/>
    <s v="jan/2023"/>
    <s v="JANEIRO "/>
    <n v="2023"/>
    <d v="2023-01-03T00:00:00"/>
    <s v="FALTA"/>
    <s v="O COLABORADOR FALTOU O PLANTÃO DO DIA 01/01/2023, SEM JUSTIFICATIVA A SUA CHEFIA IMEDIATA."/>
  </r>
  <r>
    <n v="7"/>
    <s v="KLEITON CARDOSO DA SILVA"/>
    <n v="2770002830"/>
    <s v="NORMAL"/>
    <d v="2022-05-02T00:00:00"/>
    <s v="0ANOS, 7MESES"/>
    <n v="0.67777777777777781"/>
    <s v="0 A 01 ANO"/>
    <s v="AGENTE DE COLETA"/>
    <s v="COLETA DOMICILIAR"/>
    <s v="DIURNO"/>
    <s v="JOSÉ ADELMAR"/>
    <x v="1"/>
    <d v="2023-01-01T00:00:00"/>
    <s v="JANEIRO "/>
    <d v="2023-01-02T00:00:00"/>
    <s v="jan/2023"/>
    <s v="JANEIRO "/>
    <n v="2023"/>
    <d v="2023-01-07T00:00:00"/>
    <s v="FALTA"/>
    <s v="O COLABORADOR FALTOU O PLANTÃO DO DIA 01/01/2023, SEM JUSTIFICATIVA A SUA CHEFIA IMEDIATA."/>
  </r>
  <r>
    <n v="8"/>
    <s v="MARCOS BATALHA FONSECA"/>
    <n v="2770003030"/>
    <s v="NORMAL"/>
    <d v="2022-12-01T00:00:00"/>
    <s v="0ANOS, 1MESES"/>
    <n v="8.611111111111111E-2"/>
    <s v="0 A 01 ANO"/>
    <s v="AGENTE DE COLETA"/>
    <s v="COLETA DOMICILIAR"/>
    <s v="NOTURNO"/>
    <s v="DOUGLAS ALBUQUERQUE"/>
    <x v="0"/>
    <d v="2023-01-01T00:00:00"/>
    <s v="JANEIRO "/>
    <d v="2023-01-02T00:00:00"/>
    <s v="jan/2023"/>
    <s v="JANEIRO "/>
    <n v="2023"/>
    <d v="2023-01-02T00:00:00"/>
    <s v="FALTA"/>
    <s v="FALTA INJUSTIFICADA EM 01/01/2023."/>
  </r>
  <r>
    <n v="9"/>
    <s v="PEDRO SERGIO DE SOUZA CHAVES"/>
    <n v="2770002709"/>
    <s v="NORMAL"/>
    <d v="2021-11-18T00:00:00"/>
    <s v="1ANOS, 1MESES"/>
    <n v="1.1388888888888888"/>
    <s v="01 A 03 ANOS"/>
    <s v="AGENTE DE COLETA"/>
    <s v="COLETA DOMICILIAR"/>
    <s v="DIURNO"/>
    <s v="JOSÉ ADELMAR"/>
    <x v="0"/>
    <d v="2023-01-02T00:00:00"/>
    <s v="JANEIRO "/>
    <d v="2023-01-02T00:00:00"/>
    <s v="jan/2023"/>
    <s v="JANEIRO "/>
    <n v="2023"/>
    <d v="2023-01-02T00:00:00"/>
    <s v="FALTA"/>
    <s v="A COLABORADOR FALTOU NO DIA  02/01/2023, SEM JUSTIFICATIVA A SUA CHEFIA IMEDIATA."/>
  </r>
  <r>
    <n v="10"/>
    <s v="LUIZ FERNANDO MENDES VIANA"/>
    <n v="2770003038"/>
    <s v="PARCIAL"/>
    <d v="2022-12-07T00:00:00"/>
    <s v="0ANOS, 0MESES"/>
    <n v="6.9444444444444448E-2"/>
    <s v="0 A 01 ANO"/>
    <s v="AGENTE DE COLETA"/>
    <s v="COLETA DOMICILIAR"/>
    <s v="DIURNO"/>
    <s v="JOSÉ ADELMAR"/>
    <x v="0"/>
    <d v="2023-01-01T00:00:00"/>
    <s v="JANEIRO "/>
    <d v="2023-01-02T00:00:00"/>
    <s v="jan/2023"/>
    <s v="JANEIRO "/>
    <n v="2023"/>
    <d v="2023-01-02T00:00:00"/>
    <s v="FALTA"/>
    <s v="O COLABORADOR FALTOU O PLANTÃO DO DIA 01/01/2023, SEM JUSTIFICATIVA A SUA CHEFIA IMEDIATA."/>
  </r>
  <r>
    <n v="11"/>
    <s v="FABIO DE OLIVEIRA CHUNIA"/>
    <n v="2770001795"/>
    <s v="NORMAL"/>
    <d v="2017-12-05T00:00:00"/>
    <s v="5ANOS, 0MESES"/>
    <n v="5.1472222222222221"/>
    <s v="MAIS DE 5 ANOS"/>
    <s v="MOTORISTA"/>
    <s v="COLETA DOMICILIAR"/>
    <s v="DIURNO"/>
    <s v="JOSÉ ADELMAR"/>
    <x v="0"/>
    <d v="2023-01-01T00:00:00"/>
    <s v="JANEIRO "/>
    <d v="2023-01-02T00:00:00"/>
    <s v="jan/2023"/>
    <s v="JANEIRO "/>
    <n v="2023"/>
    <d v="2023-01-02T00:00:00"/>
    <s v="FALTA"/>
    <s v="O COLABORADOR FALTOU O PLANTÃO DO DIA 01/01/2023, SEM JUSTIFICATIVA A SUA CHEFIA IMEDIATA."/>
  </r>
  <r>
    <n v="12"/>
    <s v="JOSE RAIMUNDO REIS PEREIRA"/>
    <n v="2770000297"/>
    <s v="NORMAL"/>
    <d v="2013-02-08T00:00:00"/>
    <s v="9ANOS, 10MESES"/>
    <n v="10.03888888888889"/>
    <s v="MAIS DE 5 ANOS"/>
    <s v="AGENTE DE COLETA"/>
    <s v="COLETA DOMICILIAR"/>
    <s v="DIURNO"/>
    <s v="JOSÉ ADELMAR"/>
    <x v="0"/>
    <d v="2023-01-01T00:00:00"/>
    <s v="JANEIRO "/>
    <d v="2023-01-02T00:00:00"/>
    <s v="jan/2023"/>
    <s v="JANEIRO "/>
    <n v="2023"/>
    <d v="2023-01-02T00:00:00"/>
    <s v="FALTA"/>
    <s v="O COLABORADOR FALTOU O PLANTÃO DO DIA 01/01/2023, SEM JUSTIFICATIVA A SUA CHEFIA IMEDIATA."/>
  </r>
  <r>
    <n v="13"/>
    <s v="ISAQUE FERNANDES DA CRUZ"/>
    <n v="2770002827"/>
    <s v="NORMAL"/>
    <d v="2022-05-02T00:00:00"/>
    <s v="0ANOS, 7MESES"/>
    <n v="0.67777777777777781"/>
    <s v="0 A 01 ANO"/>
    <s v="AGENTE DE COLETA"/>
    <s v="COLETA DOMICILIAR"/>
    <s v="DIURNO"/>
    <s v="JOSÉ ADELMAR"/>
    <x v="0"/>
    <d v="2023-01-01T00:00:00"/>
    <s v="JANEIRO "/>
    <d v="2023-01-02T00:00:00"/>
    <s v="jan/2023"/>
    <s v="JANEIRO "/>
    <n v="2023"/>
    <d v="2023-01-02T00:00:00"/>
    <s v="FALTA"/>
    <s v="O COLABORADOR FALTOU O PLANTÃO DO DIA 01/01/2023, SEM JUSTIFICATIVA A SUA CHEFIA IMEDIATA."/>
  </r>
  <r>
    <n v="14"/>
    <s v="RONALDO GONÇALVES DE LIMA"/>
    <n v="2770003031"/>
    <s v="NORMAL"/>
    <d v="2022-12-01T00:00:00"/>
    <s v="0ANOS, 1MESES"/>
    <n v="8.611111111111111E-2"/>
    <s v="0 A 01 ANO"/>
    <s v="AGENTE DE COLETA"/>
    <s v="COLETA DOMICILIAR"/>
    <s v="NOTURNO"/>
    <s v="DOUGLAS ALBUQUERQUE"/>
    <x v="0"/>
    <d v="2023-01-01T00:00:00"/>
    <s v="JANEIRO "/>
    <d v="2023-01-02T00:00:00"/>
    <s v="jan/2023"/>
    <s v="JANEIRO "/>
    <n v="2023"/>
    <d v="2023-01-02T00:00:00"/>
    <s v="FALTA"/>
    <s v="FALTA INJUSTIFICADA EM 01/01/2023."/>
  </r>
  <r>
    <n v="15"/>
    <s v="JOSINEY CATIQUE VERAS"/>
    <n v="2770002609"/>
    <s v="NORMAL"/>
    <d v="2021-08-09T00:00:00"/>
    <s v="1ANOS, 4MESES"/>
    <n v="1.4194444444444445"/>
    <s v="01 A 03 ANOS"/>
    <s v="AGENTE DE COLETA"/>
    <s v="COLETA DOMICILIAR"/>
    <s v="NOTURNO"/>
    <s v="JOSÉ ADELMAR"/>
    <x v="1"/>
    <d v="2023-01-02T00:00:00"/>
    <s v="JANEIRO "/>
    <d v="2023-01-03T00:00:00"/>
    <s v="jan/2023"/>
    <s v="JANEIRO "/>
    <n v="2023"/>
    <d v="2023-01-06T00:00:00"/>
    <s v="FALTA"/>
    <s v="A COLABORADOR FALTOU NO DIA  02/01/2023, SEM JUSTIFICATIVA A SUA CHEFIA IMEDIATA."/>
  </r>
  <r>
    <n v="16"/>
    <s v="EDILSON LUIZ CARVALHO DE OLIVEIRA"/>
    <n v="2770002769"/>
    <s v="NORMAL"/>
    <d v="2022-01-17T00:00:00"/>
    <s v="0ANOS, 11MESES"/>
    <n v="0.97222222222222221"/>
    <s v="0 A 01 ANO"/>
    <s v="AGENTE DE COLETA"/>
    <s v="COLETA DOMICILIAR"/>
    <s v="NOTURNO"/>
    <s v="DOUGLAS ALBUQUERQUE"/>
    <x v="0"/>
    <d v="2023-01-02T00:00:00"/>
    <s v="JANEIRO "/>
    <d v="2023-01-03T00:00:00"/>
    <s v="jan/2023"/>
    <s v="JANEIRO "/>
    <n v="2023"/>
    <d v="2023-01-03T00:00:00"/>
    <s v="FALTA"/>
    <s v="FALTA INJUSTIFICADA EM 02/01/2023."/>
  </r>
  <r>
    <n v="17"/>
    <s v="ITALO NASCIMENTO DE SOUZA"/>
    <n v="2770002875"/>
    <s v="NORMAL"/>
    <d v="2022-06-01T00:00:00"/>
    <s v="0ANOS, 7MESES"/>
    <n v="0.59722222222222221"/>
    <s v="0 A 01 ANO"/>
    <s v="AGENTE DE COLETA"/>
    <s v="COLETA DOMICILIAR"/>
    <s v="NOTURNO"/>
    <s v="DOUGLAS ALBUQUERQUE"/>
    <x v="1"/>
    <d v="2023-01-02T00:00:00"/>
    <s v="JANEIRO "/>
    <d v="2023-01-03T00:00:00"/>
    <s v="jan/2023"/>
    <s v="JANEIRO "/>
    <n v="2023"/>
    <d v="2023-01-04T00:00:00"/>
    <s v="FALTA"/>
    <s v="FALTA INJUSTIFICADA EM 02/01/2023."/>
  </r>
  <r>
    <n v="18"/>
    <s v="ANDERSON FERNANDES DE OLIVEIRA"/>
    <n v="2770002833"/>
    <s v="NORMAL"/>
    <d v="2022-05-02T00:00:00"/>
    <s v="0ANOS, 8MESES"/>
    <n v="0.68055555555555558"/>
    <s v="0 A 01 ANO"/>
    <s v="AGENTE DE COLETA"/>
    <s v="COLETA DOMICILIAR"/>
    <s v="NOTURNO"/>
    <s v="DOUGLAS ALBUQUERQUE"/>
    <x v="1"/>
    <d v="2023-01-02T00:00:00"/>
    <s v="JANEIRO "/>
    <d v="2023-01-03T00:00:00"/>
    <s v="jan/2023"/>
    <s v="JANEIRO "/>
    <n v="2023"/>
    <d v="2023-01-08T00:00:00"/>
    <s v="FALTA"/>
    <s v="FALTA INJUSTIFICADA EM 01/01/2023 E 02/01/2023."/>
  </r>
  <r>
    <n v="19"/>
    <s v="BRENDO FERREIRA DA SILVA"/>
    <n v="2770003013"/>
    <s v="NORMAL"/>
    <d v="2022-12-01T00:00:00"/>
    <s v="0ANOS, 1MESES"/>
    <n v="9.166666666666666E-2"/>
    <s v="0 A 01 ANO"/>
    <s v="AGENTE DE COLETA"/>
    <s v="COLETA DOMICILIAR"/>
    <s v="DIURNO"/>
    <s v="JOSÉ ADELMAR"/>
    <x v="0"/>
    <d v="2023-01-03T00:00:00"/>
    <s v="JANEIRO "/>
    <d v="2023-01-03T00:00:00"/>
    <s v="jan/2023"/>
    <s v="JANEIRO "/>
    <n v="2023"/>
    <d v="2023-01-03T00:00:00"/>
    <s v="FALTA"/>
    <s v="O COLABORADOR FALTOU NO DIA 03/01/2023, SEM JUSTIFICATIVA A SUA CHEFIA IMEDIATA."/>
  </r>
  <r>
    <n v="20"/>
    <s v="ANDRE GILBERTO TAVARES CHAVES"/>
    <n v="2770001508"/>
    <s v="NORMAL"/>
    <d v="2017-02-02T00:00:00"/>
    <s v="5ANOS, 11MESES"/>
    <n v="6"/>
    <s v="MAIS DE 5 ANOS"/>
    <s v="MOTORISTA"/>
    <s v="COLETA DOMICILIAR"/>
    <s v="NOTURNO"/>
    <s v="DOUGLAS ALBUQUERQUE"/>
    <x v="0"/>
    <d v="2023-01-02T00:00:00"/>
    <s v="JANEIRO "/>
    <d v="2023-01-04T00:00:00"/>
    <s v="jan/2023"/>
    <s v="JANEIRO "/>
    <n v="2023"/>
    <d v="2023-01-04T00:00:00"/>
    <s v="EXCESSO DE VELOCIDADE"/>
    <s v="EXCESSO DE VELOCIDADE (78KM/H) CC 695 EM 02/01/2023."/>
  </r>
  <r>
    <n v="21"/>
    <s v="WENDELL FRANCO GIBSON"/>
    <n v="2770002973"/>
    <s v="PARCIAL"/>
    <d v="2022-11-03T00:00:00"/>
    <s v="0ANOS, 1MESES"/>
    <n v="0.16388888888888889"/>
    <s v="0 A 01 ANO"/>
    <s v="AGENTE DE COLETA"/>
    <s v="COLETA DOMICILIAR"/>
    <s v="NOTURNO"/>
    <s v="DOUGLAS ALBUQUERQUE"/>
    <x v="0"/>
    <d v="2023-01-01T00:00:00"/>
    <s v="JANEIRO "/>
    <d v="2023-01-04T00:00:00"/>
    <s v="jan/2023"/>
    <s v="JANEIRO "/>
    <n v="2023"/>
    <d v="2023-01-04T00:00:00"/>
    <s v="FALTA"/>
    <s v="FALTA INJUSTIFICADA EM 01/01/2023 – CONTRATO PARCIAL (DOM./SEG./TER.)"/>
  </r>
  <r>
    <n v="22"/>
    <s v="DIEGO DA SILVA MAQUINE"/>
    <n v="2770003026"/>
    <s v="NORMAL"/>
    <d v="2022-12-01T00:00:00"/>
    <s v="0ANOS, 1MESES"/>
    <n v="9.166666666666666E-2"/>
    <s v="0 A 01 ANO"/>
    <s v="AGENTE DE COLETA"/>
    <s v="COLETA DOMICILIAR"/>
    <s v="NOTURNO"/>
    <s v="DOUGLAS ALBUQUERQUE"/>
    <x v="1"/>
    <d v="2023-01-03T00:00:00"/>
    <s v="JANEIRO "/>
    <d v="2023-01-04T00:00:00"/>
    <s v="jan/2023"/>
    <s v="JANEIRO "/>
    <n v="2023"/>
    <d v="2023-01-05T00:00:00"/>
    <s v="FALTA"/>
    <s v="FALTA INJUSTIFICADA EM 02/01/2023 E 03/01/2023."/>
  </r>
  <r>
    <n v="23"/>
    <s v="DANIEL PEREIRA MARQUES"/>
    <n v="2770002535"/>
    <s v="NORMAL"/>
    <d v="2021-05-02T00:00:00"/>
    <s v="1ANOS, 8MESES"/>
    <n v="1.7027777777777777"/>
    <s v="01 A 03 ANOS"/>
    <s v="MOTORISTA"/>
    <s v="COLETA DOMICILIAR"/>
    <s v="DIURNO"/>
    <s v="JOSÉ ADELMAR"/>
    <x v="0"/>
    <d v="2023-01-05T00:00:00"/>
    <s v="JANEIRO "/>
    <d v="2023-01-05T00:00:00"/>
    <s v="jan/2023"/>
    <s v="JANEIRO "/>
    <n v="2023"/>
    <d v="2023-01-05T00:00:00"/>
    <s v="EXCESSO DE VELOCIDADE"/>
    <s v="EXCEDEU A LIMITE DE VELOCIDADE PERMITIDA PELA EMPRESA CHEGANDO E 72 KM."/>
  </r>
  <r>
    <n v="24"/>
    <s v="FRANCINEL DE ALENCAR DA COSTA"/>
    <n v="2770003008"/>
    <s v="NORMAL"/>
    <d v="2022-11-09T00:00:00"/>
    <s v="0ANOS, 1MESES"/>
    <n v="0.16111111111111112"/>
    <s v="0 A 01 ANO"/>
    <s v="AGENTE DE COLETA"/>
    <s v="COLETA EM ÁREA DE DIFÍCIL ACESSO II"/>
    <s v="DIURNO"/>
    <s v="LUIZ HENRIQUE"/>
    <x v="0"/>
    <d v="2023-01-06T00:00:00"/>
    <s v="JANEIRO "/>
    <d v="2023-01-06T00:00:00"/>
    <s v="jan/2023"/>
    <s v="JANEIRO "/>
    <n v="2023"/>
    <d v="2023-01-06T00:00:00"/>
    <s v="INSUBORDINAÇÃO"/>
    <s v="COLABORADOR REGISTROU A FOTO NO INÍCIO DO EXPEDIENTE DE TRABALHO, E NÃO RETORNOU OS CONTATOS DOS FISCAIS NO PERÍODO DA MANHA."/>
  </r>
  <r>
    <n v="25"/>
    <s v="MAURICIO AUGUSTO QUEIROZ DE OLIVEIRA"/>
    <n v="2770003042"/>
    <s v="PARCIAL"/>
    <d v="2022-12-07T00:00:00"/>
    <s v="0ANOS, 1MESES"/>
    <n v="9.166666666666666E-2"/>
    <s v="0 A 01 ANO"/>
    <s v="AGENTE DE COLETA"/>
    <s v="COLETA DOMICILIAR"/>
    <s v="NOTURNO"/>
    <s v="DOUGLAS ALBUQUERQUE"/>
    <x v="0"/>
    <d v="2023-01-09T00:00:00"/>
    <s v="JANEIRO "/>
    <d v="2023-01-09T00:00:00"/>
    <s v="jan/2023"/>
    <s v="JANEIRO "/>
    <n v="2023"/>
    <d v="2023-01-09T00:00:00"/>
    <s v="QUEBRA DE PROCEDIMENTO"/>
    <s v="OPERAR ALAVANCA DO CC 729 – ROTA: 90.3.120 (PETRÓPOLIS) SEM EXPERIÊNCIA RESULTANDO EM ABERTURA DA COLETA DO CARRO DO SETOR."/>
  </r>
  <r>
    <n v="26"/>
    <s v="KAIRON CASTRO DOS SANTOS"/>
    <n v="2770002602"/>
    <s v="NORMAL"/>
    <d v="2021-07-14T00:00:00"/>
    <s v="1ANOS, 5MESES"/>
    <n v="1.5111111111111111"/>
    <s v="01 A 03 ANOS"/>
    <s v="AGENTE DE COLETA"/>
    <s v="COLETA DOMICILIAR"/>
    <s v="NOTURNO"/>
    <s v="DOUGLAS ALBUQUERQUE"/>
    <x v="1"/>
    <d v="2023-01-09T00:00:00"/>
    <s v="JANEIRO "/>
    <d v="2023-01-10T00:00:00"/>
    <s v="jan/2023"/>
    <s v="JANEIRO "/>
    <n v="2023"/>
    <d v="2023-01-15T00:00:00"/>
    <s v="FALTA"/>
    <s v="FALTA INJUSTIFICADA EM 09/01/2023."/>
  </r>
  <r>
    <n v="27"/>
    <s v="RAILSON GOMES MAIA"/>
    <n v="2770002569"/>
    <s v="NORMAL"/>
    <d v="2021-06-04T00:00:00"/>
    <s v="1ANOS, 7MESES"/>
    <n v="1.625"/>
    <s v="01 A 03 ANOS"/>
    <s v="AGENTE DE COLETA"/>
    <s v="COLETA DOMICILIAR"/>
    <s v="DIURNO"/>
    <s v="JOSÉ ADELMAR"/>
    <x v="1"/>
    <d v="2023-01-10T00:00:00"/>
    <s v="JANEIRO "/>
    <d v="2023-01-11T00:00:00"/>
    <s v="jan/2023"/>
    <s v="JANEIRO "/>
    <n v="2023"/>
    <d v="2023-01-12T00:00:00"/>
    <s v="FALTA"/>
    <s v="O COLABORADOR FALTOU NO DIA 10/01/2023, SEM JUSTIFICATIVA A SUA CHEFIA IMEDIATA."/>
  </r>
  <r>
    <n v="28"/>
    <s v="FELIPE DA COSTA RAMOS"/>
    <n v="2770003039"/>
    <s v="PARCIAL"/>
    <d v="2022-12-07T00:00:00"/>
    <s v="0ANOS, 1MESES"/>
    <n v="0.10833333333333334"/>
    <s v="0 A 01 ANO"/>
    <s v="AGENTE DE COLETA"/>
    <s v="COLETA DOMICILIAR"/>
    <s v="DIURNO"/>
    <s v="JOSÉ ADELMAR"/>
    <x v="0"/>
    <d v="2023-01-15T00:00:00"/>
    <s v="JANEIRO "/>
    <d v="2023-01-16T00:00:00"/>
    <s v="jan/2023"/>
    <s v="JANEIRO "/>
    <n v="2023"/>
    <d v="2023-01-16T00:00:00"/>
    <s v="FALTA"/>
    <s v="O COLABORADOR FALTOU O PLANTÃO DO DIA 15/01/2023, SEM JUSTIFICATIVA A SUA CHEFIA IMEDIATA."/>
  </r>
  <r>
    <n v="29"/>
    <s v="WENDERSON VIEIRA BARROS"/>
    <n v="2770001875"/>
    <s v="NORMAL"/>
    <d v="2018-07-17T00:00:00"/>
    <s v="4ANOS, 6MESES"/>
    <n v="4.572222222222222"/>
    <s v="03 A 05 ANOS"/>
    <s v="FISCAL DE OPERAÇÕES JR"/>
    <s v="CEU"/>
    <s v="NOTURNO"/>
    <s v="CARLOS EDUARDO"/>
    <x v="0"/>
    <d v="2023-01-18T00:00:00"/>
    <s v="JANEIRO "/>
    <d v="2023-01-18T00:00:00"/>
    <s v="jan/2023"/>
    <s v="JANEIRO "/>
    <n v="2023"/>
    <d v="2023-01-18T00:00:00"/>
    <s v="ATRASO"/>
    <s v="CHEGAR ATRASADO NO DIA 18/01/2023."/>
  </r>
  <r>
    <n v="30"/>
    <s v="ANDRE LUIZ JESUS DE SOUZA"/>
    <n v="2770000172"/>
    <s v="NORMAL"/>
    <d v="2013-02-08T00:00:00"/>
    <s v="9ANOS, 11MESES"/>
    <n v="10.088888888888889"/>
    <s v="MAIS DE 5 ANOS"/>
    <s v="MOTORISTA"/>
    <s v="COLETA DOMICILIAR"/>
    <s v="DIURNO"/>
    <s v="JOSÉ ADELMAR"/>
    <x v="0"/>
    <d v="2023-01-19T00:00:00"/>
    <s v="JANEIRO "/>
    <d v="2023-01-19T00:00:00"/>
    <s v="jan/2023"/>
    <s v="JANEIRO "/>
    <n v="2023"/>
    <d v="2023-01-19T00:00:00"/>
    <s v="QUEBRA DE PROCEDIMENTO"/>
    <s v="O MOTORISTA ESTAVA DANDO RÉ NO CAMINHÃO COM O COLABORADOR EM CIMA DO ESTRIBO DO CAMINÃO."/>
  </r>
  <r>
    <n v="31"/>
    <s v="WAGNER GOMES DA LUZ"/>
    <n v="2770002520"/>
    <s v="NORMAL"/>
    <d v="2021-05-03T00:00:00"/>
    <s v="1ANOS, 8MESES"/>
    <n v="1.7388888888888889"/>
    <s v="01 A 03 ANOS"/>
    <s v="AGENTE DE COLETA"/>
    <s v="COLETA DOMICILIAR"/>
    <s v="DIURNO"/>
    <s v="JOSÉ ADELMAR"/>
    <x v="0"/>
    <d v="2023-01-19T00:00:00"/>
    <s v="JANEIRO "/>
    <d v="2023-01-19T00:00:00"/>
    <s v="jan/2023"/>
    <s v="JANEIRO "/>
    <n v="2023"/>
    <d v="2023-01-19T00:00:00"/>
    <s v="QUEBRA DE PROCEDIMENTO"/>
    <s v="O COLABORADOR ESTAVA EM CIMA DO ESTRIBO NA HORA QUE O CAMINÃO ESTAVA DANDO RÉ."/>
  </r>
  <r>
    <n v="32"/>
    <s v="RODRIGO BARROSO PEREIRA"/>
    <n v="2770002273"/>
    <s v="NORMAL"/>
    <d v="2020-06-01T00:00:00"/>
    <s v="2ANOS, 7MESES"/>
    <n v="2.6694444444444443"/>
    <s v="01 A 03 ANOS"/>
    <s v="MOTORISTA"/>
    <s v="COLETA DOMICILIAR"/>
    <s v="DIURNO"/>
    <s v="JOSÉ ADELMAR"/>
    <x v="0"/>
    <d v="2023-01-18T00:00:00"/>
    <s v="JANEIRO "/>
    <d v="2023-01-19T00:00:00"/>
    <s v="jan/2023"/>
    <s v="JANEIRO "/>
    <n v="2023"/>
    <d v="2023-01-19T00:00:00"/>
    <s v="EXCESSO DE VELOCIDADE"/>
    <s v="EXCESSO DE VELOCIDADE ACIMA DE 70 KM, NO DIA 18/01/23."/>
  </r>
  <r>
    <n v="33"/>
    <s v="FRANCISCO ORLEILSON RODRIGUES ESTEVÃO"/>
    <n v="2770002172"/>
    <s v="NORMAL"/>
    <d v="2019-11-18T00:00:00"/>
    <s v="3ANOS, 2MESES"/>
    <n v="3.2166666666666668"/>
    <s v="03 A 05 ANOS"/>
    <s v="MOTORISTA"/>
    <s v="COLETA DOMICILIAR"/>
    <s v="DIURNO"/>
    <s v="JOSÉ ADELMAR"/>
    <x v="0"/>
    <d v="2023-01-19T00:00:00"/>
    <s v="JANEIRO "/>
    <d v="2023-01-19T00:00:00"/>
    <s v="jan/2023"/>
    <s v="JANEIRO "/>
    <n v="2023"/>
    <d v="2023-01-19T00:00:00"/>
    <s v="EXCESSO DE VELOCIDADE"/>
    <s v="EXCESSO DE VELOCIDADE ACIMA DE 70 KM, NO DIA 19/01/23."/>
  </r>
  <r>
    <n v="34"/>
    <s v="MANUEL MONTEIRO DE OLIVEIRA FILHO"/>
    <n v="2770000934"/>
    <s v="NORMAL"/>
    <d v="2013-11-14T00:00:00"/>
    <s v="9ANOS, 2MESES"/>
    <n v="9.3027777777777771"/>
    <s v="MAIS DE 5 ANOS"/>
    <s v="AGENTE DE COLETA"/>
    <s v="COLETA DOMICILIAR"/>
    <s v="DIURNO"/>
    <s v="JOSÉ ADELMAR"/>
    <x v="1"/>
    <d v="2023-01-15T00:00:00"/>
    <s v="JANEIRO "/>
    <d v="2023-01-20T00:00:00"/>
    <s v="jan/2023"/>
    <s v="JANEIRO "/>
    <n v="2023"/>
    <d v="2023-01-21T00:00:00"/>
    <s v="QUEBRA DE PROCEDIMENTO"/>
    <s v="POR NÃO CUMPRIR O PROCEDIMENTO DE RÉ NA DATA DO DIA 15/01/2023, FICANDO EM CIMA DO ESTRIBO ENQUANTO O MOTORISTA ESTAVA DANDO RÉ."/>
  </r>
  <r>
    <n v="35"/>
    <s v="JHON CLEY BARBOSA DA SILVA"/>
    <n v="2770002988"/>
    <s v="NORMAL"/>
    <d v="2022-11-03T00:00:00"/>
    <s v="0ANOS, 2MESES"/>
    <n v="0.20277777777777778"/>
    <s v="0 A 01 ANO"/>
    <s v="AGENTE DE COLETA"/>
    <s v="COLETA DOMICILIAR"/>
    <s v="DIURNO"/>
    <s v="JOSÉ ADELMAR"/>
    <x v="1"/>
    <d v="2023-01-15T00:00:00"/>
    <s v="JANEIRO "/>
    <d v="2023-01-20T00:00:00"/>
    <s v="jan/2023"/>
    <s v="JANEIRO "/>
    <n v="2023"/>
    <d v="2023-01-21T00:00:00"/>
    <s v="QUEBRA DE PROCEDIMENTO"/>
    <s v="POR NÃO CUMPRIR O PROCEDIMENTO DE RÉ NA DATA DO DIA 15/01/2023, FICANDO EM CIMA DO ESTRIBO ENQUANTO O MOTORISTA ESTAVA DANDO RÉ."/>
  </r>
  <r>
    <n v="36"/>
    <s v="JANDERSON SAMPAIO DE AGUIAR"/>
    <n v="2770002434"/>
    <s v="NORMAL"/>
    <d v="2020-12-04T00:00:00"/>
    <s v="2ANOS, 1MESES"/>
    <n v="2.1444444444444444"/>
    <s v="01 A 03 ANOS"/>
    <s v="MOTORISTA"/>
    <s v="COLETA DOMICILIAR"/>
    <s v="DIURNO"/>
    <s v="JOSÉ ADELMAR"/>
    <x v="1"/>
    <d v="2023-01-15T00:00:00"/>
    <s v="JANEIRO "/>
    <d v="2023-01-20T00:00:00"/>
    <s v="jan/2023"/>
    <s v="JANEIRO "/>
    <n v="2023"/>
    <d v="2023-01-21T00:00:00"/>
    <s v="QUEBRA DE PROCEDIMENTO"/>
    <s v="POR NÃO CUMPRIR O PROCEDIMENTO DE RÉ NA DATA DO DIA 15/01/2023, ONDE OS GARÍS ESTAVAM NO ESTRIBO O MESMO ESTAVA EM MANOBRA DE RÉ."/>
  </r>
  <r>
    <n v="37"/>
    <s v="WENDERSON VIEIRA BARROS"/>
    <n v="2770001875"/>
    <s v="NORMAL"/>
    <d v="2018-07-17T00:00:00"/>
    <s v="4ANOS, 6MESES"/>
    <n v="4.5777777777777775"/>
    <s v="03 A 05 ANOS"/>
    <s v="FISCAL DE OPERAÇÕES PL"/>
    <s v="COLETA DOMICILIAR"/>
    <s v="NOTURNO"/>
    <s v="CARLOS EDUARDO"/>
    <x v="1"/>
    <d v="2023-01-20T00:00:00"/>
    <s v="JANEIRO "/>
    <d v="2023-01-20T00:00:00"/>
    <s v="jan/2023"/>
    <s v="JANEIRO "/>
    <n v="2023"/>
    <d v="2023-01-21T00:00:00"/>
    <s v="INSUBORDINAÇÃO"/>
    <s v="DESCUMPRIR ORDEM DO GESTOR 20/01/2023, FOI SOLICITADO QUE O FUNCIONÁRIO REALIZA-SE MAPEAMENTO DO SETOR SANTA INES NAS RUAS A, B, C, E E AV. Q, ONDE O MESMO SE NEGOU A REALIZAR A TAREFA, APÓS ESSE OCORRIDO FOI ORIENTADO PELA CHEFIA IMEDIATA PARA RETORNAR Á GARAGEM, MAS NOVAMENTE A SOLICITAÇÃO NÃO FOI ATENDIDA."/>
  </r>
  <r>
    <n v="38"/>
    <s v="ANTONIO LUIS RIBEIRO ALEXANDRE"/>
    <n v="2770002929"/>
    <s v="NORMAL"/>
    <d v="2022-09-01T00:00:00"/>
    <s v="0ANOS, 4MESES"/>
    <n v="0.3972222222222222"/>
    <s v="0 A 01 ANO"/>
    <s v="AGENTE DE COLETA"/>
    <s v="COLETA DOMICILIAR"/>
    <s v="NOTURNO"/>
    <s v="DOUGLAS ALBUQUERQUE"/>
    <x v="0"/>
    <d v="2023-01-22T00:00:00"/>
    <s v="JANEIRO "/>
    <d v="2023-01-23T00:00:00"/>
    <s v="jan/2023"/>
    <s v="JANEIRO "/>
    <n v="2023"/>
    <d v="2023-01-23T00:00:00"/>
    <s v="FALTA"/>
    <s v="FALTA INJUSTIFICADA EM 22/01/2023."/>
  </r>
  <r>
    <n v="39"/>
    <s v="HELIO REIS DE FREITAS"/>
    <n v="2770002422"/>
    <s v="NORMAL"/>
    <d v="2020-12-01T00:00:00"/>
    <s v="2ANOS, 1MESES"/>
    <n v="2.1694444444444443"/>
    <s v="01 A 03 ANOS"/>
    <s v="AGENTE DE COLETA"/>
    <s v="COLETA DOMICILIAR"/>
    <s v="NOTURNO"/>
    <s v="DOUGLAS ALBUQUERQUE"/>
    <x v="0"/>
    <d v="2023-01-21T00:00:00"/>
    <s v="JANEIRO "/>
    <d v="2023-01-23T00:00:00"/>
    <s v="jan/2023"/>
    <s v="JANEIRO "/>
    <n v="2023"/>
    <d v="2023-01-23T00:00:00"/>
    <s v="FALTA"/>
    <s v="FALTA INJUSTIFICADA EM 21/01/2023."/>
  </r>
  <r>
    <n v="40"/>
    <s v="FRANCINEL DE ALENCAR DA COSTA"/>
    <n v="2770003008"/>
    <s v="NORMAL"/>
    <d v="2022-11-09T00:00:00"/>
    <s v="0ANOS, 2MESES"/>
    <n v="0.20833333333333334"/>
    <s v="0 A 01 ANO"/>
    <s v="AGENTE DE COLETA"/>
    <s v="COLETA EM ÁREA DE DIFÍCIL ACESSO II"/>
    <s v="DIURNO"/>
    <s v="JOSÉ ADELMAR"/>
    <x v="1"/>
    <d v="2023-01-23T00:00:00"/>
    <s v="JANEIRO "/>
    <d v="2023-01-23T00:00:00"/>
    <s v="jan/2023"/>
    <s v="JANEIRO "/>
    <n v="2023"/>
    <d v="2023-01-24T00:00:00"/>
    <s v="FALTA"/>
    <s v="O COLABORADOR FALTOU AO TRABALHO NO DIA 23/01/2023."/>
  </r>
  <r>
    <n v="41"/>
    <s v="MARCOS VINICIUS OLIVEIRA DOS SANTOS"/>
    <n v="2770002993"/>
    <s v="NORMAL"/>
    <d v="2022-11-03T00:00:00"/>
    <s v="0ANOS, 2MESES"/>
    <n v="0.22222222222222221"/>
    <s v="0 A 01 ANO"/>
    <s v="AGENTE DE COLETA"/>
    <s v="COLETA DOMICILIAR"/>
    <s v="DIURNO"/>
    <s v="JOSÉ ADELMAR"/>
    <x v="0"/>
    <d v="2023-01-22T00:00:00"/>
    <s v="JANEIRO "/>
    <d v="2023-01-23T00:00:00"/>
    <s v="jan/2023"/>
    <s v="JANEIRO "/>
    <n v="2023"/>
    <d v="2023-01-22T00:00:00"/>
    <s v="QUEBRA DE PROCEDIMENTO"/>
    <s v="O COLABORADOR DESCUMPRIU O PROCEDIMENTO DE RÉ NO DIA 22/01/2023 ONDE O MESMO NÃO ESTAVA APENAS ORIENTANDO NO PROCEDIMENTO DE RÉ COMO TAMBÉM COLETANDO LIXO AO MESMO TEMPO."/>
  </r>
  <r>
    <n v="42"/>
    <s v="ADSON DO NASCIMENTO SOUZA"/>
    <n v="2770002992"/>
    <s v="PARCIAL"/>
    <d v="2022-11-03T00:00:00"/>
    <s v="0ANOS, 2MESES"/>
    <n v="0.22222222222222221"/>
    <s v="0 A 01 ANO"/>
    <s v="AGENTE DE COLETA"/>
    <s v="COLETA DOMICILIAR"/>
    <s v="DIURNO"/>
    <s v="JOSÉ ADELMAR"/>
    <x v="0"/>
    <d v="2023-01-22T00:00:00"/>
    <s v="JANEIRO "/>
    <d v="2023-01-23T00:00:00"/>
    <s v="jan/2023"/>
    <s v="JANEIRO "/>
    <n v="2023"/>
    <d v="2023-01-23T00:00:00"/>
    <s v="QUEBRA DE PROCEDIMENTO"/>
    <s v="O COLABORADOR DESCUMPRIU O PROCEDIMENTO DE RÉ NO DIA 22/01/2023 ONDE O MESMO NÃO ESTAVA APENAS ORIENTANDO NO PROCEDIMENTO DE RÉ COMO TAMBÉM COLETANDO LIXO AO MESMO TEMPO."/>
  </r>
  <r>
    <n v="43"/>
    <s v="VANDERLAN COMES SOUZA"/>
    <n v="2770002492"/>
    <s v="NORMAL"/>
    <d v="2021-03-17T00:00:00"/>
    <s v="1ANOS, 10MESES"/>
    <n v="1.8805555555555555"/>
    <s v="01 A 03 ANOS"/>
    <s v="MOTORISTA"/>
    <s v="COLETA DOMICILIAR"/>
    <s v="DIURNO"/>
    <s v="JOSÉ ADELMAR"/>
    <x v="0"/>
    <d v="2023-01-23T00:00:00"/>
    <s v="JANEIRO "/>
    <d v="2023-01-23T00:00:00"/>
    <s v="jan/2023"/>
    <s v="JANEIRO "/>
    <n v="2023"/>
    <d v="2023-01-23T00:00:00"/>
    <s v="QUEBRA DE PROCEDIMENTO"/>
    <s v="O MOTORISTA DEIXOU DE CUMPRIR O PROCEDIMENTO DE RÉ NO DIA 23/01/2023, AO DAR UMA RÉ NÃO SE ATENTOU PELA ORIENTAÇÃO DO AGENTE QUE ESTAVA ORIENTANDO E VEIO BATER NA MURETA DO JARDIM."/>
  </r>
  <r>
    <n v="44"/>
    <s v="ANDERSON GIBSON FRANCO"/>
    <n v="2770003056"/>
    <s v="NORMAL"/>
    <d v="2023-01-12T00:00:00"/>
    <s v="0ANOS, 0MESES"/>
    <n v="2.7777777777777776E-2"/>
    <s v="0 A 01 ANO"/>
    <s v="MOTORISTA"/>
    <s v="COLETA DOMICILIAR"/>
    <s v="DIURNO"/>
    <s v="JOSÉ ADELMAR"/>
    <x v="0"/>
    <d v="2023-01-22T00:00:00"/>
    <s v="JANEIRO "/>
    <d v="2023-01-23T00:00:00"/>
    <s v="jan/2023"/>
    <s v="JANEIRO "/>
    <n v="2023"/>
    <d v="2023-04-23T00:00:00"/>
    <s v="QUEBRA DE PROCEDIMENTO"/>
    <s v="O MOTORISTA DEIXOU DE CUMPRIR O PROCEDIMENTO DE RÉ NO DIA 22/01/2023, ONDE NÃO ESTAVA SENDO ORIENTADO APENAS POR 1, ELE ESTAVA SENDO ORIENTADO POR DOIS GARÍS DESVIANDO A ATENÇÃO PARA FOCAR APENAS 1, ASSIM DESCUMPRINDO O PROCEDIMENTO ALÉM DOS GARÍS ESTAREM COLETANDO E ORIENTANDO AO MESMO TEMPO."/>
  </r>
  <r>
    <n v="45"/>
    <s v="ADRIANO ROCHA DE PAULA"/>
    <n v="2770002055"/>
    <s v="NORMAL"/>
    <d v="2017-05-14T00:00:00"/>
    <s v="5ANOS, 8MESES"/>
    <n v="5.7777777777777777"/>
    <s v="MAIS DE 5 ANOS"/>
    <s v="AGENTE DE COLETA"/>
    <s v="COLETA DOMICILIAR"/>
    <s v="NOTURNO"/>
    <s v="DOUGLAS ALBUQUERQUE"/>
    <x v="1"/>
    <d v="2023-01-23T00:00:00"/>
    <s v="JANEIRO "/>
    <d v="2023-01-24T00:00:00"/>
    <s v="jan/2023"/>
    <s v="JANEIRO "/>
    <n v="2023"/>
    <d v="2023-01-29T00:00:00"/>
    <s v="FALTA"/>
    <s v="FALTA INJUSTIFICADA EM 23/01/2023."/>
  </r>
  <r>
    <n v="46"/>
    <s v="ELADYO DE SALES RIBEIRO"/>
    <n v="2770000085"/>
    <s v="NORMAL"/>
    <d v="2013-02-08T00:00:00"/>
    <s v="9ANOS, 11MESES"/>
    <n v="10.102777777777778"/>
    <s v="MAIS DE 5 ANOS"/>
    <s v="MOTORISTA"/>
    <s v="COLETA DOMICILIAR"/>
    <s v="DIURNO"/>
    <s v="JOSÉ ADELMAR"/>
    <x v="0"/>
    <d v="2023-01-24T00:00:00"/>
    <s v="JANEIRO "/>
    <d v="2023-01-24T00:00:00"/>
    <s v="jan/2023"/>
    <s v="JANEIRO "/>
    <n v="2023"/>
    <d v="2023-01-24T00:00:00"/>
    <s v="EXCESSO DE VELOCIDADE"/>
    <s v="EXCESSO DE VELOCIDADE ACIMA DE 70 KM, NO DIA 24/01/2023."/>
  </r>
  <r>
    <n v="47"/>
    <s v="FRANCINEL DE ALENCAR DA COSTA"/>
    <n v="2770003008"/>
    <s v="NORMAL"/>
    <d v="2022-11-09T00:00:00"/>
    <s v="0ANOS, 2MESES"/>
    <n v="0.21388888888888888"/>
    <s v="0 A 01 ANO"/>
    <s v="AGENTE DE COLETA"/>
    <s v="COLETA EM ÁREA DE DIFÍCIL ACESSO II"/>
    <s v="DIURNO"/>
    <s v="JOSÉ ADELMAR"/>
    <x v="1"/>
    <d v="2023-01-25T00:00:00"/>
    <s v="JANEIRO "/>
    <d v="2023-01-25T00:00:00"/>
    <s v="jan/2023"/>
    <s v="JANEIRO "/>
    <n v="2023"/>
    <d v="2023-01-28T00:00:00"/>
    <s v="ATRASO"/>
    <s v="O COLABORADOR CHEGOU ATRASADO AO TRABALHO NO DIA 25/01/2023, SEM JUSTIFICAR A SUA CHEFIA IMEDIATA."/>
  </r>
  <r>
    <n v="48"/>
    <s v="FRANCINEL DE ALENCAR DA COSTA"/>
    <n v="2770003008"/>
    <s v="NORMAL"/>
    <d v="2022-11-09T00:00:00"/>
    <s v="0ANOS, 2MESES"/>
    <n v="0.22222222222222221"/>
    <s v="0 A 01 ANO"/>
    <s v="AGENTE DE COLETA"/>
    <s v="COLETA EM ÁREA DE DIFÍCIL ACESSO II"/>
    <s v="DIURNO"/>
    <s v="JOSÉ ADELMAR"/>
    <x v="1"/>
    <d v="2023-01-28T00:00:00"/>
    <s v="JANEIRO "/>
    <d v="2023-01-28T00:00:00"/>
    <s v="jan/2023"/>
    <s v="JANEIRO "/>
    <n v="2023"/>
    <d v="2023-02-02T00:00:00"/>
    <s v="FALTA"/>
    <s v="O COLABORADOR FALTOU NO DIA 28/01/2023, SEM JUSTIFICATIFICAR A SUA CHEFIA IMEDIATA."/>
  </r>
  <r>
    <n v="49"/>
    <s v="DENILSON AFONSO DA SILVA LIMA"/>
    <n v="2770002820"/>
    <s v="NORMAL"/>
    <d v="2022-04-14T00:00:00"/>
    <s v="0ANOS, 9MESES"/>
    <n v="0.80555555555555558"/>
    <s v="0 A 01 ANO"/>
    <s v="AGENTE DE COLETA"/>
    <s v="COLETA DOMICILIAR"/>
    <s v="DIURNO"/>
    <s v="JOSÉ ADELMAR"/>
    <x v="1"/>
    <d v="2023-01-29T00:00:00"/>
    <s v="JANEIRO "/>
    <d v="2023-01-30T00:00:00"/>
    <s v="jan/2023"/>
    <s v="JANEIRO "/>
    <n v="2023"/>
    <d v="2023-02-06T00:00:00"/>
    <s v="FALTA"/>
    <s v="O COLABORADOR FALTOU O PLANTÃO DO DIA 29/01/2023, SEM JUSTIFICAR A SUA CHEFIA IMEDIATA."/>
  </r>
  <r>
    <n v="50"/>
    <s v="CARLOS ALBERTO PERES DE OLIVEIRA"/>
    <n v="2770003011"/>
    <s v="NORMAL"/>
    <d v="2022-12-01T00:00:00"/>
    <s v="0ANOS, 1MESES"/>
    <n v="0.16666666666666666"/>
    <s v="0 A 01 ANO"/>
    <s v="AGENTE DE COLETA"/>
    <s v="COLETA DOMICILIAR"/>
    <s v="DIURNO"/>
    <s v="JOSÉ ADELMAR"/>
    <x v="0"/>
    <d v="2023-01-30T00:00:00"/>
    <s v="JANEIRO "/>
    <d v="2023-01-30T00:00:00"/>
    <s v="jan/2023"/>
    <s v="JANEIRO "/>
    <n v="2023"/>
    <d v="2023-01-30T00:00:00"/>
    <s v="QUEBRA DE PROCEDIMENTO"/>
    <s v="COLABORADOR FOI FLAGRADO NO DIA 30/01/2023 - FAZENDO ARRUMAÇÃO NO ROTEIRO 90.1.127 (PARQUE DAS GARÇAS)."/>
  </r>
  <r>
    <n v="51"/>
    <s v="DANIEL MENES PERES"/>
    <n v="2770002204"/>
    <s v="NORMAL"/>
    <d v="2020-02-01T00:00:00"/>
    <s v="2ANOS, 11MESES"/>
    <n v="3.0388888888888888"/>
    <s v="03 A 05 ANOS"/>
    <s v="AGENTE DE COLETA"/>
    <s v="COLETA DOMICILIAR"/>
    <s v="DIURNO"/>
    <s v="JOSÉ ADELMAR"/>
    <x v="0"/>
    <d v="2023-01-30T00:00:00"/>
    <s v="JANEIRO "/>
    <d v="2023-01-30T00:00:00"/>
    <s v="jan/2023"/>
    <s v="JANEIRO "/>
    <n v="2023"/>
    <d v="2023-01-30T00:00:00"/>
    <s v="QUEBRA DE PROCEDIMENTO"/>
    <s v="COLABORADOR FOI FLAGRADO NO DIA 30/01/2023 - FAZENDO ARRUMAÇÃO NO ROTEIRO 90.1.127 (PARQUE DAS GARÇAS)."/>
  </r>
  <r>
    <n v="52"/>
    <s v="FRANCISCO GEOVANE CARVALHO"/>
    <n v="2770002430"/>
    <s v="NORMAL"/>
    <d v="2020-12-04T00:00:00"/>
    <s v="2ANOS, 1MESES"/>
    <n v="2.1861111111111109"/>
    <s v="01 A 03 ANOS"/>
    <s v="AGENTE DE COLETA"/>
    <s v="COLETA DOMICILIAR"/>
    <s v="DIURNO"/>
    <s v="JOSÉ ADELMAR"/>
    <x v="0"/>
    <d v="2023-01-30T00:00:00"/>
    <s v="JANEIRO "/>
    <d v="2023-01-30T00:00:00"/>
    <s v="jan/2023"/>
    <s v="JANEIRO "/>
    <n v="2023"/>
    <d v="2023-01-30T00:00:00"/>
    <s v="QUEBRA DE PROCEDIMENTO"/>
    <s v="COLABORADOR FOI FLAGRADO NO DIA 30/01/2023 - FAZENDO ARRUMAÇÃO NO ROTEIRO 90.1.127 (PARQUE DAS GARÇAS)."/>
  </r>
  <r>
    <n v="53"/>
    <s v="IOMAR CASTRO DA COSTA JUNIOR"/>
    <n v="2770002470"/>
    <s v="NORMAL"/>
    <d v="2021-02-17T00:00:00"/>
    <s v="1ANOS, 11MESES"/>
    <n v="1.9777777777777779"/>
    <s v="01 A 03 ANOS"/>
    <s v="MOTORISTA"/>
    <s v="COLETA DOMICILIAR"/>
    <s v="DIURNO"/>
    <s v="JOSÉ ADELMAR"/>
    <x v="0"/>
    <d v="2023-01-30T00:00:00"/>
    <s v="JANEIRO "/>
    <d v="2023-01-30T00:00:00"/>
    <s v="jan/2023"/>
    <s v="JANEIRO "/>
    <n v="2023"/>
    <d v="2023-01-30T00:00:00"/>
    <s v="QUEBRA DE PROCEDIMENTO"/>
    <s v="O COLABORADOR DEIXOU DE CUMPRIR O PROCEDIMENTO E FOI FLAGRADO REALIZANDO ARRUMAÇÃO NO ROTEIRO NA DATA 30/01/2023 - ROTEIRO 90.1.127 (PARQUE DAS GARÇAS)."/>
  </r>
  <r>
    <n v="54"/>
    <s v="DONIELSON PEREIRA DA SILVA"/>
    <n v="2770002265"/>
    <s v="NORMAL"/>
    <d v="2020-05-12T00:00:00"/>
    <s v="2ANOS, 8MESES"/>
    <n v="2.7611111111111111"/>
    <s v="01 A 03 ANOS"/>
    <s v="MOTORISTA"/>
    <s v="COLETA DOMICILIAR"/>
    <s v="NOTURNO"/>
    <s v="LUIZ HENRIQUE"/>
    <x v="1"/>
    <d v="2023-01-31T00:00:00"/>
    <s v="JANEIRO "/>
    <d v="2023-01-31T00:00:00"/>
    <s v="jan/2023"/>
    <s v="JANEIRO "/>
    <n v="2023"/>
    <d v="2023-01-01T00:00:00"/>
    <s v="QUEBRA DE PROCEDIMENTO"/>
    <s v="COLABORADOR NÃO SEGUIU O PROCEDIMENTO AO ENTRAR NA AV. CRUZEIRO ONDE A TRAFEGABILIDADE SE ENCONTRAVA IRREGULAR COM BASTANTE LAMA E BURACOS, PODENDO OCASIONAR UM ACIDENTE."/>
  </r>
  <r>
    <n v="55"/>
    <s v="ANDERSON CASTRO FREITAS"/>
    <n v="2770003229"/>
    <s v="NORMAL"/>
    <d v="2023-09-13T00:00:00"/>
    <s v="0ANOS, 1MESES"/>
    <n v="0.1361111111111111"/>
    <s v="0 A 01 ANO"/>
    <s v="MOTORISTA"/>
    <s v="COLETA DOMICILIAR"/>
    <s v="NOTURNO"/>
    <s v="JOÃO PEDRO"/>
    <x v="0"/>
    <d v="2023-11-01T00:00:00"/>
    <s v="NOVEMBRO"/>
    <d v="2023-02-01T00:00:00"/>
    <s v="fev/2023"/>
    <s v="FEVEREIRO"/>
    <n v="2023"/>
    <d v="2023-11-02T00:00:00"/>
    <s v="EXCESSO DE VELOCIDADE"/>
    <s v="NO DIA 01/11/2023 AS 00:28 O COLABORADOR EXCEDEU O LIMITE DE VELOCIDADE CHEGANDO À 74 KM/H."/>
  </r>
  <r>
    <n v="56"/>
    <s v="JORDEL FEITOZA E FEITOZA"/>
    <n v="2770003029"/>
    <s v="NORMAL"/>
    <d v="2022-12-01T00:00:00"/>
    <s v="0ANOS, 2MESES"/>
    <n v="0.17222222222222222"/>
    <s v="0 A 01 ANO"/>
    <s v="AGENTE DE COLETA"/>
    <s v="COLETA DOMICILIAR"/>
    <s v="NOTURNO"/>
    <s v="CARLOS EDUARDO"/>
    <x v="0"/>
    <d v="2023-02-01T00:00:00"/>
    <s v="FEVEREIRO"/>
    <d v="2023-02-02T00:00:00"/>
    <s v="fev/2023"/>
    <s v="FEVEREIRO"/>
    <n v="2023"/>
    <d v="2023-02-02T00:00:00"/>
    <s v="FALTA"/>
    <s v="ADVERTÊNCIA POR ESCRITA, FALTA SEM JUSTIFICATIVA. (31/01 A 01/02/2023)."/>
  </r>
  <r>
    <n v="57"/>
    <s v="OSMAR FERREIRA VIEIRA NETO"/>
    <n v="2770002935"/>
    <s v="NORMAL"/>
    <d v="2022-09-01T00:00:00"/>
    <s v="0ANOS, 5MESES"/>
    <n v="0.42777777777777776"/>
    <s v="0 A 01 ANO"/>
    <s v="MOTORISTA"/>
    <s v="COLETA DOMICILIAR"/>
    <s v="NOTURNO"/>
    <s v="CARLOS EDUARDO"/>
    <x v="0"/>
    <d v="2023-02-02T00:00:00"/>
    <s v="FEVEREIRO"/>
    <d v="2023-02-03T00:00:00"/>
    <s v="fev/2023"/>
    <s v="FEVEREIRO"/>
    <n v="2023"/>
    <d v="2023-02-06T00:00:00"/>
    <s v="EXCESSO DE VELOCIDADE"/>
    <s v="EXCESSO DE VELOCIDADE DO DIA 03/02/2023, NA ÁREA INTERNA DO ATERRO SANITÁRIO."/>
  </r>
  <r>
    <n v="58"/>
    <s v="BRENDA EMYLLIS DE SOUZA XAVIER"/>
    <n v="2770002211"/>
    <s v="NORMAL"/>
    <d v="2020-02-04T00:00:00"/>
    <s v="3ANOS, 0MESES"/>
    <n v="3.0444444444444443"/>
    <s v="03 A 05 ANOS"/>
    <s v="EDUCADOR AMBIENTAL JR"/>
    <s v="EDUCAÇÃO AMBIENTAL"/>
    <s v="COMERCIAL"/>
    <s v="ELISÂNGELA COSTA"/>
    <x v="0"/>
    <d v="2023-02-04T00:00:00"/>
    <s v="FEVEREIRO"/>
    <d v="2023-02-06T00:00:00"/>
    <s v="fev/2023"/>
    <s v="FEVEREIRO"/>
    <n v="2023"/>
    <d v="2023-02-06T00:00:00"/>
    <s v="FALTA"/>
    <s v="FALTA NÃO JUSTIFICADA NO DIA 04/02/2023."/>
  </r>
  <r>
    <n v="59"/>
    <s v="KAIRON CASTRO DOS SANTOS"/>
    <n v="2770002602"/>
    <s v="NORMAL"/>
    <d v="2021-07-14T00:00:00"/>
    <s v="1ANOS, 6MESES"/>
    <n v="1.5833333333333333"/>
    <s v="01 A 03 ANOS"/>
    <s v="AGENTE DE COLETA"/>
    <s v="COLETA DOMICILIAR"/>
    <s v="NOTURNO"/>
    <s v="CARLOS EDUARDO"/>
    <x v="1"/>
    <d v="2023-02-04T00:00:00"/>
    <s v="FEVEREIRO"/>
    <d v="2023-02-06T00:00:00"/>
    <s v="fev/2023"/>
    <s v="FEVEREIRO"/>
    <n v="2023"/>
    <d v="2023-02-13T00:00:00"/>
    <s v="FALTA"/>
    <s v="FALTOU SÁBADO DIA (04/02/2023), SEM JUSTIFICATIVA."/>
  </r>
  <r>
    <n v="60"/>
    <s v="WALBERSON DE SOUZA"/>
    <n v="2770002933"/>
    <s v="NORMAL"/>
    <d v="2022-09-01T00:00:00"/>
    <s v="0ANOS, 5MESES"/>
    <n v="0.43333333333333335"/>
    <s v="0 A 01 ANO"/>
    <s v="AGENTE DE COLETA"/>
    <s v="COLETA DOMICILIAR"/>
    <s v="NOTURNO"/>
    <s v="CARLOS EDUARDO"/>
    <x v="1"/>
    <d v="2023-02-04T00:00:00"/>
    <s v="FEVEREIRO"/>
    <d v="2023-02-06T00:00:00"/>
    <s v="fev/2023"/>
    <s v="FEVEREIRO"/>
    <n v="2023"/>
    <d v="2023-02-09T00:00:00"/>
    <s v="FALTA"/>
    <s v="FALTOU NO SÁBADO DIA (04/02/2023), SEM JUSTIFICATIVA."/>
  </r>
  <r>
    <n v="61"/>
    <s v="JOSÉ UCHOA DA SILVA"/>
    <n v="2770000097"/>
    <s v="NORMAL"/>
    <d v="2013-02-08T00:00:00"/>
    <s v="9ANOS, 11MESES"/>
    <n v="10.125"/>
    <s v="MAIS DE 5 ANOS"/>
    <s v="MOTORISTA"/>
    <s v="COLETA DOMICILIAR"/>
    <s v="NOTURNO"/>
    <s v="CARLOS EDUARDO"/>
    <x v="0"/>
    <d v="2023-02-01T00:00:00"/>
    <s v="FEVEREIRO"/>
    <d v="2023-02-06T00:00:00"/>
    <s v="fev/2023"/>
    <s v="FEVEREIRO"/>
    <n v="2023"/>
    <d v="2023-02-06T00:00:00"/>
    <s v="EXCESSO DE VELOCIDADE"/>
    <s v="EXCESSO DE VELOCIDADE DO DIA 01/02/2023, NA ÁREA INTERNA DO ATERRO SANITÁRIO."/>
  </r>
  <r>
    <n v="62"/>
    <s v="JOCI CAETANO DE SOUZA"/>
    <n v="2770002842"/>
    <s v="NORMAL"/>
    <d v="2022-05-14T00:00:00"/>
    <s v="0ANOS, 8MESES"/>
    <n v="0.73611111111111116"/>
    <s v="0 A 01 ANO"/>
    <s v="MOTORISTA"/>
    <s v="COLETA DOMICILIAR"/>
    <s v="NOTURNO"/>
    <s v="CARLOS EDUARDO"/>
    <x v="0"/>
    <d v="2023-02-03T00:00:00"/>
    <s v="FEVEREIRO"/>
    <d v="2023-02-06T00:00:00"/>
    <s v="fev/2023"/>
    <s v="FEVEREIRO"/>
    <n v="2023"/>
    <d v="2023-02-06T00:00:00"/>
    <s v="EXCESSO DE VELOCIDADE"/>
    <s v="EXCESSO DE VELOCIDADE DO DIA 03/02/2023, NA ÁREA INTERNA DO ATERRO SANITÁRIO."/>
  </r>
  <r>
    <n v="63"/>
    <s v="WELISTON GOMES PIMENTEL"/>
    <n v="2770002590"/>
    <s v="NORMAL"/>
    <d v="2021-07-01T00:00:00"/>
    <s v="1ANOS, 7MESES"/>
    <n v="1.625"/>
    <s v="01 A 03 ANOS"/>
    <s v="MOTORISTA"/>
    <s v="COLETA DOMICILIAR"/>
    <s v="NOTURNO"/>
    <s v="CARLOS EDUARDO"/>
    <x v="0"/>
    <d v="2023-02-06T00:00:00"/>
    <s v="FEVEREIRO"/>
    <d v="2023-02-06T00:00:00"/>
    <s v="fev/2023"/>
    <s v="FEVEREIRO"/>
    <n v="2023"/>
    <d v="2023-02-02T00:00:00"/>
    <s v="EXCESSO DE VELOCIDADE"/>
    <s v="EXCESSO DE VELOCIDADE DO DIA 02/02/2023, NA ÁREA INTERNA DO ATERRO SANITÁRIO."/>
  </r>
  <r>
    <n v="64"/>
    <s v="JORDEL FEITOZA E FEITOZA"/>
    <n v="2770003029"/>
    <s v="NORMAL"/>
    <d v="2022-12-01T00:00:00"/>
    <s v="0ANOS, 2MESES"/>
    <n v="0.19166666666666668"/>
    <s v="0 A 01 ANO"/>
    <s v="AGENTE DE COLETA"/>
    <s v="COLETA DOMICILIAR"/>
    <s v="NOTURNO"/>
    <s v="CARLOS EDUARDO"/>
    <x v="0"/>
    <d v="2023-02-08T00:00:00"/>
    <s v="FEVEREIRO"/>
    <d v="2023-02-09T00:00:00"/>
    <s v="fev/2023"/>
    <s v="FEVEREIRO"/>
    <n v="2023"/>
    <d v="2023-02-09T00:00:00"/>
    <s v="FALTA"/>
    <s v="FALTA SEM JUSTIFICATIVA NOS DIAS 08/02/2023."/>
  </r>
  <r>
    <n v="65"/>
    <s v="KAIQUE SANTOS MONTEIRO"/>
    <n v="2770002686"/>
    <s v="NORMAL"/>
    <d v="2021-10-18T00:00:00"/>
    <s v="1ANOS, 3MESES"/>
    <n v="1.3444444444444446"/>
    <s v="01 A 03 ANOS"/>
    <s v="MOTORISTA"/>
    <s v="COLETA DOMICILIAR"/>
    <s v="NOTURNO"/>
    <s v="CARLOS EDUARDO"/>
    <x v="0"/>
    <d v="2023-02-14T00:00:00"/>
    <s v="FEVEREIRO"/>
    <d v="2023-02-16T00:00:00"/>
    <s v="fev/2023"/>
    <s v="FEVEREIRO"/>
    <n v="2023"/>
    <d v="2023-02-16T00:00:00"/>
    <s v="QUEBRA DE PROCEDIMENTO"/>
    <s v="NÃO COMUNICOU O SINISTRO DO DIA 14/02/2023."/>
  </r>
  <r>
    <n v="66"/>
    <s v="ANDRÉ GILBERTO TAVARES CHAVES"/>
    <n v="2770001508"/>
    <s v="NORMAL"/>
    <d v="2017-02-02T00:00:00"/>
    <s v="6ANOS, 0MESES"/>
    <n v="6.1305555555555555"/>
    <s v="MAIS DE 5 ANOS"/>
    <s v="MOTORISTA"/>
    <s v="COLETA DOMICILIAR"/>
    <s v="NOTURNO"/>
    <s v="CARLOS EDUARDO"/>
    <x v="0"/>
    <d v="2023-02-18T00:00:00"/>
    <s v="FEVEREIRO"/>
    <d v="2023-02-18T00:00:00"/>
    <s v="fev/2023"/>
    <s v="FEVEREIRO"/>
    <n v="2023"/>
    <d v="2023-02-18T00:00:00"/>
    <s v="QUEBRA DE PROCEDIMENTO"/>
    <s v="ARRUMAÇÃO NO ROTEIRO DIA 18/02/2023."/>
  </r>
  <r>
    <n v="67"/>
    <s v="JANDERSON PARENTE DA CRUZ"/>
    <n v="2770002895"/>
    <s v="NORMAL"/>
    <d v="2022-08-12T00:00:00"/>
    <s v="0ANOS, 6MESES"/>
    <n v="0.53055555555555556"/>
    <s v="0 A 01 ANO"/>
    <s v="AGENTE DE COLETA"/>
    <s v="COLETA DOMICILIAR"/>
    <s v="DIURNO"/>
    <s v="ANA CAROLINA"/>
    <x v="0"/>
    <d v="2023-02-19T00:00:00"/>
    <s v="FEVEREIRO"/>
    <d v="2023-02-20T00:00:00"/>
    <s v="fev/2023"/>
    <s v="FEVEREIRO"/>
    <n v="2023"/>
    <d v="2023-02-20T00:00:00"/>
    <s v="FALTA"/>
    <s v="FALTA INJUSTIFICADA EM 19/02/2023, COLABORADOR ALEGA ESTAR COM DOR NA BARRIGA."/>
  </r>
  <r>
    <n v="68"/>
    <s v="RAILSON GOMES MAIA"/>
    <n v="2770002569"/>
    <s v="NORMAL"/>
    <d v="2021-06-04T00:00:00"/>
    <s v="1ANOS, 8MESES"/>
    <n v="1.7388888888888889"/>
    <s v="01 A 03 ANOS"/>
    <s v="AGENTE DE COLETA"/>
    <s v="COLETA DOMICILIAR"/>
    <s v="DIURNO"/>
    <s v="ANA CAROLINA"/>
    <x v="0"/>
    <d v="2023-02-20T00:00:00"/>
    <s v="FEVEREIRO"/>
    <d v="2023-02-20T00:00:00"/>
    <s v="fev/2023"/>
    <s v="FEVEREIRO"/>
    <n v="2023"/>
    <d v="2023-02-20T00:00:00"/>
    <s v="INSUBORDINAÇÃO"/>
    <s v="COLABORADOR ESTAVA EXECUTANDO AS ATIVIDADES DE COLETA COM USO INDEVIDO DO FARDAMENTO, CALÇAS POR DENTRO DAS MEIAS (MEIAS ATÉ O JOELHO). FOI CONVERSADO COM O AGENTE NO MOMENTO E ELE NÃO JUSTIFICOU O MOTIVO E PERMANECEU CALADO."/>
  </r>
  <r>
    <n v="69"/>
    <s v="EULONIO SALES VIANA"/>
    <n v="2770002613"/>
    <s v="NORMAL"/>
    <d v="2021-08-09T00:00:00"/>
    <s v="1ANOS, 6MESES"/>
    <n v="1.5527777777777778"/>
    <s v="01 A 03 ANOS"/>
    <s v="AGENTE DE COLETA"/>
    <s v="COLETA DOMICILIAR"/>
    <s v="NOTURNO"/>
    <s v="CARLOS EDUARDO"/>
    <x v="1"/>
    <d v="2023-02-19T00:00:00"/>
    <s v="FEVEREIRO"/>
    <d v="2023-02-20T00:00:00"/>
    <s v="fev/2023"/>
    <s v="FEVEREIRO"/>
    <n v="2023"/>
    <d v="2023-02-21T00:00:00"/>
    <s v="FALTA"/>
    <s v="FALTA SEM JUSTIFICATIVA NO DIA 19/02/2023 (DOMINGO)"/>
  </r>
  <r>
    <n v="70"/>
    <s v="ALESSANDRO FERREIRA RODRIGUES"/>
    <n v="2770002634"/>
    <s v="NORMAL"/>
    <d v="2021-09-01T00:00:00"/>
    <s v="1ANOS, 5MESES"/>
    <n v="1.4888888888888889"/>
    <s v="01 A 03 ANOS"/>
    <s v="AGENTE DE COLETA"/>
    <s v="COLETA DOMICILIAR"/>
    <s v="NOTURNO"/>
    <s v="CARLOS EDUARDO"/>
    <x v="1"/>
    <d v="2023-02-19T00:00:00"/>
    <s v="FEVEREIRO"/>
    <d v="2023-02-20T00:00:00"/>
    <s v="fev/2023"/>
    <s v="FEVEREIRO"/>
    <n v="2023"/>
    <d v="2023-02-21T00:00:00"/>
    <s v="FALTA"/>
    <s v="FALTA SEM JUTIFICATIVA NO DIA 19/02/2023 (DOMINGO)"/>
  </r>
  <r>
    <n v="71"/>
    <s v="JOÃO MARCOS DE SOUZA CASTRO"/>
    <n v="2770002134"/>
    <s v="NORMAL"/>
    <d v="2019-10-01T00:00:00"/>
    <s v="3ANOS, 4MESES"/>
    <n v="3.4472222222222224"/>
    <s v="03 A 05 ANOS"/>
    <s v="AGENTE DE COLETA"/>
    <s v="COLETA DOMICILIAR"/>
    <s v="DIURNO"/>
    <s v="ANA CAROLINA"/>
    <x v="0"/>
    <d v="2023-02-23T00:00:00"/>
    <s v="FEVEREIRO"/>
    <d v="2023-02-23T00:00:00"/>
    <s v="fev/2023"/>
    <s v="FEVEREIRO"/>
    <n v="2023"/>
    <d v="2023-02-23T00:00:00"/>
    <s v="ATRASO"/>
    <s v="COLABORADOR CHEGOU ATRASADO NA DATA DE HOJE AS 06:27H, JÉ SENDO SIDP ORIENTADO QUANTO AO HORÁRIO PADRÃO AS 06:00H."/>
  </r>
  <r>
    <n v="72"/>
    <s v="IGOMAR PEREIRA DE SOUZA"/>
    <n v="2770002989"/>
    <s v="NORMAL"/>
    <d v="2022-11-03T00:00:00"/>
    <s v="0ANOS, 3MESES"/>
    <n v="0.30833333333333335"/>
    <s v="0 A 01 ANO"/>
    <s v="AGENTE DE COLETA"/>
    <s v="COLETA DOMICILIAR"/>
    <s v="DIURNO"/>
    <s v="CARLOS EDUARDO"/>
    <x v="1"/>
    <d v="2023-02-22T00:00:00"/>
    <s v="FEVEREIRO"/>
    <d v="2023-02-23T00:00:00"/>
    <s v="fev/2023"/>
    <s v="FEVEREIRO"/>
    <n v="2023"/>
    <d v="2023-02-24T00:00:00"/>
    <s v="FALTA"/>
    <s v="FALTA INJUSTIFICADA NOS DIAS 20/02, 21/02 E 22/02/23, COLABORADOR APRESENTOU ATESTADO FORA DO PRAZO."/>
  </r>
  <r>
    <n v="73"/>
    <s v="WALBERSON DE SOUZA"/>
    <n v="2770002933"/>
    <s v="NORMAL"/>
    <d v="2022-09-01T00:00:00"/>
    <s v="0ANOS, 5MESES"/>
    <n v="0.4861111111111111"/>
    <s v="0 A 01 ANO"/>
    <s v="AGENTE DE COLETA"/>
    <s v="COLETA DOMICILIAR"/>
    <s v="NOTURNO"/>
    <s v="CARLOS EDUARDO"/>
    <x v="1"/>
    <d v="2023-02-23T00:00:00"/>
    <s v="FEVEREIRO"/>
    <d v="2023-02-24T00:00:00"/>
    <s v="fev/2023"/>
    <s v="FEVEREIRO"/>
    <n v="2023"/>
    <d v="2023-02-25T00:00:00"/>
    <s v="FALTA"/>
    <s v="FALTA SEM JUSTIFICATIVA DO DIA 23/02/2023."/>
  </r>
  <r>
    <n v="74"/>
    <s v="RAILSON GOMES MAIA"/>
    <n v="2770002569"/>
    <s v="NORMAL"/>
    <d v="2021-06-04T00:00:00"/>
    <s v="1ANOS, 8MESES"/>
    <n v="1.75"/>
    <s v="01 A 03 ANOS"/>
    <s v="AGENTE DE COLETA"/>
    <s v="COLETA DOMICILIAR"/>
    <s v="DIURNO"/>
    <s v="ANA CAROLINA"/>
    <x v="1"/>
    <d v="2023-02-24T00:00:00"/>
    <s v="FEVEREIRO"/>
    <d v="2023-02-25T00:00:00"/>
    <s v="fev/2023"/>
    <s v="FEVEREIRO"/>
    <n v="2023"/>
    <d v="2023-03-02T00:00:00"/>
    <s v="FALTA"/>
    <s v="FALTA INJUSTIFICADA EM 24/02/2023, COLABORADOR APRESENTOU DECLARAÇÃO FORA DO PRAZO."/>
  </r>
  <r>
    <n v="75"/>
    <s v="RANYELLE OLIVEIRA AZIZE"/>
    <n v="2770003062"/>
    <s v="NORMAL"/>
    <d v="2023-01-12T00:00:00"/>
    <s v="0ANOS, 1MESES"/>
    <n v="0.10833333333333334"/>
    <s v="0 A 01 ANO"/>
    <s v="MOTORISTA"/>
    <s v="COLETA DOMICILIAR"/>
    <s v="NOTURNO"/>
    <s v="CARLOS EDUARDO"/>
    <x v="0"/>
    <d v="2023-02-20T00:00:00"/>
    <s v="FEVEREIRO"/>
    <d v="2023-02-25T00:00:00"/>
    <s v="fev/2023"/>
    <s v="FEVEREIRO"/>
    <n v="2023"/>
    <d v="2023-02-25T00:00:00"/>
    <s v="QUEBRA DE PROCEDIMENTO"/>
    <s v="NÃO COMUNICOU O SINISTRO DO DIA 13/02/2023."/>
  </r>
  <r>
    <n v="76"/>
    <s v="JORDEL FEITOZA E FEITOZA"/>
    <n v="2770003029"/>
    <s v="NORMAL"/>
    <d v="2022-12-01T00:00:00"/>
    <s v="0ANOS, 2MESES"/>
    <n v="0.24722222222222223"/>
    <s v="0 A 01 ANO"/>
    <s v="AGENTE DE COLETA"/>
    <s v="COLETA DOMICILIAR"/>
    <s v="NOTURNO"/>
    <s v="CARLOS EDUARDO"/>
    <x v="1"/>
    <d v="2023-02-28T00:00:00"/>
    <s v="FEVEREIRO"/>
    <d v="2023-02-28T00:00:00"/>
    <s v="fev/2023"/>
    <s v="FEVEREIRO"/>
    <n v="2023"/>
    <d v="2023-03-01T00:00:00"/>
    <s v="FALTA"/>
    <s v="FALTOU AO TRABALHO DIA 27 E 28/02/2023, SEM JUSTIFICATIVA."/>
  </r>
  <r>
    <n v="77"/>
    <s v="MARCELO FERREIRA PONTES"/>
    <n v="2770002952"/>
    <s v="NORMAL"/>
    <d v="2022-10-03T00:00:00"/>
    <s v="0ANOS, 4MESES"/>
    <n v="0.41388888888888886"/>
    <s v="0 A 01 ANO"/>
    <s v="AGENTE DE COLETA"/>
    <s v="COLETA DOMICILIAR"/>
    <s v="DIURNO"/>
    <s v="ANA CAROLINA"/>
    <x v="1"/>
    <d v="2023-03-01T00:00:00"/>
    <s v="MARÇO"/>
    <d v="2023-03-02T00:00:00"/>
    <s v="mar/2023"/>
    <s v="MARÇO"/>
    <n v="2023"/>
    <d v="2023-03-05T00:00:00"/>
    <s v="FALTA"/>
    <s v="FALTA INJUSTIFICADA EM 01/03/2023, COLABORADOR INFORMA QUE ESTÁ COM DORES NO DENTE, PORÉM NÃO BUSCOU ATENDIMENTO."/>
  </r>
  <r>
    <n v="78"/>
    <s v="JANDERSON LOURENCO DA SILVA"/>
    <n v="2770002681"/>
    <s v="NORMAL"/>
    <d v="2021-10-13T00:00:00"/>
    <s v="1ANOS, 4MESES"/>
    <n v="1.3972222222222221"/>
    <s v="01 A 03 ANOS"/>
    <s v="MOTORISTA"/>
    <s v="COLETA DOMICILIAR"/>
    <s v="NOTURNO"/>
    <s v="CARLOS EDUARDO"/>
    <x v="0"/>
    <d v="2023-02-28T00:00:00"/>
    <s v="FEVEREIRO"/>
    <d v="2023-03-03T00:00:00"/>
    <s v="mar/2023"/>
    <s v="MARÇO"/>
    <n v="2023"/>
    <d v="2023-03-03T00:00:00"/>
    <s v="EXCESSO DE VELOCIDADE"/>
    <s v="EXCEDEU A VELOCIDADE DENTRO DO ATERRO NO DIA 28.02.2023/KM 20,24."/>
  </r>
  <r>
    <n v="79"/>
    <s v="JOSÉ UCHOA DA SILVA"/>
    <n v="2770000097"/>
    <s v="NORMAL"/>
    <d v="2013-02-08T00:00:00"/>
    <s v="10ANOS, 0MESES"/>
    <n v="10.205555555555556"/>
    <s v="MAIS DE 5 ANOS"/>
    <s v="MOTORISTA"/>
    <s v="COLETA DOMICILIAR"/>
    <s v="NOTURNO"/>
    <s v="CARLOS EDUARDO"/>
    <x v="0"/>
    <d v="2023-03-02T00:00:00"/>
    <s v="MARÇO"/>
    <d v="2023-03-03T00:00:00"/>
    <s v="mar/2023"/>
    <s v="MARÇO"/>
    <n v="2023"/>
    <d v="2023-03-03T00:00:00"/>
    <s v="EXCESSO DE VELOCIDADE"/>
    <s v="EXCEDEU A VELOCIDADE PERMITIDA DENTRO DO ATERRO NO DIA "/>
  </r>
  <r>
    <n v="80"/>
    <s v="RAIRO TEIXEIRA LEÃO"/>
    <n v="2770003060"/>
    <s v="NORMAL"/>
    <d v="2023-01-12T00:00:00"/>
    <s v="0ANOS, 1MESES"/>
    <n v="0.1361111111111111"/>
    <s v="0 A 01 ANO"/>
    <s v="MOTORISTA"/>
    <s v="COLETA DOMICILIAR"/>
    <s v="NOTURNO"/>
    <s v="CARLOS EDUARDO"/>
    <x v="0"/>
    <d v="2023-03-02T00:00:00"/>
    <s v="MARÇO"/>
    <d v="2023-03-03T00:00:00"/>
    <s v="mar/2023"/>
    <s v="MARÇO"/>
    <n v="2023"/>
    <d v="2023-03-03T00:00:00"/>
    <s v="EXCESSO DE VELOCIDADE"/>
    <s v="EXCEDEU A VELOCIDADE PERMITIDA DENTRO DO ATERRO NO DIA 02.03.2023 / KM 20,25"/>
  </r>
  <r>
    <n v="81"/>
    <s v="EDILSINHO SILVA DA SILVA"/>
    <n v="2770002643"/>
    <s v="NORMAL"/>
    <d v="2021-09-01T00:00:00"/>
    <s v="1ANOS, 6MESES"/>
    <n v="1.5194444444444444"/>
    <s v="01 A 03 ANOS"/>
    <s v="MOTORISTA"/>
    <s v="COLETA DOMICILIAR"/>
    <s v="NOTURNO"/>
    <s v="CARLOS EDUARDO"/>
    <x v="0"/>
    <d v="2023-03-02T00:00:00"/>
    <s v="MARÇO"/>
    <d v="2023-03-03T00:00:00"/>
    <s v="mar/2023"/>
    <s v="MARÇO"/>
    <n v="2023"/>
    <d v="2023-03-03T00:00:00"/>
    <s v="EXCESSO DE VELOCIDADE"/>
    <s v="EXCEDEU A VELOCIDADE PERMITIDA DENTRO DO ATERRO NO DIA 02.03.2023 / KM 20,25"/>
  </r>
  <r>
    <n v="82"/>
    <s v="ANDRÉ GILBERTO TAVARES CHAVES"/>
    <n v="2770001508"/>
    <s v="NORMAL"/>
    <d v="2017-02-02T00:00:00"/>
    <s v="6ANOS, 0MESES"/>
    <n v="6.1583333333333332"/>
    <s v="MAIS DE 5 ANOS"/>
    <s v="MOTORISTA"/>
    <s v="COLETA DOMICILIAR"/>
    <s v="NOTURNO"/>
    <s v="CARLOS EDUARDO"/>
    <x v="0"/>
    <d v="2023-02-28T00:00:00"/>
    <s v="FEVEREIRO"/>
    <d v="2023-03-03T00:00:00"/>
    <s v="mar/2023"/>
    <s v="MARÇO"/>
    <n v="2023"/>
    <d v="2023-03-03T00:00:00"/>
    <s v="EXCESSO DE VELOCIDADE"/>
    <s v="EXCEDEU A VELOCIDADE DENTRO DO ATERRO NO DIA 28/02/2023 / KM 20,25"/>
  </r>
  <r>
    <n v="83"/>
    <s v="CLODOMIRO SILVEIRA FILHO"/>
    <n v="2770001800"/>
    <s v="NORMAL"/>
    <d v="2017-12-05T00:00:00"/>
    <s v="5ANOS, 1MESES"/>
    <n v="5.2361111111111107"/>
    <s v="MAIS DE 5 ANOS"/>
    <s v="MOTORISTA"/>
    <s v="COLETA DOMICILIAR"/>
    <s v="NOTURNO"/>
    <s v="CARLOS EDUARDO"/>
    <x v="0"/>
    <d v="2023-02-02T00:00:00"/>
    <s v="FEVEREIRO"/>
    <d v="2023-03-03T00:00:00"/>
    <s v="mar/2023"/>
    <s v="MARÇO"/>
    <n v="2023"/>
    <d v="2023-03-03T00:00:00"/>
    <s v="EXCESSO DE VELOCIDADE"/>
    <s v="EXCEDEU A VELOCIDADE DENTRO DO ATERRO NO DIA 28/02/2023 / KM 20, 29"/>
  </r>
  <r>
    <n v="84"/>
    <s v="EUDES DA SILVA PINTO"/>
    <n v="2770002271"/>
    <s v="NORMAL"/>
    <d v="2020-06-01T00:00:00"/>
    <s v="2ANOS, 9MESES"/>
    <n v="2.7888888888888888"/>
    <s v="01 A 03 ANOS"/>
    <s v="MOTORISTA"/>
    <s v="COLETA DOMICILIAR"/>
    <s v="NOTURNO"/>
    <s v="CARLOS EDUARDO"/>
    <x v="0"/>
    <d v="2023-03-02T00:00:00"/>
    <s v="MARÇO"/>
    <d v="2023-03-03T00:00:00"/>
    <s v="mar/2023"/>
    <s v="MARÇO"/>
    <n v="2023"/>
    <d v="2023-03-03T00:00:00"/>
    <s v="EXCESSO DE VELOCIDADE"/>
    <s v="EXCEDEU A VELOCIDADE PERMITIDA DENTRO DO ATERRO NO DIA 02/03/2023 / XKM 20, 37."/>
  </r>
  <r>
    <n v="85"/>
    <s v="EULONIO SALES VIANA"/>
    <n v="2770002613"/>
    <s v="NORMAL"/>
    <d v="2021-08-09T00:00:00"/>
    <s v="1ANOS, 6MESES"/>
    <n v="1.5944444444444446"/>
    <s v="01 A 03 ANOS"/>
    <s v="AGENTE DE COLETA"/>
    <s v="COLETA DOMICILIAR"/>
    <s v="NOTURNO"/>
    <s v="CARLOS EDUARDO"/>
    <x v="1"/>
    <d v="2023-03-06T00:00:00"/>
    <s v="MARÇO"/>
    <d v="2023-03-06T00:00:00"/>
    <s v="mar/2023"/>
    <s v="MARÇO"/>
    <n v="2023"/>
    <d v="2023-03-09T00:00:00"/>
    <s v="INSUBORDINAÇÃO"/>
    <s v="SE NEGOU A CONTINUAR O ROTEIRO COM DOIS, POIS O TERCEIRO AGENTE PASSOU MAU DO ESTÔMAGO E FOI BUSCAR ATENDIMENTO."/>
  </r>
  <r>
    <n v="86"/>
    <s v="DIOGO DA SILVA SANTOS"/>
    <n v="2770002486"/>
    <s v="NORMAL"/>
    <d v="2021-03-17T00:00:00"/>
    <s v="1ANOS, 11MESES"/>
    <n v="1.9944444444444445"/>
    <s v="01 A 03 ANOS"/>
    <s v="AGENTE DE COLETA"/>
    <s v="COLETA DOMICILIAR"/>
    <s v="NOTURNO"/>
    <s v="CARLOS EDUARDO"/>
    <x v="1"/>
    <d v="2023-03-05T00:00:00"/>
    <s v="MARÇO"/>
    <d v="2023-03-06T00:00:00"/>
    <s v="mar/2023"/>
    <s v="MARÇO"/>
    <n v="2023"/>
    <d v="2023-03-11T00:00:00"/>
    <s v="FALTA"/>
    <s v="FALTA SEM JUSTIFICATIVA NO DIA 05/03/2023 (DOMINGO)"/>
  </r>
  <r>
    <n v="87"/>
    <s v="NAUM DA SILVA CASTRO ALFAIA"/>
    <n v="2770002953"/>
    <s v="NORMAL"/>
    <d v="2022-10-03T00:00:00"/>
    <s v="0ANOS, 5MESES"/>
    <n v="0.42499999999999999"/>
    <s v="0 A 01 ANO"/>
    <s v="AGENTE DE COLETA"/>
    <s v="COLETA DOMICILIAR"/>
    <s v="NOTURNO"/>
    <s v="CARLOS EDUARDO"/>
    <x v="0"/>
    <d v="2023-03-05T00:00:00"/>
    <s v="MARÇO"/>
    <d v="2023-03-06T00:00:00"/>
    <s v="mar/2023"/>
    <s v="MARÇO"/>
    <n v="2023"/>
    <d v="2023-03-06T00:00:00"/>
    <s v="FALTA"/>
    <s v="FALTA SEM JUSTIFICATIVA NO DIA DO PLANTÃO, 05/03/2023 (DOMINGO)"/>
  </r>
  <r>
    <n v="88"/>
    <s v="DANILO CUNHA DOS SANTOS"/>
    <n v="2770002792"/>
    <s v="NORMAL"/>
    <d v="2022-03-07T00:00:00"/>
    <s v="0ANOS, 11MESES"/>
    <n v="1.0111111111111111"/>
    <s v="01 A 03 ANOS"/>
    <s v="AGENTE DE COLETA"/>
    <s v="COLETA DOMICILIAR"/>
    <s v="DIURNO"/>
    <s v="ANA CAROLINA"/>
    <x v="0"/>
    <d v="2023-03-06T00:00:00"/>
    <s v="MARÇO"/>
    <d v="2023-03-07T00:00:00"/>
    <s v="mar/2023"/>
    <s v="MARÇO"/>
    <n v="2023"/>
    <d v="2023-03-07T00:00:00"/>
    <s v="FALTA"/>
    <s v="FALTA INJUSTIFICADA EM 06/03/2023, COLABORADOR INFORMA QUE FOI BUSCAR ATENDIMENTO, PORÉM NÃO TEM ATESTADO MÉDICO."/>
  </r>
  <r>
    <n v="89"/>
    <s v="DOUGLAS ALBERTO DA SILVA E SILVA"/>
    <n v="2770002607"/>
    <s v="APRENDIZAGEM"/>
    <d v="2021-08-02T00:00:00"/>
    <s v="1ANOS, 7MESES"/>
    <n v="1.6138888888888889"/>
    <s v="01 A 03 ANOS"/>
    <s v="AUXILIAR ADMINISTRATIVO/APRENDIZ"/>
    <s v="EDUCAÇÃO AMBIENTAL"/>
    <s v="DIURNO"/>
    <s v="ELISÂNGELA COSTA"/>
    <x v="0"/>
    <d v="2023-03-06T00:00:00"/>
    <s v="MARÇO"/>
    <d v="2023-03-10T00:00:00"/>
    <s v="mar/2023"/>
    <s v="MARÇO"/>
    <n v="2023"/>
    <d v="2023-03-06T00:00:00"/>
    <s v="FALTA"/>
    <s v="O APRENDIZ FALTOU NO DIA 06/03/2023 SEM JUSTIFICATIVA NO CURSO DE APRENDIZAGEM/ADCAM."/>
  </r>
  <r>
    <n v="90"/>
    <s v="BRUNO MELO DA GRACA"/>
    <n v="2770002917"/>
    <s v="NORMAL"/>
    <d v="2022-09-01T00:00:00"/>
    <s v="0ANOS, 6MESES"/>
    <n v="0.53333333333333333"/>
    <s v="0 A 01 ANO"/>
    <s v="AGENTE DE COLETA"/>
    <s v="COLETA DOMICILIAR"/>
    <s v="DIURNO"/>
    <s v="ANA CAROLINA"/>
    <x v="0"/>
    <d v="2023-03-12T00:00:00"/>
    <s v="MARÇO"/>
    <d v="2023-03-13T00:00:00"/>
    <s v="mar/2023"/>
    <s v="MARÇO"/>
    <n v="2023"/>
    <d v="2023-03-13T00:00:00"/>
    <s v="FALTA"/>
    <s v="FALTA INJUSTIFICADA EM 12/03/2023, COLABORADOR INFORMA QUE PERDEU O HORÁRIO."/>
  </r>
  <r>
    <n v="91"/>
    <s v="THIAGO MAR DE SÁ"/>
    <n v="2770002885"/>
    <s v="NORMAL"/>
    <d v="2022-06-15T00:00:00"/>
    <s v="0ANOS, 8MESES"/>
    <n v="0.75"/>
    <s v="0 A 01 ANO"/>
    <s v="AGENTE DE COLETA"/>
    <s v="COLETA DOMICILIAR"/>
    <s v="DIURNO"/>
    <s v="ANA CAROLINA"/>
    <x v="0"/>
    <d v="2023-03-12T00:00:00"/>
    <s v="MARÇO"/>
    <d v="2023-03-13T00:00:00"/>
    <s v="mar/2023"/>
    <s v="MARÇO"/>
    <n v="2023"/>
    <d v="2023-03-13T00:00:00"/>
    <s v="FALTA"/>
    <s v="FALTA INJUSTIFICADA EM 12/03/2023, COLABORADOR INFORMA QUE NÃO TINHA QUEM FICASSE COM O FILHO."/>
  </r>
  <r>
    <n v="92"/>
    <s v="BRUNO JEAN OLIVEIRA DA COSTA"/>
    <n v="2770002131"/>
    <s v="NORMAL"/>
    <d v="2019-10-04T00:00:00"/>
    <s v="3ANOS, 5MESES"/>
    <n v="3.4805555555555556"/>
    <s v="03 A 05 ANOS"/>
    <s v="MOTORISTA"/>
    <s v="COLETA DOMICILIAR"/>
    <s v="NOTURNO"/>
    <s v="CARLOS EDUARDO"/>
    <x v="0"/>
    <d v="2023-03-10T00:00:00"/>
    <s v="MARÇO"/>
    <d v="2023-03-13T00:00:00"/>
    <s v="mar/2023"/>
    <s v="MARÇO"/>
    <n v="2023"/>
    <d v="2023-03-13T00:00:00"/>
    <s v="EXCESSO DE VELOCIDADE"/>
    <s v="EXCESSO DE VELOCIDADE 75 KM, CC 705 NO DIA 10/03/2023 AS 00:14 EM VIA PÚBLICA."/>
  </r>
  <r>
    <n v="93"/>
    <s v="MATHEUS DE ARAÚJO NOGUEIRA"/>
    <n v="2770002673"/>
    <s v="APRENDIZAGEM"/>
    <d v="2021-10-04T00:00:00"/>
    <s v="1ANOS, 5MESES"/>
    <n v="1.4777777777777779"/>
    <s v="01 A 03 ANOS"/>
    <s v="AUXILIAR ADMINISTRATIVO/APRENDIZ"/>
    <s v="EDUCAÇÃO AMBIENTAL"/>
    <s v="DIURNO"/>
    <s v="ELISÂNGELA COSTA"/>
    <x v="0"/>
    <d v="2023-03-20T00:00:00"/>
    <s v="MARÇO"/>
    <d v="2023-03-17T00:00:00"/>
    <s v="mar/2023"/>
    <s v="MARÇO"/>
    <n v="2023"/>
    <d v="2023-03-20T00:00:00"/>
    <s v="FALTA"/>
    <s v="FALTA INJUSTIFICADA EM 17/03/2023, COLABORADOR FOI ORIENTADO A BUSCAR ATENDIMENTO MÉDICO, PORÉM NÃO APRESENTOU NENHUMA JUSTIFICATIVA."/>
  </r>
  <r>
    <n v="94"/>
    <s v="ADEILTON GONCALVES DA SILVA"/>
    <n v="2770002704"/>
    <s v="NORMAL"/>
    <d v="2021-11-18T00:00:00"/>
    <s v="1ANOS, 4MESES"/>
    <n v="1.3472222222222223"/>
    <s v="01 A 03 ANOS"/>
    <s v="AGENTE DE COLETA"/>
    <s v="COLETA DOMICILIAR"/>
    <s v="DIURNO"/>
    <s v="ANA CAROLINA"/>
    <x v="0"/>
    <d v="2023-03-18T00:00:00"/>
    <s v="MARÇO"/>
    <d v="2023-03-20T00:00:00"/>
    <s v="mar/2023"/>
    <s v="MARÇO"/>
    <n v="2023"/>
    <d v="2023-03-20T00:00:00"/>
    <s v="FALTA"/>
    <s v="FALTA INJUSTIFICADA EM 18/03/2023, COLABORADOR INFORMA QUE FOI AO MÉDICO PORÉM NÃO TEM ATESTADO MÉDICO."/>
  </r>
  <r>
    <n v="95"/>
    <s v="ANTÔNIO LUIS RIBEIRO ALEXANDRE"/>
    <n v="2770002929"/>
    <s v="PARCIAL"/>
    <d v="2022-09-01T00:00:00"/>
    <s v="0ANOS, 6MESES"/>
    <n v="0.55277777777777781"/>
    <s v="0 A 01 ANO"/>
    <s v="AGENTE DE COLETA"/>
    <s v="COLETA DOMICILIAR"/>
    <s v="NOTURNO"/>
    <s v="CARLOS EDUARDO"/>
    <x v="0"/>
    <d v="2023-03-19T00:00:00"/>
    <s v="MARÇO"/>
    <d v="2023-03-20T00:00:00"/>
    <s v="mar/2023"/>
    <s v="MARÇO"/>
    <n v="2023"/>
    <d v="2023-03-20T00:00:00"/>
    <s v="ATRASO"/>
    <s v="CHEGOU ATRASADO NO DOMINGO DIA 19/03/2023."/>
  </r>
  <r>
    <n v="96"/>
    <s v="ADRIANO WALBEG DA SILVA PINTO"/>
    <n v="2770002881"/>
    <s v="NORMAL"/>
    <d v="2022-06-01T00:00:00"/>
    <s v="0ANOS, 9MESES"/>
    <n v="0.81388888888888888"/>
    <s v="0 A 01 ANO"/>
    <s v="MOTORISTA"/>
    <s v="COLETA DOMICILIAR"/>
    <s v="NOTURNO"/>
    <s v="CARLOS EDUARDO"/>
    <x v="0"/>
    <d v="2023-03-21T00:00:00"/>
    <s v="MARÇO"/>
    <d v="2023-03-21T00:00:00"/>
    <s v="mar/2023"/>
    <s v="MARÇO"/>
    <n v="2023"/>
    <d v="2023-03-21T00:00:00"/>
    <s v="EXCESSO DE VELOCIDADE"/>
    <s v="EXCESSO DE VELOCIDADE 75 KM, CC 01 - 702-20, NO DIA 21/03/2023 AS 00:00 HS... EM VIA PÚBLICA."/>
  </r>
  <r>
    <n v="97"/>
    <s v="JUSSARA ROCHA DA SILVA"/>
    <n v="2770002740"/>
    <s v="NORMAL"/>
    <d v="2021-12-09T00:00:00"/>
    <s v="1ANOS, 3MESES"/>
    <n v="1.288888888888889"/>
    <s v="01 A 03 ANOS"/>
    <s v="EDUCADOR AMBIENTAL JR"/>
    <s v="EDUCAÇÃO AMBIENTAL"/>
    <s v="DIURNO"/>
    <s v="ELISÂNGELA COSTA"/>
    <x v="0"/>
    <d v="2023-03-18T00:00:00"/>
    <s v="MARÇO"/>
    <d v="2023-03-22T00:00:00"/>
    <s v="mar/2023"/>
    <s v="MARÇO"/>
    <n v="2023"/>
    <d v="2023-03-22T00:00:00"/>
    <s v="FALTA"/>
    <s v="FALTA NÃO JUSTIFICADA NO DIA 18/03/2023, INFORMOU QUE FOI BUSCAR ATENDIMENTO, PORÉM NÃO APRESENTOU NENHUM DOCUMENTO."/>
  </r>
  <r>
    <n v="98"/>
    <s v="EUDES DA SILVA PINTO"/>
    <n v="2770002271"/>
    <s v="NORMAL"/>
    <d v="2020-06-01T00:00:00"/>
    <s v="2ANOS, 9MESES"/>
    <n v="2.8472222222222223"/>
    <s v="01 A 03 ANOS"/>
    <s v="MOTORISTA"/>
    <s v="COLETA DOMICILIAR"/>
    <s v="NOTURNO"/>
    <s v="CARLOS EDUARDO"/>
    <x v="0"/>
    <d v="2023-03-23T00:00:00"/>
    <s v="MARÇO"/>
    <d v="2023-03-23T00:00:00"/>
    <s v="mar/2023"/>
    <s v="MARÇO"/>
    <n v="2023"/>
    <d v="2023-03-23T00:00:00"/>
    <s v="EXCESSO DE VELOCIDADE"/>
    <s v="EXCESSO DE VELOCIDADE 74 KM, CC 01-697-20, NO DIA 23/03/2023 AS 00.00.07 HS... EM VIA PÚBLICA."/>
  </r>
  <r>
    <n v="99"/>
    <s v="DAVI SOUSA DA COSTA"/>
    <n v="2770002884"/>
    <s v="NORMAL"/>
    <d v="2022-06-15T00:00:00"/>
    <s v="0ANOS, 9MESES"/>
    <n v="0.78333333333333333"/>
    <s v="0 A 01 ANO"/>
    <s v="AGENTE DE COLETA"/>
    <s v="COLETA DOMICILIAR"/>
    <s v="DIURNO"/>
    <s v="JOÃO PEDRO"/>
    <x v="0"/>
    <d v="2023-03-24T00:00:00"/>
    <s v="MARÇO"/>
    <d v="2023-03-24T00:00:00"/>
    <s v="mar/2023"/>
    <s v="MARÇO"/>
    <n v="2023"/>
    <d v="2023-03-24T00:00:00"/>
    <s v="QUEBRA DE PROCEDIMENTO"/>
    <s v="COLABORADOR VEM UTILIZANDO O EPI IRREGULAR, FAZ USO DO BONÉ DESCARACTERIZADO FORA DOS PADRÕES DA EMPRESA."/>
  </r>
  <r>
    <n v="100"/>
    <s v="RAILSON GOMES MAIA"/>
    <n v="2770002569"/>
    <s v="NORMAL"/>
    <d v="2021-06-04T00:00:00"/>
    <s v="1ANOS, 9MESES"/>
    <n v="1.8333333333333333"/>
    <s v="01 A 03 ANOS"/>
    <s v="AGENTE DE COLETA"/>
    <s v="COLETA DOMICILIAR"/>
    <s v="DIURNO"/>
    <s v="JOÃO PEDRO"/>
    <x v="0"/>
    <d v="2023-03-26T00:00:00"/>
    <s v="MARÇO"/>
    <d v="2023-03-25T00:00:00"/>
    <s v="mar/2023"/>
    <s v="MARÇO"/>
    <n v="2023"/>
    <d v="2023-03-26T00:00:00"/>
    <s v="QUEBRA DE PROCEDIMENTO"/>
    <s v="COLABORADOR VEM SE RECUSANDO A UTILIZAR OS EPI´S (BONE E MANGAS DA BLUSA) DE FORMA ADEQUADA NA EXECUÇÃO DE SUAS ATIVIDADES, ABORDAGEM FEITA PELO FISCAL E AINDA ASSIM HOUVE A RECUSA POR PARTE DO COLABORADOR."/>
  </r>
  <r>
    <n v="101"/>
    <s v="IOMAR CASTRO DA COSTA JUNIOR"/>
    <n v="2770002470"/>
    <s v="NORMAL"/>
    <d v="2021-02-17T00:00:00"/>
    <s v="2ANOS, 1MESES"/>
    <n v="2.1222222222222222"/>
    <s v="01 A 03 ANOS"/>
    <s v="MOTORISTA"/>
    <s v="COLETA DOMICILIAR"/>
    <s v="DIURNO"/>
    <s v="ANA CAROLINA"/>
    <x v="0"/>
    <d v="2023-03-23T00:00:00"/>
    <s v="MARÇO"/>
    <d v="2023-03-25T00:00:00"/>
    <s v="mar/2023"/>
    <s v="MARÇO"/>
    <n v="2023"/>
    <d v="2023-03-25T00:00:00"/>
    <s v="EXCESSO DE VELOCIDADE"/>
    <s v="COLABORADOR EXCEDEU O LIMITE DE VELOCIDADE PERMITIDO PELA EMPRESA, CHEGANDO A 85 KM NO DIA 23/03 AS 12:45H."/>
  </r>
  <r>
    <n v="102"/>
    <s v="RODRIGO ALMEIDA LOPES"/>
    <n v="2770002491"/>
    <s v="NORMAL"/>
    <d v="2021-03-13T00:00:00"/>
    <s v="2ANOS, 0MESES"/>
    <n v="2.0555555555555554"/>
    <s v="01 A 03 ANOS"/>
    <s v="MOTORISTA"/>
    <s v="COLETA DOMICILIAR"/>
    <s v="DIURNO"/>
    <s v="JOÃO PEDRO"/>
    <x v="0"/>
    <d v="2023-03-23T00:00:00"/>
    <s v="MARÇO"/>
    <d v="2023-03-25T00:00:00"/>
    <s v="mar/2023"/>
    <s v="MARÇO"/>
    <n v="2023"/>
    <d v="2023-03-25T00:00:00"/>
    <s v="EXCESSO DE VELOCIDADE"/>
    <s v="COLABORADOR EXCEDEU O LIMITE DE VELOCIDADE PERMITIDO PELA EMPRESA, CHEGANDO A 72 KM NO DIA 23/03 AS 16:54H."/>
  </r>
  <r>
    <n v="103"/>
    <s v="BRUNO JEAN OLIVEIRA DA COSTA"/>
    <n v="2770002131"/>
    <s v="NORMAL"/>
    <d v="2019-10-04T00:00:00"/>
    <s v="3ANOS, 5MESES"/>
    <n v="3.5333333333333332"/>
    <s v="03 A 05 ANOS"/>
    <s v="MOTORISTA"/>
    <s v="COLETA DOMICILIAR"/>
    <s v="NOTURNO"/>
    <s v="CARLOS EDUARDO"/>
    <x v="0"/>
    <d v="2023-03-29T00:00:00"/>
    <s v="MARÇO"/>
    <d v="2023-03-29T00:00:00"/>
    <s v="mar/2023"/>
    <s v="MARÇO"/>
    <n v="2023"/>
    <d v="2023-03-29T00:00:00"/>
    <s v="QUEBRA DE PROCEDIMENTO"/>
    <s v="NÃO COMUNICOU AO FISCAL NO ATO DO SINISTRO."/>
  </r>
  <r>
    <n v="104"/>
    <s v="MAILSON GOMES MAIA"/>
    <n v="2770003046"/>
    <s v="NORMAL"/>
    <d v="2022-12-07T00:00:00"/>
    <s v="0ANOS, 3MESES"/>
    <n v="0.30277777777777776"/>
    <s v="0 A 01 ANO"/>
    <s v="MOTORISTA"/>
    <s v="COLETA DOMICILIAR"/>
    <s v="NOTURNO"/>
    <s v="JOÃO PEDRO"/>
    <x v="0"/>
    <d v="2023-03-26T00:00:00"/>
    <s v="MARÇO"/>
    <d v="2023-03-29T00:00:00"/>
    <s v="mar/2023"/>
    <s v="MARÇO"/>
    <n v="2023"/>
    <d v="2023-03-29T00:00:00"/>
    <s v="EXCESSO DE VELOCIDADE"/>
    <s v="COLABORADOR EXCEDEU O LIMITE DE VELOCIDADE PERMITIDA PELA EMPRESA, CHEGANDO A 74 KM NO DIA 26/03 ÁS 12:01."/>
  </r>
  <r>
    <n v="105"/>
    <s v="MAILSON GOMES MAIA"/>
    <n v="2770003046"/>
    <s v="NORMAL"/>
    <d v="2022-12-07T00:00:00"/>
    <s v="0ANOS, 3MESES"/>
    <n v="0.29444444444444445"/>
    <s v="0 A 01 ANO"/>
    <s v="MOTORISTA"/>
    <s v="COLETA DOMICILIAR"/>
    <s v="NOTURNO"/>
    <s v="JOÃO PEDRO"/>
    <x v="0"/>
    <d v="2023-03-23T00:00:00"/>
    <s v="MARÇO"/>
    <d v="2023-03-29T00:00:00"/>
    <s v="mar/2023"/>
    <s v="MARÇO"/>
    <n v="2023"/>
    <d v="2023-03-29T00:00:00"/>
    <s v="EXCESSO DE VELOCIDADE"/>
    <s v="COLABORADOR EXCEDEU O LIMITE DE VELOCIDADE PERMITIDO PELA MEPRESSA, CHEGANDO A 77KM NO DIA 23/03 ÁS 10:54."/>
  </r>
  <r>
    <n v="106"/>
    <s v="PETHERSON MATHEUS DOS SANTOS COSTA"/>
    <n v="2770002821"/>
    <s v="NORMAL"/>
    <d v="2021-06-01T00:00:00"/>
    <s v="1ANOS, 9MESES"/>
    <n v="1.8472222222222223"/>
    <s v="01 A 03 ANOS"/>
    <s v="AGENTE DE COLETA"/>
    <s v="COLETA DOMICILIAR"/>
    <s v="NOTURNO"/>
    <s v="CARLOS EDUARDO"/>
    <x v="0"/>
    <d v="2023-03-28T00:00:00"/>
    <s v="MARÇO"/>
    <d v="2023-03-29T00:00:00"/>
    <s v="mar/2023"/>
    <s v="MARÇO"/>
    <n v="2023"/>
    <d v="2023-03-29T00:00:00"/>
    <s v="FALTA"/>
    <s v="FALTA SEM JUSTIFICATIVA NO DIA 28/03/2023."/>
  </r>
  <r>
    <n v="107"/>
    <s v="THIAGO MAR DE SÁ"/>
    <n v="2770002885"/>
    <s v="NORMAL"/>
    <d v="2022-06-15T00:00:00"/>
    <s v="0ANOS, 9MESES"/>
    <n v="0.8"/>
    <s v="0 A 01 ANO"/>
    <s v="AGENTE DE COLETA"/>
    <s v="COLETA DOMICILIAR"/>
    <s v="DIURNO"/>
    <s v="ANA CAROLINA"/>
    <x v="0"/>
    <d v="2023-03-30T00:00:00"/>
    <s v="MARÇO"/>
    <d v="2023-03-30T00:00:00"/>
    <s v="mar/2023"/>
    <s v="MARÇO"/>
    <n v="2023"/>
    <d v="2023-03-30T00:00:00"/>
    <s v="QUEBRA DE PROCEDIMENTO"/>
    <s v="COLABORADOR ESTAVA FAZENDO ARRUMAÇÃO DE LIXO NO SETOR, SITUAÇÃO IDENTIFICADA E ASSUMIDA PELO AGENTE DE COLETA."/>
  </r>
  <r>
    <n v="108"/>
    <s v="MAX MODESTO CASTRO "/>
    <n v="2770002482"/>
    <s v="NORMAL"/>
    <d v="2021-03-08T00:00:00"/>
    <s v="2ANOS, 0MESES"/>
    <n v="2.0916666666666668"/>
    <s v="01 A 03 ANOS"/>
    <s v="AGENTE DE COLETA"/>
    <s v="COLETA DOMICILIAR"/>
    <s v="DIURNO"/>
    <s v="JOÃO PEDRO"/>
    <x v="0"/>
    <d v="2023-03-31T00:00:00"/>
    <s v="MARÇO"/>
    <d v="2023-03-30T00:00:00"/>
    <s v="mar/2023"/>
    <s v="MARÇO"/>
    <n v="2023"/>
    <d v="2023-03-30T00:00:00"/>
    <s v="QUEBRA DE PROCEDIMENTO"/>
    <s v="COLABORADOR NÃO CUMPRIU COM O PROCEDIMENTO EM DESLOCAMENTO NO SETOR, CONFORME PO-08 (EM DESLOCAMENTO OS AGENTES DEVEM IR NA CABINE.) ONDE OCORREU UM SINISTRO DE TRÊNSITO TENDO VÁRIOS AGENTES ACIDENDATOS, POIS ESTAVA NO ESTRIBO DO CAMINHÃO."/>
  </r>
  <r>
    <n v="109"/>
    <s v="RAIMUNDO DE LIMA GORGONHO"/>
    <n v="2770000705"/>
    <s v="NORMAL"/>
    <d v="2013-04-01T00:00:00"/>
    <s v="9ANOS, 11MESES"/>
    <n v="10.138888888888889"/>
    <s v="MAIS DE 5 ANOS"/>
    <s v="MOTORISTA"/>
    <s v="COLETA DOMICILIAR"/>
    <s v="DIURNO"/>
    <s v="JOÃO PEDRO"/>
    <x v="0"/>
    <d v="2023-03-30T00:00:00"/>
    <s v="MARÇO"/>
    <d v="2023-03-30T00:00:00"/>
    <s v="mar/2023"/>
    <s v="MARÇO"/>
    <n v="2023"/>
    <d v="2023-03-30T00:00:00"/>
    <s v="QUEBRA DE PROCEDIMENTO"/>
    <s v="MOTORISTA NÃO SE FEZ CUMPRIR COM O PROCEDIMENTO EM DESLOCAMENTO NO SETOR, CONFORME PO-08 (EM PROCEDIMENTO, OS AGENTES DE COLETA DEVEM IR NA CABINE.) ONDE OCORREU UM SINISTRO DE TRÂNSITO TENDO AGENTES ACIDENTADOS."/>
  </r>
  <r>
    <n v="110"/>
    <s v="CLAUDIONOR CONCEIÇÃO DA SILVA"/>
    <n v="2770003092"/>
    <s v="PARCIAL"/>
    <d v="2023-03-08T00:00:00"/>
    <s v="0ANOS, 0MESES"/>
    <n v="6.3888888888888884E-2"/>
    <s v="0 A 01 ANO"/>
    <s v="AGENTE DE COLETA"/>
    <s v="COLETA DOMICILIAR"/>
    <s v="DIURNO"/>
    <s v="JOÃO PEDRO"/>
    <x v="0"/>
    <d v="2023-03-31T00:00:00"/>
    <s v="MARÇO"/>
    <d v="2023-03-31T00:00:00"/>
    <s v="mar/2023"/>
    <s v="MARÇO"/>
    <n v="2023"/>
    <d v="2023-03-31T00:00:00"/>
    <s v="QUEBRA DE PROCEDIMENTO"/>
    <s v="COLABORADOR FOI IDENTIFICADO FAZENDO ARRUMAÇÃO DE LIXO NO SETOR 90.1.114 FORA DOS PADRÕES OPERACIONAIS."/>
  </r>
  <r>
    <n v="111"/>
    <s v="PEDRO IGOR FIDELIS FELICIANO "/>
    <n v="2770002786"/>
    <s v="NORMAL"/>
    <d v="2022-02-14T00:00:00"/>
    <s v="1ANOS, 1MESES"/>
    <n v="1.1388888888888888"/>
    <s v="01 A 03 ANOS"/>
    <s v="AGENTE DE COLETA"/>
    <s v="COLETA DOMICILIAR"/>
    <s v="DIURNO"/>
    <s v="JOÃO PEDRO"/>
    <x v="0"/>
    <d v="2023-03-31T00:00:00"/>
    <s v="MARÇO"/>
    <d v="2023-03-31T00:00:00"/>
    <s v="mar/2023"/>
    <s v="MARÇO"/>
    <n v="2023"/>
    <d v="2023-03-31T00:00:00"/>
    <s v="QUEBRA DE PROCEDIMENTO"/>
    <s v="COLABORADOR FOI IDENTIFICADO FAZENDO ARRUMAÇÃO DE LIXO NO SETOR 90.1.114 FORA DOS PADRÕES OPERACIONAIS."/>
  </r>
  <r>
    <n v="112"/>
    <s v="ANA PAULA CARDOSO GUIMARÃES"/>
    <n v="2770002200"/>
    <s v="NORMAL"/>
    <d v="2020-01-17T00:00:00"/>
    <s v="3ANOS, 2MESES"/>
    <n v="3.25"/>
    <s v="03 A 05 ANOS"/>
    <s v="EDUCADOR AMBIENTAL JR"/>
    <s v="EDUCAÇÃO AMBIENTAL"/>
    <s v="DIURNO"/>
    <s v="ELISANGELA COSTA"/>
    <x v="0"/>
    <d v="2023-04-01T00:00:00"/>
    <s v="ABRIL"/>
    <d v="2023-04-03T00:00:00"/>
    <s v="abr/2023"/>
    <s v="ABRIL"/>
    <n v="2023"/>
    <d v="2023-04-03T00:00:00"/>
    <s v="FALTA"/>
    <s v="FALTA INJUSTIFICADA NO DIA 01/04/2023, DISSE QUE ESTAVA CANSADA DA SEMANA E NÃO SE SENTIA BEM PARA TRABALHAR."/>
  </r>
  <r>
    <n v="113"/>
    <s v="DERICK PRAXEDES DA MOTA"/>
    <n v="2770002699"/>
    <s v="NORMAL"/>
    <d v="2021-11-18T00:00:00"/>
    <s v="1ANOS, 4MESES"/>
    <n v="1.3916666666666666"/>
    <s v="01 A 03 ANOS"/>
    <s v="AGENTE DE COLETA"/>
    <s v="COLETA DOMICILIAR"/>
    <s v="DIURNO"/>
    <s v="JOÃO PEDRO"/>
    <x v="1"/>
    <d v="2023-04-03T00:00:00"/>
    <s v="ABRIL"/>
    <d v="2023-04-03T00:00:00"/>
    <s v="abr/2023"/>
    <s v="ABRIL"/>
    <n v="2023"/>
    <d v="2023-04-06T00:00:00"/>
    <s v="FALTA"/>
    <s v="FALTA INJUSTIFICADA DIA 01/04/2023, COLABORADOR INFORMA QUE NECESSITOU LEVAR O IRMÃO AO MÉDICO POIS ESTAVA COM ALERGIA, PORÉM NÃO APRESENTOU NENHUM DOCUMENTO."/>
  </r>
  <r>
    <n v="114"/>
    <s v="ALVARO FILHO DA SILVA SANTOS"/>
    <n v="2770002369"/>
    <s v="NORMAL"/>
    <d v="2020-10-05T00:00:00"/>
    <s v="2ANOS, 5MESES"/>
    <n v="2.5222222222222221"/>
    <s v="01 A 03 ANOS"/>
    <s v="AGENTE DE COLETA"/>
    <s v="COLETA DOMICILIAR"/>
    <s v="DIURNO"/>
    <s v="JOÃO PEDRO"/>
    <x v="1"/>
    <d v="2023-04-01T00:00:00"/>
    <s v="ABRIL"/>
    <d v="2023-04-03T00:00:00"/>
    <s v="abr/2023"/>
    <s v="ABRIL"/>
    <n v="2023"/>
    <d v="2023-04-06T00:00:00"/>
    <s v="FALTA"/>
    <s v="FALTA INJUSTIFICADA DIA 01/04/2023, COLABORADOR INFORMA QUE NÃO ESTAVA SE SENTINDO BEM, PORÉM NÃO PROCUROU ATENDIMENTO."/>
  </r>
  <r>
    <n v="115"/>
    <s v="EDUARDO SILVA DE OLIVEIRA"/>
    <n v="2770003044"/>
    <s v="PARCIAL"/>
    <d v="2022-12-07T00:00:00"/>
    <s v="0ANOS, 3MESES"/>
    <n v="0.32222222222222224"/>
    <s v="0 A 01 ANO"/>
    <s v="AGENTE DE COLETA"/>
    <s v="COLETA DOMICILIAR"/>
    <s v="NOTURNO"/>
    <s v="CARLOS EDUARDO"/>
    <x v="0"/>
    <d v="2023-04-02T00:00:00"/>
    <s v="ABRIL"/>
    <d v="2023-04-03T00:00:00"/>
    <s v="abr/2023"/>
    <s v="ABRIL"/>
    <n v="2023"/>
    <d v="2023-04-03T00:00:00"/>
    <s v="FALTA"/>
    <s v="FALTOU NO DIA 02/04/2023, PLANTÃO DE DOMINGO E SEM JUSTIFICATIVA."/>
  </r>
  <r>
    <n v="116"/>
    <s v="EULONIO SALES VIANA "/>
    <n v="2770002613"/>
    <s v="NORMAL"/>
    <d v="2021-08-09T00:00:00"/>
    <s v="1ANOS, 7MESES"/>
    <n v="1.6666666666666667"/>
    <s v="01 A 03 ANOS"/>
    <s v="AGENTE DE COLETA"/>
    <s v="COLETA DOMICILIAR"/>
    <s v="NOTURNO"/>
    <s v="CARLOS EDUARDO"/>
    <x v="1"/>
    <d v="2023-04-01T00:00:00"/>
    <s v="ABRIL"/>
    <d v="2023-04-03T00:00:00"/>
    <s v="abr/2023"/>
    <s v="ABRIL"/>
    <n v="2023"/>
    <d v="2023-04-08T00:00:00"/>
    <s v="FALTA"/>
    <s v="FALTOU DOIS DIAS 31/03 E 01/04/2023, SEM JUSTIFICATIVA."/>
  </r>
  <r>
    <n v="117"/>
    <s v="NATANAEL SERRAO MARTINS"/>
    <n v="2770002874"/>
    <s v="NORMAL"/>
    <d v="2022-06-01T00:00:00"/>
    <s v="0ANOS, 10MESES"/>
    <n v="0.85277777777777775"/>
    <s v="0 A 01 ANO"/>
    <s v="AGENTE DE COLETA"/>
    <s v="COLETA DOMICILIAR"/>
    <s v="NOTURNO"/>
    <s v="CARLOS EDUARDO"/>
    <x v="0"/>
    <d v="2023-04-04T00:00:00"/>
    <s v="ABRIL"/>
    <d v="2023-04-04T00:00:00"/>
    <s v="abr/2023"/>
    <s v="ABRIL"/>
    <n v="2023"/>
    <d v="2023-04-04T00:00:00"/>
    <s v="FALTA"/>
    <s v="FALTOU NO DIA 03/04/2023, SEM JUSTIFICATIVA, APRESENTOU UMA DECLARAÇÃO DE COMPARECIMENTO DO DIA 03/04 NO HORÁRIO DE 22:00 ÀS 23:00, NO DIA 04/04/2023."/>
  </r>
  <r>
    <n v="118"/>
    <s v="JHON CLEY BARBOSA DA SILVA"/>
    <n v="2770002988"/>
    <s v="NORMAL"/>
    <d v="2022-11-03T00:00:00"/>
    <s v="0ANOS, 4MESES"/>
    <n v="0.41388888888888886"/>
    <s v="0 A 01 ANO"/>
    <s v="AGENTE DE COLETA"/>
    <s v="COLETA DOMICILIAR"/>
    <s v="DIURNO"/>
    <s v="JOÃO PEDRO"/>
    <x v="0"/>
    <d v="2023-04-01T00:00:00"/>
    <s v="ABRIL"/>
    <d v="2023-04-05T00:00:00"/>
    <s v="abr/2023"/>
    <s v="ABRIL"/>
    <n v="2023"/>
    <d v="2023-04-05T00:00:00"/>
    <s v="FALTA"/>
    <s v="COLABORADOR NÃO COMPARECEU AO TRABALHO NO DIA 01/04/2023, O MESMO NÃO APRESENTOU JUSTIFICATIVA."/>
  </r>
  <r>
    <n v="119"/>
    <s v="RONADE DIMAS GONZAGA"/>
    <n v="2770002661"/>
    <s v="NORMAL"/>
    <d v="2021-10-04T00:00:00"/>
    <s v="1ANOS, 6MESES"/>
    <n v="1.5222222222222221"/>
    <s v="01 A 03 ANOS"/>
    <s v="AGENTE DE COLETA"/>
    <s v="COLETA DOMICILIAR"/>
    <s v="DIURNO"/>
    <s v="JOÃO PEDRO"/>
    <x v="0"/>
    <d v="2023-04-05T00:00:00"/>
    <s v="ABRIL"/>
    <d v="2023-04-05T00:00:00"/>
    <s v="abr/2023"/>
    <s v="ABRIL"/>
    <n v="2023"/>
    <d v="2023-04-05T00:00:00"/>
    <s v="QUEBRA DE PROCEDIMENTO"/>
    <s v="AGENTE DE COLETA REALIZANDO ARRUMAÇÃO NO LIXO 90.1.109 NA ABORDAGEM FEITA PELO FISCAL E COM INDICIOS DE EMBRIAGUEZ."/>
  </r>
  <r>
    <n v="120"/>
    <s v="RONADE DIMAS GONZAGA"/>
    <n v="2770002661"/>
    <s v="NORMAL"/>
    <d v="2021-10-04T00:00:00"/>
    <s v="1ANOS, 6MESES"/>
    <n v="1.5222222222222221"/>
    <s v="01 A 03 ANOS"/>
    <s v="AGENTE DE COLETA"/>
    <s v="COLETA DOMICILIAR"/>
    <s v="DIURNO"/>
    <s v="JOÃO PEDRO"/>
    <x v="0"/>
    <d v="2023-04-05T00:00:00"/>
    <s v="ABRIL"/>
    <d v="2023-04-05T00:00:00"/>
    <s v="abr/2023"/>
    <s v="ABRIL"/>
    <n v="2023"/>
    <d v="2023-04-05T00:00:00"/>
    <s v="QUEBRA DE PROCEDIMENTO"/>
    <s v="AGENTE DE COLETA REALIZANDO ARRUMAÇÃO NO LIXO 90.1.109 NA ABOORDAGEM PELO FISCAL E COM INDICIOS DE EMBRIAGUEZ."/>
  </r>
  <r>
    <n v="121"/>
    <s v="GEOVANNY MONTEIRO DOS SANTOS "/>
    <n v="2770003109"/>
    <s v="PARCIAL"/>
    <d v="2023-03-16T00:00:00"/>
    <s v="0ANOS, 0MESES"/>
    <n v="5.5555555555555552E-2"/>
    <s v="0 A 01 ANO"/>
    <s v="AGENTE DE COLETA"/>
    <s v="COLETA DOMICILIAR"/>
    <s v="DIURNO"/>
    <s v="JOÃO PEDRO"/>
    <x v="0"/>
    <d v="2023-04-05T00:00:00"/>
    <s v="ABRIL"/>
    <d v="2023-04-05T00:00:00"/>
    <s v="abr/2023"/>
    <s v="ABRIL"/>
    <n v="2023"/>
    <d v="2023-04-05T00:00:00"/>
    <s v="QUEBRA DE PROCEDIMENTO"/>
    <s v="COLABORADOR NÃO CUMPRIU COM O PROCEDIMENTO EM DESLOCAMENTO NO SETOR, CONFORME PO-08 (EM DESLOCAMENTO OS AGENTES DEVEM IR NA CABINE.) ONDE OCORREU UM SINISTRO DE TRÊNSITO TENDO VÁRIOS AGENTES ACIDENDATOS, POIS ESTAVA NO ESTRIBO DO CAMINHÃO."/>
  </r>
  <r>
    <n v="122"/>
    <s v="NATANAEL SERRAO MARTINS"/>
    <n v="2770002874"/>
    <s v="NORMAL"/>
    <d v="2022-06-01T00:00:00"/>
    <s v="0ANOS, 10MESES"/>
    <n v="0.85833333333333328"/>
    <s v="0 A 01 ANO"/>
    <s v="AGENTE DE COLETA"/>
    <s v="COLETA DOMICILIAR"/>
    <s v="NOTURNO"/>
    <s v="CARLOS EDUARDO"/>
    <x v="1"/>
    <d v="2023-04-06T00:00:00"/>
    <s v="ABRIL"/>
    <d v="2023-04-06T00:00:00"/>
    <s v="abr/2023"/>
    <s v="ABRIL"/>
    <n v="2023"/>
    <d v="2023-04-07T00:00:00"/>
    <s v="QUEBRA DE PROCEDIMENTO"/>
    <s v="ESTAVA DE MAU PROCEDIMENTO EM RELAÇÃO A COLETA NO MICRO COLETOR 824, O MOTORISTA RECLAMOU DO MESMO QUE ESTAVA JOGANDO O LIXO DE QUALQUER JEITO E SE NEGANDO A JUNTAR O DERRAME, O FISCAL DA AREA FOI ACIONADO E O AGENTE SE ALTEROU DESRESPEITANDO O SEU SUPERIOR IMEDIATO."/>
  </r>
  <r>
    <n v="123"/>
    <s v="WAGNER GOMES DA LUZ"/>
    <n v="2770002520"/>
    <s v="NORMAL"/>
    <d v="2021-05-03T00:00:00"/>
    <s v="1ANOS, 11MESES"/>
    <n v="1.9694444444444446"/>
    <s v="01 A 03 ANOS"/>
    <s v="AGENTE DE COLETA"/>
    <s v="COLETA DOMICILIAR"/>
    <s v="DIURNO"/>
    <s v="JOÃO PEDRO"/>
    <x v="0"/>
    <d v="2023-04-12T00:00:00"/>
    <s v="ABRIL"/>
    <d v="2023-04-12T00:00:00"/>
    <s v="abr/2023"/>
    <s v="ABRIL"/>
    <n v="2023"/>
    <d v="2023-04-12T00:00:00"/>
    <s v="QUEBRA DE PROCEDIMENTO"/>
    <s v="COLABORADOR NÃO CUMPRIU COM O PROCEDIMENTO EM DESLOCAMENTO NO SETOR, CONFORME PO-08 (EM DESLOCAMENTO OS AGENTES DEVEM IR NA CABINE.) ONDE OCORREU UM SINISTRO DE TRÊNSITO TENDO VÁRIOS AGENTES ACIDENDATOS, POIS ESTAVA NO ESTRIBO DO CAMINHÃO."/>
  </r>
  <r>
    <n v="124"/>
    <s v="PEDRO IGOR FIDELIS FELICIANO "/>
    <n v="2770002786"/>
    <s v="NORMAL"/>
    <d v="2022-02-14T00:00:00"/>
    <s v="1ANOS, 1MESES"/>
    <n v="1.175"/>
    <s v="01 A 03 ANOS"/>
    <s v="AGENTE DE COLETA"/>
    <s v="COLETA DOMICILIAR"/>
    <s v="DIURNO"/>
    <s v="JOÃO PEDRO"/>
    <x v="0"/>
    <d v="2023-04-13T00:00:00"/>
    <s v="ABRIL"/>
    <d v="2023-04-13T00:00:00"/>
    <s v="abr/2023"/>
    <s v="ABRIL"/>
    <n v="2023"/>
    <d v="2023-04-13T00:00:00"/>
    <s v="ATRASO"/>
    <s v="COLABORADOR VEM CHEGANDO ATRASADO COM FREQUÊNCIA (PONTUADO NOS DIAS 04/04, 05/04 E 06/04, 12/04 E 13/04) SEM APRESENTAR JUSTIFICATIVA."/>
  </r>
  <r>
    <n v="125"/>
    <s v="PEDRO IGOR FIDELIS FELICIANO"/>
    <n v="2770002786"/>
    <s v="NORMAL"/>
    <d v="2022-02-14T00:00:00"/>
    <s v="1ANOS, 1MESES"/>
    <n v="1.1722222222222223"/>
    <s v="01 A 03 ANOS"/>
    <s v="AGENTE DE COLETA"/>
    <s v="COLETA DOMICILIAR"/>
    <s v="DIURNO"/>
    <s v="JOÃO PEDRO"/>
    <x v="0"/>
    <d v="2023-04-12T00:00:00"/>
    <s v="ABRIL"/>
    <d v="2023-04-13T00:00:00"/>
    <s v="abr/2023"/>
    <s v="ABRIL"/>
    <n v="2023"/>
    <d v="2023-04-13T00:00:00"/>
    <s v="ATRASO"/>
    <s v="COLABORADOR VEM CHEGANDO ATRASADO COM FREQUÊNCIA (PONTUADO NOS DIA 04/04, 05/04 E 06/04, 12/04 E 13/04) SEM APRESENTAR QUALQUER JUSTIFICATIVA."/>
  </r>
  <r>
    <n v="126"/>
    <s v="MAURICIO WAGNER DA SILVA VASCONCELO"/>
    <n v="2770002331"/>
    <s v="NORMAL"/>
    <d v="2020-08-10T00:00:00"/>
    <s v="2ANOS, 8MESES"/>
    <n v="2.7027777777777779"/>
    <s v="01 A 03 ANOS"/>
    <s v="MOTORISTA"/>
    <s v="COLETA DOMICILIAR"/>
    <s v="NOTURNO"/>
    <s v="JOÃO PEDRO"/>
    <x v="0"/>
    <d v="2023-04-10T00:00:00"/>
    <s v="ABRIL"/>
    <d v="2023-04-15T00:00:00"/>
    <s v="abr/2023"/>
    <s v="ABRIL"/>
    <n v="2023"/>
    <d v="2023-04-15T00:00:00"/>
    <s v="EXCESSO DE VELOCIDADE"/>
    <s v="MOTORISTA EXCEDEU A VELOCIDADE PERMITIDO PELA EMPRESA, CHEGANDO A 71 K, NO DIA 10/04/2023 AS 15:47."/>
  </r>
  <r>
    <n v="127"/>
    <s v="ALESSON FARIAS DE ARAÚJO "/>
    <n v="2770003111"/>
    <s v="PARCIAL"/>
    <d v="2023-03-16T00:00:00"/>
    <s v="0ANOS, 1MESES"/>
    <n v="8.611111111111111E-2"/>
    <s v="0 A 01 ANO"/>
    <s v="AGENTE DE COLETA"/>
    <s v="COLETA DOMICILIAR"/>
    <s v="NOTURNO"/>
    <s v="ANA CAROLINA"/>
    <x v="0"/>
    <d v="2023-04-16T00:00:00"/>
    <s v="ABRIL"/>
    <d v="2023-04-17T00:00:00"/>
    <s v="abr/2023"/>
    <s v="ABRIL"/>
    <n v="2023"/>
    <d v="2023-04-17T00:00:00"/>
    <s v="FALTA"/>
    <s v="FALTOU AO SERVIÇO NO DIA 16/04/2023, ESCALA DE DOMINGO COLABORADOR INFORMA QUE NÃO SABIA O HORÁRIO DO ÔNIBUS, E DEVIDO A ISSO NÃO CONSEGUIU CHEGAR A EMPRESA NO HORÁRIO ESTIPULADO."/>
  </r>
  <r>
    <n v="128"/>
    <s v="JORGE LUIZ DE SOUZA VIEIRA"/>
    <n v="2770002321"/>
    <s v="NORMAL"/>
    <d v="2020-08-03T00:00:00"/>
    <s v="2ANOS, 8MESES"/>
    <n v="2.7527777777777778"/>
    <s v="01 A 03 ANOS"/>
    <s v="MOTORISTA"/>
    <s v="COLETA DOMICILIAR"/>
    <s v="DIURNO"/>
    <s v="JOSÉ ADELMAR"/>
    <x v="0"/>
    <d v="2023-04-21T00:00:00"/>
    <s v="ABRIL"/>
    <d v="2023-04-22T00:00:00"/>
    <s v="abr/2023"/>
    <s v="ABRIL"/>
    <n v="2023"/>
    <d v="2023-04-22T00:00:00"/>
    <s v="QUEBRA DE PROCEDIMENTO"/>
    <s v="NO DIA 21/04/2023 O MOTORISTA AO SAIR DA EMPRESA FOI DA UMA RÉ NO VEÍCULO NÃO PRESTOU ATENÇÃO NO OUTRO VEÍCULO QUE ESTAVA ATRÁS E VEIO BATER NO PARACHOQUE DIANTEIRO DO VEÍCULO QUE ESTAVA ESTACIONADO ATRÁS."/>
  </r>
  <r>
    <n v="129"/>
    <s v="RAILSON GOMES MAIA"/>
    <n v="2770002569"/>
    <s v="PARCIAL"/>
    <d v="2021-06-04T00:00:00"/>
    <s v="1ANOS, 10MESES"/>
    <n v="1.9166666666666667"/>
    <s v="01 A 03 ANOS"/>
    <s v="AGENTE DE COLETA"/>
    <s v="COLETA DOMICILIAR"/>
    <s v="DIURNO"/>
    <s v="JOSÉ ADELMAR"/>
    <x v="1"/>
    <d v="2023-04-25T00:00:00"/>
    <s v="ABRIL"/>
    <d v="2023-04-25T00:00:00"/>
    <s v="abr/2023"/>
    <s v="ABRIL"/>
    <n v="2023"/>
    <d v="2023-05-02T00:00:00"/>
    <s v="FALTA"/>
    <s v="NO DIA 24/04/2023, O COLABORADOR SOLICITOU ATENDIMENTO MÉDICO, O FISCAL PRESTOU ATENDIMENTO LEVANDO O MESMO PRA SER ATENDIDO NA UPA DA CAMAPUÃ, NO DIA 28/04/2023, O MESMO NÃO APRESENTOU NENHUM DOCUMENTO COMPROVANDO QUE FOI ATENDIDO CARACTERIZANDO FALTA NO DIA 24/04/2023."/>
  </r>
  <r>
    <n v="130"/>
    <s v="RAILSON GOMES MAIA"/>
    <n v="2770002569"/>
    <s v="NORMAL"/>
    <d v="2021-06-04T00:00:00"/>
    <s v="1ANOS, 10MESES"/>
    <n v="1.913888888888889"/>
    <s v="01 A 03 ANOS"/>
    <s v="AGENTE DE COLETA"/>
    <s v="COLETA DOMICILIAR"/>
    <s v="DIURNO"/>
    <s v="JOSÉ ADELMAR"/>
    <x v="1"/>
    <d v="2023-04-24T00:00:00"/>
    <s v="ABRIL"/>
    <d v="2023-04-25T00:00:00"/>
    <s v="abr/2023"/>
    <s v="ABRIL"/>
    <n v="2023"/>
    <d v="2023-05-02T00:00:00"/>
    <s v="FALTA"/>
    <s v="NO DIA 24/04/2023, O COLABORADOR SOLICITOU ATENDIMENTO MÉDICO, O FISCAL PRESTOU ATENDIMENTO LEVANDO O MESMO PRA SER ATENDIDO NA UPA DA CAMAPUÃ, NO DIA 25/04/2023, O MESMO NÃO APRESENTOU NENHUM DOCUMENTO COMPROVANDO QUE FOI ATENDIDO CARACTERIZANDO FALTA NO DIA 24/04/2023."/>
  </r>
  <r>
    <n v="131"/>
    <s v="EDUARDO JAIME COSTA E SILVA FILHO"/>
    <n v="2770003063"/>
    <s v="NORMAL"/>
    <d v="2023-01-12T00:00:00"/>
    <s v="0ANOS, 3MESES"/>
    <n v="0.27500000000000002"/>
    <s v="0 A 01 ANO"/>
    <s v="MOTORISTA"/>
    <s v="COLETA DOMICILIAR"/>
    <s v="NOTURNO"/>
    <s v="JOÃO PEDRO"/>
    <x v="0"/>
    <d v="2023-04-21T00:00:00"/>
    <s v="ABRIL"/>
    <d v="2023-04-25T00:00:00"/>
    <s v="abr/2023"/>
    <s v="ABRIL"/>
    <n v="2023"/>
    <d v="2023-04-25T00:00:00"/>
    <s v="EXCESSO DE VELOCIDADE"/>
    <s v="EXCESSO DE VELOCIDADE NO DIA 21/04/2023 AS 14:13, CHEGANDO A 73 KM."/>
  </r>
  <r>
    <n v="132"/>
    <s v="ALVARO FILHO DA SILVA SANTOS"/>
    <n v="2770002369"/>
    <s v="NORMAL"/>
    <d v="2020-10-04T00:00:00"/>
    <s v="2ANOS, 6MESES"/>
    <n v="2.5944444444444446"/>
    <s v="01 A 03 ANOS"/>
    <s v="AGENTE DE COLETA"/>
    <s v="COLETA DOMICILIAR"/>
    <s v="DIURNO"/>
    <s v="JOSÉ ADELMAR"/>
    <x v="1"/>
    <d v="2023-04-26T00:00:00"/>
    <s v="ABRIL"/>
    <d v="2023-04-27T00:00:00"/>
    <s v="abr/2023"/>
    <s v="ABRIL"/>
    <n v="2023"/>
    <d v="2023-05-02T00:00:00"/>
    <s v="FALTA"/>
    <s v="FALTA INJUSTIFICADA NO DIA 26/04/2023, O COLABORADOR NÃO COMUNICOU SUA CHEFIA IMEDIATA."/>
  </r>
  <r>
    <n v="133"/>
    <s v="JHON CLEY BARBOSA DA SILVA"/>
    <n v="2770002988"/>
    <s v="NORMAL"/>
    <d v="2022-11-03T00:00:00"/>
    <s v="0ANOS, 5MESES"/>
    <n v="0.48333333333333334"/>
    <s v="0 A 01 ANO"/>
    <s v="AGENTE DE COLETA"/>
    <s v="COLETA DOMICILIAR"/>
    <s v="DIURNO"/>
    <s v="JOSÉ ADELMAR"/>
    <x v="0"/>
    <d v="2023-04-26T00:00:00"/>
    <s v="ABRIL"/>
    <d v="2023-05-01T00:00:00"/>
    <s v="mai/2023"/>
    <s v="MAIO"/>
    <n v="2023"/>
    <d v="2023-05-01T00:00:00"/>
    <s v="FALTA"/>
    <s v="FALTA INJUSTIFICADA NO DIA 26/04/2023, O COLABORADOR NÃO COMUNICOU SUA CHEFIA IMEDIATA."/>
  </r>
  <r>
    <n v="134"/>
    <s v="ADEILTON GONCALVES DA SILVA"/>
    <n v="2770002704"/>
    <s v="NORMAL"/>
    <d v="2021-11-18T00:00:00"/>
    <s v="1ANOS, 5MESES"/>
    <n v="1.4638888888888888"/>
    <s v="01 A 03 ANOS"/>
    <s v="AGENTE DE COLETA"/>
    <s v="COLETA DOMICILIAR"/>
    <s v="DIURNO"/>
    <s v="JOSÉ ADELMAR"/>
    <x v="1"/>
    <d v="2023-04-29T00:00:00"/>
    <s v="ABRIL"/>
    <d v="2023-05-01T00:00:00"/>
    <s v="mai/2023"/>
    <s v="MAIO"/>
    <n v="2023"/>
    <d v="2023-05-02T00:00:00"/>
    <s v="FALTA"/>
    <s v="FALTA INJUSTIFICADA NO DIA 29/04/2023, O COLABORADOR NÃO COMUNICOU SUA CHEFIA IMEDIATA."/>
  </r>
  <r>
    <n v="135"/>
    <s v="DEUSTEVAN CARNEIRO DA SILVA"/>
    <n v="2770000036"/>
    <s v="NORMAL"/>
    <d v="2013-02-08T00:00:00"/>
    <s v="10ANOS, 2MESES"/>
    <n v="10.369444444444444"/>
    <s v="MAIS DE 5 ANOS"/>
    <s v="MOTORISTA"/>
    <s v="COLETA DOMICILIAR"/>
    <s v="DIURNO"/>
    <s v="JOSÉ ADELMAR"/>
    <x v="0"/>
    <d v="2023-04-30T00:00:00"/>
    <s v="ABRIL"/>
    <d v="2023-05-01T00:00:00"/>
    <s v="mai/2023"/>
    <s v="MAIO"/>
    <n v="2023"/>
    <d v="2023-05-01T00:00:00"/>
    <s v="FALTA"/>
    <s v="FALTA INJUSTIFICADA NO DIA 30/04/2023, FALTOU A ESCALA DE DOMINGO, O COLABORADOR NÃO COMUNICOU SUA CHEFIA IMEDIATA."/>
  </r>
  <r>
    <n v="136"/>
    <s v="FRANCISCO GEOVANE CARVALHO"/>
    <n v="2770002430"/>
    <s v="NORMAL"/>
    <d v="2020-12-04T00:00:00"/>
    <s v="2ANOS, 4MESES"/>
    <n v="2.4361111111111109"/>
    <s v="01 A 03 ANOS"/>
    <s v="AGENTE DE COLETA"/>
    <s v="COLETA DOMICILIAR"/>
    <s v="DIURNO"/>
    <s v="JOSÉ ADELMAR"/>
    <x v="0"/>
    <d v="2023-04-30T00:00:00"/>
    <s v="ABRIL"/>
    <d v="2023-05-01T00:00:00"/>
    <s v="mai/2023"/>
    <s v="MAIO"/>
    <n v="2023"/>
    <d v="2023-05-01T00:00:00"/>
    <s v="FALTA"/>
    <s v="FALTA INJUSTIFICADA NO DIA 30/04/2023, FALTOU A ESCALA DE DOMINGO, O COLABORADOR NÃO COMUNICOU SUA CHEFIA IMEDIATA."/>
  </r>
  <r>
    <n v="137"/>
    <s v="RONALD WILLIAM PANTOJA REIS"/>
    <n v="2770002498"/>
    <s v="NORMAL"/>
    <d v="2021-04-05T00:00:00"/>
    <s v="2ANOS, 0MESES"/>
    <n v="2.1027777777777779"/>
    <s v="01 A 03 ANOS"/>
    <s v="AGENTE DE COLETA"/>
    <s v="COLETA DOMICILIAR"/>
    <s v="DIURNO"/>
    <s v="JOSÉ ADELMAR"/>
    <x v="0"/>
    <d v="2023-05-02T00:00:00"/>
    <s v="MAIO"/>
    <d v="2023-05-03T00:00:00"/>
    <s v="mai/2023"/>
    <s v="MAIO"/>
    <n v="2023"/>
    <d v="2023-05-03T00:00:00"/>
    <s v="FALTA"/>
    <s v="FALTA INJUSTIFICADA NO DIA 02/05/2023, O COLABORADOR NÃO COMUNICOU SUA CHEFIA IMEDIATA."/>
  </r>
  <r>
    <n v="138"/>
    <s v="GENISON NOBRE DA SILVA"/>
    <n v="2770002677"/>
    <s v="NORMAL"/>
    <d v="2021-10-03T00:00:00"/>
    <s v="1ANOS, 6MESES"/>
    <n v="1.6"/>
    <s v="01 A 03 ANOS"/>
    <s v="AGENTE DE COLETA"/>
    <s v="COLETA DOMICILIAR"/>
    <s v="DIURNO"/>
    <s v="JOSÉ ADELMAR"/>
    <x v="0"/>
    <d v="2023-05-02T00:00:00"/>
    <s v="MAIO"/>
    <d v="2023-05-03T00:00:00"/>
    <s v="mai/2023"/>
    <s v="MAIO"/>
    <n v="2023"/>
    <d v="2023-05-03T00:00:00"/>
    <s v="FALTA"/>
    <s v="FALTA INJUSTIFICADA NO DIA 02/05/2023, O COLABORADOR NÃO COMUNICOU SUA CHEFIA IMEDIATA."/>
  </r>
  <r>
    <n v="139"/>
    <s v="ROMARIO GOMES DA SILVA"/>
    <n v="2770002457"/>
    <s v="NORMAL"/>
    <d v="2021-01-06T00:00:00"/>
    <s v="2ANOS, 3MESES"/>
    <n v="2.35"/>
    <s v="01 A 03 ANOS"/>
    <s v="AGENTE DE COLETA"/>
    <s v="COLETA DOMICILIAR"/>
    <s v="DIURNO"/>
    <s v="JOSÉ ADELMAR"/>
    <x v="0"/>
    <d v="2023-05-02T00:00:00"/>
    <s v="MAIO"/>
    <d v="2023-05-03T00:00:00"/>
    <s v="mai/2023"/>
    <s v="MAIO"/>
    <n v="2023"/>
    <d v="2023-05-04T00:00:00"/>
    <s v="FALTA"/>
    <s v="FALTA INJUSTIFICADA NOS DIAS 26/04 A 02/05/2023, O COLABORADOR NÃO COMUNICOU SUA CHEFIA IMEDIATA."/>
  </r>
  <r>
    <n v="140"/>
    <s v="EULONIO SALES VIANA "/>
    <n v="2770002613"/>
    <s v="NORMAL"/>
    <d v="2021-08-09T00:00:00"/>
    <s v="1ANOS, 8MESES"/>
    <n v="1.7527777777777778"/>
    <s v="01 A 03 ANOS"/>
    <s v="AGENTE DE COLETA"/>
    <s v="COLETA DOMICILIAR"/>
    <s v="NOTURNO"/>
    <s v="JOÃO PEDRO"/>
    <x v="1"/>
    <d v="2023-05-02T00:00:00"/>
    <s v="MAIO"/>
    <d v="2023-05-03T00:00:00"/>
    <s v="mai/2023"/>
    <s v="MAIO"/>
    <n v="2023"/>
    <d v="2023-05-10T00:00:00"/>
    <s v="FALTA"/>
    <s v="COLABORADOR FALTOU SEM JUSTIFICATIVA NO DIA 02/05/2023."/>
  </r>
  <r>
    <n v="141"/>
    <s v="ELIEDSON SOUZA DA SILVA"/>
    <n v="2770002938"/>
    <s v="NORMAL"/>
    <d v="2022-09-14T00:00:00"/>
    <s v="0ANOS, 7MESES"/>
    <n v="0.64166666666666672"/>
    <s v="0 A 01 ANO"/>
    <s v="AGENTE DE COLETA"/>
    <s v="COLETA DOMICILIAR"/>
    <s v="DIURNO"/>
    <s v="JOSÉ ADELMAR"/>
    <x v="0"/>
    <d v="2023-05-03T00:00:00"/>
    <s v="MAIO"/>
    <d v="2023-05-04T00:00:00"/>
    <s v="mai/2023"/>
    <s v="MAIO"/>
    <n v="2023"/>
    <d v="2023-05-04T00:00:00"/>
    <s v="FALTA"/>
    <s v="FALTA INJUSTIFICADA NO DIA 03/05/2023, O COLABORADOR NÃO COMUNICOU SUA CHEFIA IMEDIATA."/>
  </r>
  <r>
    <n v="142"/>
    <s v="NAUM DA SILVA CASTRO ALFAIA"/>
    <n v="2770002953"/>
    <s v="NORMAL"/>
    <d v="2022-10-03T00:00:00"/>
    <s v="0ANOS, 7MESES"/>
    <n v="0.58888888888888891"/>
    <s v="0 A 01 ANO"/>
    <s v="AGENTE DE COLETA"/>
    <s v="COLETA DOMICILIAR"/>
    <s v="NOTURNO"/>
    <s v="JOÃO PEDRO"/>
    <x v="1"/>
    <d v="2023-05-03T00:00:00"/>
    <s v="MAIO"/>
    <d v="2023-05-04T00:00:00"/>
    <s v="mai/2023"/>
    <s v="MAIO"/>
    <n v="2023"/>
    <d v="2023-05-05T00:00:00"/>
    <s v="FALTA"/>
    <s v="COLABORADOR FALTOU SEM JUSTIFICATIVA NOS DIAS 29/04, 01/05, 02/05 E 03/05."/>
  </r>
  <r>
    <n v="143"/>
    <s v="ITALO NEVES DA SILVA"/>
    <n v="2770003004"/>
    <s v="NORMAL"/>
    <d v="2022-11-09T00:00:00"/>
    <s v="0ANOS, 11MESES"/>
    <n v="1.0027777777777778"/>
    <s v="01 A 03 ANOS"/>
    <s v="AGENTE DE COLETA"/>
    <s v="COLETA DOMICILIAR"/>
    <s v="DIURNO"/>
    <s v="ANA CAROLINA"/>
    <x v="0"/>
    <d v="2023-11-05T00:00:00"/>
    <s v="NOVEMBRO"/>
    <d v="2023-05-06T00:00:00"/>
    <s v="mai/2023"/>
    <s v="MAIO"/>
    <n v="2023"/>
    <d v="2023-11-06T00:00:00"/>
    <s v="FALTA"/>
    <s v="FALTA INJUSTIFICADA EM 05/11/2023."/>
  </r>
  <r>
    <n v="144"/>
    <s v="ALESSON FARIAS DE ARAÚJO "/>
    <n v="2770003111"/>
    <s v="PARCIAL"/>
    <d v="2023-03-16T00:00:00"/>
    <s v="0ANOS, 1MESES"/>
    <n v="0.13055555555555556"/>
    <s v="0 A 01 ANO"/>
    <s v="AGENTE DE COLETA"/>
    <s v="COLETA DOMICILIAR"/>
    <s v="NOTURNO"/>
    <s v="JOÃO PEDRO"/>
    <x v="0"/>
    <d v="2023-05-02T00:00:00"/>
    <s v="MAIO"/>
    <d v="2023-05-07T00:00:00"/>
    <s v="mai/2023"/>
    <s v="MAIO"/>
    <n v="2023"/>
    <d v="2023-05-07T00:00:00"/>
    <s v="FALTA"/>
    <s v="COLABORADOR FALTOU SEM JUSTIFICATIVA NOS DIAS 02/05."/>
  </r>
  <r>
    <n v="145"/>
    <s v="MARCELO FERREIRA PONTES"/>
    <n v="2770002952"/>
    <s v="NORMAL"/>
    <d v="2022-10-03T00:00:00"/>
    <s v="0ANOS, 7MESES"/>
    <n v="0.59722222222222221"/>
    <s v="0 A 01 ANO"/>
    <s v="AGENTE DE COLETA"/>
    <s v="COLETA DOMICILIAR"/>
    <s v="DIURNO"/>
    <s v="JOSÉ ADELMAR"/>
    <x v="0"/>
    <d v="2023-05-06T00:00:00"/>
    <s v="MAIO"/>
    <d v="2023-05-08T00:00:00"/>
    <s v="mai/2023"/>
    <s v="MAIO"/>
    <n v="2023"/>
    <d v="2023-05-08T00:00:00"/>
    <s v="FALTA"/>
    <s v="FALTA INJUSTIFICADA NOS DIAS 04, 05 E 06/05/2023, O COLABORADOR NÃO COMUNICOU SUA CHEFIA IMEDIATA."/>
  </r>
  <r>
    <n v="146"/>
    <s v="FABRICIO LUAM DE SOUZA LIMA"/>
    <n v="2770002676"/>
    <s v="NORMAL"/>
    <d v="2021-10-13T00:00:00"/>
    <s v="1ANOS, 6MESES"/>
    <n v="1.586111111111111"/>
    <s v="01 A 03 ANOS"/>
    <s v="AGENTE DE COLETA"/>
    <s v="COLETA DOMICILIAR"/>
    <s v="DIURNO"/>
    <s v="JOSÉ ADELMAR"/>
    <x v="0"/>
    <d v="2023-05-07T00:00:00"/>
    <s v="MAIO"/>
    <d v="2023-05-08T00:00:00"/>
    <s v="mai/2023"/>
    <s v="MAIO"/>
    <n v="2023"/>
    <d v="2023-05-08T00:00:00"/>
    <s v="FALTA"/>
    <s v="FALTA INJUSTIFICADA NO DIA 07/05/2023, O COLABORADOR NÃO COMUNICOU SUA CHEFIA IMEDIATA."/>
  </r>
  <r>
    <n v="147"/>
    <s v="EDUARDO MORAES DE SOUZA"/>
    <n v="2770002391"/>
    <s v="NORMAL"/>
    <d v="2020-11-09T00:00:00"/>
    <s v="2ANOS, 5MESES"/>
    <n v="2.5222222222222221"/>
    <s v="01 A 03 ANOS"/>
    <s v="AGENTE DE COLETA"/>
    <s v="COLETA DOMICILIAR"/>
    <s v="DIURNO"/>
    <s v="JOSÉ ADELMAR"/>
    <x v="0"/>
    <d v="2023-05-06T00:00:00"/>
    <s v="MAIO"/>
    <d v="2023-05-08T00:00:00"/>
    <s v="mai/2023"/>
    <s v="MAIO"/>
    <n v="2023"/>
    <d v="2023-05-08T00:00:00"/>
    <s v="FALTA"/>
    <s v="FALTA INJUSTIFICADA NOS DIAS 05/05 E 06/05/2023, O COLABORADOR NÃO COMUNICOU SUA CHEFIA IMEDIATA."/>
  </r>
  <r>
    <n v="148"/>
    <s v="RAYLANDER BATISTA DA SILVA"/>
    <n v="2770003122"/>
    <s v="PARCIAL"/>
    <d v="2023-04-06T00:00:00"/>
    <s v="0ANOS, 1MESES"/>
    <n v="8.611111111111111E-2"/>
    <s v="0 A 01 ANO"/>
    <s v="AGENTE DE COLETA"/>
    <s v="COLETA DOMICILIAR"/>
    <s v="DIURNO"/>
    <s v="JOSÉ ADELMAR"/>
    <x v="0"/>
    <d v="2023-05-07T00:00:00"/>
    <s v="MAIO"/>
    <d v="2023-05-08T00:00:00"/>
    <s v="mai/2023"/>
    <s v="MAIO"/>
    <n v="2023"/>
    <d v="2023-05-08T00:00:00"/>
    <s v="FALTA"/>
    <s v="FALTA INJUSTIFICADA NO DIA 07/05/2023, O COLABORADOR NÃO COMUNICOU SUA CHEFIA IMEDIATA."/>
  </r>
  <r>
    <n v="149"/>
    <s v="ADEILTON GONCALVES DA SILVA"/>
    <n v="2770002704"/>
    <s v="NORMAL"/>
    <d v="2021-11-18T00:00:00"/>
    <s v="1ANOS, 5MESES"/>
    <n v="1.4833333333333334"/>
    <s v="01 A 03 ANOS"/>
    <s v="AGENTE DE COLETA"/>
    <s v="COLETA DOMICILIAR"/>
    <s v="DIURNO"/>
    <s v="JOSÉ ADELMAR"/>
    <x v="1"/>
    <d v="2023-05-06T00:00:00"/>
    <s v="MAIO"/>
    <d v="2023-05-08T00:00:00"/>
    <s v="mai/2023"/>
    <s v="MAIO"/>
    <n v="2023"/>
    <d v="2023-05-11T00:00:00"/>
    <s v="FALTA"/>
    <s v="FALTA INJUSTIFICADA NO 06/05/2023, O COLABORADOR NÃO COMUNICOU SUA CHEFIA IMEDIATA."/>
  </r>
  <r>
    <n v="150"/>
    <s v="FRANCIOMAR OLIVEIRA DA SILVA"/>
    <n v="2770003081"/>
    <s v="NORMAL"/>
    <d v="2023-02-15T00:00:00"/>
    <s v="0ANOS, 2MESES"/>
    <n v="0.22500000000000001"/>
    <s v="0 A 01 ANO"/>
    <s v="SOLDADOR"/>
    <s v="MANUTENÇÃO"/>
    <s v="DIURNO"/>
    <s v="MARCELO MARINHO"/>
    <x v="0"/>
    <d v="2023-05-07T00:00:00"/>
    <s v="MAIO"/>
    <d v="2023-05-08T00:00:00"/>
    <s v="mai/2023"/>
    <s v="MAIO"/>
    <n v="2023"/>
    <d v="2023-05-08T00:00:00"/>
    <s v="QUEBRA DE PROCEDIMENTO"/>
    <s v="ALEGOU TER SE ACIDENTADO PORÉM NÃO CUMPRIU OS PROCEDIMENTOS DE SEGURANÇA DO TRABALHO."/>
  </r>
  <r>
    <n v="151"/>
    <s v="FRANCIOMAR OLIVEIRA DA SILVA"/>
    <n v="2770003081"/>
    <s v="NORMAL"/>
    <d v="2023-02-15T00:00:00"/>
    <s v="0ANOS, 2MESES"/>
    <n v="0.22222222222222221"/>
    <s v="0 A 01 ANO"/>
    <s v="SOLDADOR"/>
    <s v="MANUTENÇÃO"/>
    <s v="DIURNO"/>
    <s v="MARCELO MARINHO"/>
    <x v="0"/>
    <d v="2023-05-06T00:00:00"/>
    <s v="MAIO"/>
    <d v="2023-05-08T00:00:00"/>
    <s v="mai/2023"/>
    <s v="MAIO"/>
    <n v="2023"/>
    <d v="2023-05-08T00:00:00"/>
    <s v="FALTA"/>
    <s v="FALTA SEM JUSTIFICATIVA."/>
  </r>
  <r>
    <n v="152"/>
    <s v="JACKSON DOS SANTOS REIS"/>
    <n v="2770003115"/>
    <s v="PARCIAL"/>
    <d v="2023-03-16T00:00:00"/>
    <s v="0ANOS, 1MESES"/>
    <n v="0.14722222222222223"/>
    <s v="0 A 01 ANO"/>
    <s v="AGENTE DE COLETA"/>
    <s v="COLETA DOMICILIAR"/>
    <s v="NOTURNO"/>
    <s v="JOÃO PEDRO"/>
    <x v="0"/>
    <d v="2023-05-08T00:00:00"/>
    <s v="MAIO"/>
    <d v="2023-05-08T00:00:00"/>
    <s v="mai/2023"/>
    <s v="MAIO"/>
    <n v="2023"/>
    <d v="2023-05-08T00:00:00"/>
    <s v="FALTA"/>
    <s v="COLABORADOR FALTOU SEM JUSTIFICATIVA NO DOMINGO 07/05."/>
  </r>
  <r>
    <n v="153"/>
    <s v="RAIR BARROSO DA SILVA"/>
    <n v="2770003021"/>
    <s v="NORMAL"/>
    <d v="2022-12-01T00:00:00"/>
    <s v="0ANOS, 4MESES"/>
    <n v="0.41666666666666669"/>
    <s v="0 A 01 ANO"/>
    <s v="AGENTE DE COLETA"/>
    <s v="COLETA DOMICILIAR"/>
    <s v="NOTURNO"/>
    <s v="JOÃO PEDRO"/>
    <x v="0"/>
    <d v="2023-04-30T00:00:00"/>
    <s v="ABRIL"/>
    <d v="2023-05-08T00:00:00"/>
    <s v="mai/2023"/>
    <s v="MAIO"/>
    <n v="2023"/>
    <d v="2023-05-08T00:00:00"/>
    <s v="QUEBRA DE PROCEDIMENTO"/>
    <s v="COLABORADOR NÃO USOU AS DEVIDAS FERRAMENTAS PARA A COLETA (PÁ E VASSOURA), EM RAZÃO DISSO, O MESMO SE FERIU NO DIA 30/04, GERANDO AFASTAMENTO."/>
  </r>
  <r>
    <n v="154"/>
    <s v="PABLO DIAS COUTINHO"/>
    <n v="2770003116"/>
    <s v="PARCIAL"/>
    <d v="2023-03-16T00:00:00"/>
    <s v="0ANOS, 1MESES"/>
    <n v="0.1388888888888889"/>
    <s v="0 A 01 ANO"/>
    <s v="AGENTE DE COLETA"/>
    <s v="COLETA DOMICILIAR"/>
    <s v="NOTURNO"/>
    <s v="JOÃO PEDRO"/>
    <x v="1"/>
    <d v="2023-05-05T00:00:00"/>
    <s v="MAIO"/>
    <d v="2023-05-09T00:00:00"/>
    <s v="mai/2023"/>
    <s v="MAIO"/>
    <n v="2023"/>
    <d v="2023-05-10T00:00:00"/>
    <s v="FALTA"/>
    <s v="COLABORADOR FALTOU SEM JUSTIFICATIVA NO DIA 30/04, 03/05 E 05/05."/>
  </r>
  <r>
    <n v="155"/>
    <s v="FELIPE AUGUSTO BATISTA GOMES"/>
    <n v="2770003090"/>
    <s v="PARCIAL"/>
    <d v="2023-03-08T00:00:00"/>
    <s v="0ANOS, 1MESES"/>
    <n v="0.16666666666666666"/>
    <s v="0 A 01 ANO"/>
    <s v="AGENTE DE COLETA"/>
    <s v="COLETA DOMICILIAR"/>
    <s v="DIURNO"/>
    <s v="JOSÉ ADELMAR"/>
    <x v="0"/>
    <d v="2023-05-07T00:00:00"/>
    <s v="MAIO"/>
    <d v="2023-05-12T00:00:00"/>
    <s v="mai/2023"/>
    <s v="MAIO"/>
    <n v="2023"/>
    <d v="2023-05-12T00:00:00"/>
    <s v="FALTA"/>
    <s v="FALTA INJUSTIFICADA NOS DIAS 29/04 E 05, 06, 07/05/2023 O COLABORADOR NÃO COMUNICOU SUA CHEFIA IMEDIATA."/>
  </r>
  <r>
    <n v="156"/>
    <s v="TARCILO GONZAGA DOS SANTOS"/>
    <n v="2770002443"/>
    <s v="NORMAL"/>
    <d v="2021-01-06T00:00:00"/>
    <s v="2ANOS, 4MESES"/>
    <n v="2.3833333333333333"/>
    <s v="01 A 03 ANOS"/>
    <s v="AGENTE DE COLETA"/>
    <s v="COLETA DOMICILIAR"/>
    <s v="NOTURNO"/>
    <s v="JOÃO PEDRO"/>
    <x v="1"/>
    <d v="2023-05-14T00:00:00"/>
    <s v="MAIO"/>
    <d v="2023-05-15T00:00:00"/>
    <s v="mai/2023"/>
    <s v="MAIO"/>
    <n v="2023"/>
    <d v="2023-05-16T00:00:00"/>
    <s v="FALTA"/>
    <s v="COLABORADOR FALTOU SEM JUSTIFICATIVA NO DIA 14/05/2023."/>
  </r>
  <r>
    <n v="157"/>
    <s v="EUDES DA SILVA PINTO"/>
    <n v="2770002271"/>
    <s v="NORMAL"/>
    <d v="2020-06-01T00:00:00"/>
    <s v="2ANOS, 11MESES"/>
    <n v="2.9916666666666667"/>
    <s v="01 A 03 ANOS"/>
    <s v="MOTORISTA"/>
    <s v="COLETA DOMICILIAR"/>
    <s v="NOTURNO"/>
    <s v="JOÃO PEDRO"/>
    <x v="0"/>
    <d v="2023-05-14T00:00:00"/>
    <s v="MAIO"/>
    <d v="2023-05-15T00:00:00"/>
    <s v="mai/2023"/>
    <s v="MAIO"/>
    <n v="2023"/>
    <d v="2023-05-15T00:00:00"/>
    <s v="FALTA"/>
    <s v="COLABORADOR FALTOU SEM JUSTIFICATIVA NO DIA 14/05/2023."/>
  </r>
  <r>
    <n v="158"/>
    <s v="SERGIO RAFAEL FERREIRA FREIRE"/>
    <n v="2770003138"/>
    <s v="PARCIAL"/>
    <d v="2023-05-05T00:00:00"/>
    <s v="0ANOS, 0MESES"/>
    <n v="2.5000000000000001E-2"/>
    <s v="0 A 01 ANO"/>
    <s v="AGENTE DE COLETA"/>
    <s v="COLETA DOMICILIAR"/>
    <s v="DIURNO"/>
    <s v="JOSÉ ADELMAR"/>
    <x v="0"/>
    <d v="2023-05-14T00:00:00"/>
    <s v="MAIO"/>
    <d v="2023-05-16T00:00:00"/>
    <s v="mai/2023"/>
    <s v="MAIO"/>
    <n v="2023"/>
    <d v="2023-05-16T00:00:00"/>
    <s v="FALTA"/>
    <s v="FALTA INJUSTIFICADA NO DIA 14/05/2023 O COLABORADOR NÃO COMUNICOU SUA CHEFIA IMEDIATA."/>
  </r>
  <r>
    <n v="159"/>
    <s v="GIAN DOMINGOS SAMPAIO CASTRO"/>
    <n v="2770002210"/>
    <s v="NORMAL"/>
    <d v="2020-02-04T00:00:00"/>
    <s v="3ANOS, 3MESES"/>
    <n v="3.3222222222222224"/>
    <s v="03 A 05 ANOS"/>
    <s v="AGENTE DE COLETA"/>
    <s v="COLETA DOMICILIAR"/>
    <s v="DIURNO"/>
    <s v="JOSÉ ADELMAR"/>
    <x v="0"/>
    <d v="2023-05-15T00:00:00"/>
    <s v="MAIO"/>
    <d v="2023-05-16T00:00:00"/>
    <s v="mai/2023"/>
    <s v="MAIO"/>
    <n v="2023"/>
    <d v="2023-05-16T00:00:00"/>
    <s v="FALTA"/>
    <s v="FALTA INSJUTIFICADA NO DIA 15/05/2023, O COLABORADOR NÃO COMUNICOU SUA CHEFIA IMEDIATA."/>
  </r>
  <r>
    <n v="160"/>
    <s v="EMERSON DO CANTO EVANGELISTA"/>
    <n v="2770003014"/>
    <s v="NORMAL"/>
    <d v="2022-12-01T00:00:00"/>
    <s v="0ANOS, 5MESES"/>
    <n v="0.46666666666666667"/>
    <s v="0 A 01 ANO"/>
    <s v="AGENTE DE COLETA"/>
    <s v="COLETA DOMICILIAR"/>
    <s v="DIURNO"/>
    <s v="JOSÉ ADELMAR"/>
    <x v="0"/>
    <d v="2023-05-18T00:00:00"/>
    <s v="MAIO"/>
    <d v="2023-05-19T00:00:00"/>
    <s v="mai/2023"/>
    <s v="MAIO"/>
    <n v="2023"/>
    <d v="2023-05-19T00:00:00"/>
    <s v="FALTA"/>
    <s v="FALTA INJUSTIFICADA NO DIA 18/05/2023, O COLABORADOR NÃO COMUNICOU SUA CHEFIA IMEDIATA."/>
  </r>
  <r>
    <n v="161"/>
    <s v="MAURICIO AUGUSTO QUEIROZ DE ARAÚJO"/>
    <n v="2770003042"/>
    <s v="NORMAL"/>
    <d v="2022-12-01T00:00:00"/>
    <s v="0ANOS, 5MESES"/>
    <n v="0.46944444444444444"/>
    <s v="0 A 01 ANO"/>
    <s v="AGENTE DE COLETA"/>
    <s v="COLETA DOMICILIAR"/>
    <s v="NOTURNO"/>
    <s v="JOÃO PEDRO"/>
    <x v="0"/>
    <d v="2023-05-19T00:00:00"/>
    <s v="MAIO"/>
    <d v="2023-05-19T00:00:00"/>
    <s v="mai/2023"/>
    <s v="MAIO"/>
    <n v="2023"/>
    <d v="2023-05-19T00:00:00"/>
    <s v="QUEBRA DE PROCEDIMENTO"/>
    <s v="COLABORADOR ESTAVA EM DESLOCAMENTO EM CIMA DO COXO, EM DESACORDO COM A PO-08."/>
  </r>
  <r>
    <n v="162"/>
    <s v="ANTÔNIO LUIS RIBEIRO ALEXANDRE"/>
    <n v="2770002929"/>
    <s v="NORMAL"/>
    <d v="2022-09-01T00:00:00"/>
    <s v="0ANOS, 8MESES"/>
    <n v="0.72222222222222221"/>
    <s v="0 A 01 ANO"/>
    <s v="AGENTE DE COLETA"/>
    <s v="COLETA DOMICILIAR"/>
    <s v="NOTURNO"/>
    <s v="JOÃO PEDRO"/>
    <x v="0"/>
    <d v="2023-05-19T00:00:00"/>
    <s v="MAIO"/>
    <d v="2023-05-19T00:00:00"/>
    <s v="mai/2023"/>
    <s v="MAIO"/>
    <n v="2023"/>
    <d v="2023-05-19T00:00:00"/>
    <s v="QUEBRA DE PROCEDIMENTO"/>
    <s v="COLABORADOR EM DESACORDO COM A PO-08 ACIONOU O COMANDO DIANTEIRO, SE ACIDENTANDO E COLOCANDO SUA SEGURANÇA E DOS DEMAIS EM RISCO."/>
  </r>
  <r>
    <n v="163"/>
    <s v="WYGUINER PRINTIS DA CRUZ"/>
    <n v="2770003098"/>
    <s v="PARCIAL"/>
    <d v="2023-03-08T00:00:00"/>
    <s v="0ANOS, 2MESES"/>
    <n v="0.18611111111111112"/>
    <s v="0 A 01 ANO"/>
    <s v="AGENTE DE COLETA"/>
    <s v="COLETA DOMICILIAR"/>
    <s v="NOTURNO"/>
    <s v="JOÃO PEDRO"/>
    <x v="0"/>
    <d v="2023-05-14T00:00:00"/>
    <s v="MAIO"/>
    <d v="2023-05-19T00:00:00"/>
    <s v="mai/2023"/>
    <s v="MAIO"/>
    <n v="2023"/>
    <d v="2023-05-19T00:00:00"/>
    <s v="FALTA"/>
    <s v="COLABORADOR FALTOU SEM JUSTIFICATIVA NOS DIAS 13/05 R 14/05."/>
  </r>
  <r>
    <n v="164"/>
    <s v="NAUM DA SILVA CASTRO ALFAIA"/>
    <n v="2770002953"/>
    <s v="NORMAL"/>
    <d v="2022-10-03T00:00:00"/>
    <s v="0ANOS, 7MESES"/>
    <n v="0.63611111111111107"/>
    <s v="0 A 01 ANO"/>
    <s v="AGENTE DE COLETA"/>
    <s v="COLETA DOMICILIAR"/>
    <s v="NOTURNO"/>
    <s v="JOÃO PEDRO"/>
    <x v="0"/>
    <d v="2023-05-20T00:00:00"/>
    <s v="MAIO"/>
    <d v="2023-05-20T00:00:00"/>
    <s v="mai/2023"/>
    <s v="MAIO"/>
    <n v="2023"/>
    <d v="2023-05-20T00:00:00"/>
    <s v="QUEBRA DE PROCEDIMENTO"/>
    <s v="AGENTE DE COLETA FOI FLAGRADO ATRAVÉS DE UMA DENÚNCIA DO GSUBOP (COMPROVADA EM VÍDEOS DE CÂMERAS DE SEGURANÇA) ESCONDENDO O LIXO, O MESMO ASSUME A AUTORIA E RELATA QUE FEZ DEVIDO O MOTORISTA JÁ TER PASSADO O PONTO COM O CAMINHÃO."/>
  </r>
  <r>
    <n v="165"/>
    <s v="RAFAEL SOARES DO NASCIMENTO"/>
    <n v="2770003151"/>
    <s v="PARCIAL"/>
    <d v="2023-05-05T00:00:00"/>
    <s v="0ANOS, 0MESES"/>
    <n v="3.888888888888889E-2"/>
    <s v="0 A 01 ANO"/>
    <s v="AGENTE DE COLETA"/>
    <s v="COLETA DOMICILIAR"/>
    <s v="NOTURNO"/>
    <s v="JOÃO PEDRO"/>
    <x v="0"/>
    <d v="2023-05-19T00:00:00"/>
    <s v="MAIO"/>
    <d v="2023-05-20T00:00:00"/>
    <s v="mai/2023"/>
    <s v="MAIO"/>
    <n v="2023"/>
    <d v="2023-05-20T00:00:00"/>
    <s v="FALTA"/>
    <s v="AGENTE DE COLETA  FALTOU SEM JUSTIFICATIVA NO DIA 19/05/2023."/>
  </r>
  <r>
    <n v="166"/>
    <s v="RIVALDO CONDERA DO NASCIMENTO JUNIOR"/>
    <n v="2770002925"/>
    <s v="NORMAL"/>
    <d v="2022-09-01T00:00:00"/>
    <s v="0ANOS, 8MESES"/>
    <n v="0.72499999999999998"/>
    <s v="0 A 01 ANO"/>
    <s v="AGENTE DE COLETA"/>
    <s v="COLETA DOMICILIAR"/>
    <s v="NOTURNO"/>
    <s v="JOÃO PEDRO"/>
    <x v="0"/>
    <d v="2023-05-20T00:00:00"/>
    <s v="MAIO"/>
    <d v="2023-05-20T00:00:00"/>
    <s v="mai/2023"/>
    <s v="MAIO"/>
    <n v="2023"/>
    <d v="2023-05-20T00:00:00"/>
    <s v="INSUBORDINAÇÃO"/>
    <s v="COLABORADOR SE NEGOU A BATER UMA CAIXA DE LIXO, ALÉM DE CAUSAR PROBLEMAS COM OUTROS AGENTES DE COLETA."/>
  </r>
  <r>
    <n v="167"/>
    <s v="CARLOS LOBO VIANA"/>
    <n v="2770003105"/>
    <s v="PARCIAL"/>
    <d v="2023-03-16T00:00:00"/>
    <s v="0ANOS, 2MESES"/>
    <n v="0.18333333333333332"/>
    <s v="0 A 01 ANO"/>
    <s v="AGENTE DE COLETA"/>
    <s v="COLETA DOMICILIAR"/>
    <s v="DIURNO"/>
    <s v="JOSÉ ADELMAR"/>
    <x v="0"/>
    <d v="2023-05-21T00:00:00"/>
    <s v="MAIO"/>
    <d v="2023-05-21T00:00:00"/>
    <s v="mai/2023"/>
    <s v="MAIO"/>
    <n v="2023"/>
    <d v="2023-05-22T00:00:00"/>
    <s v="FALTA"/>
    <s v="O COLABORADOR FALTOU NO DIA 21/05/2023, NÃO COMUNICOU SUA CHEFIA IMEDIATA."/>
  </r>
  <r>
    <n v="168"/>
    <s v="WARLEM CAVALCANTE RENOVATO"/>
    <n v="2770003096"/>
    <s v="PARCIAL"/>
    <d v="2023-03-08T00:00:00"/>
    <s v="0ANOS, 2MESES"/>
    <n v="0.20555555555555555"/>
    <s v="0 A 01 ANO"/>
    <s v="AGENTE DE COLETA"/>
    <s v="COLETA DOMICILIAR"/>
    <s v="NOTURNO"/>
    <s v="JOÃO PEDRO"/>
    <x v="0"/>
    <d v="2023-05-21T00:00:00"/>
    <s v="MAIO"/>
    <d v="2023-05-26T00:00:00"/>
    <s v="mai/2023"/>
    <s v="MAIO"/>
    <n v="2023"/>
    <d v="2023-05-26T00:00:00"/>
    <s v="FALTA"/>
    <s v="COLABORADOR FALTOU SEM JUSTIFICATIVA NO DIA 19/05, 20/05 E 21/05."/>
  </r>
  <r>
    <n v="169"/>
    <s v="EDUARDO MORAES DE SOUZA"/>
    <n v="2770002391"/>
    <s v="NORMAL"/>
    <d v="2020-11-09T00:00:00"/>
    <s v="2ANOS, 6MESES"/>
    <n v="2.5805555555555557"/>
    <s v="01 A 03 ANOS"/>
    <s v="AGENTE DE COLETA"/>
    <s v="COLETA DOMICILIAR"/>
    <s v="DIURNO"/>
    <s v="JOSÉ ADELMAR"/>
    <x v="1"/>
    <d v="2023-05-27T00:00:00"/>
    <s v="MAIO"/>
    <d v="2023-05-27T00:00:00"/>
    <s v="mai/2023"/>
    <s v="MAIO"/>
    <n v="2023"/>
    <d v="2023-05-28T00:00:00"/>
    <s v="INSUBORDINAÇÃO"/>
    <s v="FOI INFORMADO VARIAS VEZES AO COLABORADOR PRA PROCURAR O ANALISTA NO FINAL DO EXPEDIENTE, O MESMO VEM DESCUMPRINDO O PROCEDIMENTO DA EMPRESA ELE VEIO E FOI EMBORA SEM FALAR COM O ANALISTA."/>
  </r>
  <r>
    <n v="170"/>
    <s v="DANIEL MACHADO DE SOUZA"/>
    <n v="2770002829"/>
    <s v="NORMAL"/>
    <d v="2022-05-02T00:00:00"/>
    <s v="1ANOS, 0MESES"/>
    <n v="1.0833333333333333"/>
    <s v="01 A 03 ANOS"/>
    <s v="AGENTE DE COLETA"/>
    <s v="COLETA DOMICILIAR"/>
    <s v="DIURNO"/>
    <s v="JOSÉ ADELMAR"/>
    <x v="0"/>
    <d v="2023-05-27T00:00:00"/>
    <s v="MAIO"/>
    <d v="2023-05-29T00:00:00"/>
    <s v="mai/2023"/>
    <s v="MAIO"/>
    <n v="2023"/>
    <d v="2023-05-29T00:00:00"/>
    <s v="FALTA"/>
    <s v="O COLABORADOR FALTOU NO DIA 27/05/2023, SEM COMUNICAR SUA CHEFIA IMEDIATA."/>
  </r>
  <r>
    <n v="171"/>
    <s v="RAIRO TEIXEIRA LEÃO"/>
    <n v="2770003060"/>
    <s v="NORMAL"/>
    <d v="2023-01-12T00:00:00"/>
    <s v="0ANOS, 4MESES"/>
    <n v="0.375"/>
    <s v="0 A 01 ANO"/>
    <s v="MOTORISTA"/>
    <s v="COLETA DOMICILIAR"/>
    <s v="NOTURNO"/>
    <s v="JOÃO PEDRO"/>
    <x v="0"/>
    <d v="2023-05-27T00:00:00"/>
    <s v="MAIO"/>
    <d v="2023-05-30T00:00:00"/>
    <s v="mai/2023"/>
    <s v="MAIO"/>
    <n v="2023"/>
    <d v="2023-05-30T00:00:00"/>
    <s v="EXCESSO DE VELOCIDADE"/>
    <s v="COLABORADOR EXCEDEU O LIMITE DE VELOCIDADE NO DIA 27/05 CHEGANDO Á 73 KM/H."/>
  </r>
  <r>
    <n v="172"/>
    <s v="LEONARDO DA SILVA ROCHA"/>
    <n v="2770002963"/>
    <s v="NORMAL"/>
    <d v="2022-10-06T00:00:00"/>
    <s v="0ANOS, 7MESES"/>
    <n v="0.63055555555555554"/>
    <s v="0 A 01 ANO"/>
    <s v="AGENTE DE COLETA"/>
    <s v="COLETA DOMICILIAR"/>
    <s v="NOTURNO"/>
    <s v="JOÃO PEDRO"/>
    <x v="0"/>
    <d v="2023-05-21T00:00:00"/>
    <s v="MAIO"/>
    <d v="2023-06-01T00:00:00"/>
    <s v="jun/2023"/>
    <s v="JUNHO"/>
    <n v="2023"/>
    <d v="2023-06-01T00:00:00"/>
    <s v="FALTA"/>
    <s v="COLABORADOR FALTOU SEM JUSTIFICATIVA NOS DIAS 20/05 E 21/05."/>
  </r>
  <r>
    <n v="173"/>
    <s v="EDUARDO MORAES DE SOUZA"/>
    <n v="2770002391"/>
    <s v="NORMAL"/>
    <d v="2020-11-09T00:00:00"/>
    <s v="2ANOS, 6MESES"/>
    <n v="2.5916666666666668"/>
    <s v="01 A 03 ANOS"/>
    <s v="AGENTE DE COLETA"/>
    <s v="COLETA DOMICILIAR"/>
    <s v="DIURNO"/>
    <s v="JOSÉ ADELMAR"/>
    <x v="1"/>
    <d v="2023-05-31T00:00:00"/>
    <s v="MAIO"/>
    <d v="2023-06-01T00:00:00"/>
    <s v="jun/2023"/>
    <s v="JUNHO"/>
    <n v="2023"/>
    <d v="2023-06-04T00:00:00"/>
    <s v="FALTA"/>
    <s v="O COLABORADOR FALTOU NO DIA 31/05/2023 SEM COMUNICAR SUA CHEFIA IMEDIATA."/>
  </r>
  <r>
    <n v="174"/>
    <s v="GABRIEL REMEDIOS DOS SANTOS OLIVEIRA"/>
    <n v="2770003094"/>
    <s v="NORMAL"/>
    <d v="2023-03-08T00:00:00"/>
    <s v="0ANOS, 2MESES"/>
    <n v="0.2361111111111111"/>
    <s v="0 A 01 ANO"/>
    <s v="AGENTE DE COLETA"/>
    <s v="COLETA DOMICILIAR"/>
    <s v="NOTURNO"/>
    <s v="JOÃO PEDRO"/>
    <x v="0"/>
    <d v="2023-06-01T00:00:00"/>
    <s v="JUNHO"/>
    <d v="2023-06-02T00:00:00"/>
    <s v="jun/2023"/>
    <s v="JUNHO"/>
    <n v="2023"/>
    <d v="2023-06-02T00:00:00"/>
    <s v="FALTA"/>
    <s v="COLABORADOR FALTOU SEM JUSTIFICATIVA NOS DIAS 31/05 E 01/06."/>
  </r>
  <r>
    <n v="175"/>
    <s v="RAIMUNDO ALMEIDA FLORENTINO"/>
    <n v="2770003142"/>
    <s v="PARCIAL"/>
    <d v="2023-05-05T00:00:00"/>
    <s v="0ANOS, 0MESES"/>
    <n v="7.7777777777777779E-2"/>
    <s v="0 A 01 ANO"/>
    <s v="AGENTE DE COLETA"/>
    <s v="COLETA DOMICILIAR"/>
    <s v="DIURNO"/>
    <s v="JOSÉ ADELMAR"/>
    <x v="0"/>
    <d v="2023-06-02T00:00:00"/>
    <s v="JUNHO"/>
    <d v="2023-06-03T00:00:00"/>
    <s v="jun/2023"/>
    <s v="JUNHO"/>
    <n v="2023"/>
    <d v="2023-06-03T00:00:00"/>
    <s v="FALTA"/>
    <s v="O COLABORADOR FALTOU NO DIA 02/06/2023 SEM COMUNICAR SUA CHEFIA IMEDIATA."/>
  </r>
  <r>
    <n v="176"/>
    <s v="WENDELL FRANCO GIBSON"/>
    <n v="2770002973"/>
    <s v="NORMAL"/>
    <d v="2022-11-03T00:00:00"/>
    <s v="0ANOS, 7MESES"/>
    <n v="0.58888888888888891"/>
    <s v="0 A 01 ANO"/>
    <s v="AGENTE DE COLETA"/>
    <s v="COLETA DOMICILIAR"/>
    <s v="NOTURNO"/>
    <s v="JOÃO PEDRO"/>
    <x v="0"/>
    <d v="2023-06-03T00:00:00"/>
    <s v="JUNHO"/>
    <d v="2023-06-05T00:00:00"/>
    <s v="jun/2023"/>
    <s v="JUNHO"/>
    <n v="2023"/>
    <d v="2023-06-05T00:00:00"/>
    <s v="FALTA"/>
    <s v="COLABORADOR FALTOU SEM JUSTIFICATIVA NO DIA 03/06/2023."/>
  </r>
  <r>
    <n v="177"/>
    <s v="EDILSON LUIZ CARVALHO DE OLIVEIRA"/>
    <n v="2770002769"/>
    <s v="NORMAL"/>
    <d v="2022-01-17T00:00:00"/>
    <s v="1ANOS, 4MESES"/>
    <n v="1.3972222222222221"/>
    <s v="01 A 03 ANOS"/>
    <s v="AGENTE DE COLETA"/>
    <s v="COLETA DOMICILIAR"/>
    <s v="NOTURNO"/>
    <s v="JOÃO PEDRO"/>
    <x v="0"/>
    <d v="2023-06-04T00:00:00"/>
    <s v="JUNHO"/>
    <d v="2023-06-05T00:00:00"/>
    <s v="jun/2023"/>
    <s v="JUNHO"/>
    <n v="2023"/>
    <d v="2023-06-05T00:00:00"/>
    <s v="FALTA"/>
    <s v="COLABORADOR FALTOU SEM JUSTIFICATIVA NO PLANTÃO DE DOMINGO 04/06/2023."/>
  </r>
  <r>
    <n v="178"/>
    <s v="FRANCISCO MAGNO DE ALMEIDA OLIVEIRA"/>
    <n v="2770002965"/>
    <s v="NORMAL"/>
    <d v="2022-10-06T00:00:00"/>
    <s v="0ANOS, 7MESES"/>
    <n v="0.66666666666666663"/>
    <s v="0 A 01 ANO"/>
    <s v="AGENTE DE COLETA"/>
    <s v="COLETA DOMICILIAR"/>
    <s v="NOTURNO"/>
    <s v="JOÃO PEDRO"/>
    <x v="0"/>
    <d v="2023-06-03T00:00:00"/>
    <s v="JUNHO"/>
    <d v="2023-06-05T00:00:00"/>
    <s v="jun/2023"/>
    <s v="JUNHO"/>
    <n v="2023"/>
    <d v="2023-06-05T00:00:00"/>
    <s v="FALTA"/>
    <s v="COLABORADOR FALTOU SEM JUSTIFICATIVA NO DIA 31/05 AO 03/06/2023."/>
  </r>
  <r>
    <n v="179"/>
    <s v="RAYLANDER BATISTA DA SILVA"/>
    <n v="2770003122"/>
    <s v="PARCIAL"/>
    <d v="2022-04-06T00:00:00"/>
    <s v="1ANOS, 1MESES"/>
    <n v="1.1777777777777778"/>
    <s v="01 A 03 ANOS"/>
    <s v="AGENTE DE COLETA"/>
    <s v="COLETA DOMICILIAR"/>
    <s v="DIURNO"/>
    <s v="JOSÉ ADELMAR"/>
    <x v="0"/>
    <d v="2023-06-04T00:00:00"/>
    <s v="JUNHO"/>
    <d v="2023-06-05T00:00:00"/>
    <s v="jun/2023"/>
    <s v="JUNHO"/>
    <n v="2023"/>
    <d v="2023-06-05T00:00:00"/>
    <s v="FALTA"/>
    <s v="COLABORADOR FALTOU NOS DIAS 03/06 E 04/06/2023 SEM COMUNICAR SUA CHEFIA IMEDIATA."/>
  </r>
  <r>
    <n v="180"/>
    <s v="GUSTAVO HENRIQUE DIAS CAVALCANTE"/>
    <n v="2770003139"/>
    <s v="PARCIAL"/>
    <d v="2023-05-05T00:00:00"/>
    <s v="0ANOS, 1MESES"/>
    <n v="8.611111111111111E-2"/>
    <s v="0 A 01 ANO"/>
    <s v="AGENTE DE COLETA"/>
    <s v="COLETA DOMICILIAR"/>
    <s v="DIURNO"/>
    <s v="JOSÉ ADELMAR"/>
    <x v="0"/>
    <d v="2023-06-05T00:00:00"/>
    <s v="JUNHO"/>
    <d v="2023-06-06T00:00:00"/>
    <s v="jun/2023"/>
    <s v="JUNHO"/>
    <n v="2023"/>
    <d v="2023-06-06T00:00:00"/>
    <s v="FALTA"/>
    <s v="O COLABORADOR FALTOU NOS DIAS 03/06/2023 E 05/06/2023 SEM COMUNICAR SUA CHEFIA IMEDIATA."/>
  </r>
  <r>
    <n v="181"/>
    <s v="ALESSANDRO BRITO AMORIM"/>
    <n v="2770002978"/>
    <s v="NORMAL"/>
    <d v="2022-11-03T00:00:00"/>
    <s v="0ANOS, 7MESES"/>
    <n v="0.59166666666666667"/>
    <s v="0 A 01 ANO"/>
    <s v="AGENTE DE COLETA"/>
    <s v="COLETA DOMICILIAR"/>
    <s v="NOTURNO"/>
    <s v="JOÃO PEDRO"/>
    <x v="0"/>
    <d v="2023-06-04T00:00:00"/>
    <s v="JUNHO"/>
    <d v="2023-06-06T00:00:00"/>
    <s v="jun/2023"/>
    <s v="JUNHO"/>
    <n v="2023"/>
    <d v="2023-06-06T00:00:00"/>
    <s v="FALTA"/>
    <s v="COLABORADOR FALTOU SEM JUSTIFICATIVA NO DOMINGO DIA 04/06."/>
  </r>
  <r>
    <n v="182"/>
    <s v="JAMES MARINIS DA CRUZ"/>
    <n v="2770003141"/>
    <s v="PARCIAL"/>
    <d v="2023-05-05T00:00:00"/>
    <s v="0ANOS, 0MESES"/>
    <n v="7.4999999999999997E-2"/>
    <s v="0 A 01 ANO"/>
    <s v="AGENTE DE COLETA"/>
    <s v="COLETA DOMICILIAR"/>
    <s v="DIURNO"/>
    <s v="JOSÉ ADELMAR"/>
    <x v="0"/>
    <d v="2023-06-01T00:00:00"/>
    <s v="JUNHO"/>
    <d v="2023-06-07T00:00:00"/>
    <s v="jun/2023"/>
    <s v="JUNHO"/>
    <n v="2023"/>
    <d v="2023-06-01T00:00:00"/>
    <s v="FALTA"/>
    <s v="O COLABORADOR FALTOU NO DIA 01/06/2023 SEM COMUNICAR SUA CHEFIA IMEDIATA."/>
  </r>
  <r>
    <n v="183"/>
    <s v="WILKER BRAGA GOMES"/>
    <n v="2770002972"/>
    <s v="PARCIAL"/>
    <d v="2022-11-03T00:00:00"/>
    <s v="0ANOS, 7MESES"/>
    <n v="0.59166666666666667"/>
    <s v="0 A 01 ANO"/>
    <s v="AGENTE DE COLETA"/>
    <s v="COLETA DOMICILIAR"/>
    <s v="NOTURNO"/>
    <s v="JOÃO PEDRO"/>
    <x v="0"/>
    <d v="2023-06-04T00:00:00"/>
    <s v="JUNHO"/>
    <d v="2023-06-07T00:00:00"/>
    <s v="jun/2023"/>
    <s v="JUNHO"/>
    <n v="2023"/>
    <d v="2023-06-04T00:00:00"/>
    <s v="FALTA"/>
    <s v="COLABORADOR FALTOU SEM JUSTIFICATIVA NO DOMINGO DIA 04/06."/>
  </r>
  <r>
    <n v="184"/>
    <s v="KAIQUE SANTOS MONTEIRO"/>
    <n v="2770002686"/>
    <s v="NORMAL"/>
    <d v="2021-10-18T00:00:00"/>
    <s v="1ANOS, 7MESES"/>
    <n v="1.6583333333333334"/>
    <s v="01 A 03 ANOS"/>
    <s v="MOTORISTA"/>
    <s v="COLETA DOMICILIAR"/>
    <s v="DIURNO"/>
    <s v="JOSÉ ADELMAR"/>
    <x v="0"/>
    <d v="2023-06-07T00:00:00"/>
    <s v="JUNHO"/>
    <d v="2023-06-07T00:00:00"/>
    <s v="jun/2023"/>
    <s v="JUNHO"/>
    <n v="2023"/>
    <d v="2023-06-07T00:00:00"/>
    <s v="EXCESSO DE VELOCIDADE"/>
    <s v="O MOTORISTA EXCEDEU O LIMITE DE VELOCIDADE PERMITIDO PELA EMPRESA CHEGANDO A 71 KM."/>
  </r>
  <r>
    <n v="185"/>
    <s v="THAISSA CUNHA DOS SANTOS"/>
    <n v="2770002651"/>
    <s v="APRENDIZAGEM"/>
    <d v="2021-09-01T00:00:00"/>
    <s v="1ANOS, 9MESES"/>
    <n v="1.7861111111111112"/>
    <s v="01 A 03 ANOS"/>
    <s v="AUXILIAR ADMINISTRATIVO/APRENDIZ"/>
    <s v="EDUCAÇÃO AMBIENTAL"/>
    <s v="VESPERTINO"/>
    <s v="ELISÂNGELA COSTA"/>
    <x v="0"/>
    <d v="2023-06-06T00:00:00"/>
    <s v="JUNHO"/>
    <d v="2023-06-09T00:00:00"/>
    <s v="jun/2023"/>
    <s v="JUNHO"/>
    <n v="2023"/>
    <d v="2023-06-09T00:00:00"/>
    <s v="FALTA"/>
    <s v="FALTA NÃO JUSTIFICADA NO DIA 06/06/2023 NO CURSO DE APRENDIZAGEM, INFORMOU QUE FOI BUSCAR ATENDIMENTO, PORÉM NÃO APRESENTOU NENHUM DOCUMENTO."/>
  </r>
  <r>
    <n v="186"/>
    <s v="MARCOS VINICIUS DE CASTRO RIBEIRO"/>
    <n v="2770002828"/>
    <s v="NORMAL"/>
    <d v="2022-05-02T00:00:00"/>
    <s v="1ANOS, 1MESES"/>
    <n v="1.1194444444444445"/>
    <s v="01 A 03 ANOS"/>
    <s v="AGENTE DE COLETA"/>
    <s v="COLETA DOMICILIAR"/>
    <s v="DIURNO"/>
    <s v="JOSÉ ADELMAR"/>
    <x v="0"/>
    <d v="2023-06-09T00:00:00"/>
    <s v="JUNHO"/>
    <d v="2023-06-10T00:00:00"/>
    <s v="jun/2023"/>
    <s v="JUNHO"/>
    <n v="2023"/>
    <d v="2023-06-10T00:00:00"/>
    <s v="FALTA"/>
    <s v="O COLABORADOR FALTOU NO DIA 09/06/2023 SEM COMUNICAR SUA CHEFIA IMEDIATA."/>
  </r>
  <r>
    <n v="187"/>
    <s v="RAIMUNDO ALMEIDA FLORENTINO"/>
    <n v="2770003142"/>
    <s v="PARCIAL"/>
    <d v="2023-05-05T00:00:00"/>
    <s v="0ANOS, 1MESES"/>
    <n v="9.7222222222222224E-2"/>
    <s v="0 A 01 ANO"/>
    <s v="AGENTE DE COLETA"/>
    <s v="COLETA DOMICILIAR"/>
    <s v="DIURNO"/>
    <s v="JOSÉ ADELMAR"/>
    <x v="1"/>
    <d v="2023-06-09T00:00:00"/>
    <s v="JUNHO"/>
    <d v="2023-06-10T00:00:00"/>
    <s v="jun/2023"/>
    <s v="JUNHO"/>
    <n v="2023"/>
    <d v="2023-06-11T00:00:00"/>
    <s v="FALTA"/>
    <s v="O COLABORADOR FALTOU NO DIA 04/06 E 09/06/2023 SEM COMUNICAR SUA CHEFIA IMEDIATA."/>
  </r>
  <r>
    <n v="188"/>
    <s v="IOMAR CASTRO DA COSTA JUNIOR"/>
    <n v="2770002470"/>
    <s v="NORMAL"/>
    <d v="2021-02-17T00:00:00"/>
    <s v="2ANOS, 2MESES"/>
    <n v="2.2000000000000002"/>
    <s v="01 A 03 ANOS"/>
    <s v="MOTORISTA"/>
    <s v="COLETA DOMICILIAR"/>
    <s v="DIURNO"/>
    <s v="JOSÉ ADELMAR"/>
    <x v="0"/>
    <d v="2023-04-20T00:00:00"/>
    <s v="ABRIL"/>
    <d v="2023-06-10T00:00:00"/>
    <s v="jun/2023"/>
    <s v="JUNHO"/>
    <n v="2023"/>
    <d v="2023-06-10T00:00:00"/>
    <s v="EXCESSO DE VELOCIDADE"/>
    <s v="NO DIA 20/04/2023 O MOTORISTA ESTAVA CONDUZINDO O VEÍCULO DE PREF. 01.702-20 - EXCEDEU O LIMITE DE VELOCIDADE PERMITIDO PELA EMPRESA 75 KM."/>
  </r>
  <r>
    <n v="189"/>
    <s v="WILKER BRAGA GOMES"/>
    <n v="2770002972"/>
    <s v="NORMAL"/>
    <d v="2022-11-03T00:00:00"/>
    <s v="0ANOS, 7MESES"/>
    <n v="0.60555555555555551"/>
    <s v="0 A 01 ANO"/>
    <s v="AGENTE DE COLETA"/>
    <s v="COLETA DOMICILIAR"/>
    <s v="NOTURNO"/>
    <s v="JOÃO PEDRO"/>
    <x v="0"/>
    <d v="2023-06-09T00:00:00"/>
    <s v="JUNHO"/>
    <d v="2023-06-11T00:00:00"/>
    <s v="jun/2023"/>
    <s v="JUNHO"/>
    <n v="2023"/>
    <d v="2023-06-11T00:00:00"/>
    <s v="FALTA"/>
    <s v="COLABORADOR FALTOU SEM JUSTIFICATIVA NO DIA 09/06/2023."/>
  </r>
  <r>
    <n v="190"/>
    <s v="CARLOS LOBO VIANA"/>
    <n v="2770003105"/>
    <s v="PARCIAL"/>
    <d v="2023-03-16T00:00:00"/>
    <s v="0ANOS, 2MESES"/>
    <n v="0.24166666666666667"/>
    <s v="0 A 01 ANO"/>
    <s v="AGENTE DE COLETA"/>
    <s v="COLETA DOMICILIAR"/>
    <s v="DIURNO"/>
    <s v="JOSÉ ADELMAR"/>
    <x v="1"/>
    <d v="2023-06-11T00:00:00"/>
    <s v="JUNHO"/>
    <d v="2023-06-12T00:00:00"/>
    <s v="jun/2023"/>
    <s v="JUNHO"/>
    <n v="2023"/>
    <d v="2023-06-13T00:00:00"/>
    <s v="FALTA"/>
    <s v="O COLABORADOR FALTOU NO DIA 11/06/2023 SEM COMUNICAR SUA CHEFIA IMEDIATA."/>
  </r>
  <r>
    <n v="191"/>
    <s v="RENILSON HONORATO TAVARES DOS SANTOS"/>
    <n v="2770003137"/>
    <s v="PARCIAL"/>
    <d v="2023-05-05T00:00:00"/>
    <s v="0ANOS, 1MESES"/>
    <n v="0.10277777777777777"/>
    <s v="0 A 01 ANO"/>
    <s v="AGENTE DE COLETA"/>
    <s v="COLETA DOMICILIAR"/>
    <s v="DIURNO"/>
    <s v="JOSÉ ADELMAR"/>
    <x v="0"/>
    <d v="2023-06-11T00:00:00"/>
    <s v="JUNHO"/>
    <d v="2023-06-12T00:00:00"/>
    <s v="jun/2023"/>
    <s v="JUNHO"/>
    <n v="2023"/>
    <d v="2023-06-12T00:00:00"/>
    <s v="FALTA"/>
    <s v="O COLABORADOR FALTOU NO DIA 11/06/2023 SEM COMUNICAR SUA CHEFIA IMEDIATA."/>
  </r>
  <r>
    <n v="192"/>
    <s v="LEONAN NEGREIROS DA SILVA "/>
    <n v="2770003078"/>
    <s v="NORMAL"/>
    <d v="2023-02-09T00:00:00"/>
    <s v="0ANOS, 4MESES"/>
    <n v="0.33888888888888891"/>
    <s v="0 A 01 ANO"/>
    <s v="MOTORISTA"/>
    <s v="COLETA DOMICILIAR"/>
    <s v="NOTURNO"/>
    <s v="JOÃO PEDRO"/>
    <x v="0"/>
    <d v="2023-06-11T00:00:00"/>
    <s v="JUNHO"/>
    <d v="2023-06-12T00:00:00"/>
    <s v="jun/2023"/>
    <s v="JUNHO"/>
    <n v="2023"/>
    <d v="2023-06-12T00:00:00"/>
    <s v="FALTA"/>
    <s v="COLABORADOR FALTOU SEM JUSTIFICATIVA NO DIA 11/06/2023."/>
  </r>
  <r>
    <n v="193"/>
    <s v="PABLO DIAS COUTINHO"/>
    <n v="2770003116"/>
    <s v="PARCIAL"/>
    <d v="2023-03-16T00:00:00"/>
    <s v="0ANOS, 2MESES"/>
    <n v="0.24166666666666667"/>
    <s v="0 A 01 ANO"/>
    <s v="AGENTE DE COLETA"/>
    <s v="COLETA DOMICILIAR"/>
    <s v="NOTURNO"/>
    <s v="JOÃO PEDRO"/>
    <x v="1"/>
    <d v="2023-06-11T00:00:00"/>
    <s v="JUNHO"/>
    <d v="2023-06-14T00:00:00"/>
    <s v="jun/2023"/>
    <s v="JUNHO"/>
    <n v="2023"/>
    <d v="2023-06-17T00:00:00"/>
    <s v="FALTA"/>
    <s v="COLABORADOR FALTOU SEM JUSTIFICATIVA NO DIA 11/06/2023."/>
  </r>
  <r>
    <n v="194"/>
    <s v="MOIZES PEREIRA"/>
    <n v="2770002510"/>
    <s v="NORMAL"/>
    <d v="2021-04-19T00:00:00"/>
    <s v="2ANOS, 1MESES"/>
    <n v="2.1833333333333331"/>
    <s v="01 A 03 ANOS"/>
    <s v="AGENTE DE COLETA"/>
    <s v="COLETA DOMICILIAR"/>
    <s v="DIURNO"/>
    <s v="JOSÉ ADELMAR"/>
    <x v="0"/>
    <d v="2023-06-14T00:00:00"/>
    <s v="JUNHO"/>
    <d v="2023-06-15T00:00:00"/>
    <s v="jun/2023"/>
    <s v="JUNHO"/>
    <n v="2023"/>
    <d v="2023-06-16T00:00:00"/>
    <s v="INSUBORDINAÇÃO"/>
    <s v="NO DIA 14/06/2023 O FISCAL FOI ORIENTAR O AGENTE DE COLETA SOBRE OS PROCEDIMENTOS DE COLETA E O COLABORADOR DESFERIU PALAVRAS DE BAIXO CALÃO. (OCORRENDO QUEBRA DE HIERARQUIA.)"/>
  </r>
  <r>
    <n v="195"/>
    <s v="EDUARDO SILVA DE OLIVEIRA"/>
    <n v="2770003044"/>
    <s v="NORMAL"/>
    <d v="2022-12-07T00:00:00"/>
    <s v="0ANOS, 6MESES"/>
    <n v="0.53333333333333333"/>
    <s v="0 A 01 ANO"/>
    <s v="AGENTE DE COLETA"/>
    <s v="COLETA DOMICILIAR"/>
    <s v="NOTURNO"/>
    <s v="JOÃO PEDRO"/>
    <x v="0"/>
    <d v="2023-06-17T00:00:00"/>
    <s v="JUNHO"/>
    <d v="2023-06-18T00:00:00"/>
    <s v="jun/2023"/>
    <s v="JUNHO"/>
    <n v="2023"/>
    <d v="2023-06-18T00:00:00"/>
    <s v="FALTA"/>
    <s v="COLABORADOR FALTOU SEM JUSTIFICATIVA NO DIA 17/06/2023."/>
  </r>
  <r>
    <n v="196"/>
    <s v="FABIO BRITO DOS SANTOS"/>
    <n v="2770003108"/>
    <s v="PARCIAL"/>
    <d v="2023-03-16T00:00:00"/>
    <s v="0ANOS, 3MESES"/>
    <n v="0.26111111111111113"/>
    <s v="0 A 01 ANO"/>
    <s v="AGENTE DE COLETA"/>
    <s v="COLETA DOMICILIAR"/>
    <s v="DIURNO"/>
    <s v="JOSÉ ADELMAR"/>
    <x v="0"/>
    <d v="2023-06-18T00:00:00"/>
    <s v="JUNHO"/>
    <d v="2023-06-19T00:00:00"/>
    <s v="jun/2023"/>
    <s v="JUNHO"/>
    <n v="2023"/>
    <d v="2023-06-19T00:00:00"/>
    <s v="FALTA"/>
    <s v="O COLABORADOR FALTOU NO DIA 18/06/2023 NO PLANTÃO DE DOMINGO SEM COMUNICAR SUA CHEFIA IMEDIATA."/>
  </r>
  <r>
    <n v="197"/>
    <s v="FRANCISCO DA SILVA ANTUNES"/>
    <n v="2770002340"/>
    <s v="NORMAL"/>
    <d v="2020-09-01T00:00:00"/>
    <s v="2ANOS, 10MESES"/>
    <n v="2.9388888888888891"/>
    <s v="01 A 03 ANOS"/>
    <s v="MOTORISTA"/>
    <s v="COLETA DOMICILIAR"/>
    <s v="DIURNO"/>
    <s v="ANA CAROLINA"/>
    <x v="0"/>
    <d v="2023-07-26T00:00:00"/>
    <s v="JULHO"/>
    <d v="2023-07-31T00:00:00"/>
    <s v="jul/2023"/>
    <s v="JULHO"/>
    <n v="2023"/>
    <d v="2023-08-01T00:00:00"/>
    <s v="EXCESSO DE VELOCIDADE"/>
    <s v="EXCEDEU O LIMITE DE VELOCIDADE PERMITIDO PELA EMPRESA NO DIA 26/07/2023, CHEGANDO A 81 KM."/>
  </r>
  <r>
    <n v="198"/>
    <s v="EDUARDO MORAES DE SOOUZA"/>
    <n v="2770002391"/>
    <s v="NORMAL"/>
    <d v="2020-11-09T00:00:00"/>
    <s v="2ANOS, 8MESES"/>
    <n v="2.7638888888888888"/>
    <s v="01 A 03 ANOS"/>
    <s v="AGENTE DE COLETA"/>
    <s v="COLETA DOMICILIAR"/>
    <s v="DIURNO"/>
    <s v="ANA CAROLINA"/>
    <x v="1"/>
    <d v="2023-08-01T00:00:00"/>
    <s v="AGOSTO"/>
    <d v="2023-08-01T00:00:00"/>
    <s v="ago/2023"/>
    <s v="AGOSTO"/>
    <n v="2023"/>
    <d v="2023-08-02T00:00:00"/>
    <s v="QUEBRA DE PROCEDIMENTO"/>
    <s v="COLABORADOR EM COLETA NA ROTA 90.1.122, TEVE UMA DISCUSSÃO JUNTO AO MORADOR, GERANDO INSATISFAÇÃO E RECLAMAÇÕES POSTERIORES JUNTO AO CLIENTE."/>
  </r>
  <r>
    <n v="199"/>
    <s v="WAGNER CARVALHO DE OLIVEIRA"/>
    <n v="2770002783"/>
    <s v="NORMAL"/>
    <d v="2023-02-09T00:00:00"/>
    <s v="0ANOS, 5MESES"/>
    <n v="0.48055555555555557"/>
    <s v="0 A 01 ANO"/>
    <s v="MOTORISTA"/>
    <s v="COLETA DOMICILIAR"/>
    <s v="DIURNO"/>
    <s v="ANA CAROLINA"/>
    <x v="0"/>
    <d v="2023-08-01T00:00:00"/>
    <s v="AGOSTO"/>
    <d v="2023-08-01T00:00:00"/>
    <s v="ago/2023"/>
    <s v="AGOSTO"/>
    <n v="2023"/>
    <d v="2023-08-01T00:00:00"/>
    <s v="QUEBRA DE PROCEDIMENTO"/>
    <s v="REALIZAR MANOBRA DE RÉ PERMITINDO QUE O AGENTE DE COLETA PERMANEÇA NO ESTRIBO DO CAMINHÃO 90.1.122."/>
  </r>
  <r>
    <n v="200"/>
    <s v="WILSON DA SILVA FAUSTINO"/>
    <n v="2770002983"/>
    <s v="NORMAL"/>
    <d v="2022-11-03T00:00:00"/>
    <s v="0ANOS, 8MESES"/>
    <n v="0.74722222222222223"/>
    <s v="0 A 01 ANO"/>
    <s v="AGENTE DE COLETA"/>
    <s v="COLETA DOMICILIAR"/>
    <s v="NOTURNO"/>
    <s v="JOÃO PEDRO"/>
    <x v="0"/>
    <d v="2023-07-30T00:00:00"/>
    <s v="JULHO"/>
    <d v="2023-08-01T00:00:00"/>
    <s v="ago/2023"/>
    <s v="AGOSTO"/>
    <n v="2023"/>
    <d v="2023-08-01T00:00:00"/>
    <s v="FALTA"/>
    <s v="O COLABORADOR FALTOU NO DIA 30/07/2023 O MESMO NÃO APRESENTOU NENHUMA JUSTIFICATIVA."/>
  </r>
  <r>
    <n v="201"/>
    <s v="FRANCISCO MAGNO DE ALMEIDA OLIVEIRA"/>
    <n v="2770002956"/>
    <s v="NORMAL"/>
    <d v="2022-10-03T00:00:00"/>
    <s v="0ANOS, 9MESES"/>
    <n v="0.8305555555555556"/>
    <s v="0 A 01 ANO"/>
    <s v="AGENTE DE COLETA"/>
    <s v="COLETA DOMICILIAR"/>
    <s v="NOTURNO"/>
    <s v="JOÃO PEDRO"/>
    <x v="1"/>
    <d v="2023-07-29T00:00:00"/>
    <s v="JULHO"/>
    <d v="2023-08-01T00:00:00"/>
    <s v="ago/2023"/>
    <s v="AGOSTO"/>
    <n v="2023"/>
    <d v="2023-08-01T00:00:00"/>
    <s v="FALTA"/>
    <s v="COLABORADOR FALTOU NO DIA 29/07/2023 E O MESMO NÃO APRESENTOU NENHUMA JUSTIFICATIVA."/>
  </r>
  <r>
    <n v="202"/>
    <s v="NAUM DA SILVA CASTRIO ALFAIA"/>
    <n v="2770002953"/>
    <s v="NORMAL"/>
    <d v="2022-10-03T00:00:00"/>
    <s v="0ANOS, 9MESES"/>
    <n v="0.83888888888888891"/>
    <s v="0 A 01 ANO"/>
    <s v="AGENTE DE COLETA"/>
    <s v="COLETA DOMICILIAR"/>
    <s v="NOTURNO"/>
    <s v="JOÃO PEDRO"/>
    <x v="1"/>
    <d v="2023-08-01T00:00:00"/>
    <s v="AGOSTO"/>
    <d v="2023-08-02T00:00:00"/>
    <s v="ago/2023"/>
    <s v="AGOSTO"/>
    <n v="2023"/>
    <d v="2023-08-05T00:00:00"/>
    <s v="FALTA"/>
    <s v="O COLABORADOR FALTOU NOS DIAS 31/07 E 01/08 E NÃO APRESENTOU NENHUMA JUSTIFICATIVA."/>
  </r>
  <r>
    <n v="203"/>
    <s v="LUCIANO MENEZES DA SILVA"/>
    <n v="2770002461"/>
    <s v="NORMAL"/>
    <d v="2021-01-03T00:00:00"/>
    <s v="2ANOS, 6MESES"/>
    <n v="2.6111111111111112"/>
    <s v="01 A 03 ANOS"/>
    <s v="MOTORISTA"/>
    <s v="COLETA DOMICILIAR"/>
    <s v="DIURNO"/>
    <s v="ANA CAROLINA"/>
    <x v="0"/>
    <d v="2023-08-01T00:00:00"/>
    <s v="AGOSTO"/>
    <d v="2023-08-03T00:00:00"/>
    <s v="ago/2023"/>
    <s v="AGOSTO"/>
    <n v="2023"/>
    <d v="2023-08-03T00:00:00"/>
    <s v="EXCESSO DE VELOCIDADE"/>
    <s v="EXCEDEU O LIMITE DE VELOCIDADE PERMITIDO PELA EMPRESA NO DIA 01/08 AS 06:56H CHEGANDO A 72 KM."/>
  </r>
  <r>
    <n v="204"/>
    <s v="BRUNO RAFAEL GAMA RODRIGUES"/>
    <n v="2770003170"/>
    <s v="PARCIAL"/>
    <d v="2023-06-01T00:00:00"/>
    <s v="0ANOS, 1MESES"/>
    <n v="0.16388888888888889"/>
    <s v="0 A 01 ANO"/>
    <s v="AGENTE DE COLETA"/>
    <s v="COLETA DOMICILIAR"/>
    <s v="NOTURNO"/>
    <s v="JOÃO PEDRO"/>
    <x v="0"/>
    <d v="2023-07-30T00:00:00"/>
    <s v="JULHO"/>
    <d v="2023-08-04T00:00:00"/>
    <s v="ago/2023"/>
    <s v="AGOSTO"/>
    <n v="2023"/>
    <d v="2023-08-04T00:00:00"/>
    <s v="FALTA"/>
    <s v="O COLABORADOR FALTOU NO DIA 30/07/2023 O MESMO NÃO APRESENTOU NENHUMA JUSTIFICATIVA."/>
  </r>
  <r>
    <n v="205"/>
    <s v="DANILO CUNHA DOS SANTOS"/>
    <n v="2770002792"/>
    <s v="NORMAL"/>
    <d v="2022-03-07T00:00:00"/>
    <s v="1ANOS, 4MESES"/>
    <n v="1.4333333333333333"/>
    <s v="01 A 03 ANOS"/>
    <s v="AGENTE DE COLETA"/>
    <s v="COLETA DOMICILIAR"/>
    <s v="DIURNO"/>
    <s v="ANA CAROLINA"/>
    <x v="0"/>
    <d v="2023-08-05T00:00:00"/>
    <s v="AGOSTO"/>
    <d v="2023-08-07T00:00:00"/>
    <s v="ago/2023"/>
    <s v="AGOSTO"/>
    <n v="2023"/>
    <d v="2023-08-07T00:00:00"/>
    <s v="FALTA"/>
    <s v="FALTA INJUSTIFICADA EM 05/08/2023."/>
  </r>
  <r>
    <n v="206"/>
    <s v="ISAQUE FERNANDES DA CRUZ"/>
    <n v="2770002827"/>
    <s v="NORMAL"/>
    <d v="2022-05-02T00:00:00"/>
    <s v="1ANOS, 3MESES"/>
    <n v="1.2833333333333334"/>
    <s v="01 A 03 ANOS"/>
    <s v="AGENTE DE COLETA"/>
    <s v="COLETA DOMICILIAR"/>
    <s v="DIURNO"/>
    <s v="ANA CAROLINA"/>
    <x v="0"/>
    <d v="2023-08-07T00:00:00"/>
    <s v="AGOSTO"/>
    <d v="2023-08-07T00:00:00"/>
    <s v="ago/2023"/>
    <s v="AGOSTO"/>
    <n v="2023"/>
    <d v="2023-08-07T00:00:00"/>
    <s v="FALTA"/>
    <s v="FALTA INJUSTIFICADA EM 06/08/2023."/>
  </r>
  <r>
    <n v="207"/>
    <s v="JARDEL ALHO PINHEIRO"/>
    <n v="2770003126"/>
    <s v="NORMAL"/>
    <d v="2023-04-06T00:00:00"/>
    <s v="0ANOS, 4MESES"/>
    <n v="0.33888888888888891"/>
    <s v="0 A 01 ANO"/>
    <s v="AGENTE DE COLETA"/>
    <s v="COLETA DOMICILIAR"/>
    <s v="DIURNO"/>
    <s v="ANA CAROLINA"/>
    <x v="0"/>
    <d v="2023-08-06T00:00:00"/>
    <s v="AGOSTO"/>
    <d v="2023-08-07T00:00:00"/>
    <s v="ago/2023"/>
    <s v="AGOSTO"/>
    <n v="2023"/>
    <d v="2023-08-07T00:00:00"/>
    <s v="FALTA"/>
    <s v="FALTA INJUSTIFICADA EM 06/08/2023."/>
  </r>
  <r>
    <n v="208"/>
    <s v="RAYNAN BRUNO SILVA FERREIRA"/>
    <n v="2770003053"/>
    <s v="NORMAL"/>
    <d v="2023-01-12T00:00:00"/>
    <s v="0ANOS, 6MESES"/>
    <n v="0.56944444444444442"/>
    <s v="0 A 01 ANO"/>
    <s v="AGENTE DE COLETA"/>
    <s v="COLETA DOMICILIAR"/>
    <s v="DIURNO"/>
    <s v="ANA CAROLINA"/>
    <x v="0"/>
    <d v="2023-08-05T00:00:00"/>
    <s v="AGOSTO"/>
    <d v="2023-08-07T00:00:00"/>
    <s v="ago/2023"/>
    <s v="AGOSTO"/>
    <n v="2023"/>
    <d v="2023-08-07T00:00:00"/>
    <s v="FALTA"/>
    <s v="FALTA INJUSTIFICADA EM 05/08/2023."/>
  </r>
  <r>
    <n v="209"/>
    <s v="RUAN PEREIRA MACEDO"/>
    <n v="2770002916"/>
    <s v="NORMAL"/>
    <d v="2022-09-01T00:00:00"/>
    <s v="0ANOS, 11MESES"/>
    <n v="0.94444444444444442"/>
    <s v="0 A 01 ANO"/>
    <s v="AGENTE DE COLETA"/>
    <s v="COLETA DOMICILIAR"/>
    <s v="DIURNO"/>
    <s v="ANA CAROLINA"/>
    <x v="0"/>
    <d v="2023-08-07T00:00:00"/>
    <s v="AGOSTO"/>
    <d v="2023-08-07T00:00:00"/>
    <s v="ago/2023"/>
    <s v="AGOSTO"/>
    <n v="2023"/>
    <d v="2023-08-07T00:00:00"/>
    <s v="ATRASO"/>
    <s v="COLABORADOR FALTOU NA DATA DE HOJE AS 06:39H, ALEGA QUE PERDEU A HORA."/>
  </r>
  <r>
    <n v="210"/>
    <s v="ALESSANDRO BRITO AMORIM"/>
    <n v="2770002978"/>
    <s v="NORMAL"/>
    <d v="2022-11-03T00:00:00"/>
    <s v="0ANOS, 9MESES"/>
    <n v="0.76666666666666672"/>
    <s v="0 A 01 ANO"/>
    <s v="AGENTE DE COLETA"/>
    <s v="COLETA DOMICILIAR"/>
    <s v="NOTURNO"/>
    <s v="JOÃO PEDRO"/>
    <x v="1"/>
    <d v="2023-08-06T00:00:00"/>
    <s v="AGOSTO"/>
    <d v="2023-08-07T00:00:00"/>
    <s v="ago/2023"/>
    <s v="AGOSTO"/>
    <n v="2023"/>
    <d v="2023-08-08T00:00:00"/>
    <s v="FALTA"/>
    <s v="O COLABORADOR FALTOU NO DIA 06/08 E NÃO APRESENTOU NENHUMA JUSTIFICATIVA."/>
  </r>
  <r>
    <n v="211"/>
    <s v="EDUARDO SILVA DE OLIVEIRA"/>
    <n v="2770003044"/>
    <s v="PARCIAL"/>
    <d v="2022-12-07T00:00:00"/>
    <s v="0ANOS, 7MESES"/>
    <n v="0.67222222222222228"/>
    <s v="0 A 01 ANO"/>
    <s v="AGENTE DE COLETA"/>
    <s v="COLETA DOMICILIAR"/>
    <s v="NOTURNO"/>
    <s v="JOÃO PEDRO"/>
    <x v="0"/>
    <d v="2023-08-06T00:00:00"/>
    <s v="AGOSTO"/>
    <d v="2023-08-07T00:00:00"/>
    <s v="ago/2023"/>
    <s v="AGOSTO"/>
    <n v="2023"/>
    <s v="08/08/20236"/>
    <s v="FALTA"/>
    <s v="O COLABORADOR FALTOU NO DIA 05/08 E 06/08 E NÃO APRESENTOU NENHUMA JUSTIFICATIVA."/>
  </r>
  <r>
    <n v="212"/>
    <s v="RAMAYSSA DE SOUZA LIMA"/>
    <n v="2770002720"/>
    <s v="APRENDIZAGEM"/>
    <d v="2021-11-18T00:00:00"/>
    <s v="1ANOS, 8MESES"/>
    <n v="1.7472222222222222"/>
    <s v="01 A 03 ANOS"/>
    <s v="JOVEM APRENDIZ"/>
    <s v="MANUTENÇÃO"/>
    <s v="INTERMEDIÁRIO"/>
    <s v="TADEU PINTO"/>
    <x v="0"/>
    <d v="2023-08-09T00:00:00"/>
    <s v="AGOSTO"/>
    <d v="2023-08-09T00:00:00"/>
    <s v="ago/2023"/>
    <s v="AGOSTO"/>
    <n v="2023"/>
    <d v="2023-08-09T00:00:00"/>
    <s v="QUEBRA DE PROCEDIMENTO"/>
    <s v="NÃO REALIZOU O PREENCHIMENTO DOS RELATÓRIOS DA GESTÃO DE PNEUS NO SISTEMA E NÃO COMUNICOU SEUS SUPERIORES IMEDIATOS. ASSIM PREJUDICANDO O BOM FUNCIONAMENTO DESTA EMPRESA."/>
  </r>
  <r>
    <n v="213"/>
    <s v="ITALO DE OLIVEIRA SEIXAS"/>
    <n v="2770003110"/>
    <s v="NORMAL"/>
    <d v="2023-03-16T00:00:00"/>
    <s v="0ANOS, 4MESES"/>
    <n v="0.40555555555555556"/>
    <s v="0 A 01 ANO"/>
    <s v="AGENTE DE COLETA"/>
    <s v="COLETA DOMICILIAR"/>
    <s v="DIURNO"/>
    <s v="ANA CAROLINA"/>
    <x v="0"/>
    <d v="2023-08-09T00:00:00"/>
    <s v="AGOSTO"/>
    <d v="2023-08-09T00:00:00"/>
    <s v="ago/2023"/>
    <s v="AGOSTO"/>
    <n v="2023"/>
    <d v="2023-08-09T00:00:00"/>
    <s v="ATRASO"/>
    <s v="AGENTE DE COLETA CHEGOU ATRASADO NO DIA 09/08 AS 06:28."/>
  </r>
  <r>
    <n v="214"/>
    <s v="CARLOS ALBERTO PERES DE OLIVEIRA"/>
    <n v="2770003011"/>
    <s v="NORMAL"/>
    <d v="2022-12-01T00:00:00"/>
    <s v="0ANOS, 8MESES"/>
    <n v="0.7"/>
    <s v="0 A 01 ANO"/>
    <s v="AGENTE DE COLETA"/>
    <s v="COLETA DOMICILIAR"/>
    <s v="DIURNO"/>
    <s v="ELISANGELA ROCHA"/>
    <x v="1"/>
    <d v="2023-08-10T00:00:00"/>
    <s v="AGOSTO"/>
    <d v="2023-08-10T00:00:00"/>
    <s v="ago/2023"/>
    <s v="AGOSTO"/>
    <n v="2023"/>
    <d v="2023-08-10T00:00:00"/>
    <s v="QUEBRA DE PROCEDIMENTO"/>
    <s v="NO DIA 10/08/2023 NA ROTA 127 O COLABORADOR FOI ABORDADO PELO FISCAL E ANALISTA DE OPERAÇÕES REALIZANDO ARRUMAÇÃO NO ROTEIRO, MESMO RECEBENDO A RECICLAGEM DO TREINAMENTO OPERACIONAL REALIZADO NO MESMO DIA."/>
  </r>
  <r>
    <n v="215"/>
    <s v="JOSENI VIEIRA DE MEIRELES"/>
    <n v="2770003010"/>
    <s v="NORMAL"/>
    <d v="2022-12-01T00:00:00"/>
    <s v="0ANOS, 8MESES"/>
    <n v="0.69722222222222219"/>
    <s v="0 A 01 ANO"/>
    <s v="AGENTE DE COLETA"/>
    <s v="COLETA DOMICILIAR"/>
    <s v="DIURNO"/>
    <s v="ELISANGELA ROCHA"/>
    <x v="1"/>
    <d v="2023-08-09T00:00:00"/>
    <s v="AGOSTO"/>
    <d v="2023-08-10T00:00:00"/>
    <s v="ago/2023"/>
    <s v="AGOSTO"/>
    <n v="2023"/>
    <d v="2023-08-11T00:00:00"/>
    <s v="QUEBRA DE PROCEDIMENTO"/>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6"/>
    <s v="RONDINELES MOREIRA LEITE"/>
    <n v="2770000343"/>
    <s v="NORMAL"/>
    <d v="2013-02-08T00:00:00"/>
    <s v="10ANOS, 6MESES"/>
    <n v="10.65"/>
    <s v="MAIS DE 5 ANOS"/>
    <s v="AGENTE DE COLETA"/>
    <s v="COLETA DOMICILIAR"/>
    <s v="DIURNO"/>
    <s v="ELISANGELA ROCHA"/>
    <x v="1"/>
    <d v="2023-08-09T00:00:00"/>
    <s v="AGOSTO"/>
    <d v="2023-08-11T00:00:00"/>
    <s v="ago/2023"/>
    <s v="AGOSTO"/>
    <n v="2023"/>
    <d v="2023-08-11T00:00:00"/>
    <s v="QUEBRA DE PROCEDIMENTO"/>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7"/>
    <s v="LUIZ FERNANDO MENDES VIANA"/>
    <n v="2770003038"/>
    <s v="NORMAL"/>
    <d v="2023-03-08T00:00:00"/>
    <s v="0ANOS, 5MESES"/>
    <n v="0.43333333333333335"/>
    <s v="0 A 01 ANO"/>
    <s v="AGENTE DE COLETA"/>
    <s v="COLETA DOMICILIAR"/>
    <s v="DIURNO"/>
    <s v="ANA CAROLINA"/>
    <x v="0"/>
    <d v="2023-08-11T00:00:00"/>
    <s v="AGOSTO"/>
    <d v="2023-08-11T00:00:00"/>
    <s v="ago/2023"/>
    <s v="AGOSTO"/>
    <n v="2023"/>
    <d v="2023-08-11T00:00:00"/>
    <s v="ATRASO"/>
    <s v="COLABORADOR CHEGOU ATRASADO NA DATA DE HOJE, AS 06:28H, ALEGA QUE FOI ACOMPANHAR O FILHO PARA TOMAR VACINA."/>
  </r>
  <r>
    <n v="218"/>
    <s v="ITALO DE OLIVEIRA SEIXAS"/>
    <n v="2770003110"/>
    <s v="NORMAL"/>
    <d v="2023-03-16T00:00:00"/>
    <s v="0ANOS, 4MESES"/>
    <n v="0.40555555555555556"/>
    <s v="0 A 01 ANO"/>
    <s v="AGENTE DE COLETA"/>
    <s v="COLETA DOMICILIAR"/>
    <s v="DIURNO"/>
    <s v="ELISANGELA ROCHA"/>
    <x v="0"/>
    <d v="2023-08-09T00:00:00"/>
    <s v="AGOSTO"/>
    <d v="2023-08-11T00:00:00"/>
    <s v="ago/2023"/>
    <s v="AGOSTO"/>
    <n v="2023"/>
    <d v="2023-08-11T00:00:00"/>
    <s v="QUEBRA DE PROCEDIMENTO"/>
    <s v="NO DIA 09/08/2023 POR VOLTA DAS 14:55, HOUVE UM SINISTRO ENVOLVENDO O VEÍCULO DA EMPRESA, PREFIXO 735 E UM TERCEIRO, ONDE TEVE UMA COLISÃO TRASEIRA, NO QUAL O NOSSO VEÍCULO QUE COLIDIU NA TRASEIRA. CONFORME PROCEDIMENTO TODOS OS ENVOLVIDOS DEVEM GUARDAR A FISCALIZAÇÃO PARA A APURAÇÃO. O MESMO DEIXOU O LOCAL SEM AUTORIZAÇÃO E SEM DEVIDO ATENDIMENTO."/>
  </r>
  <r>
    <n v="219"/>
    <s v="PEDRO SERGIO DE SOUZA CHAVES"/>
    <n v="2770002709"/>
    <s v="NORMAL"/>
    <d v="2021-11-18T00:00:00"/>
    <s v="1ANOS, 8MESES"/>
    <n v="1.7527777777777778"/>
    <s v="01 A 03 ANOS"/>
    <s v="AGENTE DE COLETA"/>
    <s v="COLETA DOMICILIAR"/>
    <s v="DIURNO"/>
    <s v="ELISANGELA ROCHA"/>
    <x v="0"/>
    <d v="2023-08-11T00:00:00"/>
    <s v="AGOSTO"/>
    <d v="2023-08-11T00:00:00"/>
    <s v="ago/2023"/>
    <s v="AGOSTO"/>
    <n v="2023"/>
    <d v="2023-08-11T00:00:00"/>
    <s v="QUEBRA DE PROCEDIMENTO"/>
    <s v="NO DIA 11/08/2023 O COLABORADOR FOI ABORDADO PELO FISCAL E ANALISTA DE OPERAÇÕES REALIZANDO ARRUMAÇÕES NO ROTEIRO."/>
  </r>
  <r>
    <n v="220"/>
    <s v="IZAQUE SOUZA FURTADO"/>
    <n v="2770003152"/>
    <s v="NORMAL"/>
    <d v="2023-05-17T00:00:00"/>
    <s v="0ANOS, 2MESES"/>
    <n v="0.2388888888888889"/>
    <s v="0 A 01 ANO"/>
    <s v="AGENTE DE COLETA"/>
    <s v="COLETA DOMICILIAR"/>
    <s v="DIURNO"/>
    <s v="ELISANGELA ROCHA"/>
    <x v="0"/>
    <d v="2023-08-11T00:00:00"/>
    <s v="AGOSTO"/>
    <d v="2023-08-11T00:00:00"/>
    <s v="ago/2023"/>
    <s v="AGOSTO"/>
    <n v="2023"/>
    <d v="2023-08-11T00:00:00"/>
    <s v="QUEBRA DE PROCEDIMENTO"/>
    <s v="NO DIA 11/08/2023 O COLABORADOR FOI ABORDADO PELO FISCAL E ANALISTA DE OPERAÇÕES REALIZANDO ARRUMAÇÕES NO ROTEIRO."/>
  </r>
  <r>
    <n v="221"/>
    <s v="JUAN CARLOS LIMA GUTIERREZ"/>
    <n v="2770002951"/>
    <s v="NORMAL"/>
    <d v="2022-10-03T00:00:00"/>
    <s v="0ANOS, 10MESES"/>
    <n v="0.8666666666666667"/>
    <s v="0 A 01 ANO"/>
    <s v="AGENTE DE COLETA"/>
    <s v="COLETA DOMICILIAR"/>
    <s v="DIURNO"/>
    <s v="ANA CAROLINA"/>
    <x v="1"/>
    <d v="2023-08-11T00:00:00"/>
    <s v="AGOSTO"/>
    <d v="2023-08-12T00:00:00"/>
    <s v="ago/2023"/>
    <s v="AGOSTO"/>
    <n v="2023"/>
    <d v="2023-08-13T00:00:00"/>
    <s v="FALTA"/>
    <s v="O COLABORADOR FALTOU NOS DIAS 09/08, 10/08 E 11/08, O MESMO INFORMOU QUE TEM DOIS FILHOS E UM DELES SE ENCONTRAVA HOSPITALIZADO, ELE PRECISOU FICAR EM CASA PARA CUIDAR DO MAIS NOVO, ENQUANTO SUA ESPOSA FICA NO HOSPITAL, POR ESSE MOTIVO NÃO APRESENTOU NENHUMA JUSTIFICATIVA."/>
  </r>
  <r>
    <n v="222"/>
    <s v="ANTONIO MARCOS TAMAIO DA SILVA"/>
    <n v="2770002995"/>
    <s v="NORMAL"/>
    <d v="2022-11-03T00:00:00"/>
    <s v="0ANOS, 9MESES"/>
    <n v="0.78333333333333333"/>
    <s v="0 A 01 ANO"/>
    <s v="AGENTE DE COLETA"/>
    <s v="COLETA DOMICILIAR"/>
    <s v="DIURNO"/>
    <s v="ANA CAROLINA"/>
    <x v="0"/>
    <d v="2023-08-12T00:00:00"/>
    <s v="AGOSTO"/>
    <d v="2023-08-12T00:00:00"/>
    <s v="ago/2023"/>
    <s v="AGOSTO"/>
    <n v="2023"/>
    <d v="2023-08-12T00:00:00"/>
    <s v="QUEBRA DE PROCEDIMENTO"/>
    <s v="NO DIA 12/08 O COLABORADOR FOI ABORDADO PELO FISCAL E ANALISTA DE OPERAÇÕES NA ROTA 125 FAZENDO ARRUMAÇÃO NO ROTEIRO."/>
  </r>
  <r>
    <n v="223"/>
    <s v="THIAGO MAR DE AS"/>
    <n v="2770002885"/>
    <s v="NORMAL"/>
    <d v="2022-06-15T00:00:00"/>
    <s v="1ANOS, 1MESES"/>
    <n v="1.175"/>
    <s v="01 A 03 ANOS"/>
    <s v="AGENTE DE COLETA"/>
    <s v="COLETA DOMICILIAR"/>
    <s v="DIURNO"/>
    <s v="ELISANGELA ROCHA"/>
    <x v="0"/>
    <d v="2023-08-12T00:00:00"/>
    <s v="AGOSTO"/>
    <d v="2023-08-12T00:00:00"/>
    <s v="ago/2023"/>
    <s v="AGOSTO"/>
    <n v="2023"/>
    <d v="2023-08-12T00:00:00"/>
    <s v="QUEBRA DE PROCEDIMENTO"/>
    <s v="NO DIA 12/08 O COLABORADOR FOI ABORDADO PELO FISCAL E ANALISTA DE OPERAÇÕES NA ROTA 125 FAZENDO ARRUMAÇÃO NO ROTEIRO."/>
  </r>
  <r>
    <n v="224"/>
    <s v="DIEGO DE SOUZA PINHEIRO"/>
    <n v="2770002252"/>
    <s v="NORMAL"/>
    <d v="2020-05-04T00:00:00"/>
    <s v="3ANOS, 3MESES"/>
    <n v="3.3194444444444446"/>
    <s v="03 A 05 ANOS"/>
    <s v="AGENTE DE COLETA"/>
    <s v="COLETA DOMICILIAR"/>
    <s v="DIURNO"/>
    <s v="ELISANGELA ROCHA"/>
    <x v="0"/>
    <d v="2023-08-12T00:00:00"/>
    <s v="AGOSTO"/>
    <d v="2023-08-12T00:00:00"/>
    <s v="ago/2023"/>
    <s v="AGOSTO"/>
    <n v="2023"/>
    <d v="2023-08-12T00:00:00"/>
    <s v="QUEBRA DE PROCEDIMENTO"/>
    <s v="NO DIA 12/08 O COLABORADOR FOI ABORDADO PELO FISCAL E ANALISTA DE OPERAÇÕES NA ROTA 125 FAZENDO ARRUMAÇÃO NO ROTEIRO."/>
  </r>
  <r>
    <n v="225"/>
    <s v="JANDERSON PARENTE DA CRUZ"/>
    <n v="2770002895"/>
    <s v="NORMAL"/>
    <d v="2022-08-12T00:00:00"/>
    <s v="1ANOS, 0MESES"/>
    <n v="1.0138888888888888"/>
    <s v="01 A 03 ANOS"/>
    <s v="AGENTE DE COLETA"/>
    <s v="COLETA DOMICILIAR"/>
    <s v="DIURNO"/>
    <s v="ELISANGELA ROCHA"/>
    <x v="0"/>
    <d v="2023-08-12T00:00:00"/>
    <s v="AGOSTO"/>
    <d v="2023-08-12T00:00:00"/>
    <s v="ago/2023"/>
    <s v="AGOSTO"/>
    <n v="2023"/>
    <d v="2023-08-12T00:00:00"/>
    <s v="ATRASO"/>
    <s v="NO DIA 12/08 O COLABORADOR CHEGOU ATRASADO, REGISTRANDO O PONTO AS 07:12, INFORMOU QUE O CELULAR NÃO DESPERTOU."/>
  </r>
  <r>
    <n v="226"/>
    <s v="LEVI WESLLEY ARAUJO DA COSTA"/>
    <n v="2770002901"/>
    <s v="NORMAL"/>
    <d v="2022-10-03T00:00:00"/>
    <s v="0ANOS, 10MESES"/>
    <n v="0.87222222222222223"/>
    <s v="0 A 01 ANO"/>
    <s v="MOTORISTA"/>
    <s v="COLETA DOMICILIAR"/>
    <s v="DIURNO"/>
    <s v="ANA CAROLINA"/>
    <x v="0"/>
    <d v="2023-08-13T00:00:00"/>
    <s v="AGOSTO"/>
    <d v="2023-08-14T00:00:00"/>
    <s v="ago/2023"/>
    <s v="AGOSTO"/>
    <n v="2023"/>
    <d v="2023-08-14T00:00:00"/>
    <s v="QUEBRA DE PROCEDIMENTO"/>
    <s v="COLABORADOR REALIZANDO A ROTA 90.1.158 NA DATA DE ONTEM 13/08, ACABOU A MANOBRA DE RÉ BATENDO NA LIXEIRA DE CONCRETO QUE FICA LICALIZADA NA RUA CALIFORNIA - NOVA VITORIA, DANIFICANDO A MESMA. COLABORADOR NÃO INFORMOU A EMPRESA DO OCORRIDO."/>
  </r>
  <r>
    <n v="227"/>
    <s v="JACKSON DOS SANTOS REIS "/>
    <n v="2770003115"/>
    <s v="NORMAL"/>
    <d v="2023-03-16T00:00:00"/>
    <s v="0ANOS, 4MESES"/>
    <n v="0.41388888888888886"/>
    <s v="0 A 01 ANO"/>
    <s v="AGENTE DE COLETA"/>
    <s v="COLETA DOMICILIAR"/>
    <s v="NOTURNO"/>
    <s v="JOÃO PEDRO"/>
    <x v="0"/>
    <d v="2023-08-12T00:00:00"/>
    <s v="AGOSTO"/>
    <d v="2023-08-14T00:00:00"/>
    <s v="ago/2023"/>
    <s v="AGOSTO"/>
    <n v="2023"/>
    <d v="2023-08-14T00:00:00"/>
    <s v="FALTA"/>
    <s v="O COLABORADOR FALTOU NO DIA 12/08/2023 E NÃO APRESENTOU NENHUMA JUSTIFICATIVA."/>
  </r>
  <r>
    <n v="228"/>
    <s v="EDUARDO SILVA DE OLIVEIRA"/>
    <n v="2770003044"/>
    <s v="NORMAL"/>
    <d v="2022-12-07T00:00:00"/>
    <s v="0ANOS, 8MESES"/>
    <n v="0.68888888888888888"/>
    <s v="0 A 01 ANO"/>
    <s v="AGENTE DE COLETA"/>
    <s v="COLETA DOMICILIAR"/>
    <s v="NOTURNO"/>
    <s v="JOÃO PEDRO"/>
    <x v="1"/>
    <d v="2023-08-12T00:00:00"/>
    <s v="AGOSTO"/>
    <d v="2023-08-14T00:00:00"/>
    <s v="ago/2023"/>
    <s v="AGOSTO"/>
    <n v="2023"/>
    <d v="2023-08-17T00:00:00"/>
    <s v="FALTA"/>
    <s v="O COLABORADOR FALTOU NO DIA 12/08 E NÃO APRESENTOU NENHUMA JUSTIFICATIVA."/>
  </r>
  <r>
    <n v="229"/>
    <s v="MARCOS ALMEIDA FURTUOZO"/>
    <n v="2770002271"/>
    <s v="NORMAL"/>
    <d v="2020-06-01T00:00:00"/>
    <s v="3ANOS, 2MESES"/>
    <n v="3.2361111111111112"/>
    <s v="03 A 05 ANOS"/>
    <s v="MOTORISTA"/>
    <s v="COLETA DOMICILIAR"/>
    <s v="NOTURNO"/>
    <s v="JOÃO PEDRO"/>
    <x v="0"/>
    <d v="2023-08-10T00:00:00"/>
    <s v="AGOSTO"/>
    <d v="2023-08-14T00:00:00"/>
    <s v="ago/2023"/>
    <s v="AGOSTO"/>
    <n v="2023"/>
    <d v="2023-08-14T00:00:00"/>
    <s v="EXCESSO DE VELOCIDADE"/>
    <s v="EM 10/08 AS 22:12, MOTORISTA EXCEDEU O LIMITE DE VELOCIDADE ATINGINDO 73 KM/H."/>
  </r>
  <r>
    <n v="230"/>
    <s v="EUDES DA SILVA PINTO "/>
    <n v="2770002271"/>
    <s v="NORMAL"/>
    <d v="2020-06-01T00:00:00"/>
    <s v="3ANOS, 2MESES"/>
    <n v="3.2361111111111112"/>
    <s v="03 A 05 ANOS"/>
    <s v="MOTORISTA"/>
    <s v="COLETA DOMICILIAR"/>
    <s v="NOTURNO"/>
    <s v="JOÃO PEDRO"/>
    <x v="0"/>
    <d v="2023-08-10T00:00:00"/>
    <s v="AGOSTO"/>
    <d v="2023-08-14T00:00:00"/>
    <s v="ago/2023"/>
    <s v="AGOSTO"/>
    <n v="2023"/>
    <d v="2023-08-10T00:00:00"/>
    <s v="EXCESSO DE VELOCIDADE"/>
    <s v="EM 14/08/2023 AS 23:24, O MOTORISTA EXCEDEU A VELOCIDADE ATINGINDO 72 KM/H."/>
  </r>
  <r>
    <n v="231"/>
    <s v="GABRIEL SOUZA DA SILVA"/>
    <n v="2770002994"/>
    <s v="NORMAL"/>
    <d v="2022-11-03T00:00:00"/>
    <s v="0ANOS, 9MESES"/>
    <n v="0.79166666666666663"/>
    <s v="0 A 01 ANO"/>
    <s v="AGENTE DE COLETA"/>
    <s v="COLETA DOMICILIAR"/>
    <s v="DIURNO"/>
    <s v="ANA CAROLINA"/>
    <x v="0"/>
    <d v="2023-08-15T00:00:00"/>
    <s v="AGOSTO"/>
    <d v="2023-08-15T00:00:00"/>
    <s v="ago/2023"/>
    <s v="AGOSTO"/>
    <n v="2023"/>
    <d v="2023-08-15T00:00:00"/>
    <s v="QUEBRA DE PROCEDIMENTO"/>
    <s v="DURAANTE A FISCALIZAÇÃO DO ANALISTA DE OPERAÇÕES NO DIA 15/08/2023 NA ROTA 90.1.127 O COLABORADOR FOI PEGO FAZENDO ARRUMAÇÃO DE LIXO NO SETOR."/>
  </r>
  <r>
    <n v="232"/>
    <s v="LUCAS PINHEIRO LOPES"/>
    <n v="2770002873"/>
    <s v="NORMAL"/>
    <d v="2022-11-01T00:00:00"/>
    <s v="0ANOS, 9MESES"/>
    <n v="0.79722222222222228"/>
    <s v="0 A 01 ANO"/>
    <s v="AGENTE DE COLETA"/>
    <s v="COLETA DOMICILIAR"/>
    <s v="NOTURNO"/>
    <s v="JOÃO PEDRO"/>
    <x v="0"/>
    <d v="2023-08-15T00:00:00"/>
    <s v="AGOSTO"/>
    <d v="2023-08-16T00:00:00"/>
    <s v="ago/2023"/>
    <s v="AGOSTO"/>
    <n v="2023"/>
    <d v="2023-08-17T00:00:00"/>
    <s v="FALTA"/>
    <s v="COLABORADOR FALTOU NOS DIAS 15/08 E 16/08 E NÃO APRESENTOU NENHUMA JUSTIFICATIVA."/>
  </r>
  <r>
    <n v="233"/>
    <s v="WANDERSON LIMA DA PALMA"/>
    <n v="2770002861"/>
    <s v="NORMAL"/>
    <d v="2022-05-16T00:00:00"/>
    <s v="1ANOS, 3MESES"/>
    <n v="1.2694444444444444"/>
    <s v="01 A 03 ANOS"/>
    <s v="AGENTE DE COLETA"/>
    <s v="COLETA DOMICILIAR"/>
    <s v="NOTURNO"/>
    <s v="JOÃO PEDRO"/>
    <x v="0"/>
    <d v="2023-08-16T00:00:00"/>
    <s v="AGOSTO"/>
    <d v="2023-08-16T00:00:00"/>
    <s v="ago/2023"/>
    <s v="AGOSTO"/>
    <n v="2023"/>
    <d v="2023-08-16T00:00:00"/>
    <s v="ATRASO"/>
    <s v="COLABORADOR CHEGOU ATRASADO NOS DIAS 11/08, 12/08, 14/08 E 16/08."/>
  </r>
  <r>
    <n v="234"/>
    <s v="BRUNO VIEIRA FERREIRA"/>
    <n v="2770002916"/>
    <s v="PARCIAL"/>
    <d v="2022-09-01T00:00:00"/>
    <s v="0ANOS, 11MESES"/>
    <n v="0.97777777777777775"/>
    <s v="0 A 01 ANO"/>
    <s v="AGENTE DE COLETA"/>
    <s v="COLETA DOMICILIAR"/>
    <s v="NOTURNO"/>
    <s v="JOÃO PEDRO"/>
    <x v="0"/>
    <d v="2023-08-19T00:00:00"/>
    <s v="AGOSTO"/>
    <d v="2023-08-19T00:00:00"/>
    <s v="ago/2023"/>
    <s v="AGOSTO"/>
    <n v="2023"/>
    <d v="2023-08-19T00:00:00"/>
    <s v="QUEBRA DE PROCEDIMENTO"/>
    <s v="COLABORADOR FALTOU EM 19/08 E NÃO APRESENTOU NENHUMA JUSTIFICATIVA."/>
  </r>
  <r>
    <n v="235"/>
    <s v="RUAN PEREIRA MACEDO"/>
    <n v="2770002916"/>
    <s v="NORMAL"/>
    <d v="2022-09-01T00:00:00"/>
    <s v="0ANOS, 11MESES"/>
    <n v="0.97777777777777775"/>
    <s v="0 A 01 ANO"/>
    <s v="AGENTE DE COLETA"/>
    <s v="COLETA DOMICILIAR"/>
    <s v="DIURNO"/>
    <s v="ELISANGELA ROCHA"/>
    <x v="0"/>
    <d v="2023-08-19T00:00:00"/>
    <s v="AGOSTO"/>
    <d v="2023-08-19T00:00:00"/>
    <s v="ago/2023"/>
    <s v="AGOSTO"/>
    <n v="2023"/>
    <d v="2023-08-19T00:00:00"/>
    <s v="ATRASO"/>
    <s v="O COLABORADOR NO DIA 19/08 CHEGOU ATRASADO REGISTRANDO O PONTO AS 06:35."/>
  </r>
  <r>
    <n v="236"/>
    <s v="JOSE FRANCISCO RODRIGUES DA SILVA"/>
    <n v="2770002746"/>
    <s v="NORMAL"/>
    <d v="2021-01-06T00:00:00"/>
    <s v="2ANOS, 7MESES"/>
    <n v="2.6583333333333332"/>
    <s v="01 A 03 ANOS"/>
    <s v="PEDREIRO"/>
    <s v="ADMINISTRATIVO"/>
    <s v="DIURNO"/>
    <s v="ALESSANDRA LIMA"/>
    <x v="0"/>
    <d v="2023-08-21T00:00:00"/>
    <s v="AGOSTO"/>
    <d v="2023-08-21T00:00:00"/>
    <s v="ago/2023"/>
    <s v="AGOSTO"/>
    <n v="2023"/>
    <d v="2023-08-21T00:00:00"/>
    <s v="QUEBRA DE PROCEDIMENTO"/>
    <s v="COLABORADOR ESTAVA JOGANDO SINUCA EM SEU HORÁRIO DE TRABALHO."/>
  </r>
  <r>
    <n v="237"/>
    <s v="DANILO CUNHA DOS SANTOS"/>
    <n v="2770002792"/>
    <s v="NORMAL"/>
    <d v="2022-03-07T00:00:00"/>
    <s v="1ANOS, 5MESES"/>
    <n v="1.4750000000000001"/>
    <s v="01 A 03 ANOS"/>
    <s v="AGENTE DE COLETA"/>
    <s v="COLETA DOMICILIAR"/>
    <s v="DIURNO"/>
    <s v="ELISANGELA ROCHA"/>
    <x v="0"/>
    <d v="2023-08-20T00:00:00"/>
    <s v="AGOSTO"/>
    <d v="2023-08-21T00:00:00"/>
    <s v="ago/2023"/>
    <s v="AGOSTO"/>
    <n v="2023"/>
    <d v="2023-08-21T00:00:00"/>
    <s v="FALTA"/>
    <s v="O COLABORADOR FALTOU NO DIA 20/08 INFORMOU QUE ESTAVA COM DOR DE CABEÇA, PORÉM NÃO BUSCOU ATENDIMENTO."/>
  </r>
  <r>
    <n v="238"/>
    <s v="DEUSTEVAN CARNEIRO DA SILVA"/>
    <n v="2770000036"/>
    <s v="NORMAL"/>
    <d v="2013-02-08T00:00:00"/>
    <s v="10ANOS, 6MESES"/>
    <n v="10.672222222222222"/>
    <s v="MAIS DE 5 ANOS"/>
    <s v="MOTORISTA"/>
    <s v="COLETA DOMICILIAR"/>
    <s v="DIURNO"/>
    <s v="ELISANGELA ROCHA"/>
    <x v="0"/>
    <d v="2023-08-17T00:00:00"/>
    <s v="AGOSTO"/>
    <d v="2023-08-21T00:00:00"/>
    <s v="ago/2023"/>
    <s v="AGOSTO"/>
    <n v="2023"/>
    <d v="2023-08-21T00:00:00"/>
    <s v="EXCESSO DE VELOCIDADE"/>
    <s v="O COLABORADOR EXCEDEU A VELOCIDADE PERMITIDA DE 70KM NO DIA 17/08 AS 08:30, CHEGANDO A 71 KM."/>
  </r>
  <r>
    <n v="239"/>
    <s v="HELINTON KITSINGER PARMELO"/>
    <n v="2770002997"/>
    <s v="NORMAL"/>
    <d v="2022-11-03T00:00:00"/>
    <s v="0ANOS, 9MESES"/>
    <n v="0.81111111111111112"/>
    <s v="0 A 01 ANO"/>
    <s v="AGENTE DE COLETA"/>
    <s v="COLETA DOMICILIAR"/>
    <s v="DIURNO"/>
    <s v="ELISANGELA ROCHA"/>
    <x v="0"/>
    <d v="2023-08-22T00:00:00"/>
    <s v="AGOSTO"/>
    <d v="2023-08-22T00:00:00"/>
    <s v="ago/2023"/>
    <s v="AGOSTO"/>
    <n v="2023"/>
    <d v="2023-08-22T00:00:00"/>
    <s v="ATRASO"/>
    <s v="NO DIA 22/08 O COLABORADOR CHEGOU ATRASADO, REGISTRANDO O PONTO AS 06:52, O MESMO INFORMOU QUE O DESPERTADOR NÃO TOCOU."/>
  </r>
  <r>
    <n v="240"/>
    <s v="EZEQUIEL VASCONCELOS DA CRUZ"/>
    <n v="2770002920"/>
    <s v="NORMAL"/>
    <d v="2022-09-01T00:00:00"/>
    <s v="0ANOS, 11MESES"/>
    <n v="0.98333333333333328"/>
    <s v="0 A 01 ANO"/>
    <s v="AGENTE DE COLETA"/>
    <s v="COLETA DOMICILIAR"/>
    <s v="DIURNO"/>
    <s v="ELISANGELA ROCHA"/>
    <x v="0"/>
    <d v="2023-08-21T00:00:00"/>
    <s v="AGOSTO"/>
    <d v="2023-08-22T00:00:00"/>
    <s v="ago/2023"/>
    <s v="AGOSTO"/>
    <n v="2023"/>
    <d v="2023-08-22T00:00:00"/>
    <s v="FALTA"/>
    <s v="O COLABORADOR TEVE UMA FALTA INJUSTIFICADA NO DIA 21/08, O MESMO INFORMOU QUE PRECISOU LEVAR SUAS FILHAS PARA ATUALIZAR O CADASTRO DO BOLSA FAMILIA."/>
  </r>
  <r>
    <n v="241"/>
    <s v="LUIZ FERNANDO MENDES VIANA"/>
    <n v="2770003038"/>
    <s v="NORMAL"/>
    <d v="2022-12-07T00:00:00"/>
    <s v="0ANOS, 8MESES"/>
    <n v="0.71944444444444444"/>
    <s v="0 A 01 ANO"/>
    <s v="AGENTE DE COLETA"/>
    <s v="COLETA DOMICILIAR"/>
    <s v="DIURNO"/>
    <s v="ANA CAROLINA"/>
    <x v="0"/>
    <d v="2023-08-23T00:00:00"/>
    <s v="AGOSTO"/>
    <d v="2023-08-24T00:00:00"/>
    <s v="ago/2023"/>
    <s v="AGOSTO"/>
    <n v="2023"/>
    <d v="2023-08-24T00:00:00"/>
    <s v="FALTA"/>
    <s v="FALTA INSJUSTIFICADA EM 23/08/2023."/>
  </r>
  <r>
    <n v="242"/>
    <s v="ANTONIO LUIS RIBEIRO ALEXANDRE"/>
    <n v="2770002929"/>
    <s v="NORMAL"/>
    <d v="2022-09-01T00:00:00"/>
    <s v="0ANOS, 11MESES"/>
    <n v="0.9916666666666667"/>
    <s v="0 A 01 ANO"/>
    <s v="AGENTE DE COLETA"/>
    <s v="COLETA DOMICILIAR"/>
    <s v="DIURNO"/>
    <s v="ELISANGELA ROCHA"/>
    <x v="0"/>
    <d v="2023-08-24T00:00:00"/>
    <s v="AGOSTO"/>
    <d v="2023-08-25T00:00:00"/>
    <s v="ago/2023"/>
    <s v="AGOSTO"/>
    <n v="2023"/>
    <d v="2023-08-25T00:00:00"/>
    <s v="FALTA"/>
    <s v="O COLABORADOR TEVE UMA FALTA INJUSTIFICADA NO DIA 24/08, O MESMO INFORMOU QUE O ALARME NÃO DESPERTOU."/>
  </r>
  <r>
    <n v="243"/>
    <s v="BRUNO RAFAEL GAMA RODRIGUES"/>
    <n v="2770003170"/>
    <s v="PARCIAL"/>
    <d v="2023-06-01T00:00:00"/>
    <s v="0ANOS, 2MESES"/>
    <n v="0.21944444444444444"/>
    <s v="0 A 01 ANO"/>
    <s v="AGENTE DE COLETA"/>
    <s v="COLETA DOMICILIAR"/>
    <s v="NOTURNO"/>
    <s v="JOÃO PEDRO"/>
    <x v="0"/>
    <d v="2023-08-19T00:00:00"/>
    <s v="AGOSTO"/>
    <d v="2023-08-25T00:00:00"/>
    <s v="ago/2023"/>
    <s v="AGOSTO"/>
    <n v="2023"/>
    <d v="2023-08-25T00:00:00"/>
    <s v="FALTA"/>
    <s v="O COLABORADOR FALTOU EM 19/08 E NÃO APRESENTOU NENHUMA JUSTIFICATIVA."/>
  </r>
  <r>
    <n v="244"/>
    <s v="FRANCISCO MAGNO DE ALMEIDA OLIVEIRA"/>
    <n v="2770002956"/>
    <s v="NORMAL"/>
    <d v="2022-10-03T00:00:00"/>
    <s v="0ANOS, 10MESES"/>
    <n v="0.90833333333333333"/>
    <s v="0 A 01 ANO"/>
    <s v="AGENTE DE COLETA"/>
    <s v="COLETA DOMICILIAR"/>
    <s v="NOTURNO"/>
    <s v="JOÃO PEDRO"/>
    <x v="1"/>
    <d v="2023-08-26T00:00:00"/>
    <s v="AGOSTO"/>
    <d v="2023-08-28T00:00:00"/>
    <s v="ago/2023"/>
    <s v="AGOSTO"/>
    <n v="2023"/>
    <d v="2023-08-31T00:00:00"/>
    <s v="FALTA"/>
    <s v="COLABORADOR FALTOU EM 26/08 E NÃO APRESENTOU NENHUMA JUSTIFICATIVA."/>
  </r>
  <r>
    <n v="245"/>
    <s v="RAYLANDER BATISTA DA SILVA"/>
    <n v="2770003122"/>
    <s v="PARCIAL"/>
    <d v="2022-04-06T00:00:00"/>
    <s v="1ANOS, 4MESES"/>
    <n v="1.4083333333333334"/>
    <s v="01 A 03 ANOS"/>
    <s v="AGENTE DE COLETA"/>
    <s v="COLETA DOMICILIAR"/>
    <s v="NOTURNO"/>
    <s v="ELISANGELA ROCHA"/>
    <x v="0"/>
    <d v="2023-08-26T00:00:00"/>
    <s v="AGOSTO"/>
    <d v="2023-08-28T00:00:00"/>
    <s v="ago/2023"/>
    <s v="AGOSTO"/>
    <n v="2023"/>
    <d v="2023-08-28T00:00:00"/>
    <s v="FALTA"/>
    <s v="O COLABORADOR FALTOU NO DIA 26/08, O MESMO INFORMOU QUE NÃO CONSEGUIU ACORDAR NO HORÁRIO PARA VIR TRABALHAR."/>
  </r>
  <r>
    <n v="246"/>
    <s v="DANIEL MACHADO DE SOUZA"/>
    <n v="2770002829"/>
    <s v="NORMAL"/>
    <d v="2022-05-02T00:00:00"/>
    <s v="1ANOS, 3MESES"/>
    <n v="1.3416666666666666"/>
    <s v="01 A 03 ANOS"/>
    <s v="AGENTE DE COLETA"/>
    <s v="COLETA DOMICILIAR"/>
    <s v="NOTURNO"/>
    <s v="JOÃO PEDRO"/>
    <x v="0"/>
    <d v="2023-08-28T00:00:00"/>
    <s v="AGOSTO"/>
    <d v="2023-08-29T00:00:00"/>
    <s v="ago/2023"/>
    <s v="AGOSTO"/>
    <n v="2023"/>
    <d v="2023-08-29T00:00:00"/>
    <s v="FALTA"/>
    <s v="COLABORADOR FALTOU NOS DIAS 26/08 E 28/08 E NÃO APRESENTOU NENHUMA JUSTIFICATIVA."/>
  </r>
  <r>
    <n v="247"/>
    <s v="DAVI FERREIRA DIAS "/>
    <n v="2770003045"/>
    <s v="NORMAL"/>
    <d v="2022-12-07T00:00:00"/>
    <s v="0ANOS, 8MESES"/>
    <n v="0.72777777777777775"/>
    <s v="0 A 01 ANO"/>
    <s v="MOTORISTA"/>
    <s v="COLETA DOMICILIAR"/>
    <s v="NOTURNO"/>
    <s v="JOÃO PEDRO"/>
    <x v="0"/>
    <d v="2023-08-26T00:00:00"/>
    <s v="AGOSTO"/>
    <d v="2023-08-30T00:00:00"/>
    <s v="ago/2023"/>
    <s v="AGOSTO"/>
    <n v="2023"/>
    <d v="2023-08-30T00:00:00"/>
    <s v="EXCESSO DE VELOCIDADE"/>
    <s v="COLABORADOR EXCEDEU A VELOCIDADE NO DIA 26/08 AS 05:41  CHEGANDO A 72 KM/H."/>
  </r>
  <r>
    <n v="248"/>
    <s v="ANTONIO LUIS RIBEIRO ALEXANDRE"/>
    <n v="2770002929"/>
    <s v="NORMAL"/>
    <d v="2022-09-01T00:00:00"/>
    <s v="0ANOS, 11MESES"/>
    <n v="1.0111111111111111"/>
    <s v="01 A 03 ANOS"/>
    <s v="AGENTE DE COLETA"/>
    <s v="COLETA DOMICILIAR"/>
    <s v="DIURNO"/>
    <s v="ELISANGELA ROCHA"/>
    <x v="1"/>
    <d v="2023-08-31T00:00:00"/>
    <s v="AGOSTO"/>
    <d v="2023-09-01T00:00:00"/>
    <s v="set/2023"/>
    <s v="SETEMBRO"/>
    <n v="2023"/>
    <d v="2023-09-02T00:00:00"/>
    <s v="FALTA"/>
    <s v="O COLABORADOR TEVE UMA FALTA NÃO JUSTIFICADA NO DIA 31/08. O MESMO INFORMOU QUE LEVOU SEU FILHO AO HOSPITAL, PORÉM, NÃO CONSEGUIU ATENDIMENTO E NÃO COMUNICOU A EMPRESA."/>
  </r>
  <r>
    <n v="249"/>
    <s v="WYGUINER PRINTIS DA CRUZ "/>
    <n v="2770003098"/>
    <s v="PARCIAL"/>
    <d v="2023-03-08T00:00:00"/>
    <s v="0ANOS, 5MESES"/>
    <n v="0.49166666666666664"/>
    <s v="0 A 01 ANO"/>
    <s v="AGENTE DE COLETA"/>
    <s v="COLETA DOMICILIAR"/>
    <s v="NOTURNO"/>
    <s v="JOÃO PEDRO"/>
    <x v="1"/>
    <d v="2023-09-01T00:00:00"/>
    <s v="SETEMBRO"/>
    <d v="2023-09-02T00:00:00"/>
    <s v="set/2023"/>
    <s v="SETEMBRO"/>
    <n v="2023"/>
    <d v="2023-09-05T00:00:00"/>
    <s v="FALTA"/>
    <s v="O COLABORADOR FALTOU NOS DIAS 19/08, 20/08, 25/08, 26/08, 27/08 E 01/09 E NÃO APRESENTOU NEHUMA JUSTIFICATIVA."/>
  </r>
  <r>
    <n v="250"/>
    <s v="BRUNO RAFAEL GAMA RODRIGUES"/>
    <n v="2770003170"/>
    <s v="PARCIAL"/>
    <d v="2023-06-01T00:00:00"/>
    <s v="0ANOS, 3MESES"/>
    <n v="0.25555555555555554"/>
    <s v="0 A 01 ANO"/>
    <s v="AGENTE DE COLETA"/>
    <s v="COLETA DOMICILIAR"/>
    <s v="NOTURNO"/>
    <s v="JOÃO PEDRO"/>
    <x v="1"/>
    <d v="2023-09-01T00:00:00"/>
    <s v="SETEMBRO"/>
    <d v="2023-09-02T00:00:00"/>
    <s v="set/2023"/>
    <s v="SETEMBRO"/>
    <n v="2023"/>
    <d v="2023-09-03T00:00:00"/>
    <s v="FALTA"/>
    <s v="COLABORADOR FALTOU NO DIA 01/09/2023 E NÃO APRESENTOU NENHUMA JUSTIFICATIVA."/>
  </r>
  <r>
    <n v="251"/>
    <s v="EDILSON LUIZ CARVALHO DE SOUZA"/>
    <n v="2770002769"/>
    <s v="NORMAL"/>
    <d v="2022-01-07T00:00:00"/>
    <s v="1ANOS, 7MESES"/>
    <n v="1.675"/>
    <s v="01 A 03 ANOS"/>
    <s v="AGENTE DE COLETA"/>
    <s v="COLETA DOMICILIAR"/>
    <s v="NOTURNO"/>
    <s v="JOÃO PEDRO"/>
    <x v="0"/>
    <d v="2023-09-02T00:00:00"/>
    <s v="SETEMBRO"/>
    <d v="2023-09-02T00:00:00"/>
    <s v="set/2023"/>
    <s v="SETEMBRO"/>
    <n v="2023"/>
    <d v="2023-09-08T00:00:00"/>
    <s v="FALTA"/>
    <s v="FALTOU EM 02/09 E NÃO APRESENTOU NENHUMA JUSTIFICATIVA."/>
  </r>
  <r>
    <n v="252"/>
    <s v="MAURICIO AUGUSTO QUEIROZ DE ARAUJO"/>
    <n v="2770003042"/>
    <s v="NORMAL"/>
    <d v="2022-12-07T00:00:00"/>
    <s v="0ANOS, 8MESES"/>
    <n v="0.74722222222222223"/>
    <s v="0 A 01 ANO"/>
    <s v="AGENTE DE COLETA"/>
    <s v="COLETA DOMICILIAR"/>
    <s v="NOTURNO"/>
    <s v="JOÃO PEDRO"/>
    <x v="0"/>
    <d v="2023-09-02T00:00:00"/>
    <s v="SETEMBRO"/>
    <d v="2023-09-03T00:00:00"/>
    <s v="set/2023"/>
    <s v="SETEMBRO"/>
    <n v="2023"/>
    <d v="2023-09-02T00:00:00"/>
    <s v="FALTA"/>
    <s v="COLABORADOR FALTOU DIA 02/09 E NÃO APRESENTOU NENHUMA JUSITIFICATIVA."/>
  </r>
  <r>
    <n v="253"/>
    <s v="FELIPE DA COSTA RAMOS "/>
    <n v="2770003039"/>
    <s v="PARCIAL"/>
    <d v="2022-12-07T00:00:00"/>
    <s v="0ANOS, 8MESES"/>
    <n v="0.75"/>
    <s v="0 A 01 ANO"/>
    <s v="AGENTE DE COLETA"/>
    <s v="COLETA DOMICILIAR"/>
    <s v="DIURNO"/>
    <s v="ELISANGELA ROCHA"/>
    <x v="0"/>
    <d v="2023-09-03T00:00:00"/>
    <s v="SETEMBRO"/>
    <d v="2023-09-04T00:00:00"/>
    <s v="set/2023"/>
    <s v="SETEMBRO"/>
    <n v="2023"/>
    <d v="2023-09-04T00:00:00"/>
    <s v="FALTA"/>
    <s v="O COLABORADOR FALTOU NO DIA 03/09 SEM NENHUMA JUSTIFICATIVA, INFORMOU QUE NÃO ESTAVA BEM PARA VIR TRABALHAR, PORÉM NÃO BUSCOU ATENDIMENTO."/>
  </r>
  <r>
    <n v="254"/>
    <s v="EDUARDO SILVEIRA DA SILVA"/>
    <n v="2770003076"/>
    <s v="NORMAL"/>
    <d v="2023-02-09T00:00:00"/>
    <s v="0ANOS, 6MESES"/>
    <n v="0.57222222222222219"/>
    <s v="0 A 01 ANO"/>
    <s v="AGENTE DE COLETA"/>
    <s v="COLETA DOMICILIAR"/>
    <s v="NOTURNO"/>
    <s v="JOÃO PEDRO"/>
    <x v="0"/>
    <d v="2023-09-03T00:00:00"/>
    <s v="SETEMBRO"/>
    <d v="2023-09-04T00:00:00"/>
    <s v="set/2023"/>
    <s v="SETEMBRO"/>
    <n v="2023"/>
    <d v="2023-09-04T00:00:00"/>
    <s v="FALTA"/>
    <s v="COLABORADOR FALTOU NO DIA 03/09 E NÃO APRESENTOU NENHUMA JUSTIFICATIVA."/>
  </r>
  <r>
    <n v="255"/>
    <s v="RIVALDO CONDERA DO NASCIMENTO JUNIOR"/>
    <n v="2770002925"/>
    <s v="NORMAL"/>
    <d v="2022-09-01T00:00:00"/>
    <s v="1ANOS, 0MESES"/>
    <n v="1.0194444444444444"/>
    <s v="01 A 03 ANOS"/>
    <s v="AGENTE DE COLETA"/>
    <s v="COLETA DOMICILIAR"/>
    <s v="NOTURNO"/>
    <s v="JOÃO PEDRO"/>
    <x v="0"/>
    <d v="2023-09-03T00:00:00"/>
    <s v="SETEMBRO"/>
    <d v="2023-09-04T00:00:00"/>
    <s v="set/2023"/>
    <s v="SETEMBRO"/>
    <n v="2023"/>
    <d v="2023-09-04T00:00:00"/>
    <s v="FALTA"/>
    <s v="COLABORADOR FALTOU NO DIA 03/09 E NÃO APRESENTOU NENHUMA JUSTIFICATIVA."/>
  </r>
  <r>
    <n v="256"/>
    <s v="PAULO HENRIQUE FERREIRA FALCÃO"/>
    <n v="2770003129"/>
    <s v="NORMAL"/>
    <d v="2023-04-06T00:00:00"/>
    <s v="0ANOS, 5MESES"/>
    <n v="0.42499999999999999"/>
    <s v="0 A 01 ANO"/>
    <s v="AUXILIAR ADMINISTRATIVO"/>
    <s v="MANUTENÇÃO"/>
    <s v="DIURNO"/>
    <s v="TADEU PINTO"/>
    <x v="0"/>
    <d v="2023-09-06T00:00:00"/>
    <s v="SETEMBRO"/>
    <d v="2023-09-06T00:00:00"/>
    <s v="set/2023"/>
    <s v="SETEMBRO"/>
    <n v="2023"/>
    <d v="2023-09-06T00:00:00"/>
    <s v="QUEBRA DE PROCEDIMENTO"/>
    <s v="LIBERAÇÃO DE ORDEM DE SERVIÇO NO SISTEMA ESTANDO EM INVENTÁRIO."/>
  </r>
  <r>
    <n v="257"/>
    <s v="PAULO HENRIQUE FERREIRA FALCÃO"/>
    <n v="2770003129"/>
    <s v="NORMAL"/>
    <d v="2023-04-06T00:00:00"/>
    <s v="0ANOS, 5MESES"/>
    <n v="0.42499999999999999"/>
    <s v="0 A 01 ANO"/>
    <s v="AUXILIAR ADMINISTRATIVO"/>
    <s v="MANUTENÇÃO"/>
    <s v="DIURNO"/>
    <s v="TADEU PINTO"/>
    <x v="0"/>
    <d v="2023-09-06T00:00:00"/>
    <s v="SETEMBRO"/>
    <d v="2023-09-06T00:00:00"/>
    <s v="set/2023"/>
    <s v="SETEMBRO"/>
    <n v="2023"/>
    <d v="2023-09-06T00:00:00"/>
    <s v="QUEBRA DE PROCEDIMENTO"/>
    <s v="NOTAS DE SERVIÇOS ENTREGUES FORA DO PRAZO."/>
  </r>
  <r>
    <n v="258"/>
    <s v="ANTONIO LUIS RIBEIRO ALEXANDRE"/>
    <n v="2770002929"/>
    <s v="NORMAL"/>
    <d v="2022-09-01T00:00:00"/>
    <s v="1ANOS, 0MESES"/>
    <n v="1.0166666666666666"/>
    <s v="01 A 03 ANOS"/>
    <s v="AGENTE DE COLETA"/>
    <s v="COLETA DOMICILIAR"/>
    <s v="DIURNO"/>
    <s v="ELISANGELA ROCHA"/>
    <x v="1"/>
    <d v="2023-09-02T00:00:00"/>
    <s v="SETEMBRO"/>
    <d v="2023-09-06T00:00:00"/>
    <s v="set/2023"/>
    <s v="SETEMBRO"/>
    <n v="2023"/>
    <d v="2023-09-09T00:00:00"/>
    <s v="EMBRIAGUEZ"/>
    <s v="NO DIA 02/09 O COLABORADOR RETORNOU DO RETORNOU DO ROTEIRO COM SINAIS DE EMBRIAGUEZ."/>
  </r>
  <r>
    <n v="259"/>
    <s v="DAVI FERREIRA DIAS "/>
    <n v="2770003045"/>
    <s v="NORMAL"/>
    <d v="2022-12-07T00:00:00"/>
    <s v="0ANOS, 8MESES"/>
    <n v="0.74444444444444446"/>
    <s v="0 A 01 ANO"/>
    <s v="MOTORISTA"/>
    <s v="COLETA DOMICILIAR"/>
    <s v="NOTURNO"/>
    <s v="JOÃO PEDRO"/>
    <x v="0"/>
    <d v="2023-09-01T00:00:00"/>
    <s v="SETEMBRO"/>
    <d v="2023-09-08T00:00:00"/>
    <s v="set/2023"/>
    <s v="SETEMBRO"/>
    <n v="2023"/>
    <d v="2023-09-08T00:00:00"/>
    <s v="EXCESSO DE VELOCIDADE"/>
    <s v="NO DIA 01/09/2023 AS 22:42 O COLABORADOR EXCEDEU O LIMITE DE VELOCIDADE CHEGANDO A 72 KM/H."/>
  </r>
  <r>
    <n v="260"/>
    <s v="OSMAR FERREIRA VIEIRA NETO"/>
    <n v="2770002935"/>
    <s v="NORMAL"/>
    <d v="2022-09-01T00:00:00"/>
    <s v="1ANOS, 0MESES"/>
    <n v="1.0333333333333334"/>
    <s v="01 A 03 ANOS"/>
    <s v="MOTORISTA"/>
    <s v="COLETA DOMICILIAR"/>
    <s v="NOTURNO"/>
    <s v="JOÃO PEDRO"/>
    <x v="0"/>
    <d v="2023-09-08T00:00:00"/>
    <s v="SETEMBRO"/>
    <d v="2023-09-09T00:00:00"/>
    <s v="set/2023"/>
    <s v="SETEMBRO"/>
    <n v="2023"/>
    <d v="2023-09-09T00:00:00"/>
    <s v="QUEBRA DE PROCEDIMENTO"/>
    <s v="NO DIA 08/09 O MOTORISTA NÃO FEZ O PROCEDIMENTO CORRETO AO NÃO REALIZAR O CHECKLIST DE FORMA PRECISA, E VERIFICAR O NÍVEL DE ÓLEO HIDRAULICO QUE ESTAVA BAIXO, O QUE OCASIONOU TRANSTORNOS NA OPERAÇÃO."/>
  </r>
  <r>
    <n v="261"/>
    <s v="ISAIAS ROCHA DE ARAUJO"/>
    <n v="2770003219"/>
    <s v="PARCIAL"/>
    <d v="2023-08-17T00:00:00"/>
    <s v="0ANOS, 0MESES"/>
    <n v="6.6666666666666666E-2"/>
    <s v="0 A 01 ANO"/>
    <s v="AGENTE DE COLETA"/>
    <s v="COLETA DOMICILIAR"/>
    <s v="NOTURNO"/>
    <s v="JOÃO PEDRO"/>
    <x v="0"/>
    <d v="2023-09-10T00:00:00"/>
    <s v="SETEMBRO"/>
    <d v="2023-09-10T00:00:00"/>
    <s v="set/2023"/>
    <s v="SETEMBRO"/>
    <n v="2023"/>
    <d v="2023-09-11T00:00:00"/>
    <s v="FALTA"/>
    <s v="COLABORADOR FALTOU NO DIA 10/09 E NÃO APRESENTOU NENHUMA JUSTIFICATIVA."/>
  </r>
  <r>
    <n v="262"/>
    <s v="DANIEL MACHADO DE SOUZA"/>
    <n v="2770002829"/>
    <s v="NORMAL"/>
    <d v="2022-05-02T00:00:00"/>
    <s v="1ANOS, 4MESES"/>
    <n v="1.3777777777777778"/>
    <s v="01 A 03 ANOS"/>
    <s v="AGENTE DE COLETA"/>
    <s v="COLETA DOMICILIAR"/>
    <s v="NOTURNO"/>
    <s v="JOÃO PEDRO"/>
    <x v="1"/>
    <d v="2023-09-10T00:00:00"/>
    <s v="SETEMBRO"/>
    <d v="2023-09-11T00:00:00"/>
    <s v="set/2023"/>
    <s v="SETEMBRO"/>
    <n v="2023"/>
    <d v="2023-09-11T00:00:00"/>
    <s v="FALTA"/>
    <s v="COLABORADOR FALTOU NO DIA 09/09 E 10/09 E NÃO APRESENTOU NENHUMA JUSTIFICATIVA."/>
  </r>
  <r>
    <n v="263"/>
    <s v="LUIZ FERNANDO MENDES VIANA"/>
    <n v="2770003038"/>
    <s v="NORMAL"/>
    <d v="2022-12-07T00:00:00"/>
    <s v="0ANOS, 9MESES"/>
    <n v="0.77222222222222225"/>
    <s v="0 A 01 ANO"/>
    <s v="AGENTE DE COLETA"/>
    <s v="COLETA DOMICILIAR"/>
    <s v="DIURNO"/>
    <s v="ELISANGELA ROCHA"/>
    <x v="0"/>
    <d v="2023-09-11T00:00:00"/>
    <s v="SETEMBRO"/>
    <d v="2023-09-11T00:00:00"/>
    <s v="set/2023"/>
    <s v="SETEMBRO"/>
    <n v="2023"/>
    <d v="2023-09-11T00:00:00"/>
    <s v="FALTA"/>
    <s v="O COLABORADOR FALTOU NO DIA 11/09 SEM NENHUMA JUSTIFICATIVA, INFORMOU QUE NÃO ESTAVA COM CONDIÇÕES DE TRABALHAR."/>
  </r>
  <r>
    <n v="264"/>
    <s v="DANIEL SOARES DE ANDRADE "/>
    <n v="2770003016"/>
    <s v="NORMAL"/>
    <d v="2022-12-01T00:00:00"/>
    <s v="0ANOS, 9MESES"/>
    <n v="0.79166666666666663"/>
    <s v="0 A 01 ANO"/>
    <s v="AGENTE DE COLETA"/>
    <s v="COLETA DOMICILIAR"/>
    <s v="DIURNO"/>
    <s v="ELISANGELA ROCHA"/>
    <x v="0"/>
    <d v="2023-09-12T00:00:00"/>
    <s v="SETEMBRO"/>
    <d v="2023-09-12T00:00:00"/>
    <s v="set/2023"/>
    <s v="SETEMBRO"/>
    <n v="2023"/>
    <d v="2023-09-12T00:00:00"/>
    <s v="ATRASO"/>
    <s v="O COLABORADOR CHEGOU ATRASADO NO DIA 12/09 CHEGANDO 06:03, SENDO QUE SEU HORÁRIO É AS 05:50."/>
  </r>
  <r>
    <n v="265"/>
    <s v="RAYNILSON ALVES TAVARES"/>
    <n v="2770003193"/>
    <s v="NORMAL"/>
    <d v="2023-07-06T00:00:00"/>
    <s v="0ANOS, 1MESES"/>
    <n v="0.1388888888888889"/>
    <s v="0 A 01 ANO"/>
    <s v="MOTORISTA"/>
    <s v="COLETA DOMICILIAR"/>
    <s v="NOTURNO"/>
    <s v="JOÃO PEDRO"/>
    <x v="0"/>
    <d v="2023-08-25T00:00:00"/>
    <s v="AGOSTO"/>
    <d v="2023-09-15T00:00:00"/>
    <s v="set/2023"/>
    <s v="SETEMBRO"/>
    <n v="2023"/>
    <d v="2023-09-15T00:00:00"/>
    <s v="QUEBRA DE PROCEDIMENTO"/>
    <s v="NO DIA 25/08/2023, O COLABORADOR FEZ UMA CONVERSÃO PROIBIDA OCASIONANDO UM SINISTRO NA PLACA DO POSTO."/>
  </r>
  <r>
    <n v="266"/>
    <s v="WELLINGTON LIMA DA SILVA"/>
    <n v="2770002254"/>
    <s v="NORMAL"/>
    <d v="2020-05-04T00:00:00"/>
    <s v="3ANOS, 4MESES"/>
    <n v="3.4166666666666665"/>
    <s v="03 A 05 ANOS"/>
    <s v="AGENTE DE COLETA"/>
    <s v="COLETA DOMICILIAR"/>
    <s v="NOTURNO"/>
    <s v="JOÃO PEDRO"/>
    <x v="0"/>
    <d v="2023-09-16T00:00:00"/>
    <s v="SETEMBRO"/>
    <d v="2023-09-15T00:00:00"/>
    <s v="set/2023"/>
    <s v="SETEMBRO"/>
    <n v="2023"/>
    <d v="2023-09-15T00:00:00"/>
    <s v="QUEBRA DE PROCEDIMENTO"/>
    <s v="NO DIA 15/09/2023 O COLABORADOR ESTAVA REALIZANDO A COLETA SEM A SUA FARDA COMPLETA, EM DESACORDO COM A PO-08."/>
  </r>
  <r>
    <n v="267"/>
    <s v="FABIO BRITO DOS SANTOS"/>
    <n v="2770003108"/>
    <s v="PARCIAL"/>
    <d v="2023-03-16T00:00:00"/>
    <s v="0ANOS, 6MESES"/>
    <n v="0.51388888888888884"/>
    <s v="0 A 01 ANO"/>
    <s v="AGENTE DE COLETA"/>
    <s v="COLETA DOMICILIAR"/>
    <s v="DIURNO"/>
    <s v="ANA CAROLINA"/>
    <x v="0"/>
    <d v="2023-09-17T00:00:00"/>
    <s v="SETEMBRO"/>
    <d v="2023-09-18T00:00:00"/>
    <s v="set/2023"/>
    <s v="SETEMBRO"/>
    <n v="2023"/>
    <d v="2023-09-18T00:00:00"/>
    <s v="FALTA"/>
    <s v="FALTA INJUSTIFICADA NOS DIAS 12/09 E 17/09, COLABORADOR INFORMA QUE ESTÁ PASSANDO POR PROBLEMAS PESSOAIS."/>
  </r>
  <r>
    <n v="268"/>
    <s v="WENDELL FRANCO GIBSON "/>
    <n v="2770002973"/>
    <s v="NORMAL"/>
    <d v="2022-11-03T00:00:00"/>
    <s v="0ANOS, 10MESES"/>
    <n v="0.88611111111111107"/>
    <s v="0 A 01 ANO"/>
    <s v="AGENTE DE COLETA"/>
    <s v="COLETA DOMICILIAR"/>
    <s v="NOTURNO"/>
    <s v="JOÃO PEDRO"/>
    <x v="1"/>
    <d v="2023-09-18T00:00:00"/>
    <s v="SETEMBRO"/>
    <d v="2023-09-19T00:00:00"/>
    <s v="set/2023"/>
    <s v="SETEMBRO"/>
    <n v="2023"/>
    <d v="2023-09-26T00:00:00"/>
    <s v="FALTA"/>
    <s v="COLABORADOR FALTOU NOS DIAS 17/09 E 18/09 E NÃO APRESENTOU NENHUMA JUSTIFICATIVA."/>
  </r>
  <r>
    <n v="269"/>
    <s v="RODRIGO DUTRA DAS CHAGAS"/>
    <n v="2770002665"/>
    <s v="NORMAL"/>
    <d v="2020-10-04T00:00:00"/>
    <s v="2ANOS, 11MESES"/>
    <n v="2.9916666666666667"/>
    <s v="01 A 03 ANOS"/>
    <s v="AGENTE DE COLETA"/>
    <s v="COLETA DOMICILIAR"/>
    <s v="DIURNO"/>
    <s v="ANA CAROLINA"/>
    <x v="1"/>
    <d v="2023-09-16T00:00:00"/>
    <s v="SETEMBRO"/>
    <d v="2023-09-19T00:00:00"/>
    <s v="set/2023"/>
    <s v="SETEMBRO"/>
    <n v="2023"/>
    <d v="2023-09-20T00:00:00"/>
    <s v="EMBRIAGUEZ"/>
    <s v="COLABORADOR IDENTIFICADO COM INDICIOS DE EMBRIAGUEZ NO ROTEIRO 90.1.158, MICRO 1 NO DIA 16/09/2023 POR VOLTA DAS 14:00, EM CONVERSA COM O MESMO ELE AFIRMA TER INGERIDO &quot; UM POUCO DE BEBIDA ALCOOLICA&quot;."/>
  </r>
  <r>
    <n v="270"/>
    <s v="LUIZ FERNANDO MENDES VIANA"/>
    <n v="2770003038"/>
    <s v="NORMAL"/>
    <d v="2022-12-07T00:00:00"/>
    <s v="0ANOS, 9MESES"/>
    <n v="0.79166666666666663"/>
    <s v="0 A 01 ANO"/>
    <s v="AGENTE DE COLETA"/>
    <s v="COLETA DOMICILIAR"/>
    <s v="DIURNO"/>
    <s v="ANA CAROLINA"/>
    <x v="1"/>
    <d v="2023-09-18T00:00:00"/>
    <s v="SETEMBRO"/>
    <d v="2023-09-19T00:00:00"/>
    <s v="set/2023"/>
    <s v="SETEMBRO"/>
    <n v="2023"/>
    <d v="2023-09-20T00:00:00"/>
    <s v="FALTA"/>
    <s v="FALTA INSJUTIFICADA EM 18/09/2023."/>
  </r>
  <r>
    <n v="271"/>
    <s v="HELINTON KITSINGER PARMELO"/>
    <n v="2770002997"/>
    <s v="NORMAL"/>
    <d v="2022-11-03T00:00:00"/>
    <s v="0ANOS, 10MESES"/>
    <n v="0.88888888888888884"/>
    <s v="0 A 01 ANO"/>
    <s v="AGENTE DE COLETA"/>
    <s v="COLETA DOMICILIAR"/>
    <s v="DIURNO"/>
    <s v="ANA CAROLINA"/>
    <x v="1"/>
    <d v="2023-09-19T00:00:00"/>
    <s v="SETEMBRO"/>
    <d v="2023-09-20T00:00:00"/>
    <s v="set/2023"/>
    <s v="SETEMBRO"/>
    <n v="2023"/>
    <d v="2023-09-21T00:00:00"/>
    <s v="FALTA"/>
    <s v="FALTA INJUSTIFICADA NOS DIAS 18/09 E 19/09, COLABORADOR ALEGA ACOMPANHAR ESPOSA DOENTE."/>
  </r>
  <r>
    <n v="272"/>
    <s v="ISAQUE FERNANDES DA CRUZ"/>
    <n v="2770002827"/>
    <s v="NORMAL"/>
    <d v="2022-05-02T00:00:00"/>
    <s v="1ANOS, 4MESES"/>
    <n v="1.4027777777777777"/>
    <s v="01 A 03 ANOS"/>
    <s v="AGENTE DE COLETA"/>
    <s v="COLETA DOMICILIAR"/>
    <s v="DIURNO"/>
    <s v="ANA CAROLINA"/>
    <x v="1"/>
    <d v="2023-09-19T00:00:00"/>
    <s v="SETEMBRO"/>
    <d v="2023-09-21T00:00:00"/>
    <s v="set/2023"/>
    <s v="SETEMBRO"/>
    <n v="2023"/>
    <d v="2023-09-21T00:00:00"/>
    <s v="FALTA"/>
    <s v="COLABORADOR SE AUSENTOU DA EMPRESA POR 10 DIAS NO PERÍODO DE 08/09 A 19/09, SE APRESENTOU E JUSTIFICOU QUE ESTÁ PASSANDO POR PROBLEMAS PESSOAIS."/>
  </r>
  <r>
    <n v="273"/>
    <s v="WYGUINER PRINTIS DA CRUZ "/>
    <n v="2770003098"/>
    <s v="PARCIAL"/>
    <d v="2023-03-08T00:00:00"/>
    <s v="0ANOS, 6MESES"/>
    <n v="0.53611111111111109"/>
    <s v="0 A 01 ANO"/>
    <s v="AGENTE DE COLETA"/>
    <s v="COLETA DOMICILIAR"/>
    <s v="NOTURNO"/>
    <s v="JOÃO PEDRO"/>
    <x v="1"/>
    <d v="2023-09-17T00:00:00"/>
    <s v="SETEMBRO"/>
    <d v="2023-09-22T00:00:00"/>
    <s v="set/2023"/>
    <s v="SETEMBRO"/>
    <n v="2023"/>
    <d v="2023-09-27T00:00:00"/>
    <s v="FALTA"/>
    <s v="COLABORADOR FALTOU NOS DIAS 16/09 E 17/09 E NÃO APRESENTOU NENHUMA JUSTIFICATIVA."/>
  </r>
  <r>
    <n v="274"/>
    <s v="EDUARDO SILVEIRA DA SILVA"/>
    <n v="2770003076"/>
    <s v="NORMAL"/>
    <d v="2023-02-09T00:00:00"/>
    <s v="0ANOS, 7MESES"/>
    <n v="0.625"/>
    <s v="0 A 01 ANO"/>
    <s v="AGENTE DE COLETA"/>
    <s v="COLETA DOMICILIAR"/>
    <s v="NOTURNO"/>
    <s v="JOÃO PEDRO"/>
    <x v="0"/>
    <d v="2023-09-22T00:00:00"/>
    <s v="SETEMBRO"/>
    <d v="2023-09-23T00:00:00"/>
    <s v="set/2023"/>
    <s v="SETEMBRO"/>
    <n v="2023"/>
    <d v="2023-09-23T00:00:00"/>
    <s v="FALTA"/>
    <s v="CALABORADOR FALTOU NO DIA 22/09/2023 E NÃO APRESENTOU NENHUMA JUSTIFICATIVA."/>
  </r>
  <r>
    <n v="275"/>
    <s v="RALYSON ROCHA NEVES"/>
    <n v="2770003093"/>
    <s v="NORMAL"/>
    <d v="2022-12-07T00:00:00"/>
    <s v="0ANOS, 9MESES"/>
    <n v="0.80555555555555558"/>
    <s v="0 A 01 ANO"/>
    <s v="AGENTE DE COLETA"/>
    <s v="COLETA DOMICILIAR"/>
    <s v="NOTURNO"/>
    <s v="JOÃO PEDRO"/>
    <x v="0"/>
    <d v="2023-09-23T00:00:00"/>
    <s v="SETEMBRO"/>
    <d v="2023-09-24T00:00:00"/>
    <s v="set/2023"/>
    <s v="SETEMBRO"/>
    <n v="2023"/>
    <d v="2023-09-24T00:00:00"/>
    <s v="FALTA"/>
    <s v="COLABORADOR FALTOU NO DIA 23/09/2023 E NÃO APRESENTOU NENHUMA JUSTIFICATIVA."/>
  </r>
  <r>
    <n v="276"/>
    <s v="EDUARDO SILVA DE OLIVEIRA"/>
    <n v="2770003044"/>
    <s v="NORMAL"/>
    <d v="2022-12-07T00:00:00"/>
    <s v="0ANOS, 9MESES"/>
    <n v="0.80555555555555558"/>
    <s v="0 A 01 ANO"/>
    <s v="AGENTE DE COLETA"/>
    <s v="COLETA DOMICILIAR"/>
    <s v="NOTURNO"/>
    <s v="JOÃO PEDRO"/>
    <x v="1"/>
    <d v="2023-09-23T00:00:00"/>
    <s v="SETEMBRO"/>
    <d v="2023-09-25T00:00:00"/>
    <s v="set/2023"/>
    <s v="SETEMBRO"/>
    <n v="2023"/>
    <d v="2023-09-30T00:00:00"/>
    <s v="FALTA"/>
    <s v="COLABORADOR FALTOU NO DIA 23/09/2023 E NÃO APRESENTOU NENHUMA JUSTIFICATIVA."/>
  </r>
  <r>
    <n v="277"/>
    <s v="ALISSON DE ARAUJO DIAS "/>
    <n v="2770003022"/>
    <s v="NORMAL"/>
    <d v="2022-12-01T00:00:00"/>
    <s v="0ANOS, 9MESES"/>
    <n v="0.82499999999999996"/>
    <s v="0 A 01 ANO"/>
    <s v="AGENTE DE COLETA"/>
    <s v="COLETA DOMICILIAR"/>
    <s v="NOTURNO"/>
    <s v="JOÃO PEDRO"/>
    <x v="0"/>
    <d v="2023-09-24T00:00:00"/>
    <s v="SETEMBRO"/>
    <d v="2023-09-25T00:00:00"/>
    <s v="set/2023"/>
    <s v="SETEMBRO"/>
    <n v="2023"/>
    <d v="2023-09-25T00:00:00"/>
    <s v="FALTA"/>
    <s v="COLABORADOR FALTOU NO DIA 24/09 E NÃO APRESENTOU NENHUMA JUSTIFICATIVA."/>
  </r>
  <r>
    <n v="278"/>
    <s v="KAMILE DA SILVA LEAO"/>
    <n v="2770003001"/>
    <s v="NORMAL"/>
    <d v="2022-11-03T00:00:00"/>
    <s v="0ANOS, 10MESES"/>
    <n v="0.91111111111111109"/>
    <s v="0 A 01 ANO"/>
    <s v="EDUCADOR AMBIENTAL JR"/>
    <s v="EDUCAÇÃO AMBIENTAL"/>
    <s v="DIURNO"/>
    <s v="ELISANGELA ROCHA"/>
    <x v="0"/>
    <d v="2023-09-27T00:00:00"/>
    <s v="SETEMBRO"/>
    <d v="2023-09-28T00:00:00"/>
    <s v="set/2023"/>
    <s v="SETEMBRO"/>
    <n v="2023"/>
    <d v="2023-09-28T00:00:00"/>
    <s v="FALTA"/>
    <s v="COLABORADOR FALTOU NOS DIAS 22, 23, 24, 25 E 27 SEM JUSITIFICATIVA, PORÉM NO SEU RETORNO, APRESENTOU ATESTADO MÉDICO FORA DO PRAZO, APÓS 48 HS."/>
  </r>
  <r>
    <n v="279"/>
    <s v="ISAQUE FERNANDES DA CRUZ"/>
    <n v="2770002827"/>
    <s v="NORMAL"/>
    <d v="2022-05-02T00:00:00"/>
    <s v="1ANOS, 4MESES"/>
    <n v="1.4277777777777778"/>
    <s v="01 A 03 ANOS"/>
    <s v="AGENTE DE COLETA"/>
    <s v="COLETA DOMICILIAR"/>
    <s v="DIURNO"/>
    <s v="ANA CAROLINA"/>
    <x v="1"/>
    <d v="2023-09-28T00:00:00"/>
    <s v="SETEMBRO"/>
    <d v="2023-09-29T00:00:00"/>
    <s v="set/2023"/>
    <s v="SETEMBRO"/>
    <n v="2023"/>
    <d v="2023-10-02T00:00:00"/>
    <s v="FALTA"/>
    <s v="FALTA INJUSTIFICADA NOS DIAS 25/09 A 28/09, COLABORADOR ALEGA PROBLEMAS PESSOAIS."/>
  </r>
  <r>
    <n v="280"/>
    <s v="FABIO CURITIMA ORTIZ"/>
    <n v="2770002926"/>
    <s v="NORMAL"/>
    <d v="2022-09-01T00:00:00"/>
    <s v="1ANOS, 0MESES"/>
    <n v="1.0944444444444446"/>
    <s v="01 A 03 ANOS"/>
    <s v="AGENTE DE COLETA"/>
    <s v="COLETA DOMICILIAR"/>
    <s v="NOTURNO"/>
    <s v="JOÃO PEDRO"/>
    <x v="1"/>
    <d v="2023-09-30T00:00:00"/>
    <s v="SETEMBRO"/>
    <d v="2023-10-01T00:00:00"/>
    <s v="out/2023"/>
    <s v="OUTUBRO"/>
    <n v="2023"/>
    <d v="2023-10-02T00:00:00"/>
    <s v="FALTA"/>
    <s v="COLABORADOR FALTOU NO DIA 30/09 E NÃO APRESENTOU NENHUMA JUSTIFICATIVA."/>
  </r>
  <r>
    <n v="281"/>
    <s v="PEDRO GABRIEL PERES PEREIRA"/>
    <n v="2770003155"/>
    <s v="PARCIAL"/>
    <d v="2023-05-17T00:00:00"/>
    <s v="0ANOS, 5MESES"/>
    <n v="0.46944444444444444"/>
    <s v="0 A 01 ANO"/>
    <s v="AGENTE DE COLETA"/>
    <s v="COLETA DOMICILIAR"/>
    <s v="NOTURNO"/>
    <s v="JOÃO PEDRO"/>
    <x v="1"/>
    <d v="2023-11-02T00:00:00"/>
    <s v="NOVEMBRO"/>
    <d v="2023-10-02T00:00:00"/>
    <s v="out/2023"/>
    <s v="OUTUBRO"/>
    <n v="2023"/>
    <d v="2023-01-03T00:00:00"/>
    <s v="QUEBRA DE PROCEDIMENTO"/>
    <s v="AO REALIZAR O ROTEIRO NO DIA 02/11 O COLABORADOR INFRINGIU O CÓDIGO DE CONDUTA AO IR AS VIAS DE FATO COM SEU COLEGA DE TRABALHO."/>
  </r>
  <r>
    <n v="282"/>
    <s v="WILMAR SOUZA DE QUEIROZ"/>
    <n v="2770002591"/>
    <s v="NORMAL"/>
    <d v="2022-10-03T00:00:00"/>
    <s v="1ANOS, 0MESES"/>
    <n v="1.0138888888888888"/>
    <s v="01 A 03 ANOS"/>
    <s v="AGENTE DE COLETA"/>
    <s v="COLETA DOMICILIAR"/>
    <s v="DIURNO"/>
    <s v="ANA CAROLINA"/>
    <x v="1"/>
    <d v="2023-10-03T00:00:00"/>
    <s v="OUTUBRO"/>
    <d v="2023-10-03T00:00:00"/>
    <s v="out/2023"/>
    <s v="OUTUBRO"/>
    <n v="2023"/>
    <d v="2023-10-03T00:00:00"/>
    <s v="INSUBORDINAÇÃO"/>
    <s v="AGENTE DE COLETA RECUSOU A ATENDER AOS COMANDOS PASSADOS PELA ANALISTA ELISANGELA PARA ATIVIDADE DE PODA, ALEGANDO QUE NÃO É CONTRATADO PARA TAL SERVIÇOI E SOMENTE PARA ATIVIDADE DE PODA, ALEGANDO QUE NÃO É CONTRATADO PARA TAL SERVIÇO E SIM SOMENTE PARA COLETA DOMICILIAR, O COLABORADOR DEIXOU CLARO A INSATISFAÇÃO EM NÃO CONTINUAR MAIS NO GRUPO."/>
  </r>
  <r>
    <n v="283"/>
    <s v="JARDEL ALHO PINHEIRO"/>
    <n v="2770003126"/>
    <s v="NORMAL"/>
    <d v="2023-04-06T00:00:00"/>
    <s v="0ANOS, 5MESES"/>
    <n v="0.49722222222222223"/>
    <s v="0 A 01 ANO"/>
    <s v="AGENTE DE COLETA"/>
    <s v="COLETA DOMICILIAR"/>
    <s v="DIURNO"/>
    <s v="ANA CAROLINA"/>
    <x v="1"/>
    <d v="2023-10-02T00:00:00"/>
    <s v="OUTUBRO"/>
    <d v="2023-10-03T00:00:00"/>
    <s v="out/2023"/>
    <s v="OUTUBRO"/>
    <n v="2023"/>
    <d v="2023-10-04T00:00:00"/>
    <s v="FALTA"/>
    <s v="FALTA INJUSTIFICADA NO DIA 02/10/2023, ALEGOU PROBLEMAS PESSOAIS."/>
  </r>
  <r>
    <n v="284"/>
    <s v="FRANCISCO MAGNO DE ALMEIDA OLIVEIRA"/>
    <n v="2770002956"/>
    <s v="NORMAL"/>
    <d v="2022-10-03T00:00:00"/>
    <s v="1ANOS, 0MESES"/>
    <n v="1.0194444444444444"/>
    <s v="01 A 03 ANOS"/>
    <s v="AGENTE DE COLETA"/>
    <s v="COLETA DOMICILIAR"/>
    <s v="NOTURNO"/>
    <s v="JOÃO PEDRO"/>
    <x v="1"/>
    <d v="2023-10-05T00:00:00"/>
    <s v="OUTUBRO"/>
    <d v="2023-10-03T00:00:00"/>
    <s v="out/2023"/>
    <s v="OUTUBRO"/>
    <n v="2023"/>
    <d v="2023-10-08T00:00:00"/>
    <s v="FALTA"/>
    <s v="COLABORADOR FALTOU NO DIA 02/10 E NÃO APRESENTOU NENHUMA JUSTIFIXCATIVA."/>
  </r>
  <r>
    <n v="285"/>
    <s v="ISAQUE FERNANDES DA CRUZ"/>
    <n v="2770002827"/>
    <s v="NORMAL"/>
    <d v="2022-05-02T00:00:00"/>
    <s v="1ANOS, 5MESES"/>
    <n v="1.4444444444444444"/>
    <s v="01 A 03 ANOS"/>
    <s v="AGENTE DE COLETA"/>
    <s v="COLETA DOMICILIAR"/>
    <s v="DIURNO"/>
    <s v="ANA CAROLINA"/>
    <x v="1"/>
    <d v="2023-10-04T00:00:00"/>
    <s v="OUTUBRO"/>
    <d v="2023-10-04T00:00:00"/>
    <s v="out/2023"/>
    <s v="OUTUBRO"/>
    <n v="2023"/>
    <d v="2023-10-09T00:00:00"/>
    <s v="FALTA"/>
    <s v="AGENTE COM FALTA INJUSTIFICADA NO DIAS 02/10 E 03/10."/>
  </r>
  <r>
    <n v="286"/>
    <s v="DAVI FERREIRA DIAS "/>
    <n v="2770003045"/>
    <s v="NORMAL"/>
    <d v="2022-12-07T00:00:00"/>
    <s v="0ANOS, 9MESES"/>
    <n v="0.82777777777777772"/>
    <s v="0 A 01 ANO"/>
    <s v="MOTORISTA"/>
    <s v="COLETA DOMICILIAR"/>
    <s v="NOTURNO"/>
    <s v="JOÃO PEDRO"/>
    <x v="0"/>
    <d v="2023-10-01T00:00:00"/>
    <s v="OUTUBRO"/>
    <d v="2023-10-04T00:00:00"/>
    <s v="out/2023"/>
    <s v="OUTUBRO"/>
    <n v="2023"/>
    <d v="2023-10-04T00:00:00"/>
    <s v="EXCESSO DE VELOCIDADE"/>
    <s v="COLABORADOR EXCEDEU O LIMITE DE VELOCIDADE NO DIA 01/10/2023 AS 04:23 CHEGANDO A 79 KM/H."/>
  </r>
  <r>
    <n v="287"/>
    <s v="DANIEL GOMES SEIXAS"/>
    <n v="2770003145"/>
    <s v="NORMAL"/>
    <d v="2023-05-05T00:00:00"/>
    <s v="0ANOS, 4MESES"/>
    <n v="0.41944444444444445"/>
    <s v="0 A 01 ANO"/>
    <s v="AGENTE DE COLETA"/>
    <s v="COLETA DOMICILIAR"/>
    <s v="NOTURNO"/>
    <s v="JOÃO PEDRO"/>
    <x v="0"/>
    <d v="2023-10-03T00:00:00"/>
    <s v="OUTUBRO"/>
    <d v="2023-10-04T00:00:00"/>
    <s v="out/2023"/>
    <s v="OUTUBRO"/>
    <n v="2023"/>
    <d v="2023-10-04T00:00:00"/>
    <s v="FALTA"/>
    <s v="COLABORADOR FALTOU NO DIA 03/10 E NÃO APRESENTOU NENHUMA JUSTIFICATIVA."/>
  </r>
  <r>
    <n v="288"/>
    <s v="VICTOR RODRIGO DE QUEIROZ OLIVEIRA"/>
    <n v="2770002866"/>
    <s v="NORMAL"/>
    <d v="2022-05-14T00:00:00"/>
    <s v="1ANOS, 4MESES"/>
    <n v="1.413888888888889"/>
    <s v="01 A 03 ANOS"/>
    <s v="MOTORISTA"/>
    <s v="COLETA DOMICILIAR"/>
    <s v="DIURNO"/>
    <s v="ANA CAROLINA"/>
    <x v="0"/>
    <d v="2023-10-05T00:00:00"/>
    <s v="OUTUBRO"/>
    <d v="2023-10-05T00:00:00"/>
    <s v="out/2023"/>
    <s v="OUTUBRO"/>
    <n v="2023"/>
    <d v="2023-10-05T00:00:00"/>
    <s v="EXCESSO DE VELOCIDADE"/>
    <s v="EXCEDEU O LIMITE DE VELOCIDADE PERMITIDO PELA EMPRESA CHEGANDO A 71 KM DIA 30/09 AS 09:41H NO CC 699."/>
  </r>
  <r>
    <n v="289"/>
    <s v="BRUNO RAFAEL GAMA RODRIGUES"/>
    <n v="2770003170"/>
    <s v="PARCIAL"/>
    <d v="2023-06-01T00:00:00"/>
    <s v="0ANOS, 4MESES"/>
    <n v="0.33888888888888891"/>
    <s v="0 A 01 ANO"/>
    <s v="AGENTE DE COLETA"/>
    <s v="COLETA DOMICILIAR"/>
    <s v="NOTURNO"/>
    <s v="JOÃO PEDRO"/>
    <x v="1"/>
    <d v="2023-10-01T00:00:00"/>
    <s v="OUTUBRO"/>
    <d v="2023-10-06T00:00:00"/>
    <s v="out/2023"/>
    <s v="OUTUBRO"/>
    <n v="2023"/>
    <d v="2023-10-09T00:00:00"/>
    <s v="FALTA"/>
    <s v="COLABORADOR FALTOU NO DIA 01/10 E NÃO APRESENTOU NENHUMA JUSTIFICATIVA."/>
  </r>
  <r>
    <n v="290"/>
    <s v="MAURICIO AUGUSTO QUEIROZ DE ARAUJO"/>
    <n v="2770003042"/>
    <s v="NORMAL"/>
    <d v="2022-12-07T00:00:00"/>
    <s v="0ANOS, 9MESES"/>
    <n v="0.82777777777777772"/>
    <s v="0 A 01 ANO"/>
    <s v="AGENTE DE COLETA"/>
    <s v="COLETA DOMICILIAR"/>
    <s v="NOTURNO"/>
    <s v="JOÃO PEDRO"/>
    <x v="0"/>
    <d v="2023-10-01T00:00:00"/>
    <s v="OUTUBRO"/>
    <d v="2023-10-07T00:00:00"/>
    <s v="out/2023"/>
    <s v="OUTUBRO"/>
    <n v="2023"/>
    <d v="2023-10-07T00:00:00"/>
    <s v="QUEBRA DE PROCEDIMENTO"/>
    <s v="COLABORADOR AGIU EM DESACORDO COM A PO08 E DEU UM PONTAPÉ NO PORTÃO DE UM MUNÍCIPE."/>
  </r>
  <r>
    <n v="291"/>
    <s v="MAURICIO AUGUSTO QUEIROZ DE ARAUJO"/>
    <n v="2770003042"/>
    <s v="NORMAL"/>
    <d v="2022-12-07T00:00:00"/>
    <s v="0ANOS, 10MESES"/>
    <n v="0.85277777777777775"/>
    <s v="0 A 01 ANO"/>
    <s v="AGENTE DE COLETA"/>
    <s v="COLETA DOMICILIAR"/>
    <s v="NOTURNO"/>
    <s v="JOÃO PEDRO"/>
    <x v="0"/>
    <d v="2023-10-10T00:00:00"/>
    <s v="OUTUBRO"/>
    <d v="2023-10-11T00:00:00"/>
    <s v="out/2023"/>
    <s v="OUTUBRO"/>
    <n v="2023"/>
    <d v="2023-10-11T00:00:00"/>
    <s v="QUEBRA DE PROCEDIMENTO"/>
    <s v="NO DIA 10/10/2023 NÃO FEZ A COLETA NA AVENIDA MARIO YPIRANGA, 133, VAREJÃO JV, GERANDO RECLAMAÇÃO."/>
  </r>
  <r>
    <n v="292"/>
    <s v="VALCICLE ARAGAO DE MELO"/>
    <n v="2770002776"/>
    <s v="NORMAL"/>
    <d v="2022-02-02T00:00:00"/>
    <s v="1ANOS, 8MESES"/>
    <n v="1.7"/>
    <s v="01 A 03 ANOS"/>
    <s v="AGENTE DE COLETA"/>
    <s v="COLETA DOMICILIAR"/>
    <s v="NOTURNO"/>
    <s v="JOÃO PEDRO"/>
    <x v="0"/>
    <d v="2023-10-07T00:00:00"/>
    <s v="OUTUBRO"/>
    <d v="2023-10-11T00:00:00"/>
    <s v="out/2023"/>
    <s v="OUTUBRO"/>
    <n v="2023"/>
    <d v="2023-10-11T00:00:00"/>
    <s v="FALTA"/>
    <s v="FALTA SEM JUSTIFICATIVA NO DIA 07/10/2023."/>
  </r>
  <r>
    <n v="293"/>
    <s v="VICTOR RODRIGO DE QUEIROZ OLIVEIRA"/>
    <n v="2770002866"/>
    <s v="NORMAL"/>
    <d v="2022-05-14T00:00:00"/>
    <s v="1ANOS, 4MESES"/>
    <n v="1.4305555555555556"/>
    <s v="01 A 03 ANOS"/>
    <s v="MOTORISTA"/>
    <s v="COLETA DOMICILIAR"/>
    <s v="DIURNO"/>
    <s v="ANA CAROLINA"/>
    <x v="0"/>
    <d v="2023-10-11T00:00:00"/>
    <s v="OUTUBRO"/>
    <d v="2023-10-13T00:00:00"/>
    <s v="out/2023"/>
    <s v="OUTUBRO"/>
    <n v="2023"/>
    <d v="2023-10-13T00:00:00"/>
    <s v="EXCESSO DE VELOCIDADE"/>
    <s v="EXCEDEU O LIMITE DE VELOCIDADE PERMITIDO PELA EMPRESA CHEGANDO A 72 KM/H DIA 11/10/2023 AS 15:59H NO CC 700."/>
  </r>
  <r>
    <n v="294"/>
    <s v="JAIMISON JORGE DA COSTA ROCHA"/>
    <n v="2770002812"/>
    <s v="NORMAL"/>
    <d v="2022-04-04T00:00:00"/>
    <s v="1ANOS, 6MESES"/>
    <n v="1.55"/>
    <s v="01 A 03 ANOS"/>
    <s v="AGENTE DE COLETA"/>
    <s v="COLETA DOMICILIAR"/>
    <s v="NOTURNO"/>
    <s v="JOÃO PEDRO"/>
    <x v="0"/>
    <d v="2023-10-14T00:00:00"/>
    <s v="OUTUBRO"/>
    <d v="2023-10-16T00:00:00"/>
    <s v="out/2023"/>
    <s v="OUTUBRO"/>
    <n v="2023"/>
    <d v="2023-10-16T00:00:00"/>
    <s v="FALTA"/>
    <s v="FALTA SEM JUSTIFICATIVA NO DIA 14/10/2023."/>
  </r>
  <r>
    <n v="295"/>
    <s v="LEONARDO DA SILVA ROCHA"/>
    <n v="2770002963"/>
    <s v="NORMAL"/>
    <d v="2022-10-06T00:00:00"/>
    <s v="1ANOS, 0MESES"/>
    <n v="1.0333333333333334"/>
    <s v="01 A 03 ANOS"/>
    <s v="AGENTE DE COLETA"/>
    <s v="COLETA DOMICILIAR"/>
    <s v="NOTURNO"/>
    <s v="JOÃO PEDRO"/>
    <x v="0"/>
    <d v="2023-10-13T00:00:00"/>
    <s v="OUTUBRO"/>
    <d v="2023-10-16T00:00:00"/>
    <s v="out/2023"/>
    <s v="OUTUBRO"/>
    <n v="2023"/>
    <d v="2023-10-16T00:00:00"/>
    <s v="FALTA"/>
    <s v="FALTA SEM JUSTIFICATIVA NO DIA 13/10/2023."/>
  </r>
  <r>
    <n v="296"/>
    <s v="VALCICLE ARAGAO DE MELO"/>
    <n v="2770002776"/>
    <s v="NORMAL"/>
    <d v="2022-02-02T00:00:00"/>
    <s v="1ANOS, 8MESES"/>
    <n v="1.7222222222222223"/>
    <s v="01 A 03 ANOS"/>
    <s v="AGENTE DE COLETA"/>
    <s v="COLETA DOMICILIAR"/>
    <s v="NOTURNO"/>
    <s v="JOÃO PEDRO"/>
    <x v="1"/>
    <d v="2023-10-15T00:00:00"/>
    <s v="OUTUBRO"/>
    <d v="2023-10-16T00:00:00"/>
    <s v="out/2023"/>
    <s v="OUTUBRO"/>
    <n v="2023"/>
    <d v="2023-10-17T00:00:00"/>
    <s v="FALTA"/>
    <s v="FALTA SEM JUSTIFICATIVA NO DIA 15/10/2023."/>
  </r>
  <r>
    <n v="297"/>
    <s v="MAURICIO DE SOUZA ANDRADE"/>
    <n v="2770002675"/>
    <s v="NORMAL"/>
    <d v="2021-10-03T00:00:00"/>
    <s v="2ANOS, 0MESES"/>
    <n v="2.0583333333333331"/>
    <s v="01 A 03 ANOS"/>
    <s v="AGENTE DE COLETA"/>
    <s v="COLETA DOMICILIAR"/>
    <s v="DIURNO"/>
    <s v="ANA CAROLINA"/>
    <x v="1"/>
    <d v="2023-10-14T00:00:00"/>
    <s v="OUTUBRO"/>
    <d v="2023-10-18T00:00:00"/>
    <s v="out/2023"/>
    <s v="OUTUBRO"/>
    <n v="2023"/>
    <d v="2023-10-19T00:00:00"/>
    <s v="EMBRIAGUEZ"/>
    <s v="AGENTE DE COLETA FOI IDENTIFICADO POR UM MOTORISTA QUE ESTAVA NO CAMINHO DO ATERRO ANDANDO NO SETOR DE COLETA 90.1.177 - MUTIRÃO DESORIENTADO NO DIA 14/10/2023, FISCAL FOI ACIONADO E CHEGANDO AO LOCAL ENCONTROU O AGENTE DE COLETA DEITADO NA CALÇADA CONSTATANDO QUE ENCONTRAVA-SE EMBRIAGADO SEM NENHUMA CONDIÇÃO DE EXPLICAR O OCORRIDO."/>
  </r>
  <r>
    <n v="298"/>
    <s v="WENDELL FRANCO GIBSON "/>
    <n v="2770002973"/>
    <s v="NORMAL"/>
    <d v="2022-11-03T00:00:00"/>
    <s v="0ANOS, 11MESES"/>
    <n v="0.97222222222222221"/>
    <s v="0 A 01 ANO"/>
    <s v="AGENTE DE COLETA"/>
    <s v="COLETA DOMICILIAR"/>
    <s v="DIURNO"/>
    <s v="JOÃO PEDRO"/>
    <x v="0"/>
    <d v="2023-10-19T00:00:00"/>
    <s v="OUTUBRO"/>
    <d v="2023-10-19T00:00:00"/>
    <s v="out/2023"/>
    <s v="OUTUBRO"/>
    <n v="2023"/>
    <d v="2023-10-19T00:00:00"/>
    <s v="QUEBRA DE PROCEDIMENTO"/>
    <s v="COLABORADOR NÃO COMPARECEU NA EMPRESA PARA FAZER OS DEVIDOS PROCEDIMENTOS APÓS SOFRER UM ACIDENTE COM FURADA DE AGULHA."/>
  </r>
  <r>
    <n v="299"/>
    <s v="WESLLEY RICHARD DE SOUZA DANTAS"/>
    <n v="2770003113"/>
    <s v="NORMAL"/>
    <d v="2023-03-16T00:00:00"/>
    <s v="0ANOS, 7MESES"/>
    <n v="0.60555555555555551"/>
    <s v="0 A 01 ANO"/>
    <s v="AGENTE DE COLETA"/>
    <s v="COLETA DOMICILIAR"/>
    <s v="NOTURNO"/>
    <s v="JOÃO PEDRO"/>
    <x v="0"/>
    <d v="2023-10-20T00:00:00"/>
    <s v="OUTUBRO"/>
    <d v="2023-10-21T00:00:00"/>
    <s v="out/2023"/>
    <s v="OUTUBRO"/>
    <n v="2023"/>
    <d v="2023-10-21T00:00:00"/>
    <s v="FALTA"/>
    <s v="COLABORADOR FALTOU NO DIA 20/10 E NÃO APRESENTOU NENHUMA JUSTIFICATIVA."/>
  </r>
  <r>
    <n v="300"/>
    <s v="EDILSON LUIZ CARVALHO DE SOUZA"/>
    <n v="2770002769"/>
    <s v="NORMAL"/>
    <d v="2022-01-17T00:00:00"/>
    <s v="1ANOS, 9MESES"/>
    <n v="1.7805555555555554"/>
    <s v="01 A 03 ANOS"/>
    <s v="AGENTE DE COLETA"/>
    <s v="COLETA DOMICILIAR"/>
    <s v="NOTURNO"/>
    <s v="JOÃO PEDRO"/>
    <x v="0"/>
    <d v="2023-10-20T00:00:00"/>
    <s v="OUTUBRO"/>
    <d v="2023-10-21T00:00:00"/>
    <s v="out/2023"/>
    <s v="OUTUBRO"/>
    <n v="2023"/>
    <d v="2023-10-21T00:00:00"/>
    <s v="FALTA"/>
    <s v="COLABORADOR FALTOU NO DIA 20/10 E NÃO APRESENTOU NENHUMA JUSTIFICATIVA."/>
  </r>
  <r>
    <n v="301"/>
    <s v="FELIPE DA COSTA RAMOS "/>
    <n v="2770003039"/>
    <s v="PARCIAL"/>
    <d v="2022-12-07T00:00:00"/>
    <s v="0ANOS, 10MESES"/>
    <n v="0.88055555555555554"/>
    <s v="0 A 01 ANO"/>
    <s v="AGENTE DE COLETA"/>
    <s v="COLETA DOMICILIAR"/>
    <s v="DIURNO"/>
    <s v="ANA CAROLINA"/>
    <x v="0"/>
    <d v="2023-10-20T00:00:00"/>
    <s v="OUTUBRO"/>
    <d v="2023-10-21T00:00:00"/>
    <s v="out/2023"/>
    <s v="OUTUBRO"/>
    <n v="2023"/>
    <d v="2023-10-21T00:00:00"/>
    <s v="FALTA"/>
    <s v="FALTA INSJUSTIFICADA EM 20/10/2023, ALEGA PROBLEMAS PESSOAIS."/>
  </r>
  <r>
    <n v="302"/>
    <s v="FABIO CURITIMA ORTIZ"/>
    <n v="2770002926"/>
    <s v="NORMAL"/>
    <d v="2022-09-01T00:00:00"/>
    <s v="1ANOS, 1MESES"/>
    <n v="1.1527777777777777"/>
    <s v="01 A 03 ANOS"/>
    <s v="AGENTE DE COLETA"/>
    <s v="COLETA DOMICILIAR"/>
    <s v="NOTURNO"/>
    <s v="JOÃO PEDRO"/>
    <x v="1"/>
    <d v="2023-10-21T00:00:00"/>
    <s v="OUTUBRO"/>
    <d v="2023-10-22T00:00:00"/>
    <s v="out/2023"/>
    <s v="OUTUBRO"/>
    <n v="2023"/>
    <d v="2023-10-25T00:00:00"/>
    <s v="FALTA"/>
    <s v="COLABORADOR FALTOU NO DIA 21/10 E NÃO APRESENTOU NENHUMA JUSTIFICATIVA."/>
  </r>
  <r>
    <n v="303"/>
    <s v="JEFFERSON PEREIRA LIMA"/>
    <n v="2770002205"/>
    <s v="NORMAL"/>
    <d v="2020-02-04T00:00:00"/>
    <s v="3ANOS, 8MESES"/>
    <n v="3.7666666666666666"/>
    <s v="03 A 05 ANOS"/>
    <s v="AGENTE DE COLETA"/>
    <s v="COLETA DOMICILIAR"/>
    <s v="DIURNO"/>
    <s v="ANA CAROLINA"/>
    <x v="0"/>
    <d v="2023-10-22T00:00:00"/>
    <s v="OUTUBRO"/>
    <d v="2023-10-23T00:00:00"/>
    <s v="out/2023"/>
    <s v="OUTUBRO"/>
    <n v="2023"/>
    <d v="2023-10-23T00:00:00"/>
    <s v="FALTA"/>
    <s v="COLABORADOR FALTOU NO DIA 22/10/2023 SEM NENHUMA JUSTIFICATIVA."/>
  </r>
  <r>
    <n v="304"/>
    <s v="EDUARDO SILVA DE OLIVEIRA"/>
    <n v="2770003044"/>
    <s v="NORMAL"/>
    <d v="2022-12-07T00:00:00"/>
    <s v="0ANOS, 10MESES"/>
    <n v="0.8833333333333333"/>
    <s v="0 A 01 ANO"/>
    <s v="AGENTE DE COLETA"/>
    <s v="COLETA DOMICILIAR"/>
    <s v="NOTURNO"/>
    <s v="JOÃO PEDRO"/>
    <x v="1"/>
    <d v="2023-10-21T00:00:00"/>
    <s v="OUTUBRO"/>
    <d v="2023-10-23T00:00:00"/>
    <s v="out/2023"/>
    <s v="OUTUBRO"/>
    <n v="2023"/>
    <d v="2023-10-30T00:00:00"/>
    <s v="FALTA"/>
    <s v="COLABORADOR FALTOU NO DIA 21/10 E NÃO APRESENTOU NENHUMA JUSTIFICATIVA."/>
  </r>
  <r>
    <n v="305"/>
    <s v="LUIZ FERNANDO MENDES VIANA"/>
    <n v="2770003038"/>
    <s v="NORMAL"/>
    <d v="2022-12-07T00:00:00"/>
    <s v="0ANOS, 10MESES"/>
    <n v="0.8833333333333333"/>
    <s v="0 A 01 ANO"/>
    <s v="AGENTE DE COLETA"/>
    <s v="COLETA DOMICILIAR"/>
    <s v="NOTURNO"/>
    <s v="JOÃO PEDRO"/>
    <x v="1"/>
    <d v="2023-10-21T00:00:00"/>
    <s v="OUTUBRO"/>
    <d v="2023-10-23T00:00:00"/>
    <s v="out/2023"/>
    <s v="OUTUBRO"/>
    <n v="2023"/>
    <d v="2023-10-26T00:00:00"/>
    <s v="FALTA"/>
    <s v="COLABORADOR FALTOU NO DIA 21/10 E NÃO APRESENTOU NENHUMA JUSTIFICATIVA."/>
  </r>
  <r>
    <n v="306"/>
    <s v="BRUNO OLIVEIRA RUBEM"/>
    <n v="2770003159"/>
    <s v="PARCIAL"/>
    <d v="2023-05-17T00:00:00"/>
    <s v="0ANOS, 5MESES"/>
    <n v="0.43888888888888888"/>
    <s v="0 A 01 ANO"/>
    <s v="AGENTE DE COLETA"/>
    <s v="COLETA DOMICILIAR"/>
    <s v="NOTURNO"/>
    <s v="JOÃO PEDRO"/>
    <x v="1"/>
    <d v="2023-10-22T00:00:00"/>
    <s v="OUTUBRO"/>
    <d v="2023-10-25T00:00:00"/>
    <s v="out/2023"/>
    <s v="OUTUBRO"/>
    <n v="2023"/>
    <d v="2023-10-26T00:00:00"/>
    <s v="FALTA"/>
    <s v="COLABORADOR FALTOU NO DIA 22/10 E NÃO APRESENTOU NENHUMA JUSTIFICATIVA."/>
  </r>
  <r>
    <n v="307"/>
    <s v="MAURICIO DE SOUZA ANDRADE"/>
    <n v="2770002675"/>
    <s v="NORMAL"/>
    <d v="2021-10-13T00:00:00"/>
    <s v="2ANOS, 0MESES"/>
    <n v="2.0611111111111109"/>
    <s v="01 A 03 ANOS"/>
    <s v="AGENTE DE COLETA"/>
    <s v="COLETA DOMICILIAR"/>
    <s v="DIURNO"/>
    <s v="ANA CAROLINA"/>
    <x v="1"/>
    <d v="2023-10-25T00:00:00"/>
    <s v="OUTUBRO"/>
    <d v="2023-10-26T00:00:00"/>
    <s v="out/2023"/>
    <s v="OUTUBRO"/>
    <n v="2023"/>
    <d v="2023-10-27T00:00:00"/>
    <s v="INSUBORDINAÇÃO"/>
    <s v="COLABORADOR FOI SOLICITADO QUE DESSE UM APOIO NO SETOR 90.1.126 PETROS NA DATA DE ONTEM 25/10/2023, POIS A SUA ROTA 90.1.178 - NS° DE FATIMA JÁ HAVIA SIDO CONCLUIDA E O CC POSSUIA ESPAÇO E AINDA ESTAVA DENTRO DO HORÁRIO DE TRABALHO (SEM HORA EXCEDIDA), PORÉM HOUVE A RECUSA POR PARTE DO COLABORADOR SEM JUSTIFICATIVA PRÉVIA, POIS AO FINALIZAR SUA ROTA O MESMO PEGOU SEUS PERTENCES E DESCEU O CC SEM CUMPRIR O COMANDO DO ANALISTA EM RETORNAR A GARVAGEM."/>
  </r>
  <r>
    <n v="308"/>
    <s v="GABRIEL SOUZA DA SILVA"/>
    <n v="2770002994"/>
    <s v="NORMAL"/>
    <d v="2022-11-03T00:00:00"/>
    <s v="0ANOS, 11MESES"/>
    <n v="0.9916666666666667"/>
    <s v="0 A 01 ANO"/>
    <s v="AGENTE DE COLETA"/>
    <s v="COLETA DOMICILIAR"/>
    <s v="DIURNO"/>
    <s v="ANA CAROLINA"/>
    <x v="0"/>
    <d v="2023-10-26T00:00:00"/>
    <s v="OUTUBRO"/>
    <d v="2023-10-26T00:00:00"/>
    <s v="out/2023"/>
    <s v="OUTUBRO"/>
    <n v="2023"/>
    <d v="2023-10-26T00:00:00"/>
    <s v="QUEBRA DE PROCEDIMENTO"/>
    <s v="COLABORADOR IDENTIFICADO NO SETOR 90.1.183 TANCREDO NEVES, USANDO O FARDAMENTO DE FORMA INDEVIDA (CALÇA POR DENTRO DAS MEIAS), SITUAÇÃO JÁ PONTUADA COM ESSE COLABORADOR POR MAIS DE 2 VEZES EM VISTA NO SETOR."/>
  </r>
  <r>
    <n v="309"/>
    <s v="LUIS ARMANDO DA SILVA FREITAS JUNIOR"/>
    <n v="2770003161"/>
    <s v="NORMAL"/>
    <d v="2023-05-17T00:00:00"/>
    <s v="0ANOS, 5MESES"/>
    <n v="0.46111111111111114"/>
    <s v="0 A 01 ANO"/>
    <s v="FISCAL DE OPERAÇÕES PL"/>
    <s v="TRAFEGO"/>
    <s v="NOTURNO"/>
    <s v="LUIZ HENRIQUE"/>
    <x v="0"/>
    <d v="2023-10-30T00:00:00"/>
    <s v="OUTUBRO"/>
    <d v="2023-10-30T00:00:00"/>
    <s v="out/2023"/>
    <s v="OUTUBRO"/>
    <n v="2023"/>
    <d v="2023-10-30T00:00:00"/>
    <s v="QUEBRA DE PROCEDIMENTO"/>
    <s v="CONFORME JÁ PONTUADO NOS DIAS 30.08.2023 E 30.09.2023, ONTEM DIA 30.10.2023 OCORREU UM SINISTRO GOL DA FISCALIZAÇÃO ONDE NOVAMENTE FOI PONTUADO NO GRUPO OS REGISTROS DE FOTOS, FICHA DE ACIDENTE E DEPOIMENTO."/>
  </r>
  <r>
    <n v="310"/>
    <s v="SERGIO RICARDO DOS SANTOS NASCIMENTO"/>
    <n v="2770002534"/>
    <s v="NORMAL"/>
    <d v="2021-05-10T00:00:00"/>
    <s v="2ANOS, 5MESES"/>
    <n v="2.5027777777777778"/>
    <s v="01 A 03 ANOS"/>
    <s v="MOTORISTA"/>
    <s v="COLETA DOMICILIAR"/>
    <s v="DIURNO"/>
    <s v="ANA CAROLINA"/>
    <x v="0"/>
    <d v="2023-10-28T00:00:00"/>
    <s v="OUTUBRO"/>
    <d v="2023-10-30T00:00:00"/>
    <s v="out/2023"/>
    <s v="OUTUBRO"/>
    <n v="2023"/>
    <d v="2023-10-30T00:00:00"/>
    <s v="EXCESSO DE VELOCIDADE"/>
    <s v="EXCEDEU A O LIMITE DE VELOCIDADE OERMITIDO PELA EMPRESA, CHEGANDO A 72 KM NO DIA 28/10 AS 10:09 NO CC 701."/>
  </r>
  <r>
    <n v="311"/>
    <s v="GERALDO AILTON MARTINS GUIMARAES"/>
    <n v="2770002071"/>
    <s v="NORMAL"/>
    <d v="2019-06-03T00:00:00"/>
    <s v="4ANOS, 4MESES"/>
    <n v="4.4749999999999996"/>
    <s v="03 A 05 ANOS"/>
    <s v="MOTORISTA"/>
    <s v="COLETA DOMICILIAR"/>
    <s v="NOTURNO"/>
    <s v="ANA CAROLINA"/>
    <x v="0"/>
    <d v="2023-10-31T00:00:00"/>
    <s v="OUTUBRO"/>
    <d v="2023-10-31T00:00:00"/>
    <s v="out/2023"/>
    <s v="OUTUBRO"/>
    <n v="2023"/>
    <d v="2023-10-31T00:00:00"/>
    <s v="EXCESSO DE VELOCIDADE"/>
    <s v="EXCEDEU A VELOCIDADE PERMITIDO PELA EMPRESA, CHEGANDO A 72 KM DIA 30/10 AS 10:58H."/>
  </r>
  <r>
    <n v="312"/>
    <s v="FABIO CURITIMA ORTIZ"/>
    <n v="2770002926"/>
    <s v="NORMAL"/>
    <d v="2022-09-01T00:00:00"/>
    <s v="1ANOS, 2MESES"/>
    <n v="1.1833333333333333"/>
    <s v="01 A 03 ANOS"/>
    <s v="AGENTE DE COLETA"/>
    <s v="COLETA DOMICILIAR"/>
    <s v="NOTURNO"/>
    <s v="JOÃO PEDRO"/>
    <x v="1"/>
    <d v="2023-11-01T00:00:00"/>
    <s v="NOVEMBRO"/>
    <d v="2023-11-02T00:00:00"/>
    <s v="nov/2023"/>
    <s v="NOVEMBRO"/>
    <n v="2023"/>
    <d v="2023-11-07T00:00:00"/>
    <s v="FALTA"/>
    <s v="COLABORADOR FALTOU NO DIA 01/11 E NÃO APRESENTOU NENHUMA JUSTIFICATIVA."/>
  </r>
  <r>
    <n v="313"/>
    <s v="WESLLEY DOS SANTOS CORDEIRO"/>
    <n v="2770003100"/>
    <s v="NORMAL"/>
    <d v="2023-03-08T00:00:00"/>
    <s v="0ANOS, 7MESES"/>
    <n v="0.66388888888888886"/>
    <s v="0 A 01 ANO"/>
    <s v="AGENTE DE COLETA"/>
    <s v="COLETA DOMICILIAR"/>
    <s v="NOTURNO"/>
    <s v="JOÃO PEDRO"/>
    <x v="1"/>
    <d v="2023-11-02T00:00:00"/>
    <s v="NOVEMBRO"/>
    <d v="2023-11-02T00:00:00"/>
    <s v="nov/2023"/>
    <s v="NOVEMBRO"/>
    <n v="2023"/>
    <d v="2023-11-03T00:00:00"/>
    <s v="QUEBRA DE PROCEDIMENTO"/>
    <s v="AO REALIZAR O ROTEIRO NO DIA 02/11 O COLABORADOR INFRINGIU O CÓDIGO DE CONDUTA AO IR AS VIAS DE FATO COM SEU COLEGA DE TRABALHO."/>
  </r>
  <r>
    <n v="314"/>
    <s v="CRISTIANO SOARES DUARTE"/>
    <n v="2770003246"/>
    <s v="PARCIAL"/>
    <d v="2023-10-13T00:00:00"/>
    <s v="0ANOS, 0MESES"/>
    <n v="6.1111111111111109E-2"/>
    <s v="0 A 01 ANO"/>
    <s v="AGENTE DE COLETA"/>
    <s v="COLETA DOMICILIAR"/>
    <s v="DIURNO"/>
    <s v="ANA CAROLINA"/>
    <x v="0"/>
    <d v="2023-11-04T00:00:00"/>
    <s v="NOVEMBRO"/>
    <d v="2023-11-04T00:00:00"/>
    <s v="nov/2023"/>
    <s v="NOVEMBRO"/>
    <n v="2023"/>
    <d v="2023-11-04T00:00:00"/>
    <s v="FALTA"/>
    <s v="FALTA INJUSTIFICADA EM 04/11/2023."/>
  </r>
  <r>
    <n v="315"/>
    <s v="JORGE ENRIQUE RODRIGUEZ IZQUIEL"/>
    <n v="2770002496"/>
    <s v="NORMAL"/>
    <d v="2021-04-05T00:00:00"/>
    <s v="2ANOS, 6MESES"/>
    <n v="2.6194444444444445"/>
    <s v="01 A 03 ANOS"/>
    <s v="AGENTE DE COLETA"/>
    <s v="COLETA DOMICILIAR"/>
    <s v="DIURNO"/>
    <s v="ANA CAROLINA"/>
    <x v="0"/>
    <d v="2023-11-04T00:00:00"/>
    <s v="NOVEMBRO"/>
    <d v="2023-11-06T00:00:00"/>
    <s v="nov/2023"/>
    <s v="NOVEMBRO"/>
    <n v="2023"/>
    <d v="2023-11-06T00:00:00"/>
    <s v="FALTA"/>
    <s v="FALTA INJUSTIFICADA EM 04/11/2023."/>
  </r>
  <r>
    <n v="316"/>
    <s v="MARIANO PEREIRA DOS REIS"/>
    <n v="2770003166"/>
    <s v="NORMAL"/>
    <d v="2023-06-01T00:00:00"/>
    <s v="0ANOS, 5MESES"/>
    <n v="0.43333333333333335"/>
    <s v="0 A 01 ANO"/>
    <s v="AGENTE DE COLETA"/>
    <s v="COLETA DOMICILIAR"/>
    <s v="DIURNO"/>
    <s v="ANA CAROLINA"/>
    <x v="0"/>
    <d v="2023-11-04T00:00:00"/>
    <s v="NOVEMBRO"/>
    <d v="2023-11-06T00:00:00"/>
    <s v="nov/2023"/>
    <s v="NOVEMBRO"/>
    <n v="2023"/>
    <d v="2023-11-06T00:00:00"/>
    <s v="FALTA"/>
    <s v="FALTA INJUSTIFICADA EM 04/11/2023."/>
  </r>
  <r>
    <n v="317"/>
    <s v="ISAQUE FERNANDES DA CRUZ"/>
    <n v="2770002827"/>
    <s v="NORMAL"/>
    <d v="2022-05-02T00:00:00"/>
    <s v="1ANOS, 6MESES"/>
    <n v="1.5305555555555554"/>
    <s v="01 A 03 ANOS"/>
    <s v="AGENTE DE COLETA"/>
    <s v="COLETA DOMICILIAR"/>
    <s v="DIURNO"/>
    <s v="ANA CAROLINA"/>
    <x v="1"/>
    <d v="2023-11-04T00:00:00"/>
    <s v="NOVEMBRO"/>
    <d v="2023-11-06T00:00:00"/>
    <s v="nov/2023"/>
    <s v="NOVEMBRO"/>
    <n v="2023"/>
    <d v="2023-11-11T00:00:00"/>
    <s v="FALTA"/>
    <s v="FATA INJUSTIFICADA EM 02/11 E 04/11/2023, ALEGA TER IDO BUSCAR ATENDIMENTO, PORÉM NÃO APRESENTOU DOCUMENTO QUE JUSTIFIQUE AUSÊNCIA."/>
  </r>
  <r>
    <n v="318"/>
    <s v="GABRIEL MARTINS RIBEIRO"/>
    <n v="2770003184"/>
    <s v="PARCIAL"/>
    <d v="2023-07-03T00:00:00"/>
    <s v="0ANOS, 4MESES"/>
    <n v="0.3527777777777778"/>
    <s v="0 A 01 ANO"/>
    <s v="AGENTE DE COLETA"/>
    <s v="COLETA DOMICILIAR"/>
    <s v="DIURNO"/>
    <s v="ANA CAROLINA"/>
    <x v="0"/>
    <d v="2023-11-07T00:00:00"/>
    <s v="NOVEMBRO"/>
    <d v="2023-11-10T00:00:00"/>
    <s v="nov/2023"/>
    <s v="NOVEMBRO"/>
    <n v="2023"/>
    <d v="2023-11-10T00:00:00"/>
    <s v="FALTA"/>
    <s v="FALTA INJUSTIFICADA NOS DIAS 06/11 E 07/11/2023."/>
  </r>
  <r>
    <n v="319"/>
    <s v="LUCAS CARLOS DA SILVA E SOUSA "/>
    <n v="2770003079"/>
    <s v="NORMAL"/>
    <d v="2023-02-09T00:00:00"/>
    <s v="0ANOS, 8MESES"/>
    <n v="0.75555555555555554"/>
    <s v="0 A 01 ANO"/>
    <s v="MOTORISTA"/>
    <s v="COLETA DOMICILIAR"/>
    <s v="NOTURNO"/>
    <s v="JOÃO PEDRO"/>
    <x v="0"/>
    <d v="2023-11-08T00:00:00"/>
    <s v="NOVEMBRO"/>
    <d v="2023-11-10T00:00:00"/>
    <s v="nov/2023"/>
    <s v="NOVEMBRO"/>
    <n v="2023"/>
    <d v="2023-11-10T00:00:00"/>
    <s v="QUEBRA DE PROCEDIMENTO"/>
    <s v="NO DIA 08/11/2023 POR VOLTA DAS 20 HORAS, HOUVE UMA DISCUSSÃO ENTRE O AGENTE DE COLETA VINICIO E O MOTORISTA LUCAS, ONDE AMBOS SE AMEAÇARAM."/>
  </r>
  <r>
    <n v="320"/>
    <s v="FELIPE MAGNO DE SOUZA PALMERE"/>
    <n v="2770003223"/>
    <s v="PARCIAL"/>
    <d v="2023-09-13T00:00:00"/>
    <s v="0ANOS, 1MESES"/>
    <n v="0.15833333333333333"/>
    <s v="0 A 01 ANO"/>
    <s v="AGENTE DE COLETA"/>
    <s v="COLETA DOMICILIAR"/>
    <s v="DIURNO"/>
    <s v="ANA CAROLINA"/>
    <x v="0"/>
    <d v="2023-11-09T00:00:00"/>
    <s v="NOVEMBRO"/>
    <d v="2023-11-10T00:00:00"/>
    <s v="nov/2023"/>
    <s v="NOVEMBRO"/>
    <n v="2023"/>
    <d v="2023-11-10T00:00:00"/>
    <s v="FALTA"/>
    <s v="FALTA INJUSTIFICADA EM 09/11/2023."/>
  </r>
  <r>
    <n v="321"/>
    <s v="ITALO MAHEUS ROOL FERREIRA"/>
    <n v="2770002974"/>
    <s v="NORMAL"/>
    <d v="2022-11-03T00:00:00"/>
    <s v="1ANOS, 0MESES"/>
    <n v="1.0305555555555554"/>
    <s v="01 A 03 ANOS"/>
    <s v="AGENTE DE COLETA"/>
    <s v="COLETA DOMICILIAR"/>
    <s v="NOTURNO"/>
    <s v="JOÃO PEDRO"/>
    <x v="0"/>
    <d v="2023-11-09T00:00:00"/>
    <s v="NOVEMBRO"/>
    <d v="2023-11-11T00:00:00"/>
    <s v="nov/2023"/>
    <s v="NOVEMBRO"/>
    <n v="2023"/>
    <d v="2023-11-11T00:00:00"/>
    <s v="FALTA"/>
    <s v="FALTA INJUSTIFICADA EM 09/11/2023."/>
  </r>
  <r>
    <n v="322"/>
    <s v="VINICIO CARVALHO DE FREITAS"/>
    <n v="2770002979"/>
    <s v="NORMAL"/>
    <d v="2023-11-03T00:00:00"/>
    <s v="0ANOS, 0MESES"/>
    <n v="2.2222222222222223E-2"/>
    <s v="0 A 01 ANO"/>
    <s v="AGENTE DE COLETA"/>
    <s v="COLETA DOMICILIAR"/>
    <s v="NOTURNO"/>
    <s v="JOÃO PEDRO"/>
    <x v="0"/>
    <d v="2023-11-11T00:00:00"/>
    <s v="NOVEMBRO"/>
    <d v="2023-11-13T00:00:00"/>
    <s v="nov/2023"/>
    <s v="NOVEMBRO"/>
    <n v="2023"/>
    <d v="2023-11-13T00:00:00"/>
    <s v="FALTA"/>
    <s v="FALTA SEM JUSTIFICATIVA NOS DIAS 10/11 E 11/11."/>
  </r>
  <r>
    <n v="323"/>
    <s v="WANDERSON LIMA DA PALMA"/>
    <n v="2770002861"/>
    <s v="NORMAL"/>
    <d v="2022-05-14T00:00:00"/>
    <s v="1ANOS, 5MESES"/>
    <n v="1.5222222222222221"/>
    <s v="01 A 03 ANOS"/>
    <s v="AGENTE DE COLETA"/>
    <s v="COLETA DOMICILIAR"/>
    <s v="DIURNO"/>
    <s v="ANA CAROLINA"/>
    <x v="1"/>
    <d v="2023-11-13T00:00:00"/>
    <s v="NOVEMBRO"/>
    <d v="2023-11-14T00:00:00"/>
    <s v="nov/2023"/>
    <s v="NOVEMBRO"/>
    <n v="2023"/>
    <d v="2023-11-15T00:00:00"/>
    <s v="FALTA"/>
    <s v="FALTA INJUSTIFICADA EM 13/11/2023, ALEGAS PROBLEMAS PESSOAIS."/>
  </r>
  <r>
    <n v="324"/>
    <s v="DENNER ROGER QUEIROZ DA SILVA"/>
    <n v="2770002835"/>
    <s v="NORMAL"/>
    <d v="2022-05-14T00:00:00"/>
    <s v="1ANOS, 5MESES"/>
    <n v="1.5222222222222221"/>
    <s v="01 A 03 ANOS"/>
    <s v="AGENTE DE COLETA"/>
    <s v="COLETA DOMICILIAR"/>
    <s v="NOTURNO"/>
    <s v="JOÃO PEDRO"/>
    <x v="1"/>
    <d v="2023-11-13T00:00:00"/>
    <s v="NOVEMBRO"/>
    <d v="2023-11-14T00:00:00"/>
    <s v="nov/2023"/>
    <s v="NOVEMBRO"/>
    <n v="2023"/>
    <d v="2023-11-15T00:00:00"/>
    <s v="FALTA"/>
    <s v="COLABORADOR FALTOU SEM JUSTIFICATIVA DOS DIAS 03/11 AO DIA 13/11."/>
  </r>
  <r>
    <n v="325"/>
    <s v="RAYNAN BRUNO SILVA FERREIRA"/>
    <n v="2770003053"/>
    <s v="NORMAL"/>
    <d v="2023-01-12T00:00:00"/>
    <s v="0ANOS, 10MESES"/>
    <n v="0.85277777777777775"/>
    <s v="0 A 01 ANO"/>
    <s v="AGENTE DE COLETA"/>
    <s v="COLETA DOMICILIAR"/>
    <s v="DIURNO"/>
    <s v="ANA CAROLINA"/>
    <x v="0"/>
    <d v="2023-11-15T00:00:00"/>
    <s v="NOVEMBRO"/>
    <d v="2023-11-15T00:00:00"/>
    <s v="nov/2023"/>
    <s v="NOVEMBRO"/>
    <n v="2023"/>
    <d v="2023-11-15T00:00:00"/>
    <s v="QUEBRA DE PROCEDIMENTO"/>
    <s v="AGENTE DE COLETA FAZENDO ARRUMAÇÃO DE LIXO NO SETOR 90.1.177 - MUTIRÃO, GERANDO RECLAMAÇÕES DE MUNICIPES."/>
  </r>
  <r>
    <n v="326"/>
    <s v="DENIS RIBEIRO OTAPIASSIS."/>
    <n v="2770003191"/>
    <s v="NORMAL"/>
    <d v="2023-07-06T00:00:00"/>
    <s v="0ANOS, 4MESES"/>
    <n v="0.36388888888888887"/>
    <s v="0 A 01 ANO"/>
    <s v="MOTORISTA"/>
    <s v="COLETA DOMICILIAR"/>
    <s v="DIURNO"/>
    <s v="ANA CAROLINA"/>
    <x v="0"/>
    <d v="2023-11-14T00:00:00"/>
    <s v="NOVEMBRO"/>
    <d v="2023-11-16T00:00:00"/>
    <s v="nov/2023"/>
    <s v="NOVEMBRO"/>
    <n v="2023"/>
    <d v="2023-11-16T00:00:00"/>
    <s v="EXCESSO DE VELOCIDADE"/>
    <s v="EXCEDEU O LIMITE DE VELOCIDADE PERMITIDO PELA EMPRESA, CHEGANDO A 77 KM NO DIA 14/11 AS 11:39H."/>
  </r>
  <r>
    <n v="327"/>
    <s v="DANIEL MACHADO DE SOUZA"/>
    <n v="2770002829"/>
    <s v="NORMAL"/>
    <d v="2022-05-02T00:00:00"/>
    <s v="1ANOS, 6MESES"/>
    <n v="1.5694444444444444"/>
    <s v="01 A 03 ANOS"/>
    <s v="AGENTE DE COLETA"/>
    <s v="COLETA DOMICILIAR"/>
    <s v="NOTURNO"/>
    <s v="JOÃO PEDRO"/>
    <x v="1"/>
    <d v="2023-11-18T00:00:00"/>
    <s v="NOVEMBRO"/>
    <d v="2023-11-20T00:00:00"/>
    <s v="nov/2023"/>
    <s v="NOVEMBRO"/>
    <n v="2023"/>
    <d v="2023-11-23T00:00:00"/>
    <s v="FALTA"/>
    <s v="COLABORADOR FALTOU SEM JUSTIFICATIVA DO DIA 13/11 AO DIA 18/11."/>
  </r>
  <r>
    <n v="328"/>
    <s v="ISAQUE FERNANDES DA CRUZ"/>
    <n v="2770002827"/>
    <s v="NORMAL"/>
    <d v="2022-05-02T00:00:00"/>
    <s v="1ANOS, 6MESES"/>
    <n v="1.5722222222222222"/>
    <s v="01 A 03 ANOS"/>
    <s v="AGENTE DE COLETA"/>
    <s v="COLETA DOMICILIAR"/>
    <s v="DIURNO"/>
    <s v="ANA CAROLINA"/>
    <x v="1"/>
    <d v="2023-11-19T00:00:00"/>
    <s v="NOVEMBRO"/>
    <d v="2023-11-21T00:00:00"/>
    <s v="nov/2023"/>
    <s v="NOVEMBRO"/>
    <n v="2023"/>
    <d v="2023-11-28T00:00:00"/>
    <s v="FALTA"/>
    <s v="FALTA INJUSTIFICADA NOS DIAS 18/11 E 19/11, COLABORADOR ALEGA MOTIVOS PESSOAIS."/>
  </r>
  <r>
    <n v="329"/>
    <s v="CRISTIEU SALES VIANA "/>
    <n v="2770003088"/>
    <s v="PARCIAL"/>
    <d v="2023-03-08T00:00:00"/>
    <s v="0ANOS, 8MESES"/>
    <n v="0.71111111111111114"/>
    <s v="0 A 01 ANO"/>
    <s v="AGENTE DE COLETA"/>
    <s v="COLETA DOMICILIAR"/>
    <s v="DIURNO"/>
    <s v="ANA CAROLINA"/>
    <x v="1"/>
    <d v="2023-11-19T00:00:00"/>
    <s v="NOVEMBRO"/>
    <d v="2023-11-24T00:00:00"/>
    <s v="nov/2023"/>
    <s v="NOVEMBRO"/>
    <n v="2023"/>
    <d v="2023-11-25T00:00:00"/>
    <s v="FALTA"/>
    <s v="FALTA INJUSTIFICADA DIA 19/11."/>
  </r>
  <r>
    <n v="330"/>
    <s v="JOÃO BATSTA FERREIRA DA SILVA"/>
    <n v="2770003226"/>
    <s v="PARCIAL"/>
    <d v="2023-09-13T00:00:00"/>
    <s v="0ANOS, 2MESES"/>
    <n v="0.18611111111111112"/>
    <s v="0 A 01 ANO"/>
    <s v="AGENTE DE COLETA"/>
    <s v="COLETA DOMICILIAR"/>
    <s v="DIURNO"/>
    <s v="ANA CAROLINA"/>
    <x v="0"/>
    <d v="2023-11-19T00:00:00"/>
    <s v="NOVEMBRO"/>
    <d v="2023-11-24T00:00:00"/>
    <s v="nov/2023"/>
    <s v="NOVEMBRO"/>
    <n v="2023"/>
    <d v="2023-11-24T00:00:00"/>
    <s v="FALTA"/>
    <s v="FALTA INJUSTIFICADA DIA 19/11."/>
  </r>
  <r>
    <n v="331"/>
    <s v="ADRIANO ROCHA DE PAULA"/>
    <n v="2770002055"/>
    <s v="NORMAL"/>
    <d v="2019-05-14T00:00:00"/>
    <s v="4ANOS, 6MESES"/>
    <n v="4.6083333333333334"/>
    <s v="03 A 05 ANOS"/>
    <s v="AGENTE DE COLETA"/>
    <s v="COLETA DOMICILIAR"/>
    <s v="DIURNO"/>
    <s v="ANA CAROLINA"/>
    <x v="1"/>
    <d v="2023-11-28T00:00:00"/>
    <s v="NOVEMBRO"/>
    <d v="2023-11-29T00:00:00"/>
    <s v="nov/2023"/>
    <s v="NOVEMBRO"/>
    <n v="2023"/>
    <d v="2023-12-06T00:00:00"/>
    <s v="FALTA"/>
    <s v="O COLABORADOR FALTOU NO DIA 28/11 SEM DOCUMENTO JUSTIFICADO, O MESMO INFORMOU QUE ESTAVA COM FEBRE."/>
  </r>
  <r>
    <n v="332"/>
    <s v="WENDELL FRANCO GIBSON "/>
    <n v="2770002973"/>
    <s v="NORMAL"/>
    <d v="2022-11-03T00:00:00"/>
    <s v="1ANOS, 0MESES"/>
    <n v="1.086111111111111"/>
    <s v="01 A 03 ANOS"/>
    <s v="AGENTE DE COLETA"/>
    <s v="COLETA DOMICILIAR"/>
    <s v="NOTURNO"/>
    <s v="JOÃO PEDRO"/>
    <x v="1"/>
    <d v="2023-11-29T00:00:00"/>
    <s v="NOVEMBRO"/>
    <d v="2023-11-29T00:00:00"/>
    <s v="nov/2023"/>
    <s v="NOVEMBRO"/>
    <n v="2023"/>
    <d v="2023-11-30T00:00:00"/>
    <s v="QUEBRA DE PROCEDIMENTO"/>
    <s v="NO DIA 29/11/2023 APÓS A FINALIZAÇÃO DO SETOR, O COLABORADOR SAIU DO ROTEIRO SEM A AUTORIZAÇÃO DA CHEFIA."/>
  </r>
  <r>
    <n v="333"/>
    <s v="IOMAR CASTRO DA COSTA JUNIOR"/>
    <n v="2770002470"/>
    <s v="NORMAL"/>
    <d v="2021-02-19T00:00:00"/>
    <s v="2ANOS, 9MESES"/>
    <n v="2.8055555555555554"/>
    <s v="01 A 03 ANOS"/>
    <s v="MOTORISTA"/>
    <s v="COLETA DOMICILIAR"/>
    <s v="DIURNO"/>
    <s v="ANA CAROLINA"/>
    <x v="0"/>
    <d v="2023-11-26T00:00:00"/>
    <s v="NOVEMBRO"/>
    <d v="2023-11-29T00:00:00"/>
    <s v="nov/2023"/>
    <s v="NOVEMBRO"/>
    <n v="2023"/>
    <d v="2023-11-29T00:00:00"/>
    <s v="EXCESSO DE VELOCIDADE"/>
    <s v="EXCEDEU O LIMITE DE VELOCIDADE NO DIA 26/11 CHEGANDO A 75 KM."/>
  </r>
  <r>
    <n v="334"/>
    <s v="WANDERSON LIMA DA PALMA"/>
    <n v="2770002861"/>
    <s v="NORMAL"/>
    <d v="2022-05-14T00:00:00"/>
    <s v="1ANOS, 6MESES"/>
    <n v="1.5666666666666667"/>
    <s v="01 A 03 ANOS"/>
    <s v="AGENTE DE COLETA"/>
    <s v="COLETA DOMICILIAR"/>
    <s v="DIURNO"/>
    <s v="ANA CAROLINA"/>
    <x v="1"/>
    <d v="2023-11-29T00:00:00"/>
    <s v="NOVEMBRO"/>
    <d v="2023-11-30T00:00:00"/>
    <s v="nov/2023"/>
    <s v="NOVEMBRO"/>
    <n v="2023"/>
    <d v="2023-12-01T00:00:00"/>
    <s v="FALTA"/>
    <s v="COLABORADOR FALTOU EM 29/11, ALEGA PROBLEMAS PESSOAIS."/>
  </r>
  <r>
    <n v="335"/>
    <s v="ELLERSON MIRANDA FERNANDES"/>
    <n v="2770003228"/>
    <s v="NORMAL"/>
    <d v="2023-09-13T00:00:00"/>
    <s v="0ANOS, 2MESES"/>
    <n v="0.20555555555555555"/>
    <s v="0 A 01 ANO"/>
    <s v="AGENTE DE COLETA"/>
    <s v="COLETA DOMICILIAR"/>
    <s v="NOTURNO"/>
    <s v="JOÃO PEDRO"/>
    <x v="1"/>
    <d v="2023-11-26T00:00:00"/>
    <s v="NOVEMBRO"/>
    <d v="2023-12-01T00:00:00"/>
    <s v="dez/2023"/>
    <s v="DEZEMBRO"/>
    <n v="2023"/>
    <d v="2023-12-04T00:00:00"/>
    <s v="FALTA"/>
    <s v="FALTA SEM JUSTIFICATIVA NO DIA 26/11/2023."/>
  </r>
  <r>
    <n v="336"/>
    <s v="ARIELSON DA SILVA PEREIRA"/>
    <n v="2770003097"/>
    <s v="NORMAL"/>
    <d v="2023-03-08T00:00:00"/>
    <s v="0ANOS, 8MESES"/>
    <n v="0.74444444444444446"/>
    <s v="0 A 01 ANO"/>
    <s v="AGENTE DE COLETA"/>
    <s v="COLETA DOMICILIAR"/>
    <s v="NOTURNO"/>
    <s v="JOÃO PEDRO"/>
    <x v="0"/>
    <d v="2023-12-01T00:00:00"/>
    <s v="DEZEMBRO"/>
    <d v="2023-12-02T00:00:00"/>
    <s v="dez/2023"/>
    <s v="DEZEMBRO"/>
    <n v="2023"/>
    <d v="2023-12-02T00:00:00"/>
    <s v="FALTA"/>
    <s v="FALTA SEM JUSTIFICATIVA NO DIA 01/12."/>
  </r>
  <r>
    <n v="337"/>
    <s v="ADEVALDO DE SOUZA GOMES"/>
    <n v="2770000317"/>
    <s v="NORMAL"/>
    <d v="2013-02-08T00:00:00"/>
    <s v="10ANOS, 9MESES"/>
    <n v="10.972222222222221"/>
    <s v="MAIS DE 5 ANOS"/>
    <s v="AGENTE DE COLETA"/>
    <s v="COLETA DOMICILIAR"/>
    <s v="DIURNO"/>
    <s v="ANA CAROLINA"/>
    <x v="0"/>
    <d v="2023-12-03T00:00:00"/>
    <s v="DEZEMBRO"/>
    <d v="2023-12-03T00:00:00"/>
    <s v="dez/2023"/>
    <s v="DEZEMBRO"/>
    <n v="2023"/>
    <d v="2023-12-03T00:00:00"/>
    <s v="INSUBORDINAÇÃO"/>
    <s v="COLABORADOR SE RECUSOU A CONCLUIR ROTEIRO 90.1.166 - OURO VERDE / COROADO NA REFERIDA DATA 03/12/2023, SEM JUSTIFICATIVA."/>
  </r>
  <r>
    <n v="338"/>
    <s v="LUIZ FERNANDO MENDES VIANA"/>
    <n v="2770003038"/>
    <s v="NORMAL"/>
    <d v="2022-12-07T00:00:00"/>
    <s v="0ANOS, 11MESES"/>
    <n v="1"/>
    <s v="01 A 03 ANOS"/>
    <s v="AGENTE DE COLETA"/>
    <s v="COLETA DOMICILIAR"/>
    <s v="NOTURNO"/>
    <s v="JOÃO PEDRO"/>
    <x v="1"/>
    <d v="2023-12-02T00:00:00"/>
    <s v="DEZEMBRO"/>
    <d v="2023-12-03T00:00:00"/>
    <s v="dez/2023"/>
    <s v="DEZEMBRO"/>
    <n v="2023"/>
    <d v="2023-12-08T00:00:00"/>
    <s v="FALTA"/>
    <s v="FALTA SEM JUSTIFICATIVA NOS DIAS 01/12 E 02/12."/>
  </r>
  <r>
    <n v="339"/>
    <s v="DIEGO BELTRAO TEIXEIRA"/>
    <n v="2770003273"/>
    <s v="PARCIAL"/>
    <d v="2023-11-17T00:00:00"/>
    <s v="0ANOS, 0MESES"/>
    <n v="4.4444444444444446E-2"/>
    <s v="0 A 01 ANO"/>
    <s v="AGENTE DE COLETA"/>
    <s v="COLETA DOMICILIAR"/>
    <s v="DIURNO"/>
    <s v="JOÃO PEDRO"/>
    <x v="0"/>
    <d v="2023-12-03T00:00:00"/>
    <s v="DEZEMBRO"/>
    <d v="2023-12-03T00:00:00"/>
    <s v="dez/2023"/>
    <s v="DEZEMBRO"/>
    <n v="2023"/>
    <d v="2023-12-03T00:00:00"/>
    <s v="INSUBORDINAÇÃO"/>
    <s v="COLABORADOR RECUSOU-SE A CONCLUIR O ROTEIRO 90.1.166 - OURO VERDE / COROADO MA REFERIDA DATA 03/12/2023, SEM JUSTIFICATIVA."/>
  </r>
  <r>
    <n v="340"/>
    <s v="JAIMISON JORGE DA COSTA ROCHA"/>
    <n v="2770003273"/>
    <s v="NORMAL"/>
    <d v="2022-04-04T00:00:00"/>
    <s v="1ANOS, 7MESES"/>
    <n v="1.6805555555555556"/>
    <s v="01 A 03 ANOS"/>
    <s v="AGENTE DE COLETA"/>
    <s v="COLETA DOMICILIAR"/>
    <s v="NOTURNO"/>
    <s v="JOÃO PEDRO"/>
    <x v="1"/>
    <d v="2023-11-30T00:00:00"/>
    <s v="NOVEMBRO"/>
    <d v="2023-12-03T00:00:00"/>
    <s v="dez/2023"/>
    <s v="DEZEMBRO"/>
    <n v="2023"/>
    <d v="2023-12-04T00:00:00"/>
    <s v="FALTA"/>
    <s v="FALTA SEM JUSTIFICATIVA NO DIA 30/11."/>
  </r>
  <r>
    <n v="341"/>
    <s v="RAYLANDER BATISTA DA SILVA"/>
    <n v="2770003122"/>
    <s v="NORMAL"/>
    <d v="2023-04-06T00:00:00"/>
    <s v="0ANOS, 7MESES"/>
    <n v="0.66666666666666663"/>
    <s v="0 A 01 ANO"/>
    <s v="AGENTE DE COLETA"/>
    <s v="COLETA DOMICILIAR"/>
    <s v="DIURNO"/>
    <s v="ANA CAROLINA"/>
    <x v="0"/>
    <d v="2023-12-02T00:00:00"/>
    <s v="DEZEMBRO"/>
    <d v="2023-12-04T00:00:00"/>
    <s v="dez/2023"/>
    <s v="DEZEMBRO"/>
    <n v="2023"/>
    <d v="2023-12-04T00:00:00"/>
    <s v="FALTA"/>
    <s v="FALTA INJUSTIFICADA EM 02/12/2023."/>
  </r>
  <r>
    <n v="342"/>
    <s v="DANIEL MACHADO DE SOUZA"/>
    <n v="2770002829"/>
    <s v="NORMAL"/>
    <d v="2022-05-02T00:00:00"/>
    <s v="1ANOS, 7MESES"/>
    <n v="1.6083333333333334"/>
    <s v="01 A 03 ANOS"/>
    <s v="AGENTE DE COLETA"/>
    <s v="COLETA DOMICILIAR"/>
    <s v="NOTURNO"/>
    <s v="JOÃO PEDRO"/>
    <x v="1"/>
    <d v="2023-12-02T00:00:00"/>
    <s v="DEZEMBRO"/>
    <d v="2023-12-04T00:00:00"/>
    <s v="dez/2023"/>
    <s v="DEZEMBRO"/>
    <n v="2023"/>
    <d v="2023-12-09T00:00:00"/>
    <s v="FALTA"/>
    <s v="FALTA SEM JUSTIFICATIVA NO DIA 02/12."/>
  </r>
  <r>
    <n v="343"/>
    <s v="JANDERSON ALHO PINHEIRO"/>
    <n v="2770003169"/>
    <s v="NORMAL"/>
    <d v="2023-06-01T00:00:00"/>
    <s v="0ANOS, 6MESES"/>
    <n v="0.51111111111111107"/>
    <s v="0 A 01 ANO"/>
    <s v="AGENTE DE COLETA"/>
    <s v="COLETA DOMICILIAR"/>
    <s v="NOTURNO"/>
    <s v="JOÃO PEDRO"/>
    <x v="0"/>
    <d v="2023-12-02T00:00:00"/>
    <s v="DEZEMBRO"/>
    <d v="2023-12-04T00:00:00"/>
    <s v="dez/2023"/>
    <s v="DEZEMBRO"/>
    <n v="2023"/>
    <d v="2023-12-04T00:00:00"/>
    <s v="FALTA"/>
    <s v="FALTA SEM JUSTIFICATIVA NO DIA 01/12 E 02/12."/>
  </r>
  <r>
    <n v="344"/>
    <s v="LAIR SILVA DE SOUZA"/>
    <n v="2770000234"/>
    <s v="NORMAL"/>
    <d v="2023-02-08T00:00:00"/>
    <s v="0ANOS, 9MESES"/>
    <n v="0.82499999999999996"/>
    <s v="0 A 01 ANO"/>
    <s v="AGENTE DE COLETA"/>
    <s v="COLETA DOMICILIAR"/>
    <s v="NOTURNO"/>
    <s v="JOÃO PEDRO"/>
    <x v="0"/>
    <d v="2023-12-02T00:00:00"/>
    <s v="DEZEMBRO"/>
    <d v="2023-12-04T00:00:00"/>
    <s v="dez/2023"/>
    <s v="DEZEMBRO"/>
    <n v="2023"/>
    <d v="2023-12-04T00:00:00"/>
    <s v="FALTA"/>
    <s v="FALTA SEM JUSTIFICATIVA NO DIA 02/12."/>
  </r>
  <r>
    <n v="345"/>
    <s v="MARCOS VINICIUS DE CASTRO RIBEIRO"/>
    <n v="2770002828"/>
    <s v="NORMAL"/>
    <d v="2022-05-02T00:00:00"/>
    <s v="1ANOS, 7MESES"/>
    <n v="1.6111111111111112"/>
    <s v="01 A 03 ANOS"/>
    <s v="AGENTE DE COLETA"/>
    <s v="COLETA DOMICILIAR"/>
    <s v="NOTURNO"/>
    <s v="JOÃO PEDRO"/>
    <x v="0"/>
    <d v="2023-12-03T00:00:00"/>
    <s v="DEZEMBRO"/>
    <d v="2023-12-04T00:00:00"/>
    <s v="dez/2023"/>
    <s v="DEZEMBRO"/>
    <n v="2023"/>
    <d v="2023-12-04T00:00:00"/>
    <s v="FALTA"/>
    <s v="FALTA SEM JUSTIFICATIVA NO DIA 29/11, 30/11, 01/12, 02/12 E 03/12."/>
  </r>
  <r>
    <n v="346"/>
    <s v="ALISSON DE ARAUJO DIAS "/>
    <n v="2770003022"/>
    <s v="NORMAL"/>
    <d v="2022-12-01T00:00:00"/>
    <s v="0ANOS, 11MESES"/>
    <n v="0.93611111111111112"/>
    <s v="0 A 01 ANO"/>
    <s v="AGENTE DE COLETA"/>
    <s v="COLETA DOMICILIAR"/>
    <s v="NOTURNO"/>
    <s v="JOÃO PEDRO"/>
    <x v="1"/>
    <d v="2023-11-03T00:00:00"/>
    <s v="NOVEMBRO"/>
    <d v="2023-12-04T00:00:00"/>
    <s v="dez/2023"/>
    <s v="DEZEMBRO"/>
    <n v="2023"/>
    <d v="2023-12-05T00:00:00"/>
    <s v="FALTA"/>
    <s v="FALTA SEM JUSTIFICATIVA NO DIA 03/12."/>
  </r>
  <r>
    <n v="347"/>
    <s v="PEDRO GABRIEL PERES PEREIRA"/>
    <n v="2770003155"/>
    <s v="PARCIAL"/>
    <d v="2023-05-17T00:00:00"/>
    <s v="0ANOS, 6MESES"/>
    <n v="0.55555555555555558"/>
    <s v="0 A 01 ANO"/>
    <s v="AGENTE DE COLETA"/>
    <s v="COLETA DOMICILIAR"/>
    <s v="NOTURNO"/>
    <s v="JOÃO PEDRO"/>
    <x v="0"/>
    <d v="2023-12-03T00:00:00"/>
    <s v="DEZEMBRO"/>
    <d v="2023-12-06T00:00:00"/>
    <s v="dez/2023"/>
    <s v="DEZEMBRO"/>
    <n v="2023"/>
    <d v="2023-12-06T00:00:00"/>
    <s v="FALTA"/>
    <s v="FALTA SEM JUSTIFICATIVA NO DIA 03/12/2023."/>
  </r>
  <r>
    <n v="348"/>
    <s v="SAYD DOS SANTOS PEREIRA"/>
    <n v="2770003188"/>
    <s v="PARCIAL"/>
    <d v="2023-07-06T00:00:00"/>
    <s v="0ANOS, 4MESES"/>
    <n v="0.42222222222222222"/>
    <s v="0 A 01 ANO"/>
    <s v="AGENTE DE COLETA"/>
    <s v="COLETA DOMICILIAR"/>
    <s v="NOTURNO"/>
    <s v="JOÃO PEDRO"/>
    <x v="1"/>
    <d v="2023-12-05T00:00:00"/>
    <s v="DEZEMBRO"/>
    <d v="2023-12-10T00:00:00"/>
    <s v="dez/2023"/>
    <s v="DEZEMBRO"/>
    <n v="2023"/>
    <d v="2023-12-11T00:00:00"/>
    <s v="FALTA"/>
    <s v="FALTA SEM JUSTIFICATIVA NOS DIAS 04/12 E 05/12."/>
  </r>
  <r>
    <n v="349"/>
    <s v="ALDEAN FREITAS DE SOUZA"/>
    <n v="2770002970"/>
    <s v="NORMAL"/>
    <d v="2022-11-03T00:00:00"/>
    <s v="1ANOS, 1MESES"/>
    <n v="1.1027777777777779"/>
    <s v="01 A 03 ANOS"/>
    <s v="AGENTE DE COLETA"/>
    <s v="COLETA DOMICILIAR"/>
    <s v="NOTURNO"/>
    <s v="PAULO PORTO"/>
    <x v="1"/>
    <d v="2023-12-05T00:00:00"/>
    <s v="DEZEMBRO"/>
    <d v="2023-12-11T00:00:00"/>
    <s v="dez/2023"/>
    <s v="DEZEMBRO"/>
    <n v="2023"/>
    <d v="2023-12-14T00:00:00"/>
    <s v="QUEBRA DE PROCEDIMENTO"/>
    <s v="NA MADRUGADA DO DIA 06/12, PORÉM REFERENTE AO EXPEDIENTE DE TRABALHO DO TURNO NOTURNO DO DIA 05/12/2023, QUANDO JÁ FINALIZADO O EXPEDIENTE E DO LADO EXTERNO DA EMPRESA, O FUNCIONÁRIO JAIMISON PROVOCA O FUNCIONÁRIO ALDEAN, PRIMEIRAMENTE CHUTANDO A BOLSA DELE ENQUANTO ESTÁ MANOBRANDO SUA MOTO PARA IR EMBORA, AÍ O ALDEAN REAGE JOGANDO UMA PEDRA EM DIREÇÃO DO JAIMISON, INICIANDO UMA DISCUSSÃO."/>
  </r>
  <r>
    <n v="350"/>
    <s v="JANDERSON ALHO PINHEIRO"/>
    <n v="2770003169"/>
    <s v="NORMAL"/>
    <d v="2023-06-01T00:00:00"/>
    <s v="0ANOS, 6MESES"/>
    <n v="0.53333333333333333"/>
    <s v="0 A 01 ANO"/>
    <s v="AGENTE DE COLETA"/>
    <s v="COLETA DOMICILIAR"/>
    <s v="NOTURNO"/>
    <s v="JOÃO PEDRO"/>
    <x v="1"/>
    <d v="2023-12-10T00:00:00"/>
    <s v="DEZEMBRO"/>
    <d v="2023-12-11T00:00:00"/>
    <s v="dez/2023"/>
    <s v="DEZEMBRO"/>
    <n v="2023"/>
    <d v="2023-12-12T00:00:00"/>
    <s v="FALTA"/>
    <s v="FALTA SEM JUSTIFICATIVA NO DIA 10/12/2023."/>
  </r>
  <r>
    <n v="351"/>
    <s v="RIVALDO CONDERA DO NASCIMENTO JUNIOR"/>
    <n v="2770002925"/>
    <s v="NORMAL"/>
    <d v="2022-09-01T00:00:00"/>
    <s v="1ANOS, 3MESES"/>
    <n v="1.288888888888889"/>
    <s v="01 A 03 ANOS"/>
    <s v="AGENTE DE COLETA"/>
    <s v="COLETA DOMICILIAR"/>
    <s v="NOTURNO"/>
    <s v="JOÃO PEDRO"/>
    <x v="1"/>
    <d v="2023-12-09T00:00:00"/>
    <s v="DEZEMBRO"/>
    <d v="2023-12-11T00:00:00"/>
    <s v="dez/2023"/>
    <s v="DEZEMBRO"/>
    <n v="2023"/>
    <d v="2023-12-12T00:00:00"/>
    <s v="FALTA"/>
    <s v="FALTA SEM JUSTIFICATIVA NO 09/12/2023."/>
  </r>
  <r>
    <n v="352"/>
    <s v="RALYSON ROCHA NEVES"/>
    <n v="2770003273"/>
    <s v="PARCIAL"/>
    <d v="2023-03-08T00:00:00"/>
    <s v="0ANOS, 9MESES"/>
    <n v="0.76666666666666672"/>
    <s v="0 A 01 ANO"/>
    <s v="AGENTE DE COLETA"/>
    <s v="COLETA DOMICILIAR"/>
    <s v="NOTURNO"/>
    <s v="JOÃO PEDRO"/>
    <x v="1"/>
    <d v="2023-12-09T00:00:00"/>
    <s v="DEZEMBRO"/>
    <d v="2023-12-12T00:00:00"/>
    <s v="dez/2023"/>
    <s v="DEZEMBRO"/>
    <n v="2023"/>
    <d v="2023-12-15T00:00:00"/>
    <s v="FALTA"/>
    <s v="FALTA SEM JUSTIFICATIVA NO DIA 09/12/2023."/>
  </r>
  <r>
    <n v="353"/>
    <s v="JAIMISON JORGE DA COSTA ROCHA"/>
    <n v="2770002817"/>
    <s v="NORMAL"/>
    <d v="2022-04-04T00:00:00"/>
    <s v="1ANOS, 8MESES"/>
    <n v="1.6944444444444444"/>
    <s v="01 A 03 ANOS"/>
    <s v="AGENTE DE COLETA"/>
    <s v="COLETA DOMICILIAR"/>
    <s v="NOTURNO"/>
    <s v="PAULO PORTO"/>
    <x v="1"/>
    <d v="2023-12-05T00:00:00"/>
    <s v="DEZEMBRO"/>
    <d v="2023-12-12T00:00:00"/>
    <s v="dez/2023"/>
    <s v="DEZEMBRO"/>
    <n v="2023"/>
    <d v="2023-12-15T00:00:00"/>
    <s v="QUEBRA DE PROCEDIMENTO"/>
    <s v="NA MADRUGADA DO DIA 06/12, PORÉM REFERENTE AO EXPEDIENTE DE TRABALHO DO TURNO NOTURNO DO DIA 05/12/2023, QUANDO JÁ FINALIZADO O EXPEDIENTE E DO LADO EXTERNO DA EMPRESA, O FUNCIONÁRIO JAIMISON PROVOCA O FUNCIONÁRIO ALDEAN, PRIMEIRAMENTE CHUTANDO A BOLSA DELE ENQUANTO ESTÁ MANOBRANDO SUA MOTO PARA IR EMBORA, AÍ O ALDEAN REAGE JOGANDO UMA PEDRA EM DIREÇÃO DO JAIMISON, INICIANDO UMA DISCUSSÃO."/>
  </r>
  <r>
    <n v="354"/>
    <s v="LUIZ FERNANDO MENDES VIANA"/>
    <n v="2770003038"/>
    <s v="NORMAL"/>
    <d v="2022-12-07T00:00:00"/>
    <s v="1ANOS, 0MESES"/>
    <n v="1.0305555555555554"/>
    <s v="01 A 03 ANOS"/>
    <s v="AGENTE DE COLETA"/>
    <s v="COLETA DOMICILIAR"/>
    <s v="NOTURNO"/>
    <s v="JOÃO PEDRO"/>
    <x v="1"/>
    <d v="2023-12-13T00:00:00"/>
    <s v="DEZEMBRO"/>
    <d v="2023-12-14T00:00:00"/>
    <s v="dez/2023"/>
    <s v="DEZEMBRO"/>
    <n v="2023"/>
    <d v="2023-12-21T00:00:00"/>
    <s v="FALTA"/>
    <s v="FALTA SEM JUSTIFICATIVA NOS DIAS 11/12, 12/12 E 13/12."/>
  </r>
  <r>
    <n v="355"/>
    <s v="MATHEUS MORAES DA SILVA"/>
    <n v="2770003020"/>
    <s v="NORMAL"/>
    <d v="2022-12-01T00:00:00"/>
    <s v="1ANOS, 0MESES"/>
    <n v="1.0555555555555556"/>
    <s v="01 A 03 ANOS"/>
    <s v="AGENTE DE COLETA"/>
    <s v="COLETA DOMICILIAR"/>
    <s v="DIURNO"/>
    <s v="ANA CAROLINA"/>
    <x v="0"/>
    <d v="2023-12-16T00:00:00"/>
    <s v="DEZEMBRO"/>
    <d v="2023-12-16T00:00:00"/>
    <s v="dez/2023"/>
    <s v="DEZEMBRO"/>
    <n v="2023"/>
    <d v="2023-12-16T00:00:00"/>
    <s v="QUEBRA DE PROCEDIMENTO"/>
    <s v="COLABORADOR NÃO CONSEGUIU ATENDER AS DEMANDAS DE LIMPEZA DOS ESCUDOS DOS CAMINHÕES CC PROGRAMADO. SENDO IDENTIFICADO RESIDUOS NOS RESPECTIVOS CAMINHÕES 666, 729, 674 E 728."/>
  </r>
  <r>
    <n v="356"/>
    <s v="MAURICIO AUGUSTO QUEIROZ DE ARAUJO"/>
    <n v="2770003042"/>
    <s v="NORMAL"/>
    <d v="2022-12-07T00:00:00"/>
    <s v="1ANOS, 0MESES"/>
    <n v="1.038888888888889"/>
    <s v="01 A 03 ANOS"/>
    <s v="AGENTE DE COLETA"/>
    <s v="COLETA DOMICILIAR"/>
    <s v="NOTURNO"/>
    <s v="JOÃO PEDRO"/>
    <x v="1"/>
    <d v="2023-12-16T00:00:00"/>
    <s v="DEZEMBRO"/>
    <d v="2023-12-18T00:00:00"/>
    <s v="dez/2023"/>
    <s v="DEZEMBRO"/>
    <n v="2023"/>
    <d v="2023-12-19T00:00:00"/>
    <s v="FALTA"/>
    <s v="FALTA SEM JUSTIFICATIVA NO DIA 16/12/2023."/>
  </r>
  <r>
    <n v="357"/>
    <s v="DANIEL MACHADO DE SOUZA"/>
    <n v="2770002829"/>
    <s v="NORMAL"/>
    <d v="2022-05-02T00:00:00"/>
    <s v="1ANOS, 7MESES"/>
    <n v="1.6416666666666666"/>
    <s v="01 A 03 ANOS"/>
    <s v="AGENTE DE COLETA"/>
    <s v="COLETA DOMICILIAR"/>
    <s v="NOTURNO"/>
    <s v="JOÃO PEDRO"/>
    <x v="1"/>
    <d v="2023-12-14T00:00:00"/>
    <s v="DEZEMBRO"/>
    <d v="2023-12-18T00:00:00"/>
    <s v="dez/2023"/>
    <s v="DEZEMBRO"/>
    <n v="2023"/>
    <d v="2023-12-25T00:00:00"/>
    <s v="FALTA"/>
    <s v="FALTA SEM JUSTIFICATIVA NOS DIAS 13/12 E 14/12."/>
  </r>
  <r>
    <n v="358"/>
    <s v="DENNER ROGER QUEIROZ DA SILVA"/>
    <n v="2770002835"/>
    <s v="NORMAL"/>
    <d v="2022-05-14T00:00:00"/>
    <s v="1ANOS, 7MESES"/>
    <n v="1.625"/>
    <s v="01 A 03 ANOS"/>
    <s v="AGENTE DE COLETA"/>
    <s v="COLETA DOMICILIAR"/>
    <s v="NOTURNO"/>
    <s v="JOÃO PEDRO"/>
    <x v="1"/>
    <d v="2023-12-20T00:00:00"/>
    <s v="DEZEMBRO"/>
    <d v="2023-12-21T00:00:00"/>
    <s v="dez/2023"/>
    <s v="DEZEMBRO"/>
    <n v="2023"/>
    <d v="2023-12-24T00:00:00"/>
    <s v="FALTA"/>
    <s v="FALTA SEM JUSTIFICATIVA NO DIA 20/12/2023."/>
  </r>
  <r>
    <n v="359"/>
    <s v="ALISSON DE ARAUJO DIAS "/>
    <n v="2770003022"/>
    <s v="NORMAL"/>
    <d v="2022-12-01T00:00:00"/>
    <s v="1ANOS, 0MESES"/>
    <n v="1.0666666666666667"/>
    <s v="01 A 03 ANOS"/>
    <s v="AGENTE DE COLETA"/>
    <s v="COLETA DOMICILIAR"/>
    <s v="NOTURNO"/>
    <s v="JOÃO PEDRO"/>
    <x v="1"/>
    <d v="2023-12-20T00:00:00"/>
    <s v="DEZEMBRO"/>
    <d v="2023-12-21T00:00:00"/>
    <s v="dez/2023"/>
    <s v="DEZEMBRO"/>
    <n v="2023"/>
    <d v="2023-12-24T00:00:00"/>
    <s v="FALTA"/>
    <s v="FALTA SEM JUSTIFICATIVA NO DIA 20/12/2023."/>
  </r>
  <r>
    <n v="360"/>
    <s v="LUCIANO DE ALMEIDA CASTRO"/>
    <n v="2770003064"/>
    <s v="NORMAL"/>
    <d v="2023-01-12T00:00:00"/>
    <s v="0ANOS, 11MESES"/>
    <n v="0.95"/>
    <s v="0 A 01 ANO"/>
    <s v="AGENTE DE COLETA"/>
    <s v="COLETA DOMICILIAR"/>
    <s v="DIURNO"/>
    <s v="ELISANGELA ROCHA"/>
    <x v="0"/>
    <d v="2023-12-20T00:00:00"/>
    <s v="DEZEMBRO"/>
    <d v="2023-12-21T00:00:00"/>
    <s v="dez/2023"/>
    <s v="DEZEMBRO"/>
    <n v="2023"/>
    <d v="2023-12-21T00:00:00"/>
    <s v="QUEBRA DE PROCEDIMENTO"/>
    <s v="O COLABORADOR SE EVADIU DO LOCAL DE TRABALHO NA AV. HILARIO GURJÃO NO DIA 20/12/2023, ANTES DO TÉRMINO DA SUA JORNADA DE TRABALHO QUE SE ENCERRAVA AS 16:20."/>
  </r>
  <r>
    <n v="361"/>
    <s v="EWERTON ROGERIO RIBEIRO ALVES "/>
    <n v="2770002804"/>
    <s v="NORMAL"/>
    <d v="2022-03-17T00:00:00"/>
    <s v="1ANOS, 9MESES"/>
    <n v="1.7916666666666667"/>
    <s v="01 A 03 ANOS"/>
    <s v="AGENTE DE COLETA"/>
    <s v="COLETA DOMICILIAR"/>
    <s v="DIURNO"/>
    <s v="ANA CAROLINA"/>
    <x v="0"/>
    <d v="2023-12-22T00:00:00"/>
    <s v="DEZEMBRO"/>
    <d v="2023-12-22T00:00:00"/>
    <s v="dez/2023"/>
    <s v="DEZEMBRO"/>
    <n v="2023"/>
    <d v="2023-12-22T00:00:00"/>
    <s v="QUEBRA DE PROCEDIMENTO"/>
    <s v="COLABORADOR JÁ ESTÁ FAZENDO O USO DO FARDAMENTO DE FORMA INDEVIDA (MANGAS DA BLUSA LEVANTADAS) SENDO JÁ ORIENTADO QUANTO AOS PROCEDIMENTOS DA PO 08."/>
  </r>
  <r>
    <n v="362"/>
    <s v="RALYSON ROCHA NEVES"/>
    <n v="2770003093"/>
    <s v="PARCIAL"/>
    <d v="2023-03-08T00:00:00"/>
    <s v="0ANOS, 9MESES"/>
    <n v="0.78611111111111109"/>
    <s v="0 A 01 ANO"/>
    <s v="AGENTE DE COLETA"/>
    <s v="COLETA DOMICILIAR"/>
    <s v="DIURNO"/>
    <s v="JOÃO PEDRO"/>
    <x v="1"/>
    <d v="2023-12-16T00:00:00"/>
    <s v="DEZEMBRO"/>
    <d v="2023-12-22T00:00:00"/>
    <s v="dez/2023"/>
    <s v="DEZEMBRO"/>
    <n v="2023"/>
    <d v="2023-12-22T00:00:00"/>
    <s v="FALTA"/>
    <s v="FALTA SEM JUSTIFICATIVA NOS DIAS 15/12/2023 E 16/12/2023."/>
  </r>
  <r>
    <n v="363"/>
    <s v="JANDERSON ALHO PINHEIRO"/>
    <n v="2770003169"/>
    <s v="NORMAL"/>
    <d v="2023-06-01T00:00:00"/>
    <s v="0ANOS, 6MESES"/>
    <n v="0.56388888888888888"/>
    <s v="0 A 01 ANO"/>
    <s v="AGENTE DE COLETA"/>
    <s v="COLETA DOMICILIAR"/>
    <s v="NOTURNO"/>
    <s v="JOÃO PEDRO"/>
    <x v="1"/>
    <d v="2023-12-21T00:00:00"/>
    <s v="DEZEMBRO"/>
    <d v="2023-12-22T00:00:00"/>
    <s v="dez/2023"/>
    <s v="DEZEMBRO"/>
    <n v="2023"/>
    <d v="2023-12-25T00:00:00"/>
    <s v="FALTA"/>
    <s v="FALTA SEM JUSTIFICATIVA NO DIA 21/12/2023."/>
  </r>
  <r>
    <n v="364"/>
    <s v="EDUARDO SILVEIRA DA SILVA"/>
    <n v="2770003076"/>
    <s v="NORMAL"/>
    <d v="2023-02-09T00:00:00"/>
    <s v="0ANOS, 10MESES"/>
    <n v="0.875"/>
    <s v="0 A 01 ANO"/>
    <s v="AGENTE DE COLETA"/>
    <s v="COLETA DOMICILIAR"/>
    <s v="NOTURNO"/>
    <s v="JOÃO PEDRO"/>
    <x v="1"/>
    <d v="2023-12-21T00:00:00"/>
    <s v="DEZEMBRO"/>
    <d v="2023-12-22T00:00:00"/>
    <s v="dez/2023"/>
    <s v="DEZEMBRO"/>
    <n v="2023"/>
    <d v="2023-12-23T00:00:00"/>
    <s v="FALTA"/>
    <s v="FALTA SEM JUSTIFICATIVA NO DIA 21/12/2023."/>
  </r>
  <r>
    <n v="365"/>
    <s v="JARDEL ALHO PINHEIRO"/>
    <n v="2770003126"/>
    <s v="NORMAL"/>
    <d v="2023-04-06T00:00:00"/>
    <s v="0ANOS, 8MESES"/>
    <n v="0.72499999999999998"/>
    <s v="0 A 01 ANO"/>
    <s v="AGENTE DE COLETA"/>
    <s v="COLETA DOMICILIAR"/>
    <s v="DIURNO"/>
    <s v="ELISANGELA ROCHA"/>
    <x v="0"/>
    <d v="2023-12-23T00:00:00"/>
    <s v="DEZEMBRO"/>
    <d v="2023-12-23T00:00:00"/>
    <s v="dez/2023"/>
    <s v="DEZEMBRO"/>
    <n v="2023"/>
    <d v="2023-12-23T00:00:00"/>
    <s v="QUEBRA DE PROCEDIMENTO"/>
    <s v="O COLABORADOR DURANTE O ROTEIRO DESCUMPRIU O PROCEDIMENTO OPERACIONAL REALIZANDO ARRUMAÇÃO NA 90.1.113 CAUSANDO TRANSTORNO JUNTO AO CLIENTE DEVIDO A TAMPA DE COLETA TER SIDO ABERTA."/>
  </r>
  <r>
    <n v="366"/>
    <s v="JEFFESON RODRIGUES GUIMARAES"/>
    <n v="2770002460"/>
    <s v="NORMAL"/>
    <d v="2021-01-11T00:00:00"/>
    <s v="2ANOS, 11MESES"/>
    <n v="2.9888888888888889"/>
    <s v="01 A 03 ANOS"/>
    <s v="AGENTE DE COLETA"/>
    <s v="COLETA DOMICILIAR"/>
    <s v="DIURNO"/>
    <s v="ANA CAROLINA"/>
    <x v="0"/>
    <d v="2023-12-23T00:00:00"/>
    <s v="DEZEMBRO"/>
    <d v="2023-12-23T00:00:00"/>
    <s v="dez/2023"/>
    <s v="DEZEMBRO"/>
    <n v="2023"/>
    <d v="2023-12-23T00:00:00"/>
    <s v="QUEBRA DE PROCEDIMENTO"/>
    <s v="COLABORADOR DURANTE O ROTEIRO DESCUMPRIU O PROCEDIMENTO OPERACIONAL - PO 08 PERMITINDO QUE OS AGENTES FIZESSEM ARRUMAÇÃO DE LIXO NO SETOR, NÃO SENDO POSSÍVEL SER COLETADO DEVIDO A TAMPA DE COLETA TER SIDO ABERTA, CAUSANDO TRANSTORNO JUNTO AO CLIENTE."/>
  </r>
  <r>
    <n v="367"/>
    <s v="MAURICELIO DE LIMA SILCA"/>
    <n v="2770000518"/>
    <s v="NORMAL"/>
    <d v="2013-02-08T00:00:00"/>
    <s v="10ANOS, 10MESES"/>
    <n v="11.027777777777779"/>
    <s v="MAIS DE 5 ANOS"/>
    <s v="AGENTE DE COLETA"/>
    <s v="COLETA DOMICILIAR"/>
    <s v="DIURNO"/>
    <s v="ELISANGELA ROCHA"/>
    <x v="0"/>
    <d v="2023-12-23T00:00:00"/>
    <s v="DEZEMBRO"/>
    <d v="2023-12-23T00:00:00"/>
    <s v="dez/2023"/>
    <s v="DEZEMBRO"/>
    <n v="2023"/>
    <d v="2023-12-23T00:00:00"/>
    <s v="QUEBRA DE PROCEDIMENTO"/>
    <s v="O COLABORADOR DURANTE O ROTEIRO DESCUMPRIU O PROCEDIMENTO OPERACIONAL REALIZANDO ARRUMAÇÃO NA 90.1.113 CAUSANDO TRANSTORNO JUNTO AO CLIENTE DEVIDO A TAMPA DE COLETA TER SIDO ABERTA."/>
  </r>
  <r>
    <n v="368"/>
    <s v="RONALDO DA SILVA"/>
    <n v="2770000129"/>
    <s v="NORMAL"/>
    <d v="2013-02-08T00:00:00"/>
    <s v="10ANOS, 10MESES"/>
    <n v="11.033333333333333"/>
    <s v="MAIS DE 5 ANOS"/>
    <s v="AGENTE DE COLETA"/>
    <s v="COLETA DOMICILIAR"/>
    <s v="DIURNO"/>
    <s v="ANA CAROLINA"/>
    <x v="0"/>
    <d v="2023-12-25T00:00:00"/>
    <s v="DEZEMBRO"/>
    <d v="2023-12-25T00:00:00"/>
    <s v="dez/2023"/>
    <s v="DEZEMBRO"/>
    <n v="2023"/>
    <d v="2023-12-26T00:00:00"/>
    <s v="FALTA"/>
    <s v="FALTA INJUSTIFICADA DIA 25/12/2023, COLABORADOR ALEGA QUE NÃO QUIS VIR TRABALHAR."/>
  </r>
  <r>
    <n v="369"/>
    <s v="ATILA DOS SANTOS FERNANDES "/>
    <n v="2770000769"/>
    <s v="NORMAL"/>
    <d v="2013-05-03T00:00:00"/>
    <s v="10ANOS, 7MESES"/>
    <n v="10.8"/>
    <s v="MAIS DE 5 ANOS"/>
    <s v="AGENTE DE COLETA"/>
    <s v="COLETA DOMICILIAR"/>
    <s v="DIURNO"/>
    <s v="ANA CAROLINA"/>
    <x v="0"/>
    <d v="2023-12-25T00:00:00"/>
    <s v="DEZEMBRO"/>
    <d v="2023-12-26T00:00:00"/>
    <s v="dez/2023"/>
    <s v="DEZEMBRO"/>
    <n v="2023"/>
    <d v="2023-12-26T00:00:00"/>
    <s v="FALTA"/>
    <s v="FALTA INJUSTIFICADA DIA 25/12/2023 ALEGA QUE DEVIDO A COMEMORAÇÃO DE SEU ANIVERSARIO SURPRESA NÃO PODE COMPAREER AO TRABALHO."/>
  </r>
  <r>
    <n v="370"/>
    <s v="GABRIEL SOUZA DA SILVA"/>
    <n v="2770002994"/>
    <s v="NORMAL"/>
    <d v="2022-11-03T00:00:00"/>
    <s v="1ANOS, 1MESES"/>
    <n v="1.1611111111111112"/>
    <s v="01 A 03 ANOS"/>
    <s v="AGENTE DE COLETA"/>
    <s v="COLETA DOMICILIAR"/>
    <s v="DIURNO"/>
    <s v="ANA CAROLINA"/>
    <x v="0"/>
    <d v="2023-12-26T00:00:00"/>
    <s v="DEZEMBRO"/>
    <d v="2023-12-26T00:00:00"/>
    <s v="dez/2023"/>
    <s v="DEZEMBRO"/>
    <n v="2023"/>
    <d v="2023-12-26T00:00:00"/>
    <s v="FALTA"/>
    <s v="FALTA INJUSTIFICADA NO DIA 25/12/2023, ALEGA QUE NÃO HAVIA CONDIÇÕES DE TRABALHAR."/>
  </r>
  <r>
    <n v="371"/>
    <s v="SHARLISON DE OLIVEIRA CHAGAS"/>
    <n v="2770002897"/>
    <s v="NORMAL"/>
    <d v="2022-08-12T00:00:00"/>
    <s v="1ANOS, 4MESES"/>
    <n v="1.3888888888888888"/>
    <s v="01 A 03 ANOS"/>
    <s v="AGENTE DE COLETA"/>
    <s v="COLETA DOMICILIAR"/>
    <s v="DIURNO"/>
    <s v="ANA CAROLINA"/>
    <x v="0"/>
    <d v="2023-12-25T00:00:00"/>
    <s v="DEZEMBRO"/>
    <d v="2023-12-26T00:00:00"/>
    <s v="dez/2023"/>
    <s v="DEZEMBRO"/>
    <n v="2023"/>
    <d v="2023-12-26T00:00:00"/>
    <s v="FALTA"/>
    <s v="FALTA INJUSTIFICADA DIA 25/12/2023 , ALEGA QUE NÃO CONSEGUIU SAIR DO RAMAL DA CASA DA MÃE."/>
  </r>
  <r>
    <n v="372"/>
    <s v="ANTONIO BRAGA MOTA JUNIOR"/>
    <n v="2770003271"/>
    <s v="PARCIAL"/>
    <d v="2023-11-17T00:00:00"/>
    <s v="0ANOS, 1MESES"/>
    <n v="0.10555555555555556"/>
    <s v="0 A 01 ANO"/>
    <s v="AGENTE DE COLETA"/>
    <s v="COLETA DOMICILIAR"/>
    <s v="DIURNO"/>
    <s v="ANA CAROLINA"/>
    <x v="0"/>
    <d v="2023-12-25T00:00:00"/>
    <s v="DEZEMBRO"/>
    <d v="2023-12-26T00:00:00"/>
    <s v="dez/2023"/>
    <s v="DEZEMBRO"/>
    <n v="2023"/>
    <d v="2023-12-26T00:00:00"/>
    <s v="FALTA"/>
    <s v="FALTA INJUSTIFICADA DIA 25/12, ALEGA QUE FOI BJSCAR ATENDIMENTO MÉDICO, PORÉM NÃO CONSEGUIU DOCUMENTO DE JUSTIFICATIVA."/>
  </r>
  <r>
    <n v="373"/>
    <s v="JANDERSON PARENTE DA CRUZ"/>
    <n v="2770002895"/>
    <s v="NORMAL"/>
    <d v="2022-08-12T00:00:00"/>
    <s v="1ANOS, 4MESES"/>
    <n v="1.3888888888888888"/>
    <s v="01 A 03 ANOS"/>
    <s v="AGENTE DE COLETA"/>
    <s v="COLETA DOMICILIAR"/>
    <s v="DIURNO"/>
    <s v="ANA CAROLINA"/>
    <x v="0"/>
    <d v="2023-12-25T00:00:00"/>
    <s v="DEZEMBRO"/>
    <d v="2023-12-26T00:00:00"/>
    <s v="dez/2023"/>
    <s v="DEZEMBRO"/>
    <n v="2023"/>
    <d v="2023-12-26T00:00:00"/>
    <s v="FALTA"/>
    <s v="FALTA INJUSTIFICADA DIA 25/12/2023, COLABORADOR ALEGA QUE DEVIDO A CHUVA NÃO CONSEGUIU COMPARECER."/>
  </r>
  <r>
    <n v="374"/>
    <s v="GILSON DOS ANJOS TELES "/>
    <n v="2770000538"/>
    <s v="NORMAL"/>
    <d v="2013-02-08T00:00:00"/>
    <s v="10ANOS, 10MESES"/>
    <n v="11.036111111111111"/>
    <s v="MAIS DE 5 ANOS"/>
    <s v="AGENTE DE COLETA"/>
    <s v="COLETA DOMICILIAR"/>
    <s v="DIURNO"/>
    <s v="ANA CAROLINA"/>
    <x v="0"/>
    <d v="2023-12-26T00:00:00"/>
    <s v="DEZEMBRO"/>
    <d v="2023-12-26T00:00:00"/>
    <s v="dez/2023"/>
    <s v="DEZEMBRO"/>
    <n v="2023"/>
    <d v="2023-12-26T00:00:00"/>
    <s v="FALTA"/>
    <s v="FALTA INJUSTIFICADA DIA 25/12/2023, COLABORADOR ALEGA QUE BEBEU DEMAIS E NÃO HAVIA CONDIÇÕES DE VIR TRABALHAR."/>
  </r>
  <r>
    <n v="375"/>
    <s v="ALDEJAN DA SILVA PINTO"/>
    <n v="2770003136"/>
    <s v="PARCIAL"/>
    <d v="2023-05-05T00:00:00"/>
    <s v="0ANOS, 7MESES"/>
    <n v="0.65277777777777779"/>
    <s v="0 A 01 ANO"/>
    <s v="AGENTE DE COLETA"/>
    <s v="COLETA DOMICILIAR"/>
    <s v="DIURNO"/>
    <s v="ANA CAROLINA"/>
    <x v="0"/>
    <d v="2023-12-26T00:00:00"/>
    <s v="DEZEMBRO"/>
    <d v="2023-12-26T00:00:00"/>
    <s v="dez/2023"/>
    <s v="DEZEMBRO"/>
    <n v="2023"/>
    <d v="2023-12-26T00:00:00"/>
    <s v="FALTA"/>
    <s v="FALTA INJUSTIFICADA DIA 25/12/2023, COLABORADOR ALEGA QUE PERDEU O ÔNIBUS."/>
  </r>
  <r>
    <n v="376"/>
    <s v="MARCIO MOTA FERREIRA"/>
    <n v="2770002773"/>
    <s v="NORMAL"/>
    <d v="2023-02-02T00:00:00"/>
    <s v="0ANOS, 10MESES"/>
    <n v="0.90555555555555556"/>
    <s v="0 A 01 ANO"/>
    <s v="AGENTE DE COLETA"/>
    <s v="COLETA DOMICILIAR"/>
    <s v="DIURNO"/>
    <s v="ANA CAROLINA"/>
    <x v="0"/>
    <d v="2023-12-25T00:00:00"/>
    <s v="DEZEMBRO"/>
    <d v="2023-12-26T00:00:00"/>
    <s v="dez/2023"/>
    <s v="DEZEMBRO"/>
    <n v="2023"/>
    <d v="2023-12-26T00:00:00"/>
    <s v="FALTA"/>
    <s v="FALTA INJUSTIFICADA DIA 25/12/2023, ALEGA QUE DEVIDO A CHUVA NÃO CONSEGUIU PEDIR APLICATIVO."/>
  </r>
  <r>
    <n v="377"/>
    <s v="JHONATAS RODRIGUES ESTEVAM "/>
    <n v="2770003164"/>
    <s v="PARCIAL"/>
    <d v="2023-06-01T00:00:00"/>
    <s v="0ANOS, 6MESES"/>
    <n v="0.57499999999999996"/>
    <s v="0 A 01 ANO"/>
    <s v="AGENTE DE COLETA"/>
    <s v="COLETA DOMICILIAR"/>
    <s v="DIURNO"/>
    <s v="ANA CAROLINA"/>
    <x v="0"/>
    <d v="2023-12-25T00:00:00"/>
    <s v="DEZEMBRO"/>
    <d v="2023-12-26T00:00:00"/>
    <s v="dez/2023"/>
    <s v="DEZEMBRO"/>
    <n v="2023"/>
    <d v="2023-12-26T00:00:00"/>
    <s v="FALTA"/>
    <s v="FALTA INJUSTIFICADA DIA 25/12/2023, ALEGA QUE DEVIDO UM PROBLEMA PARTICULAR."/>
  </r>
  <r>
    <n v="378"/>
    <s v="KAILANE DOS SANTOS ALBANO"/>
    <n v="2770003179"/>
    <s v="NORMAL"/>
    <d v="2023-06-16T00:00:00"/>
    <s v="0ANOS, 6MESES"/>
    <n v="0.54166666666666663"/>
    <s v="0 A 01 ANO"/>
    <s v="AUXILIAR DE OPERAÇÕES"/>
    <s v="CEU"/>
    <s v="DIURNO"/>
    <s v="ELISANGELA ROCHA"/>
    <x v="0"/>
    <d v="2023-12-25T00:00:00"/>
    <s v="DEZEMBRO"/>
    <d v="2023-12-26T00:00:00"/>
    <s v="dez/2023"/>
    <s v="DEZEMBRO"/>
    <n v="2023"/>
    <d v="2023-12-26T00:00:00"/>
    <s v="FALTA"/>
    <s v="A COLABORADORA NO DIA 25/12/2023 SOLICITOU DISPENSA DAS SUAS ATIVIDADES ATRAVÉS DE MENSAGEM PELO WHATSAPP AS 05:56H, ALEGANDO QUE ESTAVA COM DIFICULDADES DE VIM TRABALHAR DEVIDO A CHUVA E O UBER ESTAVA COM VALOR MUITO ALTO, QUE ELA NÃO IRIA PAGAR PARA VIR TRABALHAR POR SE TRATAR DE UMA EXTRA E QUE SÓ VIRIA TRABALHAR SE A CHUVA PARASSE."/>
  </r>
  <r>
    <n v="379"/>
    <s v="FRANCISCO EVERTON NASCIMENTO PEREIRA"/>
    <n v="2770002021"/>
    <s v="NORMAL"/>
    <d v="2019-03-01T00:00:00"/>
    <s v="4ANOS, 9MESES"/>
    <n v="4.8888888888888893"/>
    <s v="03 A 05 ANOS"/>
    <s v="AGENTE DE COLETA"/>
    <s v="COLETA DOMICILIAR"/>
    <s v="NOTURNO"/>
    <s v="JOÃO PEDRO"/>
    <x v="0"/>
    <d v="2023-12-25T00:00:00"/>
    <s v="DEZEMBRO"/>
    <d v="2023-12-26T00:00:00"/>
    <s v="dez/2023"/>
    <s v="DEZEMBRO"/>
    <n v="2023"/>
    <d v="2023-12-26T00:00:00"/>
    <s v="FALTA"/>
    <s v="FALTA SEM JUSTIFICATIVA NA ESCALA DO FERIADO DO DIA 25/12/2023."/>
  </r>
  <r>
    <n v="380"/>
    <s v="RODRIGO DOS SANTOS PEREIRA"/>
    <n v="2770002737"/>
    <s v="NORMAL"/>
    <d v="2021-12-06T00:00:00"/>
    <s v="2ANOS, 0MESES"/>
    <n v="2.0805555555555557"/>
    <s v="01 A 03 ANOS"/>
    <s v="AGENTE DE COLETA"/>
    <s v="COLETA DOMICILIAR"/>
    <s v="NOTURNO"/>
    <s v="JOÃO PEDRO"/>
    <x v="0"/>
    <d v="2023-12-25T00:00:00"/>
    <s v="DEZEMBRO"/>
    <d v="2023-12-26T00:00:00"/>
    <s v="dez/2023"/>
    <s v="DEZEMBRO"/>
    <n v="2023"/>
    <d v="2023-12-26T00:00:00"/>
    <s v="FALTA"/>
    <s v="FALTA SEM JUSTIFICATIVA NO DIA 25/12."/>
  </r>
  <r>
    <n v="381"/>
    <s v="VINICIO CARVALHO DE FREITAS"/>
    <n v="2770002979"/>
    <s v="NORMAL"/>
    <d v="2022-11-03T00:00:00"/>
    <s v="1ANOS, 1MESES"/>
    <n v="1.1583333333333334"/>
    <s v="01 A 03 ANOS"/>
    <s v="AGENTE DE COLETA"/>
    <s v="COLETA DOMICILIAR"/>
    <s v="NOTURNO"/>
    <s v="JOÃO PEDRO"/>
    <x v="0"/>
    <d v="2023-12-25T00:00:00"/>
    <s v="DEZEMBRO"/>
    <d v="2023-12-26T00:00:00"/>
    <s v="dez/2023"/>
    <s v="DEZEMBRO"/>
    <n v="2023"/>
    <d v="2023-12-26T00:00:00"/>
    <s v="FALTA"/>
    <s v="FALTA SEM JUSTIFICATIVA NA ESCALA DO FERIADO DO DIA 25/12/2023."/>
  </r>
  <r>
    <n v="382"/>
    <s v="PAULO ROBERTO LIMA MAGALHAES"/>
    <n v="2770002518"/>
    <s v="NORMAL"/>
    <d v="2021-05-03T00:00:00"/>
    <s v="2ANOS, 7MESES"/>
    <n v="2.6833333333333331"/>
    <s v="01 A 03 ANOS"/>
    <s v="AGENTE DE COLETA"/>
    <s v="COLETA DOMICILIAR"/>
    <s v="NOTURNO"/>
    <s v="JOÃO PEDRO"/>
    <x v="0"/>
    <d v="2023-12-25T00:00:00"/>
    <s v="DEZEMBRO"/>
    <d v="2023-12-26T00:00:00"/>
    <s v="dez/2023"/>
    <s v="DEZEMBRO"/>
    <n v="2023"/>
    <d v="2023-12-26T00:00:00"/>
    <s v="FALTA"/>
    <s v="FALTA SEM JUSTIFICATIVA NO DIA 25/12."/>
  </r>
  <r>
    <n v="383"/>
    <s v="ROBSON DE SOUZA PINHEIRO"/>
    <n v="2770002692"/>
    <s v="NORMAL"/>
    <d v="2022-11-03T00:00:00"/>
    <s v="1ANOS, 1MESES"/>
    <n v="1.1583333333333334"/>
    <s v="01 A 03 ANOS"/>
    <s v="AGENTE DE COLETA"/>
    <s v="COLETA DOMICILIAR"/>
    <s v="NOTURNO"/>
    <s v="JOÃO PEDRO"/>
    <x v="0"/>
    <d v="2023-12-25T00:00:00"/>
    <s v="DEZEMBRO"/>
    <d v="2023-12-26T00:00:00"/>
    <s v="dez/2023"/>
    <s v="DEZEMBRO"/>
    <n v="2023"/>
    <d v="2023-12-26T00:00:00"/>
    <s v="FALTA"/>
    <s v="FALTA SEM JUSTIFICATIVA NA ESCALA DO FERIADO DO DIA 25/12/2023."/>
  </r>
  <r>
    <n v="384"/>
    <s v="CARLOS ROBERTO MIRANDA COSTA"/>
    <n v="2770002538"/>
    <s v="NORMAL"/>
    <d v="2021-05-10T00:00:00"/>
    <s v="2ANOS, 7MESES"/>
    <n v="2.6638888888888888"/>
    <s v="01 A 03 ANOS"/>
    <s v="AGENTE DE COLETA"/>
    <s v="COLETA DOMICILIAR"/>
    <s v="NOTURNO"/>
    <s v="JOÃO PEDRO"/>
    <x v="0"/>
    <d v="2023-12-25T00:00:00"/>
    <s v="DEZEMBRO"/>
    <d v="2023-12-27T00:00:00"/>
    <s v="dez/2023"/>
    <s v="DEZEMBRO"/>
    <n v="2023"/>
    <d v="2023-12-27T00:00:00"/>
    <s v="FALTA"/>
    <s v="FALTA SEM JUSTIFICATIVA NO DIA 25/12."/>
  </r>
  <r>
    <n v="385"/>
    <s v="JANDERSON LOURENCO DA SILVA"/>
    <n v="2770002681"/>
    <s v="NORMAL"/>
    <d v="2021-10-13T00:00:00"/>
    <s v="2ANOS, 2MESES"/>
    <n v="2.2305555555555556"/>
    <s v="01 A 03 ANOS"/>
    <s v="MOTORISTA"/>
    <s v="COLETA DOMICILIAR"/>
    <s v="NOTURNO"/>
    <s v="JOÃO PEDRO"/>
    <x v="0"/>
    <d v="2023-12-25T00:00:00"/>
    <s v="DEZEMBRO"/>
    <d v="2023-12-27T00:00:00"/>
    <s v="dez/2023"/>
    <s v="DEZEMBRO"/>
    <n v="2023"/>
    <d v="2023-12-27T00:00:00"/>
    <s v="FALTA"/>
    <s v="FALTA SEM JUSTIFICATIVA NO DIA 25/12."/>
  </r>
  <r>
    <n v="386"/>
    <s v="JAIME HENRIQUE GONÇALVES BARBOSA"/>
    <n v="2770003095"/>
    <s v="PARCIAL"/>
    <d v="2023-03-08T00:00:00"/>
    <s v="0ANOS, 9MESES"/>
    <n v="0.8"/>
    <s v="0 A 01 ANO"/>
    <s v="AGENTE DE COLETA"/>
    <s v="COLETA DOMICILIAR"/>
    <s v="NOTURNO"/>
    <s v="JOÃO PEDRO"/>
    <x v="0"/>
    <d v="2023-12-21T00:00:00"/>
    <s v="DEZEMBRO"/>
    <d v="2023-12-27T00:00:00"/>
    <s v="dez/2023"/>
    <s v="DEZEMBRO"/>
    <n v="2023"/>
    <d v="2023-12-27T00:00:00"/>
    <s v="FALTA"/>
    <s v="FALTA SEM JUSTIFICATIVA NO DIA 21/12/2023."/>
  </r>
  <r>
    <n v="387"/>
    <s v="CLODOMIRO FILHO SILVEIRA"/>
    <n v="2770001800"/>
    <s v="NORMAL"/>
    <d v="2017-12-05T00:00:00"/>
    <s v="6ANOS, 0MESES"/>
    <n v="6.1472222222222221"/>
    <s v="MAIS DE 5 ANOS"/>
    <s v="MOTORISTA"/>
    <s v="COLETA DOMICILIAR"/>
    <s v="NOTURNO"/>
    <s v="JOÃO PEDRO"/>
    <x v="0"/>
    <d v="2023-12-27T00:00:00"/>
    <s v="DEZEMBRO"/>
    <d v="2023-12-27T00:00:00"/>
    <s v="dez/2023"/>
    <s v="DEZEMBRO"/>
    <n v="2023"/>
    <d v="2023-12-27T00:00:00"/>
    <s v="FALTA"/>
    <s v="FALTA SEM JUSTIFICATIVA NO DIA 25/12."/>
  </r>
  <r>
    <n v="388"/>
    <s v="WELLINGTON LIMA DA SILVA"/>
    <n v="2770002254"/>
    <s v="NORMAL"/>
    <d v="2020-05-04T00:00:00"/>
    <s v="3ANOS, 7MESES"/>
    <n v="3.6944444444444446"/>
    <s v="03 A 05 ANOS"/>
    <s v="AGENTE DE COLETA"/>
    <s v="COLETA DOMICILIAR"/>
    <s v="NOTURNO"/>
    <s v="JOÃO PEDRO"/>
    <x v="0"/>
    <d v="2023-12-25T00:00:00"/>
    <s v="DEZEMBRO"/>
    <d v="2023-12-27T00:00:00"/>
    <s v="dez/2023"/>
    <s v="DEZEMBRO"/>
    <n v="2023"/>
    <d v="2023-12-27T00:00:00"/>
    <s v="FALTA"/>
    <s v="FALTA SEM JUSTIFICATIVA NO DIA 25/12."/>
  </r>
  <r>
    <n v="389"/>
    <s v="HERICLES MENDONCA TRINDADE "/>
    <n v="2770002546"/>
    <s v="NORMAL"/>
    <d v="2021-06-01T00:00:00"/>
    <s v="2ANOS, 6MESES"/>
    <n v="2.6027777777777779"/>
    <s v="01 A 03 ANOS"/>
    <s v="AGENTE DE COLETA"/>
    <s v="COLETA DOMICILIAR"/>
    <s v="NOTURNO"/>
    <s v="JOÃO PEDRO"/>
    <x v="0"/>
    <d v="2023-12-25T00:00:00"/>
    <s v="DEZEMBRO"/>
    <d v="2023-12-27T00:00:00"/>
    <s v="dez/2023"/>
    <s v="DEZEMBRO"/>
    <n v="2023"/>
    <d v="2023-12-27T00:00:00"/>
    <s v="FALTA"/>
    <s v="FALTA SEM JUSTIFICATIVA NO DIA 25/12."/>
  </r>
  <r>
    <n v="390"/>
    <s v="ARIELSON DA SILVA PEREIRA"/>
    <n v="2770003097"/>
    <s v="PARCIAL"/>
    <d v="2021-03-08T00:00:00"/>
    <s v="2ANOS, 9MESES"/>
    <n v="2.8416666666666668"/>
    <s v="01 A 03 ANOS"/>
    <s v="AGENTE DE COLETA"/>
    <s v="COLETA DOMICILIAR"/>
    <s v="NOTURNO"/>
    <s v="JOÃO PEDRO"/>
    <x v="0"/>
    <d v="2023-12-26T00:00:00"/>
    <s v="DEZEMBRO"/>
    <d v="2023-12-27T00:00:00"/>
    <s v="dez/2023"/>
    <s v="DEZEMBRO"/>
    <n v="2023"/>
    <d v="2023-12-30T00:00:00"/>
    <s v="FALTA"/>
    <s v="FALTA SEM JUSTIFICATIVA NOS DIAS 25/12 E 26/12."/>
  </r>
  <r>
    <n v="391"/>
    <s v="ITALO MATHEUS ROOL FERREIRA"/>
    <n v="2770002974"/>
    <s v="PARCIAL"/>
    <d v="2022-03-08T00:00:00"/>
    <s v="1ANOS, 9MESES"/>
    <n v="1.8277777777777777"/>
    <s v="01 A 03 ANOS"/>
    <s v="AGENTE DE COLETA"/>
    <s v="COLETA DOMICILIAR"/>
    <s v="NOTURNO"/>
    <s v="JOÃO PEDRO"/>
    <x v="1"/>
    <d v="2023-12-26T00:00:00"/>
    <s v="DEZEMBRO"/>
    <d v="2023-12-27T00:00:00"/>
    <s v="dez/2023"/>
    <s v="DEZEMBRO"/>
    <n v="2023"/>
    <d v="2023-12-28T00:00:00"/>
    <s v="FALTA"/>
    <s v="FALTA SEM JUSTIFICATIVA NOS DIAS 25/12 E 26/12."/>
  </r>
  <r>
    <n v="392"/>
    <s v="CLEOMARCIO PEREIRA DE OLIVEIRA"/>
    <n v="2770002789"/>
    <s v="NORMAL"/>
    <d v="2022-03-07T00:00:00"/>
    <s v="1ANOS, 9MESES"/>
    <n v="1.836111111111111"/>
    <s v="01 A 03 ANOS"/>
    <s v="AGENTE DE COLETA"/>
    <s v="COLETA DOMICILIAR"/>
    <s v="DIURNO"/>
    <s v="ANA CAROLINA"/>
    <x v="0"/>
    <d v="2023-12-28T00:00:00"/>
    <s v="DEZEMBRO"/>
    <d v="2023-12-29T00:00:00"/>
    <s v="dez/2023"/>
    <s v="DEZEMBRO"/>
    <n v="2023"/>
    <d v="2023-12-29T00:00:00"/>
    <s v="FALTA"/>
    <s v="FALTA INJUSTIFICADA NO DIA 28/12/2023, COLABORADOR ALEGA QUE PERDEU HORÁRIO E NÃO CONSEGUIU COMPARECER AO TRABALHO."/>
  </r>
  <r>
    <n v="393"/>
    <s v="JOANDERSON BRANDAO VIANA "/>
    <n v="2770003103"/>
    <s v="NORMAL"/>
    <d v="2023-03-16T00:00:00"/>
    <s v="0ANOS, 9MESES"/>
    <n v="0.79722222222222228"/>
    <s v="0 A 01 ANO"/>
    <s v="AGENTE DE COLETA"/>
    <s v="COLETA DOMICILIAR"/>
    <s v="DIURNO"/>
    <s v="ANA CAROLINA"/>
    <x v="0"/>
    <d v="2023-12-28T00:00:00"/>
    <s v="DEZEMBRO"/>
    <d v="2023-12-29T00:00:00"/>
    <s v="dez/2023"/>
    <s v="DEZEMBRO"/>
    <n v="2023"/>
    <d v="2023-12-28T00:00:00"/>
    <s v="FALTA"/>
    <s v="FALTA INJUSTIFICADA NO DIA 28/12, COLABORADOR ALEGA QUE FOI BUSCA ATENDIMENTO PORÉM NÃO CONSEGUIU ATESTADO PARA JUSTIFICAR A AUSÊNCIA."/>
  </r>
  <r>
    <n v="394"/>
    <s v="SHARLISSON DE OLIVEIRA CHAGAS "/>
    <n v="2770002897"/>
    <s v="NORMAL"/>
    <d v="2022-08-12T00:00:00"/>
    <s v="1ANOS, 4MESES"/>
    <n v="1.4027777777777777"/>
    <s v="01 A 03 ANOS"/>
    <s v="AGENTE DE COLETA"/>
    <s v="COLETA DOMICILIAR"/>
    <s v="DIURNO"/>
    <s v="ANA CAROLINA"/>
    <x v="0"/>
    <d v="2023-12-30T00:00:00"/>
    <s v="DEZEMBRO"/>
    <d v="2023-12-30T00:00:00"/>
    <s v="dez/2023"/>
    <s v="DEZEMBRO"/>
    <n v="2023"/>
    <d v="2023-12-30T00:00:00"/>
    <s v="ATRASO"/>
    <s v="COLABORADOR CHEGOU ATRASADO NA DATA DE HOJE AS 06:12H, ALEGA QUE PERDEU O HORÁRIO."/>
  </r>
  <r>
    <n v="395"/>
    <s v="BRUNO MELO DA GRAÇA"/>
    <n v="2770002917"/>
    <s v="NORMAL"/>
    <d v="2022-09-01T00:00:00"/>
    <s v="1ANOS, 3MESES"/>
    <n v="1.3472222222222223"/>
    <s v="01 A 03 ANOS"/>
    <s v="AGENTE DE COLETA"/>
    <s v="COLETA DOMICILIAR"/>
    <s v="DIURNO"/>
    <s v="ANA CAROLINA"/>
    <x v="0"/>
    <d v="2023-12-30T00:00:00"/>
    <s v="DEZEMBRO"/>
    <d v="2023-12-30T00:00:00"/>
    <s v="dez/2023"/>
    <s v="DEZEMBRO"/>
    <n v="2023"/>
    <d v="2023-12-30T00:00:00"/>
    <s v="ATRASO"/>
    <s v="COLABORADOR CHEGOU ATRASADO NA DATA DE HOJE AS 06:32H, ALEGA QUE PERDEU O HORÁRIO."/>
  </r>
  <r>
    <n v="396"/>
    <s v="ITALO NASCIMENTO DE SOUZA"/>
    <n v="2770002875"/>
    <s v="NORMAL"/>
    <d v="2022-06-01T00:00:00"/>
    <s v="1ANOS, 6MESES"/>
    <n v="1.6027777777777779"/>
    <s v="01 A 03 ANOS"/>
    <s v="AGENTE DE COLETA"/>
    <s v="COLETA DOMICILIAR"/>
    <s v="NOTURNO"/>
    <s v="JOÃO PEDRO"/>
    <x v="0"/>
    <d v="2023-12-30T00:00:00"/>
    <s v="DEZEMBRO"/>
    <d v="2023-12-31T00:00:00"/>
    <s v="dez/2023"/>
    <s v="DEZEMBRO"/>
    <n v="2023"/>
    <d v="2023-12-31T00:00:00"/>
    <s v="FALTA"/>
    <s v="FALTA SEM JUSTIFICATIVA NO DIA 31/12."/>
  </r>
  <r>
    <n v="397"/>
    <s v="LUIZ FERNANDO BRANCHES DO NASCIMENTO"/>
    <n v="2770003208"/>
    <s v="PARCIAL"/>
    <d v="2023-08-08T00:00:00"/>
    <s v="0ANOS, 4MESES"/>
    <n v="0.3888888888888889"/>
    <s v="0 A 01 ANO"/>
    <s v="AGENTE DE COLETA"/>
    <s v="COLETA DOMICILIAR"/>
    <s v="NOTURNO"/>
    <s v="JOÃO PEDRO"/>
    <x v="0"/>
    <d v="2023-12-26T00:00:00"/>
    <s v="DEZEMBRO"/>
    <d v="2023-12-31T00:00:00"/>
    <s v="dez/2023"/>
    <s v="DEZEMBRO"/>
    <n v="2023"/>
    <d v="2023-12-31T00:00:00"/>
    <s v="FALTA"/>
    <s v="FALTA SEM JUSTIFICATIVA NOS DIAS 25/12 E 26/12."/>
  </r>
  <r>
    <n v="398"/>
    <s v="RIVALDO CONDERA DO NASCIMENTO JUNIOR"/>
    <n v="2770002925"/>
    <s v="NORMAL"/>
    <d v="2022-09-01T00:00:00"/>
    <s v="1ANOS, 3MESES"/>
    <n v="1.3444444444444446"/>
    <s v="01 A 03 ANOS"/>
    <s v="AGENTE DE COLETA"/>
    <s v="COLETA DOMICILIAR"/>
    <s v="NOTURNO"/>
    <s v="JOÃO PEDRO"/>
    <x v="1"/>
    <d v="2023-12-29T00:00:00"/>
    <s v="DEZEMBRO"/>
    <d v="2023-12-31T00:00:00"/>
    <s v="dez/2023"/>
    <s v="DEZEMBRO"/>
    <n v="2023"/>
    <d v="2024-01-03T00:00:00"/>
    <s v="FALTA"/>
    <s v="FALTA SEM JUSTIFICATIVA NOS DIAS 28/12 E 29/12."/>
  </r>
  <r>
    <n v="399"/>
    <s v="SAYD DOS SANTOS PEREIRA"/>
    <n v="2770003188"/>
    <s v="PARCIAL"/>
    <d v="2023-07-06T00:00:00"/>
    <s v="0ANOS, 5MESES"/>
    <n v="0.48055555555555557"/>
    <s v="0 A 01 ANO"/>
    <s v="AGENTE DE COLETA"/>
    <s v="COLETA DOMICILIAR"/>
    <s v="NOTURNO"/>
    <s v="JOÃO PEDRO"/>
    <x v="1"/>
    <d v="2023-12-26T00:00:00"/>
    <s v="DEZEMBRO"/>
    <d v="2023-12-31T00:00:00"/>
    <s v="dez/2023"/>
    <s v="DEZEMBRO"/>
    <n v="2023"/>
    <d v="2024-01-03T00:00:00"/>
    <s v="FALTA"/>
    <s v="FALTA SEM JUSTIFICATIVA NOS DIAS 25/12 E 26/12."/>
  </r>
  <r>
    <n v="400"/>
    <s v="RAYLANDER BATISTA DA SILVA"/>
    <n v="2770003122"/>
    <s v="NORMAL"/>
    <d v="2023-04-06T00:00:00"/>
    <s v="0ANOS, 8MESES"/>
    <n v="0.74444444444444446"/>
    <s v="0 A 01 ANO"/>
    <s v="AGENTE DE COLETA"/>
    <s v="COLETA DOMICILIAR"/>
    <s v="NOTURNO"/>
    <s v="JOÃO PEDRO"/>
    <x v="0"/>
    <d v="2023-12-30T00:00:00"/>
    <s v="DEZEMBRO"/>
    <d v="2023-12-31T00:00:00"/>
    <s v="dez/2023"/>
    <s v="DEZEMBRO"/>
    <n v="2023"/>
    <d v="2024-12-31T00:00:00"/>
    <s v="FALTA"/>
    <s v="FALTA INJUSTIFICADA EM 30/12/2024."/>
  </r>
  <r>
    <n v="401"/>
    <s v="DIEGO DE SOUZA PINHEIRO"/>
    <n v="2770002252"/>
    <s v="NORMAL"/>
    <d v="2020-05-04T00:00:00"/>
    <s v="3ANOS, 7MESES"/>
    <n v="3.7111111111111112"/>
    <s v="03 A 05 ANOS"/>
    <s v="AGENTE DE COLETA"/>
    <s v="COLETA DOMICILIAR"/>
    <s v="DIURNO"/>
    <s v="ELISANGELA ROCHA"/>
    <x v="0"/>
    <d v="2023-12-31T00:00:00"/>
    <s v="DEZEMBRO"/>
    <d v="2023-12-31T00:00:00"/>
    <s v="dez/2023"/>
    <s v="DEZEMBRO"/>
    <n v="2023"/>
    <d v="2024-01-01T00:00:00"/>
    <s v="FALTA"/>
    <s v="FALTA NÃO JUSTIFICADA NO DIA 31/12/2023, INFORMOU QUE ESTAVA COM DORES NAS COSTAS, PORÉM NÃO FOI BUSCAR ATENDIMENTO POR NÃO CONSEGUIR SAIR DA CAMA."/>
  </r>
  <r>
    <n v="402"/>
    <s v="BRENDELL BARRADAS REIS "/>
    <n v="2770003240"/>
    <s v="NORMAL"/>
    <d v="2023-10-03T00:00:00"/>
    <s v="0ANOS, 2MESES"/>
    <n v="0.23333333333333334"/>
    <s v="0 A 01 ANO"/>
    <s v="AGENTE DE COLETA"/>
    <s v="COLETA DOMICILIAR"/>
    <s v="DIURNO"/>
    <s v="ELISANGELA ROCHA"/>
    <x v="0"/>
    <d v="2023-12-26T00:00:00"/>
    <s v="janeiro"/>
    <d v="2024-01-01T00:00:00"/>
    <s v="jan/2024"/>
    <s v="JANEIRO "/>
    <n v="2024"/>
    <d v="2024-01-01T00:00:00"/>
    <s v="FALTA"/>
    <s v="FALTA NÃO JUSTIFICADA NO DIA 26/12/203, INFORMOU QUE ESTAVA COM FEBRE, DORES DE CABEÇA, PORÉM NÃO FOI BUSCAR ATENDIMENTO."/>
  </r>
  <r>
    <n v="403"/>
    <s v="ITALO NEVES DA SILVA"/>
    <n v="2770003004"/>
    <s v="NORMAL"/>
    <d v="2022-11-09T00:00:00"/>
    <s v="1ANOS, 1MESES"/>
    <n v="1.1583333333333334"/>
    <s v="01 A 03 ANOS"/>
    <s v="AGENTE DE COLETA"/>
    <s v="COLETA DOMICILIAR"/>
    <s v="DIURNO"/>
    <s v="ELISANGELA ROCHA"/>
    <x v="0"/>
    <d v="2023-12-31T00:00:00"/>
    <s v="janeiro"/>
    <d v="2024-01-01T00:00:00"/>
    <s v="jan/2024"/>
    <s v="JANEIRO "/>
    <n v="2024"/>
    <d v="2024-01-01T00:00:00"/>
    <s v="FALTA"/>
    <s v="FALTA NÃO JUSTIFICADA NO DIA 31/12/2023, INFORMOU QUE A ESPOSA ESTAVA COM ATAQUE DE ASMA, FOI LEVAR ELA NO HOSPITAL, PORÉM NÃO TROUXE NENHUMA DOCUMENTAÇÃO."/>
  </r>
  <r>
    <n v="404"/>
    <s v="GERALDO AILTON MARTINS GUIMARAES"/>
    <n v="2770002071"/>
    <s v="NORMAL"/>
    <d v="2019-06-03T00:00:00"/>
    <s v="4ANOS, 6MESES"/>
    <n v="4.6222222222222218"/>
    <s v="03 A 05 ANOS"/>
    <s v="MOTORISTA"/>
    <s v="COLETA DOMICILIAR"/>
    <s v="DIURNO"/>
    <s v="ANA CAROLINA"/>
    <x v="0"/>
    <d v="2023-12-23T00:00:00"/>
    <s v="janeiro"/>
    <d v="2024-01-01T00:00:00"/>
    <s v="jan/2024"/>
    <s v="JANEIRO "/>
    <n v="2024"/>
    <d v="2024-01-01T00:00:00"/>
    <s v="EXCESSO DE VELOCIDADE"/>
    <s v="EXCESSO DE VELOCIDADE NO DIA 23/12/2023 AS 11:13H CHEGANDO A 73 KM, QUANDO O PERMITIDO PELA EMPRESA É 73 KM."/>
  </r>
  <r>
    <n v="405"/>
    <s v="WENDELL ROCHA DE OLIVEIRA"/>
    <n v="2770003243"/>
    <s v="PARCIAL"/>
    <d v="2023-10-03T00:00:00"/>
    <s v="0ANOS, 2MESES"/>
    <n v="0.24722222222222223"/>
    <s v="0 A 01 ANO"/>
    <s v="AGENTE DE COLETA"/>
    <s v="COLETA DOMICILIAR"/>
    <s v="DIURNO"/>
    <s v="ANA CAROLINA"/>
    <x v="0"/>
    <d v="2023-12-31T00:00:00"/>
    <s v="janeiro"/>
    <d v="2024-01-01T00:00:00"/>
    <s v="jan/2024"/>
    <s v="JANEIRO "/>
    <n v="2024"/>
    <d v="2024-01-01T00:00:00"/>
    <s v="FALTA"/>
    <s v="FALTA INJUSTIFICADA EM 31/12/2023."/>
  </r>
  <r>
    <n v="406"/>
    <s v="LUIZ FERNANDO BRANCHES DO NASCIMENTO"/>
    <n v="2770003208"/>
    <s v="PARCIAL"/>
    <d v="2023-08-08T00:00:00"/>
    <s v="0ANOS, 4MESES"/>
    <n v="0.40555555555555556"/>
    <s v="0 A 01 ANO"/>
    <s v="AGENTE DE COLETA"/>
    <s v="COLETA DOMICILIAR"/>
    <s v="NOTURNO"/>
    <s v="JOÃO PEDRO"/>
    <x v="0"/>
    <d v="2024-01-01T00:00:00"/>
    <s v="JANEIRO "/>
    <d v="2024-01-02T00:00:00"/>
    <s v="jan/2024"/>
    <s v="JANEIRO "/>
    <n v="2024"/>
    <d v="2024-01-02T00:00:00"/>
    <s v="FALTA"/>
    <s v="FALTA SEM JUSTIFICATIVA NO DIA 01/01/2024."/>
  </r>
  <r>
    <n v="407"/>
    <s v="ROBSON DE SOUZA PINHEIRO"/>
    <n v="2770002692"/>
    <s v="NORMAL"/>
    <d v="2023-11-03T00:00:00"/>
    <s v="0ANOS, 1MESES"/>
    <n v="0.16388888888888889"/>
    <s v="0 A 01 ANO"/>
    <s v="AGENTE DE COLETA"/>
    <s v="COLETA DOMICILIAR"/>
    <s v="NOTURNO"/>
    <s v="JOÃO PEDRO"/>
    <x v="0"/>
    <d v="2024-01-01T00:00:00"/>
    <s v="JANEIRO "/>
    <d v="2024-01-02T00:00:00"/>
    <s v="jan/2024"/>
    <s v="JANEIRO "/>
    <n v="2024"/>
    <d v="2024-01-02T00:00:00"/>
    <s v="FALTA"/>
    <s v="FALTA SEM JUSTIFICATIVA NO DIA 01/01/2024."/>
  </r>
  <r>
    <n v="408"/>
    <s v="LEONARDO DA SILVA ROCHA"/>
    <n v="2770002963"/>
    <s v="NORMAL"/>
    <d v="2022-10-06T00:00:00"/>
    <s v="1ANOS, 2MESES"/>
    <n v="1.2555555555555555"/>
    <s v="01 A 03 ANOS"/>
    <s v="AGENTE DE COLETA"/>
    <s v="COLETA DOMICILIAR"/>
    <s v="NOTURNO"/>
    <s v="JOÃO PEDRO"/>
    <x v="1"/>
    <d v="2024-01-01T00:00:00"/>
    <s v="JANEIRO "/>
    <d v="2024-01-02T00:00:00"/>
    <s v="jan/2024"/>
    <s v="JANEIRO "/>
    <n v="2024"/>
    <d v="2024-01-03T00:00:00"/>
    <s v="FALTA"/>
    <s v="FALTA SEM JUSTIFICATIVA NOS DIAS 29/12/2023, 31/12/2023 E 01/01/2024."/>
  </r>
  <r>
    <n v="409"/>
    <s v="ANTONIO BRAGA M0TA JUNIOR"/>
    <n v="2770003271"/>
    <s v="PARCIAL"/>
    <d v="2023-11-17T00:00:00"/>
    <s v="0ANOS, 1MESES"/>
    <n v="0.125"/>
    <s v="0 A 01 ANO"/>
    <s v="AGENTE DE COLETA"/>
    <s v="COLETA DOMICILIAR"/>
    <s v="DIURNO"/>
    <s v="ELISANGELA ROCHA"/>
    <x v="0"/>
    <d v="2024-01-01T00:00:00"/>
    <s v="JANEIRO "/>
    <d v="2024-01-02T00:00:00"/>
    <s v="jan/2024"/>
    <s v="JANEIRO "/>
    <n v="2024"/>
    <d v="2024-01-02T00:00:00"/>
    <s v="FALTA"/>
    <s v="FALTA INJUSTIFICADA NO DIA 01/01/2024."/>
  </r>
  <r>
    <n v="410"/>
    <s v="JACKSON NASCIMENTO DA SILVA"/>
    <n v="2770000243"/>
    <s v="NORMAL"/>
    <d v="2013-02-08T00:00:00"/>
    <s v="10ANOS, 10MESES"/>
    <n v="11.052777777777777"/>
    <s v="MAIS DE 5 ANOS"/>
    <s v="AGENTE DE COLETA"/>
    <s v="COLETA DOMICILIAR"/>
    <s v="DIURNO"/>
    <s v="ANA CAROLINA"/>
    <x v="0"/>
    <d v="2024-01-01T00:00:00"/>
    <s v="JANEIRO "/>
    <d v="2024-01-02T00:00:00"/>
    <s v="jan/2024"/>
    <s v="JANEIRO "/>
    <n v="2024"/>
    <d v="2024-01-02T00:00:00"/>
    <s v="FALTA"/>
    <s v="FALTA INSJUTIFICADA EM 01/01/2023."/>
  </r>
  <r>
    <n v="411"/>
    <s v="FELIPE DA COSTA RAMOS"/>
    <n v="2770003039"/>
    <s v="NORMAL"/>
    <d v="2022-12-07T00:00:00"/>
    <s v="1ANOS, 0MESES"/>
    <n v="1.0833333333333333"/>
    <s v="01 A 03 ANOS"/>
    <s v="AGENTE DE COLETA"/>
    <s v="COLETA DOMICILIAR"/>
    <s v="DIURNO"/>
    <s v="ELISANGELA ROCHA"/>
    <x v="0"/>
    <d v="2024-01-01T00:00:00"/>
    <s v="JANEIRO "/>
    <d v="2024-01-02T00:00:00"/>
    <s v="jan/2024"/>
    <s v="JANEIRO "/>
    <n v="2024"/>
    <d v="2024-01-02T00:00:00"/>
    <s v="FALTA"/>
    <s v="O COLABORADOR FALTOU NO DIA 01/01/2024, ALEGANDO UMA NASCIDA NO JOELHO DIREITO, QUE IMPOSSIBILITOU DE VIM TRABALHAR, PORÉM NÃO FOI BUSCAR ATENDIMENTO."/>
  </r>
  <r>
    <n v="412"/>
    <s v="FABIO BRITO DOS SANTOS "/>
    <n v="2770003108"/>
    <s v="PARCIAL"/>
    <d v="2023-03-16T00:00:00"/>
    <s v="0ANOS, 9MESES"/>
    <n v="0.80833333333333335"/>
    <s v="0 A 01 ANO"/>
    <s v="AGENTE DE COLETA"/>
    <s v="COLETA DOMICILIAR"/>
    <s v="DIURNO"/>
    <s v="ELISANGELA ROCHA"/>
    <x v="0"/>
    <d v="2024-01-01T00:00:00"/>
    <s v="JANEIRO "/>
    <d v="2024-01-02T00:00:00"/>
    <s v="jan/2024"/>
    <s v="JANEIRO "/>
    <n v="2024"/>
    <d v="2024-01-02T00:00:00"/>
    <s v="FALTA"/>
    <s v="O COLABORADOR FALTOU NO DIA 01/01/2024."/>
  </r>
  <r>
    <n v="413"/>
    <s v="EZEQUIEL VASCONCELOS MARTINS"/>
    <n v="2770002920"/>
    <s v="NORMAL"/>
    <d v="2022-09-01T00:00:00"/>
    <s v="1ANOS, 4MESES"/>
    <n v="1.3527777777777779"/>
    <s v="01 A 03 ANOS"/>
    <s v="AGENTE DE COLETA"/>
    <s v="COLETA DOMICILIAR"/>
    <s v="DIURNO"/>
    <s v="ELISANGELA ROCHA"/>
    <x v="0"/>
    <d v="2024-01-01T00:00:00"/>
    <s v="JANEIRO "/>
    <d v="2024-01-02T00:00:00"/>
    <s v="jan/2024"/>
    <s v="JANEIRO "/>
    <n v="2024"/>
    <d v="2024-01-02T00:00:00"/>
    <s v="FALTA"/>
    <s v="O COLABORADOR FALTOU NO DIA 01/01/2024, ALEGANDO QUE NÃO TEVE COMO VIM DEVIDO A FALTA DE ÁGUA NA COMUNIDADE CELEBRIDADE 2 DESDE O DIA 28/12/2024."/>
  </r>
  <r>
    <n v="414"/>
    <s v="LINDONEY DA SILVA LIMA"/>
    <n v="2770003085"/>
    <s v="NORMAL"/>
    <d v="2023-03-08T00:00:00"/>
    <s v="0ANOS, 9MESES"/>
    <n v="0.8305555555555556"/>
    <s v="0 A 01 ANO"/>
    <s v="AGENTE DE COLETA"/>
    <s v="COLETA DOMICILIAR"/>
    <s v="DIURNO"/>
    <s v="ANA CAROLINA"/>
    <x v="0"/>
    <d v="2024-01-01T00:00:00"/>
    <s v="JANEIRO "/>
    <d v="2024-01-02T00:00:00"/>
    <s v="jan/2024"/>
    <s v="JANEIRO "/>
    <n v="2024"/>
    <d v="2024-01-02T00:00:00"/>
    <s v="FALTA"/>
    <s v="FALTA INJUSTIFICADA EM 01/01/2024."/>
  </r>
  <r>
    <n v="415"/>
    <s v="EWERTON ROGERIO RIBEIRO ALVES"/>
    <n v="2770002804"/>
    <s v="NORMAL"/>
    <d v="2023-03-17T00:00:00"/>
    <s v="0ANOS, 9MESES"/>
    <n v="0.80555555555555558"/>
    <s v="0 A 01 ANO"/>
    <s v="AGENTE DE COLETA"/>
    <s v="COLETA DOMICILIAR"/>
    <s v="DIURNO"/>
    <s v="ANA CAROLINA"/>
    <x v="0"/>
    <d v="2024-01-01T00:00:00"/>
    <s v="JANEIRO "/>
    <d v="2024-01-02T00:00:00"/>
    <s v="jan/2024"/>
    <s v="JANEIRO "/>
    <n v="2024"/>
    <d v="2024-01-02T00:00:00"/>
    <s v="FALTA"/>
    <s v="FALTA INJUSTIFICADA EM 01/01/2024."/>
  </r>
  <r>
    <n v="416"/>
    <s v="PEDRO SERGIO DE SOUZA CHAVES"/>
    <n v="2770002709"/>
    <s v="NORMAL"/>
    <d v="2021-11-18T00:00:00"/>
    <s v="2ANOS, 1MESES"/>
    <n v="2.15"/>
    <s v="01 A 03 ANOS"/>
    <s v="AGENTE DE COLETA"/>
    <s v="COLETA DOMICILIAR"/>
    <s v="DIURNO"/>
    <s v="ANA CAROLINA"/>
    <x v="0"/>
    <d v="2024-01-01T00:00:00"/>
    <s v="JANEIRO "/>
    <d v="2024-01-02T00:00:00"/>
    <s v="jan/2024"/>
    <s v="JANEIRO "/>
    <n v="2024"/>
    <d v="2024-01-02T00:00:00"/>
    <s v="FALTA"/>
    <s v="FALTA INJUSTIFICADA EM 01/01/2024."/>
  </r>
  <r>
    <n v="417"/>
    <s v="EMERSON DO CANTO EVANGELISTA"/>
    <n v="2770003014"/>
    <s v="NORMAL"/>
    <d v="2022-12-01T00:00:00"/>
    <s v="1ANOS, 1MESES"/>
    <n v="1.1000000000000001"/>
    <s v="01 A 03 ANOS"/>
    <s v="AGENTE DE COLETA"/>
    <s v="COLETA DOMICILIAR"/>
    <s v="DIURNO"/>
    <s v="ANA CAROLINA"/>
    <x v="0"/>
    <d v="2024-01-01T00:00:00"/>
    <s v="JANEIRO "/>
    <d v="2024-01-02T00:00:00"/>
    <s v="jan/2024"/>
    <s v="JANEIRO "/>
    <n v="2024"/>
    <d v="2024-01-02T00:00:00"/>
    <s v="FALTA"/>
    <s v="FALTA INJUSTIFICADA EM 01/01/2024."/>
  </r>
  <r>
    <n v="418"/>
    <s v="ADRIANO DAVILA BARROS"/>
    <n v="2770003120"/>
    <s v="NORMAL"/>
    <d v="2023-04-06T00:00:00"/>
    <s v="0ANOS, 8MESES"/>
    <n v="0.75"/>
    <s v="0 A 01 ANO"/>
    <s v="AGENTE DE COLETA"/>
    <s v="COLETA DOMICILIAR"/>
    <s v="DIURNO"/>
    <s v="ANA CAROLINA"/>
    <x v="0"/>
    <d v="2024-01-01T00:00:00"/>
    <s v="JANEIRO "/>
    <d v="2024-01-02T00:00:00"/>
    <s v="jan/2024"/>
    <s v="JANEIRO "/>
    <n v="2024"/>
    <d v="2024-01-02T00:00:00"/>
    <s v="FALTA"/>
    <s v="FALTA INJUSTIFICADA EM 01/01/2024."/>
  </r>
  <r>
    <n v="419"/>
    <s v="CARLOS ALBERTO PERES DE OLIVEIRA"/>
    <n v="2770003011"/>
    <s v="NORMAL"/>
    <d v="2022-12-01T00:00:00"/>
    <s v="1ANOS, 1MESES"/>
    <n v="1.1000000000000001"/>
    <s v="01 A 03 ANOS"/>
    <s v="AGENTE DE COLETA"/>
    <s v="COLETA DOMICILIAR"/>
    <s v="DIURNO"/>
    <s v="ANA CAROLINA"/>
    <x v="0"/>
    <d v="2024-01-01T00:00:00"/>
    <s v="JANEIRO "/>
    <d v="2024-01-02T00:00:00"/>
    <s v="jan/2024"/>
    <s v="JANEIRO "/>
    <n v="2024"/>
    <d v="2024-01-02T00:00:00"/>
    <s v="FALTA"/>
    <s v="FALTA INJUSTIFICADA EM 01/01/2024."/>
  </r>
  <r>
    <n v="420"/>
    <s v="DANIEL MENES PERES "/>
    <n v="2770002204"/>
    <s v="NORMAL"/>
    <d v="2020-02-04T00:00:00"/>
    <s v="3ANOS, 10MESES"/>
    <n v="3.963888888888889"/>
    <s v="03 A 05 ANOS"/>
    <s v="AGENTE DE COLETA"/>
    <s v="COLETA DOMICILIAR"/>
    <s v="DIURNO"/>
    <s v="ANA CAROLINA"/>
    <x v="0"/>
    <d v="2024-01-01T00:00:00"/>
    <s v="JANEIRO "/>
    <d v="2024-01-02T00:00:00"/>
    <s v="jan/2024"/>
    <s v="JANEIRO "/>
    <n v="2024"/>
    <d v="2024-01-02T00:00:00"/>
    <s v="FALTA"/>
    <s v="FALTA INJUSTIFICADA EM 01/01/2024."/>
  </r>
  <r>
    <n v="421"/>
    <s v="THIAGO MAR DE AS"/>
    <n v="2770002885"/>
    <s v="NORMAL"/>
    <d v="2022-06-15T00:00:00"/>
    <s v="1ANOS, 6MESES"/>
    <n v="1.5694444444444444"/>
    <s v="01 A 03 ANOS"/>
    <s v="AGENTE DE COLETA"/>
    <s v="COLETA DOMICILIAR"/>
    <s v="DIURNO"/>
    <s v="ELISANGELA ROCHA"/>
    <x v="0"/>
    <d v="2024-01-01T00:00:00"/>
    <s v="JANEIRO "/>
    <d v="2024-01-02T00:00:00"/>
    <s v="jan/2024"/>
    <s v="JANEIRO "/>
    <n v="2024"/>
    <d v="2024-01-02T00:00:00"/>
    <s v="FALTA"/>
    <s v="O COLABORADOR FALTOU NO DIA 01/01/24, ALEGANDO QUE NÃO TINHA NINGUÉM PARA FICAR COM O SEU FILHO DE 04 ANOS, POIS SE TRATAVA DO SEU DIA DE FICAR COM ELE."/>
  </r>
  <r>
    <n v="422"/>
    <s v="THIAGO SILVA E SILVA"/>
    <n v="2770003091"/>
    <s v="NORMAL"/>
    <d v="2023-03-08T00:00:00"/>
    <s v="0ANOS, 9MESES"/>
    <n v="0.8305555555555556"/>
    <s v="0 A 01 ANO"/>
    <s v="AGENTE DE COLETA"/>
    <s v="COLETA DOMICILIAR"/>
    <s v="DIURNO"/>
    <s v="ELISANGELA ROCHA"/>
    <x v="0"/>
    <d v="2024-01-01T00:00:00"/>
    <s v="JANEIRO "/>
    <d v="2024-01-02T00:00:00"/>
    <s v="jan/2024"/>
    <s v="JANEIRO "/>
    <n v="2024"/>
    <d v="2024-01-03T00:00:00"/>
    <s v="FALTA"/>
    <s v="O COLABORADOR FALTOU NO DIA 01/01/2024, INFORMOU QUE NÃO ESTAVA COM CONDIÇÕES DE TRABALHAR POIS ESTAVA AMANHECIDO."/>
  </r>
  <r>
    <n v="423"/>
    <s v="GABRIEL SOUZA DA SILVA"/>
    <n v="2770002994"/>
    <s v="NORMAL"/>
    <d v="2022-11-03T00:00:00"/>
    <s v="1ANOS, 1MESES"/>
    <n v="1.1777777777777778"/>
    <s v="01 A 03 ANOS"/>
    <s v="AGENTE DE COLETA"/>
    <s v="COLETA DOMICILIAR"/>
    <s v="DIURNO"/>
    <s v="ELISANGELA ROCHA"/>
    <x v="1"/>
    <d v="2024-01-01T00:00:00"/>
    <s v="JANEIRO "/>
    <d v="2024-01-02T00:00:00"/>
    <s v="jan/2024"/>
    <s v="JANEIRO "/>
    <n v="2024"/>
    <d v="2024-01-03T00:00:00"/>
    <s v="FALTA"/>
    <s v="O COLABORADOR FALTOU NO DIA 01/01/2024, ALEGANDO MOTIVOS PESSOAIS E POR NÃO ESTAR SE SENTINDO BEM PARA TRABALHAR."/>
  </r>
  <r>
    <n v="424"/>
    <s v="GABRIEL MARTINS RIBEIRO"/>
    <n v="2770003184"/>
    <s v="PARCIAL"/>
    <d v="2023-07-06T00:00:00"/>
    <s v="0ANOS, 5MESES"/>
    <n v="0.49722222222222223"/>
    <s v="0 A 01 ANO"/>
    <s v="AGENTE DE COLETA"/>
    <s v="COLETA DOMICILIAR"/>
    <s v="DIURNO"/>
    <s v="ANA CAROLINA"/>
    <x v="0"/>
    <d v="2024-01-01T00:00:00"/>
    <s v="JANEIRO "/>
    <d v="2024-01-02T00:00:00"/>
    <s v="jan/2024"/>
    <s v="JANEIRO "/>
    <n v="2024"/>
    <d v="2024-01-02T00:00:00"/>
    <s v="FALTA"/>
    <s v="FALTA INJUSTIFICADA EM 01/01/2024."/>
  </r>
  <r>
    <n v="425"/>
    <s v="LUCAS PINHEIRO LOPES"/>
    <n v="2770002873"/>
    <s v="NORMAL"/>
    <d v="2022-06-01T00:00:00"/>
    <s v="1ANOS, 7MESES"/>
    <n v="1.6111111111111112"/>
    <s v="01 A 03 ANOS"/>
    <s v="AGENTE DE COLETA"/>
    <s v="COLETA DOMICILIAR"/>
    <s v="NOTURNO"/>
    <s v="JOSEANE MIGUEL"/>
    <x v="1"/>
    <d v="2024-01-02T00:00:00"/>
    <s v="JANEIRO "/>
    <d v="2024-01-03T00:00:00"/>
    <s v="jan/2024"/>
    <s v="JANEIRO "/>
    <n v="2024"/>
    <d v="2024-01-04T00:00:00"/>
    <s v="FALTA"/>
    <s v="FALTA SEM JUSTIFICATIVA NOS DIAS 01/01/2024 E 02/01/2024."/>
  </r>
  <r>
    <n v="426"/>
    <s v="RAIR BARROSO DA SILVA"/>
    <n v="2770003021"/>
    <s v="NORMAL"/>
    <d v="2022-12-01T00:00:00"/>
    <s v="1ANOS, 1MESES"/>
    <n v="1.1083333333333334"/>
    <s v="01 A 03 ANOS"/>
    <s v="AGENTE DE COLETA"/>
    <s v="COLETA DOMICILIAR"/>
    <s v="NOTURNO"/>
    <s v="JOÃO PEDRO"/>
    <x v="0"/>
    <d v="2024-01-04T00:00:00"/>
    <s v="janeiro"/>
    <d v="2024-01-05T00:00:00"/>
    <s v="jan/2024"/>
    <s v="JANEIRO "/>
    <n v="2024"/>
    <d v="2024-01-05T00:00:00"/>
    <s v="FALTA"/>
    <s v="FALTA SEM JUSTIFICATIVA NO DIA 04/01/2024."/>
  </r>
  <r>
    <n v="427"/>
    <s v="ANTONIO RAIMUNDO CAVALCANTE RENOVATO"/>
    <n v="2770003275"/>
    <s v="NORMAL"/>
    <d v="2023-11-17T00:00:00"/>
    <s v="0ANOS, 1MESES"/>
    <n v="0.1361111111111111"/>
    <s v="0 A 01 ANO"/>
    <s v="AGENTE DE COLETA"/>
    <s v="COLETA DOMICILIAR"/>
    <s v="DIURNO"/>
    <s v="ANA CAROLINA"/>
    <x v="0"/>
    <d v="2024-01-05T00:00:00"/>
    <s v="JANEIRO "/>
    <d v="2024-01-06T00:00:00"/>
    <s v="jan/2024"/>
    <s v="JANEIRO "/>
    <n v="2024"/>
    <d v="2024-01-06T00:00:00"/>
    <s v="FALTA"/>
    <s v="FALTA INJUSTIFICADA NO DIA 05/01/2024, ALEGA QUE ESTAVA VIAJANDO E NÃO CONSEGUIU CHEGAR A TEMPO."/>
  </r>
  <r>
    <n v="428"/>
    <s v="LINDONEY DA SILVA LIMA"/>
    <n v="2770003085"/>
    <s v="NORMAL"/>
    <d v="2023-03-08T00:00:00"/>
    <s v="0ANOS, 9MESES"/>
    <n v="0.84722222222222221"/>
    <s v="0 A 01 ANO"/>
    <s v="AGENTE DE COLETA"/>
    <s v="COLETA DOMICILIAR"/>
    <s v="DIURNO"/>
    <s v="ANA CAROLINA"/>
    <x v="1"/>
    <d v="2024-01-07T00:00:00"/>
    <s v="JANEIRO "/>
    <d v="2024-01-08T00:00:00"/>
    <s v="jan/2024"/>
    <s v="JANEIRO "/>
    <n v="2024"/>
    <d v="2024-01-09T00:00:00"/>
    <s v="FALTA"/>
    <s v="FALTA INJUSITIFICADA NO DIA 07/01/2024, ALEGANDO QUE PRECISOU FICAR COM O FILHO QUE ESTAVA DOENTE."/>
  </r>
  <r>
    <n v="429"/>
    <s v="EDILSON LUIZ CARVALHO DE SOUZA"/>
    <n v="2770002769"/>
    <s v="NORMAL"/>
    <d v="2022-01-17T00:00:00"/>
    <s v="1ANOS, 11MESES"/>
    <n v="2"/>
    <s v="01 A 03 ANOS"/>
    <s v="AGENTE DE COLETA"/>
    <s v="COLETA DOMICILIAR"/>
    <s v="NOTURNO"/>
    <s v="JOÃO PEDRO"/>
    <x v="1"/>
    <d v="2024-01-07T00:00:00"/>
    <s v="JANEIRO "/>
    <d v="2024-01-08T00:00:00"/>
    <s v="jan/2024"/>
    <s v="JANEIRO "/>
    <n v="2024"/>
    <d v="2024-01-09T00:00:00"/>
    <s v="FALTA"/>
    <s v="FALTA SEM JUSTIFICATIVA EM 07/01/2024."/>
  </r>
  <r>
    <n v="430"/>
    <s v="JANDERSON ALHO PINHEIRO "/>
    <n v="2770003169"/>
    <s v="NORMAL"/>
    <d v="2023-06-01T00:00:00"/>
    <s v="0ANOS, 7MESES"/>
    <n v="0.60833333333333328"/>
    <s v="0 A 01 ANO"/>
    <s v="AGENTE DE COLETA"/>
    <s v="COLETA DOMICILIAR"/>
    <s v="NOTURNO"/>
    <s v="JOÃO PEDRO"/>
    <x v="1"/>
    <d v="2024-01-06T00:00:00"/>
    <s v="JANEIRO "/>
    <d v="2024-01-08T00:00:00"/>
    <s v="jan/2024"/>
    <s v="JANEIRO "/>
    <n v="2024"/>
    <d v="2024-01-13T00:00:00"/>
    <s v="FALTA"/>
    <s v="FALTA SEM JUSTIFICATIVA EM 06/01/2024."/>
  </r>
  <r>
    <n v="431"/>
    <s v="HERICLES MENDONCA TRINDADE "/>
    <n v="2770002546"/>
    <s v="NORMAL"/>
    <d v="2022-06-01T00:00:00"/>
    <s v="1ANOS, 7MESES"/>
    <n v="1.6305555555555555"/>
    <s v="01 A 03 ANOS"/>
    <s v="AGENTE DE COLETA"/>
    <s v="COLETA DOMICILIAR"/>
    <s v="NOTURNO"/>
    <s v="JOÃO PEDRO"/>
    <x v="0"/>
    <d v="2024-01-09T00:00:00"/>
    <s v="JANEIRO "/>
    <d v="2024-01-10T00:00:00"/>
    <s v="jan/2024"/>
    <s v="JANEIRO "/>
    <n v="2024"/>
    <d v="2024-01-10T00:00:00"/>
    <s v="FALTA"/>
    <s v="FALTA SEM JUSTIFICATIVA EM 09/01/2024."/>
  </r>
  <r>
    <n v="432"/>
    <s v="NAUM DA SILVA CASTRO ALFAIA"/>
    <n v="2770002953"/>
    <s v="NORMAL"/>
    <d v="2022-10-03T00:00:00"/>
    <s v="1ANOS, 3MESES"/>
    <n v="1.2833333333333334"/>
    <s v="01 A 03 ANOS"/>
    <s v="AGENTE DE COLETA"/>
    <s v="COLETA DOMICILIAR"/>
    <s v="NOTURNO"/>
    <s v="PAULO PORTO"/>
    <x v="1"/>
    <d v="2024-01-08T00:00:00"/>
    <s v="JANEIRO "/>
    <d v="2024-01-11T00:00:00"/>
    <s v="jan/2024"/>
    <s v="JANEIRO "/>
    <n v="2024"/>
    <d v="2024-01-16T00:00:00"/>
    <s v="QUEBRA DE PROCEDIMENTO"/>
    <s v="NO DIA 08/01/2024 NO ROTEIRO 90.3.101 - PRAÇA 14, NA LIXEIRA DO PROSAMIM, SE ENVOLVEU NUMA DISCUSSÃO QUE ACABOU VIRANDO UM CASO DE AGRESSÃO FÍSICA COM O FUNCIONÁRIO LUCAS PEREIRA DA CUNHA (MAT.3146)."/>
  </r>
  <r>
    <n v="433"/>
    <s v="ALEXANDRE ZAGURY SENA"/>
    <n v="2770003133"/>
    <s v="NORMAL"/>
    <d v="2023-04-17T00:00:00"/>
    <s v="0ANOS, 8MESES"/>
    <n v="0.74444444444444446"/>
    <s v="0 A 01 ANO"/>
    <s v="AGENTE DE COLETA"/>
    <s v="COLETA DOMICILIAR"/>
    <s v="NOTURNO"/>
    <s v="JOÃO PEDRO"/>
    <x v="0"/>
    <d v="2024-01-10T00:00:00"/>
    <s v="JANEIRO "/>
    <d v="2024-01-11T00:00:00"/>
    <s v="jan/2024"/>
    <s v="JANEIRO "/>
    <n v="2024"/>
    <d v="2024-01-11T00:00:00"/>
    <s v="FALTA"/>
    <s v="FALTA SEM JUSTIFICATIVA EM 10/01/2024."/>
  </r>
  <r>
    <n v="434"/>
    <s v="RAYLANDER BATISTA DA SILVA"/>
    <n v="2770003122"/>
    <s v="NORMAL"/>
    <d v="2023-04-06T00:00:00"/>
    <s v="0ANOS, 9MESES"/>
    <n v="0.77222222222222225"/>
    <s v="0 A 01 ANO"/>
    <s v="AGENTE DE COLETA"/>
    <s v="COLETA DOMICILIAR"/>
    <s v="DIURNO"/>
    <s v="ELISANGELA ROCHA"/>
    <x v="1"/>
    <d v="2024-01-09T00:00:00"/>
    <s v="JANEIRO "/>
    <d v="2024-01-11T00:00:00"/>
    <s v="jan/2024"/>
    <s v="JANEIRO "/>
    <n v="2024"/>
    <d v="2024-01-12T00:00:00"/>
    <s v="FALTA"/>
    <s v="FALTA INJUSTIFICADA NO DIA 09/01/2024, ALEGA QUE ESTAVA COM PROBLEMAS PESSOAIS E PRECISOU IR AO FORUM."/>
  </r>
  <r>
    <n v="435"/>
    <s v="RICHARD ALEXANDER MEJIA ESPINOZA"/>
    <n v="2770002517"/>
    <s v="NORMAL"/>
    <d v="2021-05-03T00:00:00"/>
    <s v="2ANOS, 8MESES"/>
    <n v="2.7305555555555556"/>
    <s v="01 A 03 ANOS"/>
    <s v="AGENTE DE COLETA"/>
    <s v="COLETA DOMICILIAR"/>
    <s v="NOTURNO"/>
    <s v="JOÃO PEDRO"/>
    <x v="1"/>
    <d v="2024-01-11T00:00:00"/>
    <s v="JANEIRO "/>
    <d v="2024-01-12T00:00:00"/>
    <s v="jan/2024"/>
    <s v="JANEIRO "/>
    <n v="2024"/>
    <d v="2024-01-15T00:00:00"/>
    <s v="QUEBRA DE PROCEDIMENTO"/>
    <s v="NO DIA 11/01/2024, NO ROTEIRO 90.3.163 - CIDADE NOVA, COLABORADOR FOI FLAGRADO JOGANDO LIXO NO IGARAPE, INDO EM DESENCONTRO COM PO-08."/>
  </r>
  <r>
    <n v="436"/>
    <s v="LUCAS PEREIRA DA CUNHA"/>
    <n v="2770003146"/>
    <s v="NORMAL"/>
    <d v="2023-05-05T00:00:00"/>
    <s v="0ANOS, 8MESES"/>
    <n v="0.68888888888888888"/>
    <s v="0 A 01 ANO"/>
    <s v="AGENTE DE COLETA"/>
    <s v="COLETA DOMICILIAR"/>
    <s v="NOTURNO"/>
    <s v="PAULO PORTO"/>
    <x v="1"/>
    <d v="2024-01-08T00:00:00"/>
    <s v="JANEIRO "/>
    <d v="2024-01-14T00:00:00"/>
    <s v="jan/2024"/>
    <s v="JANEIRO "/>
    <n v="2024"/>
    <d v="2024-01-17T00:00:00"/>
    <s v="QUEBRA DE PROCEDIMENTO"/>
    <s v="NO DIA 08/01/2024 NO ROTEIRO 90.3.101 - PRAÇA 14, NA LIXEIRA DO PROSAMIM, SE ENVOLVEU NUMA DISCUSSÃO QUE ACABOU VIRANDO UM CASO DE AGRESSÃO FÍSICA COM O FUNCIONÁRIO NAUM CASTRO DE ALFAIA (MAT.2953)."/>
  </r>
  <r>
    <n v="437"/>
    <s v="EMIL SOUSA DE MORAES"/>
    <n v="2770003262"/>
    <s v="PARCIAL"/>
    <d v="2023-11-03T00:00:00"/>
    <s v="0ANOS, 2MESES"/>
    <n v="0.18611111111111112"/>
    <s v="0 A 01 ANO"/>
    <s v="AGENTE DE COLETA"/>
    <s v="COLETA DOMICILIAR"/>
    <s v="NOTURNO"/>
    <s v="JOÃO PEDRO"/>
    <x v="1"/>
    <d v="2024-01-09T00:00:00"/>
    <s v="JANEIRO "/>
    <d v="2024-01-14T00:00:00"/>
    <s v="jan/2024"/>
    <s v="JANEIRO "/>
    <n v="2024"/>
    <d v="2024-01-15T00:00:00"/>
    <s v="FALTA"/>
    <s v="FALTA SEM JUSTIFICATIVA EM 09/01/2024. "/>
  </r>
  <r>
    <n v="438"/>
    <s v="LEONARDO DA SILVA ROCHA"/>
    <n v="2770002963"/>
    <s v="NORMAL"/>
    <d v="2022-10-06T00:00:00"/>
    <s v="1ANOS, 3MESES"/>
    <n v="1.2916666666666667"/>
    <s v="01 A 03 ANOS"/>
    <s v="AGENTE DE COLETA"/>
    <s v="COLETA DOMICILIAR"/>
    <s v="NOTURNO"/>
    <s v="JOÃO PEDRO"/>
    <x v="1"/>
    <d v="2024-01-14T00:00:00"/>
    <s v="JANEIRO "/>
    <d v="2024-01-15T00:00:00"/>
    <s v="jan/2024"/>
    <s v="JANEIRO "/>
    <n v="2024"/>
    <d v="2024-01-18T00:00:00"/>
    <s v="FALTA"/>
    <s v="FALTA SEM JUSTIFICATIVA EM 14/01/2024."/>
  </r>
  <r>
    <n v="439"/>
    <s v="FABIO BRITO DOS SANTOS "/>
    <n v="2770003108"/>
    <s v="NORMAL"/>
    <d v="2023-03-16T00:00:00"/>
    <s v="0ANOS, 9MESES"/>
    <n v="0.84722222222222221"/>
    <s v="0 A 01 ANO"/>
    <s v="AGENTE DE COLETA"/>
    <s v="COLETA DOMICILIAR"/>
    <s v="DIURNO"/>
    <s v="ANA CAROLINA"/>
    <x v="1"/>
    <d v="2024-01-15T00:00:00"/>
    <s v="JANEIRO "/>
    <d v="2024-01-16T00:00:00"/>
    <s v="jan/2024"/>
    <s v="JANEIRO "/>
    <n v="2024"/>
    <d v="2024-01-17T00:00:00"/>
    <s v="FALTA"/>
    <s v="FALTA INJUSTIFICADA NO DIA 15/01/2024, ALEGA QUE ESTAVA MAL, PORÉM NÃO PROCUROU ATENDIMENTO."/>
  </r>
  <r>
    <n v="440"/>
    <s v="EMERSON DO CANTO EVANGELISTA"/>
    <n v="2770003014"/>
    <s v="PARCIAL"/>
    <d v="2022-12-01T00:00:00"/>
    <s v="1ANOS, 1MESES"/>
    <n v="1.1416666666666666"/>
    <s v="01 A 03 ANOS"/>
    <s v="AGENTE DE COLETA"/>
    <s v="COLETA DOMICILIAR"/>
    <s v="DIURNO"/>
    <s v="ANA CAROLINA"/>
    <x v="1"/>
    <d v="2024-01-16T00:00:00"/>
    <s v="JANEIRO "/>
    <d v="2024-01-16T00:00:00"/>
    <s v="jan/2024"/>
    <s v="JANEIRO "/>
    <n v="2024"/>
    <d v="2024-01-18T00:00:00"/>
    <s v="FALTA"/>
    <s v="FALTA INJUSTIFICADA NO DIA 16/01/2024, ALEGA QUE FOI REALIZAR UMA ENTREVISTA DE EMPREGO."/>
  </r>
  <r>
    <n v="441"/>
    <s v="EZEQUIEL VASCONCELOS MARTINS"/>
    <n v="2770002920"/>
    <s v="NORMAL"/>
    <d v="2022-09-01T00:00:00"/>
    <s v="1ANOS, 4MESES"/>
    <n v="1.3944444444444444"/>
    <s v="01 A 03 ANOS"/>
    <s v="AGENTE DE COLETA"/>
    <s v="COLETA DOMICILIAR"/>
    <s v="DIURNO"/>
    <s v="ANA CAROLINA"/>
    <x v="1"/>
    <d v="2024-01-16T00:00:00"/>
    <s v="JANEIRO "/>
    <d v="2024-01-17T00:00:00"/>
    <s v="jan/2024"/>
    <s v="JANEIRO "/>
    <n v="2024"/>
    <d v="2024-01-18T00:00:00"/>
    <s v="FALTA"/>
    <s v="FALTA INJUSTIFICADA NO DIA 16/01/2024, ALEGA QUE PRECISOU FICAR COM O FILHO."/>
  </r>
  <r>
    <n v="442"/>
    <s v="RAIR BARROSO DA SILVA"/>
    <n v="2770003060"/>
    <s v="PARCIAL"/>
    <d v="2023-01-12T00:00:00"/>
    <s v="0ANOS, 11MESES"/>
    <n v="1.0111111111111111"/>
    <s v="01 A 03 ANOS"/>
    <s v="MOTORISTA"/>
    <s v="COLETA DOMICILIAR"/>
    <s v="NOTURNO"/>
    <s v="JOÃO PEDRO"/>
    <x v="1"/>
    <d v="2024-01-11T00:00:00"/>
    <s v="JANEIRO "/>
    <d v="2024-01-19T00:00:00"/>
    <s v="jan/2024"/>
    <s v="JANEIRO "/>
    <n v="2024"/>
    <d v="2024-01-11T00:00:00"/>
    <s v="QUEBRA DE PROCEDIMENTO"/>
    <s v="NO DIA 11/01/2024 POR VOLTA DE 23:15 HORAS, O SR. RAIRO, PAROU O VEÍCULO COMPACTADOR NA AVENIDA UMBERTO CALDERARO FILHO, NA ALÇA DO VIADUTO DA AV. EFIGENIO SALLES, NO INICIO DE UMA PASSAGEM DE NIVEL EM UMA VIA DE TRANSITO RAPIDO, LOCAL PROIBIDO PARA ESTA FINALIDADE, INFRINGINDO O ART. 182 DO CÓDIGO DE TRANSITO BRASILEIRO E COLOCANDO EM RISCO A INTEGRIDADE FISICA DOS AGENTES DE COLETA E A DE TERCEIROS QUE TRANSITAVAM NA VIA. TAL ATO DE FATOR DE DETERMINANTE E GEROU O ACIDENTE DE UM VEÍCULO TERCEIRO QUE COLIDIU NA TRASEIRA DO COMPACTADOR, ONDE OS OCUPANTES TIVERAM FERIMENTOS LEVES."/>
  </r>
  <r>
    <n v="443"/>
    <s v="LUCAS PINHEIRO LOPES"/>
    <n v="2770002873"/>
    <s v="NORMAL"/>
    <d v="2022-06-01T00:00:00"/>
    <s v="1ANOS, 7MESES"/>
    <n v="1.6416666666666666"/>
    <s v="01 A 03 ANOS"/>
    <s v="AGENTE DE COLETA"/>
    <s v="COLETA DOMICILIAR"/>
    <s v="NOTURNO"/>
    <s v="JOÃO PEDRO"/>
    <x v="1"/>
    <d v="2024-01-13T00:00:00"/>
    <s v="JANEIRO "/>
    <d v="2024-01-20T00:00:00"/>
    <s v="jan/2024"/>
    <s v="JANEIRO "/>
    <n v="2024"/>
    <d v="2024-01-20T00:00:00"/>
    <s v="FALTA"/>
    <s v="FALTA EM 13/01, ALEGOU ESTAR SENTINDO DORES NO PESCOÇO, MAS NÃO CONSEGUIU NENHUM DOCUMENTO MÉDICO."/>
  </r>
  <r>
    <n v="444"/>
    <s v="MARIANO PEREIRA DOS REIS "/>
    <n v="2770003166"/>
    <s v="NORMAL"/>
    <d v="2023-06-01T00:00:00"/>
    <s v="0ANOS, 7MESES"/>
    <n v="0.64722222222222225"/>
    <s v="0 A 01 ANO"/>
    <s v="AGENTE DE COLETA"/>
    <s v="COLETA DOMICILIAR"/>
    <s v="DIURNO"/>
    <s v="ANA CAROLINA"/>
    <x v="1"/>
    <d v="2024-01-20T00:00:00"/>
    <s v="JANEIRO "/>
    <d v="2024-01-20T00:00:00"/>
    <s v="jan/2024"/>
    <s v="JANEIRO "/>
    <n v="2024"/>
    <d v="2024-01-21T00:00:00"/>
    <s v="INSUBORDINAÇÃO"/>
    <s v="COLABORADOR RECUSOU A ATENDER AO COMANDO PASSADO PELA ANALISTA, REFERENTE AO APOIO SOLICITADO NA ROTA 90.1.165 (CIDADE NOVA - NUCLEOS) DENTRO DO HORÁRIO DE TRABALHO."/>
  </r>
  <r>
    <n v="445"/>
    <s v="MAURICIO DE SOUZA ANDRADE"/>
    <n v="2770002675"/>
    <s v="NORMAL"/>
    <d v="2021-10-13T00:00:00"/>
    <s v="2ANOS, 3MESES"/>
    <n v="2.3027777777777776"/>
    <s v="01 A 03 ANOS"/>
    <s v="AGENTE DE COLETA"/>
    <s v="COLETA DOMICILIAR"/>
    <s v="DIURNO"/>
    <s v="ANA CAROLINA"/>
    <x v="1"/>
    <d v="2024-01-20T00:00:00"/>
    <s v="JANEIRO "/>
    <d v="2024-01-20T00:00:00"/>
    <s v="jan/2024"/>
    <s v="JANEIRO "/>
    <n v="2024"/>
    <d v="2024-01-21T00:00:00"/>
    <s v="INSUBORDINAÇÃO"/>
    <s v="COLABORADOR RECUSOU A ATENDER AO COMANDO PASSADO PELA ANALISTA, REFERENTE AO APOIO SOLICITADO NA ROTA 90.1.165 (CIDADE NOVA - NUCLEOS) DENTRO DO HORÁRIO DE TRABALHO."/>
  </r>
  <r>
    <n v="446"/>
    <s v="RICARDO CARRIL MENDONCA JUNIOR"/>
    <n v="2770003204"/>
    <s v="PARCIAL"/>
    <d v="2023-08-08T00:00:00"/>
    <s v="0ANOS, 5MESES"/>
    <n v="0.45833333333333331"/>
    <s v="0 A 01 ANO"/>
    <s v="AGENTE DE COLETA"/>
    <s v="COLETA DOMICILIAR"/>
    <s v="DIURNO"/>
    <s v="ANA CAROLINA"/>
    <x v="0"/>
    <d v="2024-01-20T00:00:00"/>
    <s v="JANEIRO "/>
    <d v="2024-01-20T00:00:00"/>
    <s v="jan/2024"/>
    <s v="JANEIRO "/>
    <n v="2024"/>
    <d v="2024-01-20T00:00:00"/>
    <s v="FALTA"/>
    <s v="O COLABORADOR FALTOU NO DIA 20/01/24 E NÃO APRESENTOU NENHUMA JUSTIFICATIVA."/>
  </r>
  <r>
    <n v="447"/>
    <s v="DAVID JOSE GONZALEZ MENDEZ"/>
    <n v="2770002442"/>
    <s v="NORMAL"/>
    <d v="2021-06-01T00:00:00"/>
    <s v="2ANOS, 7MESES"/>
    <n v="2.6749999999999998"/>
    <s v="01 A 03 ANOS"/>
    <s v="AGENTE DE COLETA"/>
    <s v="COLETA DOMICILIAR"/>
    <s v="NOTURNO"/>
    <s v="JOÃO PEDRO"/>
    <x v="0"/>
    <d v="2024-01-20T00:00:00"/>
    <s v="JANEIRO "/>
    <d v="2024-01-20T00:00:00"/>
    <s v="jan/2024"/>
    <s v="JANEIRO "/>
    <n v="2024"/>
    <d v="2024-01-23T00:00:00"/>
    <s v="FALTA"/>
    <s v="FALTA EM 20/01/2024, COLABORADOR INFORMOU QUE ESTAVA A CAMINHO DA EMPRESA, PORÉM A SUA MOTO ENTROU EM PANE, E O MESMO NÃO CONSEGUIU CHEGAR NO SEU DESTINO."/>
  </r>
  <r>
    <n v="448"/>
    <s v="EZEQUIEL VASCONCELOS MARTINS"/>
    <n v="2770002920"/>
    <s v="NORMAL"/>
    <d v="2022-09-01T00:00:00"/>
    <s v="1ANOS, 4MESES"/>
    <n v="1.4027777777777777"/>
    <s v="01 A 03 ANOS"/>
    <s v="AGENTE DE COLETA"/>
    <s v="COLETA DOMICILIAR"/>
    <s v="DIURNO"/>
    <s v="ANA CAROLINA"/>
    <x v="1"/>
    <d v="2024-01-19T00:00:00"/>
    <s v="JANEIRO "/>
    <d v="2024-01-22T00:00:00"/>
    <s v="jan/2024"/>
    <s v="JANEIRO "/>
    <n v="2024"/>
    <d v="2024-01-25T00:00:00"/>
    <s v="FALTA"/>
    <s v="FALTA INJUSTIFICADA NO DIA 19/01/2024, APRESENTOU DECLARAÇÃO DE COMPARECECIMENTO FORA DO PRAZO."/>
  </r>
  <r>
    <n v="449"/>
    <s v="ISAIAS ROCHA DE ARAUJO"/>
    <n v="2770003219"/>
    <s v="PARCIAL"/>
    <d v="2023-08-17T00:00:00"/>
    <s v="0ANOS, 5MESES"/>
    <n v="0.43333333333333335"/>
    <s v="0 A 01 ANO"/>
    <s v="MOTORISTA"/>
    <s v="COLETA DOMICILIAR"/>
    <s v="NOTURNO"/>
    <s v="JOÃO PEDRO"/>
    <x v="0"/>
    <d v="2024-01-20T00:00:00"/>
    <s v="JANEIRO "/>
    <d v="2024-01-23T00:00:00"/>
    <s v="jan/2024"/>
    <s v="JANEIRO "/>
    <n v="2024"/>
    <d v="2024-01-23T00:00:00"/>
    <s v="EXCESSO DE VELOCIDADE"/>
    <s v="COLABORADOR EXCEDEU A VELOCIDADE PERMITIDO DA EMPRESA CHEGANDO A 72 KM/H."/>
  </r>
  <r>
    <n v="450"/>
    <s v="ROSSIFRANK MATOS CARDOSO"/>
    <n v="2770002764"/>
    <s v="NORMAL"/>
    <d v="2022-01-17T00:00:00"/>
    <s v="2ANOS, 0MESES"/>
    <n v="2.0388888888888888"/>
    <s v="01 A 03 ANOS"/>
    <s v="AGENTE DE COLETA"/>
    <s v="COLETA DOMICILIAR"/>
    <s v="NOTURNO"/>
    <s v="JOÃO PEDRO"/>
    <x v="0"/>
    <d v="2024-01-21T00:00:00"/>
    <s v="JANEIRO "/>
    <d v="2024-01-23T00:00:00"/>
    <s v="jan/2024"/>
    <s v="JANEIRO "/>
    <n v="2024"/>
    <d v="2024-01-23T00:00:00"/>
    <s v="FALTA"/>
    <s v="FALTA NO DOMINGO 21/01/2024, COLABORADOR ALEGOU NÃO ESTAR BEM DE SAÚDE, PORÉM NÃO PROCOUROU ATENDIMENTO."/>
  </r>
  <r>
    <n v="451"/>
    <s v="JANDERSON ALHO PINHEIRO "/>
    <n v="2770003169"/>
    <s v="NORMAL"/>
    <d v="2023-06-01T00:00:00"/>
    <s v="0ANOS, 7MESES"/>
    <n v="0.65277777777777779"/>
    <s v="0 A 01 ANO"/>
    <s v="AGENTE DE COLETA"/>
    <s v="COLETA DOMICILIAR"/>
    <s v="NOTURNO"/>
    <s v="JOÃO PEDRO"/>
    <x v="1"/>
    <d v="2024-01-22T00:00:00"/>
    <s v="JANEIRO "/>
    <d v="2024-01-23T00:00:00"/>
    <s v="jan/2024"/>
    <s v="JANEIRO "/>
    <n v="2024"/>
    <d v="2024-01-30T00:00:00"/>
    <s v="FALTA"/>
    <s v="FALTA EM 22/01/2024, COLABORADOR INFORMOU QUE ESTAVA PARA AUTAZES, PORÉM, HOUVE UM ATRASO NA VOLTA, E QUE O IMPOSSIBILITOU DE CHEGAR EM TEMPO HÁBIL NA EMPRESA."/>
  </r>
  <r>
    <n v="452"/>
    <s v="RAYLANDER BATISTA DA SILVA"/>
    <n v="2770003122"/>
    <s v="NORMAL"/>
    <d v="2023-04-06T00:00:00"/>
    <s v="0ANOS, 9MESES"/>
    <n v="0.81111111111111112"/>
    <s v="0 A 01 ANO"/>
    <s v="AGENTE DE COLETA"/>
    <s v="COLETA DOMICILIAR"/>
    <s v="DIURNO"/>
    <s v="ANA CAROLINA"/>
    <x v="1"/>
    <d v="2024-01-23T00:00:00"/>
    <s v="JANEIRO "/>
    <d v="2024-01-24T00:00:00"/>
    <s v="jan/2024"/>
    <s v="JANEIRO "/>
    <n v="2024"/>
    <d v="2024-01-27T00:00:00"/>
    <s v="FALTA"/>
    <s v="FALTA INJUSTIFICADA NOS DIAS 20/01/2024, 21/01/2024, 22/01/2024 E 23/01/2024, COLABORADOR INFORMA QUE ESTÁ COM DORES NA COLUNA, PORÉM NÃO CONSEGUIU BUSCAR ATENDIMENTO."/>
  </r>
  <r>
    <n v="453"/>
    <s v="EDINARDO PERES DA SILVA BRITO"/>
    <n v="2770000144"/>
    <s v="NORMAL"/>
    <d v="2013-02-08T00:00:00"/>
    <s v="10ANOS, 11MESES"/>
    <n v="11.113888888888889"/>
    <s v="MAIS DE 5 ANOS"/>
    <s v="MOTORISTA"/>
    <s v="COLETA DOMICILIAR"/>
    <s v="DIURNO"/>
    <s v="ANA CAROLINA"/>
    <x v="0"/>
    <d v="2024-01-23T00:00:00"/>
    <s v="JANEIRO "/>
    <d v="2024-01-24T00:00:00"/>
    <s v="jan/2024"/>
    <s v="JANEIRO "/>
    <n v="2024"/>
    <d v="2024-01-24T00:00:00"/>
    <s v="EXCESSO DE VELOCIDADE"/>
    <s v="EXCEDEU A VELOCIDADE PERMITIDA PELA EMPRESA CHEGANDO A 75 KM NO DIA 23/01/2024."/>
  </r>
  <r>
    <n v="454"/>
    <s v="LEONARDO DA SILVA ROCHA"/>
    <n v="2770002963"/>
    <s v="NORMAL"/>
    <d v="2022-10-06T00:00:00"/>
    <s v="1ANOS, 3MESES"/>
    <n v="1.3222222222222222"/>
    <s v="01 A 03 ANOS"/>
    <s v="AGENTE DE COLETA"/>
    <s v="COLETA DOMICILIAR"/>
    <s v="NOTURNO"/>
    <s v="JOÃO PEDRO"/>
    <x v="1"/>
    <d v="2024-01-25T00:00:00"/>
    <s v="JANEIRO "/>
    <d v="2024-01-25T00:00:00"/>
    <s v="jan/2024"/>
    <s v="JANEIRO "/>
    <n v="2024"/>
    <d v="2024-01-31T00:00:00"/>
    <s v="FALTA"/>
    <s v="FALTA EM 25/01/2024, COLABORADOR NÃO QUIS INFORMAR O MOTIVO DA FALTA."/>
  </r>
  <r>
    <n v="455"/>
    <s v="JANILSON DE OLIVEIRA SACRAMENTO "/>
    <n v="2770003176"/>
    <s v="NORMAL"/>
    <d v="2023-06-16T00:00:00"/>
    <s v="0ANOS, 7MESES"/>
    <n v="0.61944444444444446"/>
    <s v="0 A 01 ANO"/>
    <s v="AGENTE DE COLETA"/>
    <s v="COLETA DOMICILIAR"/>
    <s v="NOTURNO"/>
    <s v="JOSEANE MIGUEL"/>
    <x v="0"/>
    <d v="2024-01-25T00:00:00"/>
    <s v="JANEIRO "/>
    <d v="2024-01-28T00:00:00"/>
    <s v="jan/2024"/>
    <s v="JANEIRO "/>
    <n v="2024"/>
    <d v="2024-01-28T00:00:00"/>
    <s v="FALTA"/>
    <s v="FALTA EM 25/01/2024, COLABORADOR FOI PROCURAR ATENDIMENTO, PORÉM NÃO ENTREGOU NENHUMA DOCUMENTAÇÃ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ENALIDADES MES" cacheId="12" applyNumberFormats="0" applyBorderFormats="0" applyFontFormats="0" applyPatternFormats="0" applyAlignmentFormats="0" applyWidthHeightFormats="1" dataCaption="Valores" updatedVersion="8" minRefreshableVersion="3" useAutoFormatting="1" itemPrintTitles="1" createdVersion="6" indent="0" compact="0" compactData="0" multipleFieldFilters="0" chartFormat="12">
  <location ref="A1:B15" firstHeaderRow="1" firstDataRow="1" firstDataCol="1"/>
  <pivotFields count="23">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numFmtId="164" outline="0" showAll="0" defaultSubtotal="0"/>
    <pivotField compact="0" outline="0" showAll="0" defaultSubtotal="0"/>
    <pivotField compact="0" outline="0" showAll="0" defaultSubtotal="0">
      <items count="11">
        <item x="0"/>
        <item x="9"/>
        <item x="5"/>
        <item x="10"/>
        <item x="4"/>
        <item x="2"/>
        <item x="3"/>
        <item x="7"/>
        <item x="1"/>
        <item x="8"/>
        <item x="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3">
        <item x="12"/>
        <item x="0"/>
        <item x="1"/>
        <item x="2"/>
        <item x="3"/>
        <item x="4"/>
        <item x="5"/>
        <item x="6"/>
        <item x="7"/>
        <item x="8"/>
        <item x="9"/>
        <item x="10"/>
        <item x="11"/>
      </items>
    </pivotField>
    <pivotField compact="0" outline="0" showAll="0" defaultSubtotal="0"/>
    <pivotField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items count="3">
        <item x="0"/>
        <item x="2"/>
        <item x="1"/>
      </items>
    </pivotField>
  </pivotFields>
  <rowFields count="1">
    <field x="16"/>
  </rowFields>
  <rowItems count="14">
    <i>
      <x/>
    </i>
    <i>
      <x v="1"/>
    </i>
    <i>
      <x v="2"/>
    </i>
    <i>
      <x v="3"/>
    </i>
    <i>
      <x v="4"/>
    </i>
    <i>
      <x v="5"/>
    </i>
    <i>
      <x v="6"/>
    </i>
    <i>
      <x v="7"/>
    </i>
    <i>
      <x v="8"/>
    </i>
    <i>
      <x v="9"/>
    </i>
    <i>
      <x v="10"/>
    </i>
    <i>
      <x v="11"/>
    </i>
    <i>
      <x v="12"/>
    </i>
    <i t="grand">
      <x/>
    </i>
  </rowItems>
  <colItems count="1">
    <i/>
  </colItems>
  <dataFields count="1">
    <dataField name="Contagem de MATRÍCULA" fld="2" subtotal="count" baseField="0" baseItem="0"/>
  </dataFields>
  <chartFormats count="3">
    <chartFormat chart="4" format="2"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ADVERTENCIA POR FUNÇÃO" cacheId="12" applyNumberFormats="0" applyBorderFormats="0" applyFontFormats="0" applyPatternFormats="0" applyAlignmentFormats="0" applyWidthHeightFormats="1" dataCaption="Valores" updatedVersion="8" minRefreshableVersion="3" useAutoFormatting="1" rowGrandTotals="0" itemPrintTitles="1" createdVersion="6" indent="0" compact="0" compactData="0" multipleFieldFilters="0" chartFormat="1">
  <location ref="D12:F23" firstHeaderRow="1" firstDataRow="1" firstDataCol="2"/>
  <pivotFields count="23">
    <pivotField compact="0" outline="0" subtotalTop="0" showAll="0"/>
    <pivotField compact="0" outline="0" subtotalTop="0" showAll="0"/>
    <pivotField dataField="1" compact="0" outline="0" subtotalTop="0" showAll="0"/>
    <pivotField compact="0" outline="0" subtotalTop="0" showAll="0"/>
    <pivotField compact="0" numFmtId="14" outline="0" subtotalTop="0" showAll="0"/>
    <pivotField compact="0" outline="0" subtotalTop="0" showAll="0"/>
    <pivotField compact="0" numFmtId="164" outline="0" subtotalTop="0" showAll="0"/>
    <pivotField compact="0" outline="0" subtotalTop="0" showAll="0"/>
    <pivotField axis="axisRow" compact="0" outline="0" subtotalTop="0" showAll="0">
      <items count="12">
        <item x="0"/>
        <item x="9"/>
        <item x="5"/>
        <item x="10"/>
        <item x="4"/>
        <item x="2"/>
        <item x="3"/>
        <item x="7"/>
        <item x="1"/>
        <item x="8"/>
        <item x="6"/>
        <item t="default"/>
      </items>
    </pivotField>
    <pivotField compact="0" outline="0" subtotalTop="0" showAll="0"/>
    <pivotField compact="0" outline="0" subtotalTop="0" showAll="0"/>
    <pivotField compact="0" outline="0" subtotalTop="0" showAll="0"/>
    <pivotField compact="0" outline="0" subtotalTop="0" showAll="0"/>
    <pivotField compact="0" numFmtId="14"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items count="3">
        <item h="1" x="0"/>
        <item x="1"/>
        <item t="default"/>
      </items>
    </pivotField>
    <pivotField compact="0" outline="0" subtotalTop="0" showAll="0"/>
    <pivotField compact="0" outline="0" subtotalTop="0" showAll="0"/>
    <pivotField compact="0" outline="0" subtotalTop="0" showAll="0"/>
    <pivotField axis="axisRow" compact="0" outline="0" showAll="0" defaultSubtotal="0">
      <items count="3">
        <item x="0"/>
        <item n="OUTROS" x="2"/>
        <item x="1"/>
      </items>
    </pivotField>
  </pivotFields>
  <rowFields count="2">
    <field x="22"/>
    <field x="8"/>
  </rowFields>
  <rowItems count="11">
    <i>
      <x/>
      <x/>
    </i>
    <i>
      <x v="1"/>
      <x v="1"/>
    </i>
    <i r="1">
      <x v="2"/>
    </i>
    <i r="1">
      <x v="3"/>
    </i>
    <i r="1">
      <x v="4"/>
    </i>
    <i r="1">
      <x v="5"/>
    </i>
    <i r="1">
      <x v="6"/>
    </i>
    <i r="1">
      <x v="7"/>
    </i>
    <i r="1">
      <x v="9"/>
    </i>
    <i r="1">
      <x v="10"/>
    </i>
    <i>
      <x v="2"/>
      <x v="8"/>
    </i>
  </rowItems>
  <colItems count="1">
    <i/>
  </colItems>
  <dataFields count="1">
    <dataField name="Contagem de MATRÍCULA" fld="2" subtotal="count" baseField="0" baseItem="669865952"/>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CALCULO % PENALIDADE GARI" cacheId="12" applyNumberFormats="0" applyBorderFormats="0" applyFontFormats="0" applyPatternFormats="0" applyAlignmentFormats="0" applyWidthHeightFormats="1" dataCaption="Valores" updatedVersion="8" minRefreshableVersion="3" useAutoFormatting="1" rowGrandTotals="0" colGrandTotals="0" itemPrintTitles="1" createdVersion="6" indent="0" compact="0" compactData="0" multipleFieldFilters="0" chartFormat="1">
  <location ref="Q9:S10" firstHeaderRow="1" firstDataRow="1" firstDataCol="2"/>
  <pivotFields count="23">
    <pivotField compact="0" outline="0" subtotalTop="0" showAll="0" defaultSubtotal="0"/>
    <pivotField compact="0" outline="0" subtotalTop="0" showAll="0" defaultSubtotal="0"/>
    <pivotField dataField="1" compact="0" outline="0" subtotalTop="0" showAll="0" defaultSubtotal="0"/>
    <pivotField axis="axisRow" compact="0" outline="0" subtotalTop="0" showAll="0" defaultSubtotal="0">
      <items count="4">
        <item h="1" x="2"/>
        <item x="0"/>
        <item h="1" m="1" x="3"/>
        <item h="1" x="1"/>
      </items>
    </pivotField>
    <pivotField compact="0" numFmtId="14" outline="0" subtotalTop="0" showAll="0" defaultSubtotal="0"/>
    <pivotField compact="0" outline="0" subtotalTop="0" showAll="0" defaultSubtotal="0"/>
    <pivotField compact="0" numFmtId="164" outline="0" subtotalTop="0" showAll="0" defaultSubtotal="0"/>
    <pivotField compact="0" outline="0" subtotalTop="0" showAll="0" defaultSubtotal="0"/>
    <pivotField axis="axisRow" compact="0" outline="0" subtotalTop="0" showAll="0" defaultSubtotal="0">
      <items count="11">
        <item x="0"/>
        <item h="1" x="9"/>
        <item h="1" x="5"/>
        <item h="1" x="10"/>
        <item h="1" x="4"/>
        <item h="1" x="2"/>
        <item h="1" x="3"/>
        <item h="1" x="7"/>
        <item h="1" x="1"/>
        <item h="1" x="8"/>
        <item h="1" x="6"/>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14" outline="0" subtotalTop="0" showAll="0" defaultSubtotal="0"/>
    <pivotField compact="0" outline="0" subtotalTop="0" showAll="0" defaultSubtotal="0"/>
    <pivotField compact="0" numFmtId="14" outline="0" subtotalTop="0" showAll="0" defaultSubtotal="0"/>
    <pivotField compact="0" outline="0" subtotalTop="0" showAll="0" defaultSubtotal="0"/>
    <pivotField compact="0" outline="0" subtotalTop="0" showAll="0" defaultSubtotal="0"/>
    <pivotField compact="0" outline="0" subtotalTop="0" showAll="0" defaultSubtotal="0">
      <items count="2">
        <item h="1" x="0"/>
        <item x="1"/>
      </items>
    </pivotField>
    <pivotField compact="0" outline="0" subtotalTop="0" showAll="0" defaultSubtotal="0"/>
    <pivotField compact="0" outline="0" subtotalTop="0" showAll="0" defaultSubtotal="0"/>
    <pivotField compact="0" outline="0" subtotalTop="0" showAll="0" defaultSubtotal="0"/>
    <pivotField compact="0" outline="0" showAll="0" defaultSubtotal="0">
      <items count="3">
        <item x="0"/>
        <item n="OUTROS" h="1" x="2"/>
        <item x="1"/>
      </items>
    </pivotField>
  </pivotFields>
  <rowFields count="2">
    <field x="8"/>
    <field x="3"/>
  </rowFields>
  <rowItems count="1">
    <i>
      <x/>
      <x v="1"/>
    </i>
  </rowItems>
  <colItems count="1">
    <i/>
  </colItems>
  <dataFields count="1">
    <dataField name="Contagem de MATRÍCULA" fld="2" subtotal="count" baseField="0" baseItem="669865952"/>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EMPO DE EMPRESA" cacheId="12"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12" rowHeaderCaption="TEMPO DE EMPRESA">
  <location ref="M13:N18" firstHeaderRow="1" firstDataRow="1" firstDataCol="1"/>
  <pivotFields count="23">
    <pivotField showAll="0"/>
    <pivotField showAll="0"/>
    <pivotField dataField="1" showAll="0"/>
    <pivotField showAll="0"/>
    <pivotField numFmtId="14" showAll="0"/>
    <pivotField showAll="0"/>
    <pivotField numFmtId="164" showAll="0"/>
    <pivotField axis="axisRow" showAll="0">
      <items count="5">
        <item x="0"/>
        <item x="2"/>
        <item x="1"/>
        <item x="3"/>
        <item t="default"/>
      </items>
    </pivotField>
    <pivotField showAll="0">
      <items count="12">
        <item x="0"/>
        <item x="9"/>
        <item x="5"/>
        <item x="10"/>
        <item x="4"/>
        <item x="2"/>
        <item x="3"/>
        <item x="7"/>
        <item x="1"/>
        <item x="8"/>
        <item x="6"/>
        <item t="default"/>
      </items>
    </pivotField>
    <pivotField showAll="0"/>
    <pivotField showAll="0"/>
    <pivotField showAll="0"/>
    <pivotField showAll="0"/>
    <pivotField numFmtId="14" showAll="0"/>
    <pivotField showAll="0"/>
    <pivotField numFmtId="14" showAll="0"/>
    <pivotField showAll="0"/>
    <pivotField showAll="0"/>
    <pivotField showAll="0">
      <items count="3">
        <item h="1" x="0"/>
        <item x="1"/>
        <item t="default"/>
      </items>
    </pivotField>
    <pivotField showAll="0"/>
    <pivotField showAll="0"/>
    <pivotField showAll="0"/>
    <pivotField showAll="0" defaultSubtotal="0">
      <items count="3">
        <item x="0"/>
        <item x="1"/>
        <item x="2"/>
      </items>
    </pivotField>
  </pivotFields>
  <rowFields count="1">
    <field x="7"/>
  </rowFields>
  <rowItems count="5">
    <i>
      <x/>
    </i>
    <i>
      <x v="1"/>
    </i>
    <i>
      <x v="2"/>
    </i>
    <i>
      <x v="3"/>
    </i>
    <i t="grand">
      <x/>
    </i>
  </rowItems>
  <colItems count="1">
    <i/>
  </colItems>
  <dataFields count="1">
    <dataField name="QTDE" fld="2" subtotal="count" showDataAs="percentOfTotal" baseField="0" baseItem="974570264" numFmtId="10"/>
  </dataFields>
  <chartFormats count="3">
    <chartFormat chart="5"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ENALIDADES REGIME TRABALHO" cacheId="12"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9">
  <location ref="G1:H4" firstHeaderRow="1" firstDataRow="1" firstDataCol="1"/>
  <pivotFields count="23">
    <pivotField showAll="0"/>
    <pivotField showAll="0"/>
    <pivotField dataField="1" showAll="0"/>
    <pivotField axis="axisRow" showAll="0">
      <items count="5">
        <item h="1" x="2"/>
        <item x="0"/>
        <item h="1" m="1" x="3"/>
        <item x="1"/>
        <item t="default"/>
      </items>
    </pivotField>
    <pivotField numFmtId="14" showAll="0"/>
    <pivotField showAll="0"/>
    <pivotField numFmtId="164" showAll="0"/>
    <pivotField showAll="0"/>
    <pivotField showAll="0">
      <items count="12">
        <item x="0"/>
        <item x="9"/>
        <item x="5"/>
        <item x="10"/>
        <item x="4"/>
        <item x="2"/>
        <item x="3"/>
        <item x="7"/>
        <item x="1"/>
        <item x="8"/>
        <item x="6"/>
        <item t="default"/>
      </items>
    </pivotField>
    <pivotField showAll="0"/>
    <pivotField showAll="0"/>
    <pivotField showAll="0"/>
    <pivotField showAll="0"/>
    <pivotField numFmtId="14" showAll="0"/>
    <pivotField showAll="0"/>
    <pivotField numFmtId="14" showAll="0"/>
    <pivotField showAll="0"/>
    <pivotField showAll="0"/>
    <pivotField showAll="0">
      <items count="3">
        <item h="1" x="0"/>
        <item x="1"/>
        <item t="default"/>
      </items>
    </pivotField>
    <pivotField showAll="0"/>
    <pivotField showAll="0"/>
    <pivotField showAll="0"/>
    <pivotField showAll="0" defaultSubtotal="0">
      <items count="3">
        <item x="0"/>
        <item x="1"/>
        <item x="2"/>
      </items>
    </pivotField>
  </pivotFields>
  <rowFields count="1">
    <field x="3"/>
  </rowFields>
  <rowItems count="3">
    <i>
      <x v="1"/>
    </i>
    <i>
      <x v="3"/>
    </i>
    <i t="grand">
      <x/>
    </i>
  </rowItems>
  <colItems count="1">
    <i/>
  </colItems>
  <dataFields count="1">
    <dataField name="Contagem de MATRÍCULA" fld="2" subtotal="count" showDataAs="percentOfTotal" baseField="0" baseItem="669865776" numFmtId="10"/>
  </dataFields>
  <chartFormats count="9">
    <chartFormat chart="2" format="23" series="1">
      <pivotArea type="data" outline="0" fieldPosition="0">
        <references count="1">
          <reference field="4294967294" count="1" selected="0">
            <x v="0"/>
          </reference>
        </references>
      </pivotArea>
    </chartFormat>
    <chartFormat chart="2" format="24">
      <pivotArea type="data" outline="0" fieldPosition="0">
        <references count="2">
          <reference field="4294967294" count="1" selected="0">
            <x v="0"/>
          </reference>
          <reference field="3" count="1" selected="0">
            <x v="1"/>
          </reference>
        </references>
      </pivotArea>
    </chartFormat>
    <chartFormat chart="2" format="25">
      <pivotArea type="data" outline="0" fieldPosition="0">
        <references count="2">
          <reference field="4294967294" count="1" selected="0">
            <x v="0"/>
          </reference>
          <reference field="3" count="1" selected="0">
            <x v="3"/>
          </reference>
        </references>
      </pivotArea>
    </chartFormat>
    <chartFormat chart="7" format="26" series="1">
      <pivotArea type="data" outline="0" fieldPosition="0">
        <references count="1">
          <reference field="4294967294" count="1" selected="0">
            <x v="0"/>
          </reference>
        </references>
      </pivotArea>
    </chartFormat>
    <chartFormat chart="7" format="27">
      <pivotArea type="data" outline="0" fieldPosition="0">
        <references count="2">
          <reference field="4294967294" count="1" selected="0">
            <x v="0"/>
          </reference>
          <reference field="3" count="1" selected="0">
            <x v="1"/>
          </reference>
        </references>
      </pivotArea>
    </chartFormat>
    <chartFormat chart="7" format="28">
      <pivotArea type="data" outline="0" fieldPosition="0">
        <references count="2">
          <reference field="4294967294" count="1" selected="0">
            <x v="0"/>
          </reference>
          <reference field="3" count="1" selected="0">
            <x v="3"/>
          </reference>
        </references>
      </pivotArea>
    </chartFormat>
    <chartFormat chart="8" format="29" series="1">
      <pivotArea type="data" outline="0" fieldPosition="0">
        <references count="1">
          <reference field="4294967294" count="1" selected="0">
            <x v="0"/>
          </reference>
        </references>
      </pivotArea>
    </chartFormat>
    <chartFormat chart="8" format="30">
      <pivotArea type="data" outline="0" fieldPosition="0">
        <references count="2">
          <reference field="4294967294" count="1" selected="0">
            <x v="0"/>
          </reference>
          <reference field="3" count="1" selected="0">
            <x v="1"/>
          </reference>
        </references>
      </pivotArea>
    </chartFormat>
    <chartFormat chart="8" format="31">
      <pivotArea type="data" outline="0" fieldPosition="0">
        <references count="2">
          <reference field="4294967294" count="1" selected="0">
            <x v="0"/>
          </reference>
          <reference field="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Tabela dinâmica12" cacheId="1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5">
  <location ref="W4:AC18" firstHeaderRow="1" firstDataRow="2" firstDataCol="1" rowPageCount="1" colPageCount="1"/>
  <pivotFields count="22">
    <pivotField showAll="0"/>
    <pivotField showAll="0"/>
    <pivotField dataField="1" showAll="0"/>
    <pivotField showAll="0">
      <items count="5">
        <item x="2"/>
        <item x="0"/>
        <item x="1"/>
        <item x="3"/>
        <item t="default"/>
      </items>
    </pivotField>
    <pivotField showAll="0"/>
    <pivotField showAll="0"/>
    <pivotField showAll="0"/>
    <pivotField showAll="0">
      <items count="6">
        <item x="0"/>
        <item x="2"/>
        <item x="1"/>
        <item x="3"/>
        <item x="4"/>
        <item t="default"/>
      </items>
    </pivotField>
    <pivotField axis="axisPage" showAll="0">
      <items count="13">
        <item x="0"/>
        <item x="9"/>
        <item x="5"/>
        <item x="10"/>
        <item x="4"/>
        <item x="2"/>
        <item x="3"/>
        <item x="7"/>
        <item x="1"/>
        <item x="8"/>
        <item x="6"/>
        <item x="11"/>
        <item t="default"/>
      </items>
    </pivotField>
    <pivotField showAll="0"/>
    <pivotField showAll="0"/>
    <pivotField showAll="0"/>
    <pivotField showAll="0"/>
    <pivotField showAll="0"/>
    <pivotField axis="axisRow" showAll="0">
      <items count="16">
        <item x="0"/>
        <item x="2"/>
        <item x="3"/>
        <item x="4"/>
        <item x="5"/>
        <item x="6"/>
        <item x="7"/>
        <item x="8"/>
        <item x="9"/>
        <item x="10"/>
        <item x="1"/>
        <item x="11"/>
        <item m="1" x="14"/>
        <item x="13"/>
        <item x="12"/>
        <item t="default"/>
      </items>
    </pivotField>
    <pivotField showAll="0"/>
    <pivotField showAll="0"/>
    <pivotField showAll="0"/>
    <pivotField showAll="0">
      <items count="4">
        <item x="0"/>
        <item h="1" x="1"/>
        <item h="1" x="2"/>
        <item t="default"/>
      </items>
    </pivotField>
    <pivotField showAll="0"/>
    <pivotField axis="axisCol" showAll="0" sortType="descending">
      <items count="10">
        <item h="1" m="1" x="8"/>
        <item x="4"/>
        <item h="1" m="1" x="7"/>
        <item x="5"/>
        <item h="1" x="1"/>
        <item x="0"/>
        <item x="2"/>
        <item x="3"/>
        <item h="1" x="6"/>
        <item t="default"/>
      </items>
      <autoSortScope>
        <pivotArea dataOnly="0" outline="0" fieldPosition="0">
          <references count="1">
            <reference field="4294967294" count="1" selected="0">
              <x v="0"/>
            </reference>
          </references>
        </pivotArea>
      </autoSortScope>
    </pivotField>
    <pivotField showAll="0"/>
  </pivotFields>
  <rowFields count="1">
    <field x="14"/>
  </rowFields>
  <rowItems count="13">
    <i>
      <x/>
    </i>
    <i>
      <x v="1"/>
    </i>
    <i>
      <x v="2"/>
    </i>
    <i>
      <x v="3"/>
    </i>
    <i>
      <x v="4"/>
    </i>
    <i>
      <x v="5"/>
    </i>
    <i>
      <x v="6"/>
    </i>
    <i>
      <x v="7"/>
    </i>
    <i>
      <x v="8"/>
    </i>
    <i>
      <x v="9"/>
    </i>
    <i>
      <x v="10"/>
    </i>
    <i>
      <x v="11"/>
    </i>
    <i t="grand">
      <x/>
    </i>
  </rowItems>
  <colFields count="1">
    <field x="20"/>
  </colFields>
  <colItems count="6">
    <i>
      <x v="5"/>
    </i>
    <i>
      <x v="7"/>
    </i>
    <i>
      <x v="1"/>
    </i>
    <i>
      <x v="6"/>
    </i>
    <i>
      <x v="3"/>
    </i>
    <i t="grand">
      <x/>
    </i>
  </colItems>
  <pageFields count="1">
    <pageField fld="8" item="0" hier="-1"/>
  </pageFields>
  <dataFields count="1">
    <dataField name="Contagem de MATRÍCULA" fld="2" subtotal="count" baseField="0" baseItem="0"/>
  </dataFields>
  <formats count="2">
    <format dxfId="15">
      <pivotArea collapsedLevelsAreSubtotals="1" fieldPosition="0">
        <references count="1">
          <reference field="20" count="0"/>
        </references>
      </pivotArea>
    </format>
    <format dxfId="14">
      <pivotArea outline="0" fieldPosition="0">
        <references count="1">
          <reference field="4294967294" count="1">
            <x v="0"/>
          </reference>
        </references>
      </pivotArea>
    </format>
  </formats>
  <chartFormats count="8">
    <chartFormat chart="0" format="1"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6" format="23" series="1">
      <pivotArea type="data" outline="0" fieldPosition="0">
        <references count="2">
          <reference field="4294967294" count="1" selected="0">
            <x v="0"/>
          </reference>
          <reference field="20" count="1" selected="0">
            <x v="1"/>
          </reference>
        </references>
      </pivotArea>
    </chartFormat>
    <chartFormat chart="6" format="24" series="1">
      <pivotArea type="data" outline="0" fieldPosition="0">
        <references count="2">
          <reference field="4294967294" count="1" selected="0">
            <x v="0"/>
          </reference>
          <reference field="20" count="1" selected="0">
            <x v="3"/>
          </reference>
        </references>
      </pivotArea>
    </chartFormat>
    <chartFormat chart="6" format="25" series="1">
      <pivotArea type="data" outline="0" fieldPosition="0">
        <references count="2">
          <reference field="4294967294" count="1" selected="0">
            <x v="0"/>
          </reference>
          <reference field="20" count="1" selected="0">
            <x v="5"/>
          </reference>
        </references>
      </pivotArea>
    </chartFormat>
    <chartFormat chart="6" format="26" series="1">
      <pivotArea type="data" outline="0" fieldPosition="0">
        <references count="2">
          <reference field="4294967294" count="1" selected="0">
            <x v="0"/>
          </reference>
          <reference field="20" count="1" selected="0">
            <x v="6"/>
          </reference>
        </references>
      </pivotArea>
    </chartFormat>
    <chartFormat chart="6" format="27" series="1">
      <pivotArea type="data" outline="0" fieldPosition="0">
        <references count="2">
          <reference field="4294967294" count="1" selected="0">
            <x v="0"/>
          </reference>
          <reference field="20" count="1" selected="0">
            <x v="7"/>
          </reference>
        </references>
      </pivotArea>
    </chartFormat>
    <chartFormat chart="6" format="28"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FILTRO INTEGRAL" cacheId="12" applyNumberFormats="0" applyBorderFormats="0" applyFontFormats="0" applyPatternFormats="0" applyAlignmentFormats="0" applyWidthHeightFormats="1" dataCaption="Valores" updatedVersion="8" minRefreshableVersion="3" useAutoFormatting="1" rowGrandTotals="0" colGrandTotals="0" itemPrintTitles="1" createdVersion="6" indent="0" compact="0" compactData="0" multipleFieldFilters="0" chartFormat="1">
  <location ref="Q14:S167" firstHeaderRow="1" firstDataRow="1" firstDataCol="2" rowPageCount="1" colPageCount="1"/>
  <pivotFields count="23">
    <pivotField compact="0" outline="0" subtotalTop="0" showAll="0" defaultSubtotal="0"/>
    <pivotField compact="0" outline="0" subtotalTop="0" showAll="0" defaultSubtotal="0"/>
    <pivotField axis="axisRow" dataField="1" compact="0" outline="0" subtotalTop="0" showAll="0" defaultSubtotal="0">
      <items count="248">
        <item x="99"/>
        <item x="43"/>
        <item x="55"/>
        <item x="213"/>
        <item x="246"/>
        <item x="29"/>
        <item x="204"/>
        <item x="234"/>
        <item x="11"/>
        <item x="201"/>
        <item x="149"/>
        <item x="212"/>
        <item x="217"/>
        <item x="86"/>
        <item x="214"/>
        <item x="33"/>
        <item x="19"/>
        <item x="10"/>
        <item x="68"/>
        <item x="28"/>
        <item x="222"/>
        <item x="42"/>
        <item x="185"/>
        <item x="76"/>
        <item x="1"/>
        <item x="32"/>
        <item x="2"/>
        <item x="89"/>
        <item x="46"/>
        <item x="181"/>
        <item x="115"/>
        <item x="53"/>
        <item x="153"/>
        <item x="167"/>
        <item x="49"/>
        <item x="69"/>
        <item x="31"/>
        <item x="97"/>
        <item x="95"/>
        <item x="137"/>
        <item x="3"/>
        <item x="106"/>
        <item x="37"/>
        <item x="47"/>
        <item x="35"/>
        <item x="244"/>
        <item x="113"/>
        <item x="102"/>
        <item x="211"/>
        <item x="141"/>
        <item x="48"/>
        <item x="85"/>
        <item x="70"/>
        <item x="82"/>
        <item x="40"/>
        <item x="188"/>
        <item x="100"/>
        <item x="135"/>
        <item x="240"/>
        <item x="224"/>
        <item x="30"/>
        <item x="184"/>
        <item x="22"/>
        <item x="226"/>
        <item x="228"/>
        <item x="26"/>
        <item x="57"/>
        <item x="174"/>
        <item x="25"/>
        <item x="73"/>
        <item x="14"/>
        <item x="60"/>
        <item x="61"/>
        <item x="67"/>
        <item x="131"/>
        <item x="93"/>
        <item x="168"/>
        <item x="77"/>
        <item x="179"/>
        <item x="105"/>
        <item x="101"/>
        <item x="65"/>
        <item x="58"/>
        <item x="225"/>
        <item x="90"/>
        <item x="78"/>
        <item x="8"/>
        <item x="146"/>
        <item x="223"/>
        <item x="80"/>
        <item x="158"/>
        <item x="245"/>
        <item x="15"/>
        <item x="0"/>
        <item x="219"/>
        <item x="177"/>
        <item x="138"/>
        <item x="88"/>
        <item x="229"/>
        <item x="72"/>
        <item x="210"/>
        <item x="178"/>
        <item x="207"/>
        <item x="44"/>
        <item x="84"/>
        <item x="12"/>
        <item x="132"/>
        <item x="122"/>
        <item x="6"/>
        <item x="17"/>
        <item x="195"/>
        <item x="56"/>
        <item x="157"/>
        <item x="176"/>
        <item x="156"/>
        <item x="92"/>
        <item x="16"/>
        <item x="79"/>
        <item x="81"/>
        <item x="75"/>
        <item x="59"/>
        <item x="4"/>
        <item x="215"/>
        <item x="154"/>
        <item x="145"/>
        <item x="74"/>
        <item x="5"/>
        <item x="160"/>
        <item x="119"/>
        <item x="172"/>
        <item x="36"/>
        <item x="54"/>
        <item x="52"/>
        <item x="103"/>
        <item x="151"/>
        <item x="64"/>
        <item x="71"/>
        <item x="140"/>
        <item x="123"/>
        <item x="126"/>
        <item x="206"/>
        <item x="130"/>
        <item x="20"/>
        <item x="193"/>
        <item x="128"/>
        <item x="194"/>
        <item x="139"/>
        <item x="34"/>
        <item x="62"/>
        <item x="39"/>
        <item x="38"/>
        <item x="155"/>
        <item x="152"/>
        <item x="159"/>
        <item x="171"/>
        <item x="104"/>
        <item x="23"/>
        <item x="148"/>
        <item x="45"/>
        <item x="18"/>
        <item x="116"/>
        <item x="165"/>
        <item x="208"/>
        <item x="110"/>
        <item x="170"/>
        <item x="21"/>
        <item x="51"/>
        <item x="7"/>
        <item x="13"/>
        <item x="9"/>
        <item x="27"/>
        <item x="24"/>
        <item x="91"/>
        <item x="161"/>
        <item x="83"/>
        <item x="144"/>
        <item x="41"/>
        <item x="66"/>
        <item x="63"/>
        <item x="98"/>
        <item x="209"/>
        <item x="162"/>
        <item x="134"/>
        <item x="191"/>
        <item x="108"/>
        <item x="235"/>
        <item x="197"/>
        <item x="112"/>
        <item x="237"/>
        <item x="87"/>
        <item x="169"/>
        <item x="124"/>
        <item x="227"/>
        <item x="121"/>
        <item x="200"/>
        <item x="117"/>
        <item x="186"/>
        <item x="230"/>
        <item x="120"/>
        <item x="136"/>
        <item x="94"/>
        <item x="147"/>
        <item x="96"/>
        <item x="180"/>
        <item x="109"/>
        <item x="111"/>
        <item x="236"/>
        <item x="107"/>
        <item x="143"/>
        <item x="163"/>
        <item x="239"/>
        <item x="218"/>
        <item x="133"/>
        <item x="114"/>
        <item x="127"/>
        <item x="129"/>
        <item x="125"/>
        <item x="175"/>
        <item x="241"/>
        <item x="118"/>
        <item x="150"/>
        <item x="173"/>
        <item x="182"/>
        <item x="183"/>
        <item x="220"/>
        <item x="189"/>
        <item x="203"/>
        <item x="142"/>
        <item x="247"/>
        <item x="221"/>
        <item x="190"/>
        <item x="205"/>
        <item x="196"/>
        <item x="166"/>
        <item x="243"/>
        <item x="231"/>
        <item x="164"/>
        <item x="192"/>
        <item x="198"/>
        <item x="199"/>
        <item x="50"/>
        <item x="232"/>
        <item x="233"/>
        <item x="187"/>
        <item x="242"/>
        <item x="216"/>
        <item x="202"/>
        <item x="238"/>
      </items>
    </pivotField>
    <pivotField axis="axisPage" compact="0" outline="0" subtotalTop="0" multipleItemSelectionAllowed="1" showAll="0" defaultSubtotal="0">
      <items count="4">
        <item h="1" x="2"/>
        <item x="0"/>
        <item h="1" m="1" x="3"/>
        <item h="1" x="1"/>
      </items>
    </pivotField>
    <pivotField compact="0" numFmtId="14" outline="0" subtotalTop="0" showAll="0" defaultSubtotal="0"/>
    <pivotField compact="0" outline="0" subtotalTop="0" showAll="0" defaultSubtotal="0"/>
    <pivotField compact="0" numFmtId="164" outline="0" subtotalTop="0" showAll="0" defaultSubtotal="0"/>
    <pivotField compact="0" outline="0" subtotalTop="0" showAll="0" defaultSubtotal="0"/>
    <pivotField axis="axisRow" compact="0" outline="0" subtotalTop="0" showAll="0" defaultSubtotal="0">
      <items count="11">
        <item x="0"/>
        <item h="1" x="9"/>
        <item h="1" x="5"/>
        <item h="1" x="10"/>
        <item h="1" x="4"/>
        <item h="1" x="2"/>
        <item h="1" x="3"/>
        <item h="1" x="7"/>
        <item h="1" x="1"/>
        <item h="1" x="8"/>
        <item h="1" x="6"/>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14" outline="0" subtotalTop="0" showAll="0" defaultSubtotal="0"/>
    <pivotField compact="0" outline="0" subtotalTop="0" showAll="0" defaultSubtotal="0"/>
    <pivotField compact="0" numFmtId="14" outline="0" subtotalTop="0" showAll="0" defaultSubtotal="0"/>
    <pivotField compact="0" outline="0" subtotalTop="0" showAll="0" defaultSubtotal="0"/>
    <pivotField compact="0" outline="0" subtotalTop="0" showAll="0" defaultSubtotal="0"/>
    <pivotField compact="0" outline="0" subtotalTop="0" showAll="0" defaultSubtotal="0">
      <items count="2">
        <item h="1" x="0"/>
        <item x="1"/>
      </items>
    </pivotField>
    <pivotField compact="0" outline="0" subtotalTop="0" showAll="0" defaultSubtotal="0"/>
    <pivotField compact="0" outline="0" subtotalTop="0" showAll="0" defaultSubtotal="0"/>
    <pivotField compact="0" outline="0" subtotalTop="0" showAll="0" defaultSubtotal="0"/>
    <pivotField compact="0" outline="0" showAll="0" defaultSubtotal="0">
      <items count="3">
        <item x="0"/>
        <item n="OUTROS" h="1" x="2"/>
        <item x="1"/>
      </items>
    </pivotField>
  </pivotFields>
  <rowFields count="2">
    <field x="2"/>
    <field x="8"/>
  </rowFields>
  <rowItems count="153">
    <i>
      <x v="3"/>
      <x/>
    </i>
    <i>
      <x v="6"/>
      <x/>
    </i>
    <i>
      <x v="7"/>
      <x/>
    </i>
    <i>
      <x v="8"/>
      <x/>
    </i>
    <i>
      <x v="9"/>
      <x/>
    </i>
    <i>
      <x v="10"/>
      <x/>
    </i>
    <i>
      <x v="11"/>
      <x/>
    </i>
    <i>
      <x v="12"/>
      <x/>
    </i>
    <i>
      <x v="14"/>
      <x/>
    </i>
    <i>
      <x v="15"/>
      <x/>
    </i>
    <i>
      <x v="20"/>
      <x/>
    </i>
    <i>
      <x v="21"/>
      <x/>
    </i>
    <i>
      <x v="24"/>
      <x/>
    </i>
    <i>
      <x v="26"/>
      <x/>
    </i>
    <i>
      <x v="28"/>
      <x/>
    </i>
    <i>
      <x v="29"/>
      <x/>
    </i>
    <i>
      <x v="30"/>
      <x/>
    </i>
    <i>
      <x v="32"/>
      <x/>
    </i>
    <i>
      <x v="33"/>
      <x/>
    </i>
    <i>
      <x v="40"/>
      <x/>
    </i>
    <i>
      <x v="41"/>
      <x/>
    </i>
    <i>
      <x v="42"/>
      <x/>
    </i>
    <i>
      <x v="43"/>
      <x/>
    </i>
    <i>
      <x v="45"/>
      <x/>
    </i>
    <i>
      <x v="46"/>
      <x/>
    </i>
    <i>
      <x v="47"/>
      <x/>
    </i>
    <i>
      <x v="48"/>
      <x/>
    </i>
    <i>
      <x v="51"/>
      <x/>
    </i>
    <i>
      <x v="52"/>
      <x/>
    </i>
    <i>
      <x v="55"/>
      <x/>
    </i>
    <i>
      <x v="56"/>
      <x/>
    </i>
    <i>
      <x v="57"/>
      <x/>
    </i>
    <i>
      <x v="58"/>
      <x/>
    </i>
    <i>
      <x v="59"/>
      <x/>
    </i>
    <i>
      <x v="60"/>
      <x/>
    </i>
    <i>
      <x v="63"/>
      <x/>
    </i>
    <i>
      <x v="64"/>
      <x/>
    </i>
    <i>
      <x v="65"/>
      <x/>
    </i>
    <i>
      <x v="67"/>
      <x/>
    </i>
    <i>
      <x v="68"/>
      <x/>
    </i>
    <i>
      <x v="70"/>
      <x/>
    </i>
    <i>
      <x v="71"/>
      <x/>
    </i>
    <i>
      <x v="72"/>
      <x/>
    </i>
    <i>
      <x v="75"/>
      <x/>
    </i>
    <i>
      <x v="76"/>
      <x/>
    </i>
    <i>
      <x v="78"/>
      <x/>
    </i>
    <i>
      <x v="79"/>
      <x/>
    </i>
    <i>
      <x v="80"/>
      <x/>
    </i>
    <i>
      <x v="83"/>
      <x/>
    </i>
    <i>
      <x v="84"/>
      <x/>
    </i>
    <i>
      <x v="85"/>
      <x/>
    </i>
    <i>
      <x v="86"/>
      <x/>
    </i>
    <i>
      <x v="88"/>
      <x/>
    </i>
    <i>
      <x v="91"/>
      <x/>
    </i>
    <i>
      <x v="92"/>
      <x/>
    </i>
    <i>
      <x v="93"/>
      <x/>
    </i>
    <i>
      <x v="94"/>
      <x/>
    </i>
    <i>
      <x v="95"/>
      <x/>
    </i>
    <i>
      <x v="97"/>
      <x/>
    </i>
    <i>
      <x v="98"/>
      <x/>
    </i>
    <i>
      <x v="99"/>
      <x/>
    </i>
    <i>
      <x v="100"/>
      <x/>
    </i>
    <i>
      <x v="101"/>
      <x/>
    </i>
    <i>
      <x v="102"/>
      <x/>
    </i>
    <i>
      <x v="103"/>
      <x/>
    </i>
    <i>
      <x v="104"/>
      <x/>
    </i>
    <i>
      <x v="105"/>
      <x/>
    </i>
    <i>
      <x v="106"/>
      <x/>
    </i>
    <i>
      <x v="107"/>
      <x/>
    </i>
    <i>
      <x v="108"/>
      <x/>
    </i>
    <i>
      <x v="109"/>
      <x/>
    </i>
    <i>
      <x v="110"/>
      <x/>
    </i>
    <i>
      <x v="112"/>
      <x/>
    </i>
    <i>
      <x v="114"/>
      <x/>
    </i>
    <i>
      <x v="115"/>
      <x/>
    </i>
    <i>
      <x v="116"/>
      <x/>
    </i>
    <i>
      <x v="118"/>
      <x/>
    </i>
    <i>
      <x v="119"/>
      <x/>
    </i>
    <i>
      <x v="120"/>
      <x/>
    </i>
    <i>
      <x v="122"/>
      <x/>
    </i>
    <i>
      <x v="124"/>
      <x/>
    </i>
    <i>
      <x v="125"/>
      <x/>
    </i>
    <i>
      <x v="127"/>
      <x/>
    </i>
    <i>
      <x v="128"/>
      <x/>
    </i>
    <i>
      <x v="129"/>
      <x/>
    </i>
    <i>
      <x v="130"/>
      <x/>
    </i>
    <i>
      <x v="131"/>
      <x/>
    </i>
    <i>
      <x v="133"/>
      <x/>
    </i>
    <i>
      <x v="134"/>
      <x/>
    </i>
    <i>
      <x v="135"/>
      <x/>
    </i>
    <i>
      <x v="136"/>
      <x/>
    </i>
    <i>
      <x v="137"/>
      <x/>
    </i>
    <i>
      <x v="138"/>
      <x/>
    </i>
    <i>
      <x v="139"/>
      <x/>
    </i>
    <i>
      <x v="140"/>
      <x/>
    </i>
    <i>
      <x v="141"/>
      <x/>
    </i>
    <i>
      <x v="142"/>
      <x/>
    </i>
    <i>
      <x v="143"/>
      <x/>
    </i>
    <i>
      <x v="144"/>
      <x/>
    </i>
    <i>
      <x v="145"/>
      <x/>
    </i>
    <i>
      <x v="146"/>
      <x/>
    </i>
    <i>
      <x v="147"/>
      <x/>
    </i>
    <i>
      <x v="148"/>
      <x/>
    </i>
    <i>
      <x v="150"/>
      <x/>
    </i>
    <i>
      <x v="151"/>
      <x/>
    </i>
    <i>
      <x v="152"/>
      <x/>
    </i>
    <i>
      <x v="153"/>
      <x/>
    </i>
    <i>
      <x v="155"/>
      <x/>
    </i>
    <i>
      <x v="156"/>
      <x/>
    </i>
    <i>
      <x v="157"/>
      <x/>
    </i>
    <i>
      <x v="158"/>
      <x/>
    </i>
    <i>
      <x v="159"/>
      <x/>
    </i>
    <i>
      <x v="160"/>
      <x/>
    </i>
    <i>
      <x v="161"/>
      <x/>
    </i>
    <i>
      <x v="162"/>
      <x/>
    </i>
    <i>
      <x v="163"/>
      <x/>
    </i>
    <i>
      <x v="164"/>
      <x/>
    </i>
    <i>
      <x v="165"/>
      <x/>
    </i>
    <i>
      <x v="166"/>
      <x/>
    </i>
    <i>
      <x v="167"/>
      <x/>
    </i>
    <i>
      <x v="168"/>
      <x/>
    </i>
    <i>
      <x v="169"/>
      <x/>
    </i>
    <i>
      <x v="170"/>
      <x/>
    </i>
    <i>
      <x v="171"/>
      <x/>
    </i>
    <i>
      <x v="172"/>
      <x/>
    </i>
    <i>
      <x v="175"/>
      <x/>
    </i>
    <i>
      <x v="180"/>
      <x/>
    </i>
    <i>
      <x v="181"/>
      <x/>
    </i>
    <i>
      <x v="185"/>
      <x/>
    </i>
    <i>
      <x v="188"/>
      <x/>
    </i>
    <i>
      <x v="190"/>
      <x/>
    </i>
    <i>
      <x v="191"/>
      <x/>
    </i>
    <i>
      <x v="194"/>
      <x/>
    </i>
    <i>
      <x v="196"/>
      <x/>
    </i>
    <i>
      <x v="197"/>
      <x/>
    </i>
    <i>
      <x v="199"/>
      <x/>
    </i>
    <i>
      <x v="201"/>
      <x/>
    </i>
    <i>
      <x v="203"/>
      <x/>
    </i>
    <i>
      <x v="204"/>
      <x/>
    </i>
    <i>
      <x v="206"/>
      <x/>
    </i>
    <i>
      <x v="207"/>
      <x/>
    </i>
    <i>
      <x v="208"/>
      <x/>
    </i>
    <i>
      <x v="210"/>
      <x/>
    </i>
    <i>
      <x v="217"/>
      <x/>
    </i>
    <i>
      <x v="218"/>
      <x/>
    </i>
    <i>
      <x v="220"/>
      <x/>
    </i>
    <i>
      <x v="225"/>
      <x/>
    </i>
    <i>
      <x v="226"/>
      <x/>
    </i>
    <i>
      <x v="228"/>
      <x/>
    </i>
    <i>
      <x v="239"/>
      <x/>
    </i>
    <i>
      <x v="241"/>
      <x/>
    </i>
    <i>
      <x v="246"/>
      <x/>
    </i>
    <i>
      <x v="247"/>
      <x/>
    </i>
  </rowItems>
  <colItems count="1">
    <i/>
  </colItems>
  <pageFields count="1">
    <pageField fld="3" hier="-1"/>
  </pageFields>
  <dataFields count="1">
    <dataField name="Contagem de MATRÍCULA" fld="2" subtotal="count" baseField="2"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FILTRO PARCIAL" cacheId="12" applyNumberFormats="0" applyBorderFormats="0" applyFontFormats="0" applyPatternFormats="0" applyAlignmentFormats="0" applyWidthHeightFormats="1" dataCaption="Valores" updatedVersion="8" minRefreshableVersion="3" useAutoFormatting="1" rowGrandTotals="0" colGrandTotals="0" itemPrintTitles="1" createdVersion="6" indent="0" compact="0" compactData="0" multipleFieldFilters="0" chartFormat="1">
  <location ref="T14:V66" firstHeaderRow="1" firstDataRow="1" firstDataCol="2" rowPageCount="1" colPageCount="1"/>
  <pivotFields count="23">
    <pivotField compact="0" outline="0" subtotalTop="0" showAll="0" defaultSubtotal="0"/>
    <pivotField compact="0" outline="0" subtotalTop="0" showAll="0" defaultSubtotal="0"/>
    <pivotField axis="axisRow" dataField="1" compact="0" outline="0" subtotalTop="0" showAll="0" defaultSubtotal="0">
      <items count="248">
        <item x="99"/>
        <item x="43"/>
        <item x="55"/>
        <item x="213"/>
        <item x="246"/>
        <item x="29"/>
        <item x="204"/>
        <item x="234"/>
        <item x="11"/>
        <item x="201"/>
        <item x="149"/>
        <item x="212"/>
        <item x="217"/>
        <item x="86"/>
        <item x="214"/>
        <item x="33"/>
        <item x="19"/>
        <item x="10"/>
        <item x="68"/>
        <item x="28"/>
        <item x="222"/>
        <item x="42"/>
        <item x="185"/>
        <item x="76"/>
        <item x="1"/>
        <item x="32"/>
        <item x="2"/>
        <item x="89"/>
        <item x="46"/>
        <item x="181"/>
        <item x="115"/>
        <item x="53"/>
        <item x="153"/>
        <item x="167"/>
        <item x="49"/>
        <item x="69"/>
        <item x="31"/>
        <item x="97"/>
        <item x="95"/>
        <item x="137"/>
        <item x="3"/>
        <item x="106"/>
        <item x="37"/>
        <item x="47"/>
        <item x="35"/>
        <item x="244"/>
        <item x="113"/>
        <item x="102"/>
        <item x="211"/>
        <item x="141"/>
        <item x="48"/>
        <item x="85"/>
        <item x="70"/>
        <item x="82"/>
        <item x="40"/>
        <item x="188"/>
        <item x="100"/>
        <item x="135"/>
        <item x="240"/>
        <item x="224"/>
        <item x="30"/>
        <item x="184"/>
        <item x="22"/>
        <item x="226"/>
        <item x="228"/>
        <item x="26"/>
        <item x="57"/>
        <item x="174"/>
        <item x="25"/>
        <item x="73"/>
        <item x="14"/>
        <item x="60"/>
        <item x="61"/>
        <item x="67"/>
        <item x="131"/>
        <item x="93"/>
        <item x="168"/>
        <item x="77"/>
        <item x="179"/>
        <item x="105"/>
        <item x="101"/>
        <item x="65"/>
        <item x="58"/>
        <item x="225"/>
        <item x="90"/>
        <item x="78"/>
        <item x="8"/>
        <item x="146"/>
        <item x="223"/>
        <item x="80"/>
        <item x="158"/>
        <item x="245"/>
        <item x="15"/>
        <item x="0"/>
        <item x="219"/>
        <item x="177"/>
        <item x="138"/>
        <item x="88"/>
        <item x="229"/>
        <item x="72"/>
        <item x="210"/>
        <item x="178"/>
        <item x="207"/>
        <item x="44"/>
        <item x="84"/>
        <item x="12"/>
        <item x="132"/>
        <item x="122"/>
        <item x="6"/>
        <item x="17"/>
        <item x="195"/>
        <item x="56"/>
        <item x="157"/>
        <item x="176"/>
        <item x="156"/>
        <item x="92"/>
        <item x="16"/>
        <item x="79"/>
        <item x="81"/>
        <item x="75"/>
        <item x="59"/>
        <item x="4"/>
        <item x="215"/>
        <item x="154"/>
        <item x="145"/>
        <item x="74"/>
        <item x="5"/>
        <item x="160"/>
        <item x="119"/>
        <item x="172"/>
        <item x="36"/>
        <item x="54"/>
        <item x="52"/>
        <item x="103"/>
        <item x="151"/>
        <item x="64"/>
        <item x="71"/>
        <item x="140"/>
        <item x="123"/>
        <item x="126"/>
        <item x="206"/>
        <item x="130"/>
        <item x="20"/>
        <item x="193"/>
        <item x="128"/>
        <item x="194"/>
        <item x="139"/>
        <item x="34"/>
        <item x="62"/>
        <item x="39"/>
        <item x="38"/>
        <item x="155"/>
        <item x="152"/>
        <item x="159"/>
        <item x="171"/>
        <item x="104"/>
        <item x="23"/>
        <item x="148"/>
        <item x="45"/>
        <item x="18"/>
        <item x="116"/>
        <item x="165"/>
        <item x="208"/>
        <item x="110"/>
        <item x="170"/>
        <item x="21"/>
        <item x="51"/>
        <item x="7"/>
        <item x="13"/>
        <item x="9"/>
        <item x="27"/>
        <item x="24"/>
        <item x="91"/>
        <item x="161"/>
        <item x="83"/>
        <item x="144"/>
        <item x="41"/>
        <item x="66"/>
        <item x="63"/>
        <item x="98"/>
        <item x="209"/>
        <item x="162"/>
        <item x="134"/>
        <item x="191"/>
        <item x="108"/>
        <item x="235"/>
        <item x="197"/>
        <item x="112"/>
        <item x="237"/>
        <item x="87"/>
        <item x="169"/>
        <item x="124"/>
        <item x="227"/>
        <item x="121"/>
        <item x="200"/>
        <item x="117"/>
        <item x="186"/>
        <item x="230"/>
        <item x="120"/>
        <item x="136"/>
        <item x="94"/>
        <item x="147"/>
        <item x="96"/>
        <item x="180"/>
        <item x="109"/>
        <item x="111"/>
        <item x="236"/>
        <item x="107"/>
        <item x="143"/>
        <item x="163"/>
        <item x="239"/>
        <item x="218"/>
        <item x="133"/>
        <item x="114"/>
        <item x="127"/>
        <item x="129"/>
        <item x="125"/>
        <item x="175"/>
        <item x="241"/>
        <item x="118"/>
        <item x="150"/>
        <item x="173"/>
        <item x="182"/>
        <item x="183"/>
        <item x="220"/>
        <item x="189"/>
        <item x="203"/>
        <item x="142"/>
        <item x="247"/>
        <item x="221"/>
        <item x="190"/>
        <item x="205"/>
        <item x="196"/>
        <item x="166"/>
        <item x="243"/>
        <item x="231"/>
        <item x="164"/>
        <item x="192"/>
        <item x="198"/>
        <item x="199"/>
        <item x="50"/>
        <item x="232"/>
        <item x="233"/>
        <item x="187"/>
        <item x="242"/>
        <item x="216"/>
        <item x="202"/>
        <item x="238"/>
      </items>
    </pivotField>
    <pivotField axis="axisPage" compact="0" outline="0" subtotalTop="0" multipleItemSelectionAllowed="1" showAll="0" defaultSubtotal="0">
      <items count="4">
        <item h="1" x="2"/>
        <item h="1" x="0"/>
        <item h="1" m="1" x="3"/>
        <item x="1"/>
      </items>
    </pivotField>
    <pivotField compact="0" numFmtId="14" outline="0" subtotalTop="0" showAll="0" defaultSubtotal="0"/>
    <pivotField compact="0" outline="0" subtotalTop="0" showAll="0" defaultSubtotal="0"/>
    <pivotField compact="0" numFmtId="164" outline="0" subtotalTop="0" showAll="0" defaultSubtotal="0"/>
    <pivotField compact="0" outline="0" subtotalTop="0" showAll="0" defaultSubtotal="0"/>
    <pivotField axis="axisRow" compact="0" outline="0" subtotalTop="0" showAll="0" defaultSubtotal="0">
      <items count="11">
        <item x="0"/>
        <item h="1" x="9"/>
        <item h="1" x="5"/>
        <item h="1" x="10"/>
        <item h="1" x="4"/>
        <item h="1" x="2"/>
        <item h="1" x="3"/>
        <item h="1" x="7"/>
        <item h="1" x="1"/>
        <item h="1" x="8"/>
        <item h="1" x="6"/>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14" outline="0" subtotalTop="0" showAll="0" defaultSubtotal="0"/>
    <pivotField compact="0" outline="0" subtotalTop="0" showAll="0" defaultSubtotal="0"/>
    <pivotField compact="0" numFmtId="14" outline="0" subtotalTop="0" showAll="0" defaultSubtotal="0"/>
    <pivotField compact="0" outline="0" subtotalTop="0" showAll="0" defaultSubtotal="0"/>
    <pivotField compact="0" outline="0" subtotalTop="0" showAll="0" defaultSubtotal="0"/>
    <pivotField compact="0" outline="0" subtotalTop="0" showAll="0" defaultSubtotal="0">
      <items count="2">
        <item h="1" x="0"/>
        <item x="1"/>
      </items>
    </pivotField>
    <pivotField compact="0" outline="0" subtotalTop="0" showAll="0" defaultSubtotal="0"/>
    <pivotField compact="0" outline="0" subtotalTop="0" showAll="0" defaultSubtotal="0"/>
    <pivotField compact="0" outline="0" subtotalTop="0" showAll="0" defaultSubtotal="0"/>
    <pivotField compact="0" outline="0" showAll="0" defaultSubtotal="0">
      <items count="3">
        <item x="0"/>
        <item n="OUTROS" h="1" x="2"/>
        <item x="1"/>
      </items>
    </pivotField>
  </pivotFields>
  <rowFields count="2">
    <field x="2"/>
    <field x="8"/>
  </rowFields>
  <rowItems count="52">
    <i>
      <x v="65"/>
      <x/>
    </i>
    <i>
      <x v="121"/>
      <x/>
    </i>
    <i>
      <x v="124"/>
      <x/>
    </i>
    <i>
      <x v="126"/>
      <x/>
    </i>
    <i>
      <x v="130"/>
      <x/>
    </i>
    <i>
      <x v="141"/>
      <x/>
    </i>
    <i>
      <x v="142"/>
      <x/>
    </i>
    <i>
      <x v="143"/>
      <x/>
    </i>
    <i>
      <x v="149"/>
      <x/>
    </i>
    <i>
      <x v="160"/>
      <x/>
    </i>
    <i>
      <x v="169"/>
      <x/>
    </i>
    <i>
      <x v="170"/>
      <x/>
    </i>
    <i>
      <x v="171"/>
      <x/>
    </i>
    <i>
      <x v="172"/>
      <x/>
    </i>
    <i>
      <x v="186"/>
      <x/>
    </i>
    <i>
      <x v="187"/>
      <x/>
    </i>
    <i>
      <x v="189"/>
      <x/>
    </i>
    <i>
      <x v="190"/>
      <x/>
    </i>
    <i>
      <x v="192"/>
      <x/>
    </i>
    <i>
      <x v="193"/>
      <x/>
    </i>
    <i>
      <x v="194"/>
      <x/>
    </i>
    <i>
      <x v="195"/>
      <x/>
    </i>
    <i>
      <x v="198"/>
      <x/>
    </i>
    <i>
      <x v="199"/>
      <x/>
    </i>
    <i>
      <x v="200"/>
      <x/>
    </i>
    <i>
      <x v="202"/>
      <x/>
    </i>
    <i>
      <x v="204"/>
      <x/>
    </i>
    <i>
      <x v="205"/>
      <x/>
    </i>
    <i>
      <x v="207"/>
      <x/>
    </i>
    <i>
      <x v="211"/>
      <x/>
    </i>
    <i>
      <x v="212"/>
      <x/>
    </i>
    <i>
      <x v="213"/>
      <x/>
    </i>
    <i>
      <x v="214"/>
      <x/>
    </i>
    <i>
      <x v="215"/>
      <x/>
    </i>
    <i>
      <x v="216"/>
      <x/>
    </i>
    <i>
      <x v="219"/>
      <x/>
    </i>
    <i>
      <x v="221"/>
      <x/>
    </i>
    <i>
      <x v="222"/>
      <x/>
    </i>
    <i>
      <x v="224"/>
      <x/>
    </i>
    <i>
      <x v="227"/>
      <x/>
    </i>
    <i>
      <x v="230"/>
      <x/>
    </i>
    <i>
      <x v="231"/>
      <x/>
    </i>
    <i>
      <x v="234"/>
      <x/>
    </i>
    <i>
      <x v="235"/>
      <x/>
    </i>
    <i>
      <x v="236"/>
      <x/>
    </i>
    <i>
      <x v="237"/>
      <x/>
    </i>
    <i>
      <x v="238"/>
      <x/>
    </i>
    <i>
      <x v="242"/>
      <x/>
    </i>
    <i>
      <x v="243"/>
      <x/>
    </i>
    <i>
      <x v="244"/>
      <x/>
    </i>
    <i>
      <x v="245"/>
      <x/>
    </i>
    <i>
      <x v="246"/>
      <x/>
    </i>
  </rowItems>
  <colItems count="1">
    <i/>
  </colItems>
  <pageFields count="1">
    <pageField fld="3" hier="-1"/>
  </pageFields>
  <dataFields count="1">
    <dataField name="Contagem de MATRÍCULA" fld="2" subtotal="count" baseField="2"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Tabela dinâmica3" cacheId="1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4">
  <location ref="A55:D62" firstHeaderRow="1" firstDataRow="2" firstDataCol="1" rowPageCount="1" colPageCount="1"/>
  <pivotFields count="22">
    <pivotField showAll="0"/>
    <pivotField showAll="0"/>
    <pivotField dataField="1" showAll="0"/>
    <pivotField axis="axisCol" showAll="0">
      <items count="5">
        <item x="2"/>
        <item x="0"/>
        <item x="1"/>
        <item x="3"/>
        <item t="default"/>
      </items>
    </pivotField>
    <pivotField showAll="0"/>
    <pivotField showAll="0"/>
    <pivotField showAll="0"/>
    <pivotField showAll="0"/>
    <pivotField axis="axisPage" showAll="0">
      <items count="13">
        <item x="0"/>
        <item x="9"/>
        <item x="5"/>
        <item x="10"/>
        <item x="4"/>
        <item x="2"/>
        <item x="3"/>
        <item x="7"/>
        <item x="1"/>
        <item x="8"/>
        <item x="6"/>
        <item x="11"/>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10">
        <item m="1" x="8"/>
        <item x="4"/>
        <item m="1" x="7"/>
        <item x="5"/>
        <item x="1"/>
        <item x="0"/>
        <item x="2"/>
        <item x="3"/>
        <item h="1" x="6"/>
        <item t="default"/>
      </items>
    </pivotField>
    <pivotField showAll="0"/>
  </pivotFields>
  <rowFields count="1">
    <field x="20"/>
  </rowFields>
  <rowItems count="6">
    <i>
      <x v="1"/>
    </i>
    <i>
      <x v="3"/>
    </i>
    <i>
      <x v="5"/>
    </i>
    <i>
      <x v="6"/>
    </i>
    <i>
      <x v="7"/>
    </i>
    <i t="grand">
      <x/>
    </i>
  </rowItems>
  <colFields count="1">
    <field x="3"/>
  </colFields>
  <colItems count="3">
    <i>
      <x v="1"/>
    </i>
    <i>
      <x v="2"/>
    </i>
    <i t="grand">
      <x/>
    </i>
  </colItems>
  <pageFields count="1">
    <pageField fld="8" item="0" hier="-1"/>
  </pageFields>
  <dataFields count="1">
    <dataField name="Contagem de MATRÍCULA" fld="2" subtotal="count" baseField="0" baseItem="0"/>
  </dataFields>
  <formats count="3">
    <format dxfId="18">
      <pivotArea collapsedLevelsAreSubtotals="1" fieldPosition="0">
        <references count="1">
          <reference field="20" count="0"/>
        </references>
      </pivotArea>
    </format>
    <format dxfId="17">
      <pivotArea collapsedLevelsAreSubtotals="1" fieldPosition="0">
        <references count="2">
          <reference field="3" count="1" selected="0">
            <x v="2"/>
          </reference>
          <reference field="20" count="5">
            <x v="1"/>
            <x v="3"/>
            <x v="5"/>
            <x v="6"/>
            <x v="7"/>
          </reference>
        </references>
      </pivotArea>
    </format>
    <format dxfId="16">
      <pivotArea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ADVERTENCIA GARI %" cacheId="13"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Q2:R5" firstHeaderRow="1" firstDataRow="1" firstDataCol="1"/>
  <pivotFields count="12">
    <pivotField dataField="1" showAll="0"/>
    <pivotField showAll="0"/>
    <pivotField numFmtId="14" showAll="0"/>
    <pivotField showAll="0"/>
    <pivotField showAll="0"/>
    <pivotField showAll="0"/>
    <pivotField showAll="0"/>
    <pivotField showAll="0"/>
    <pivotField numFmtId="14" showAll="0"/>
    <pivotField showAll="0"/>
    <pivotField showAll="0"/>
    <pivotField axis="axisRow" showAll="0">
      <items count="3">
        <item x="0"/>
        <item x="1"/>
        <item t="default"/>
      </items>
    </pivotField>
  </pivotFields>
  <rowFields count="1">
    <field x="11"/>
  </rowFields>
  <rowItems count="3">
    <i>
      <x/>
    </i>
    <i>
      <x v="1"/>
    </i>
    <i t="grand">
      <x/>
    </i>
  </rowItems>
  <colItems count="1">
    <i/>
  </colItems>
  <dataFields count="1">
    <dataField name="Contagem de Chapa" fld="0"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enalidades por turno" cacheId="1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chartFormat="16">
  <location ref="D1:E4" firstHeaderRow="1" firstDataRow="1" firstDataCol="1"/>
  <pivotFields count="22">
    <pivotField showAll="0"/>
    <pivotField showAll="0"/>
    <pivotField multipleItemSelectionAllowed="1" showAll="0">
      <items count="234">
        <item x="90"/>
        <item x="97"/>
        <item x="75"/>
        <item x="61"/>
        <item x="132"/>
        <item x="79"/>
        <item x="66"/>
        <item x="60"/>
        <item x="110"/>
        <item x="74"/>
        <item x="84"/>
        <item x="115"/>
        <item x="51"/>
        <item x="78"/>
        <item x="52"/>
        <item x="124"/>
        <item x="18"/>
        <item x="93"/>
        <item x="91"/>
        <item x="113"/>
        <item x="77"/>
        <item x="136"/>
        <item x="134"/>
        <item x="53"/>
        <item x="83"/>
        <item x="95"/>
        <item x="81"/>
        <item x="96"/>
        <item x="131"/>
        <item x="112"/>
        <item x="122"/>
        <item x="87"/>
        <item x="76"/>
        <item x="69"/>
        <item x="73"/>
        <item x="100"/>
        <item x="72"/>
        <item x="114"/>
        <item x="58"/>
        <item x="103"/>
        <item x="104"/>
        <item x="109"/>
        <item x="130"/>
        <item x="116"/>
        <item x="108"/>
        <item x="102"/>
        <item x="127"/>
        <item x="117"/>
        <item x="14"/>
        <item x="118"/>
        <item x="33"/>
        <item x="50"/>
        <item x="126"/>
        <item x="111"/>
        <item x="89"/>
        <item x="123"/>
        <item x="62"/>
        <item x="56"/>
        <item x="64"/>
        <item x="98"/>
        <item x="129"/>
        <item x="4"/>
        <item x="119"/>
        <item x="120"/>
        <item x="19"/>
        <item x="101"/>
        <item x="54"/>
        <item x="30"/>
        <item x="55"/>
        <item x="82"/>
        <item x="94"/>
        <item x="99"/>
        <item x="106"/>
        <item x="36"/>
        <item x="67"/>
        <item x="80"/>
        <item x="105"/>
        <item x="86"/>
        <item x="85"/>
        <item x="70"/>
        <item x="17"/>
        <item x="65"/>
        <item x="68"/>
        <item x="92"/>
        <item x="57"/>
        <item x="63"/>
        <item x="59"/>
        <item x="9"/>
        <item x="71"/>
        <item x="128"/>
        <item x="121"/>
        <item x="88"/>
        <item x="41"/>
        <item x="107"/>
        <item x="137"/>
        <item x="125"/>
        <item x="133"/>
        <item x="135"/>
        <item x="169"/>
        <item x="138"/>
        <item x="139"/>
        <item x="140"/>
        <item x="141"/>
        <item x="142"/>
        <item x="143"/>
        <item x="23"/>
        <item x="144"/>
        <item x="145"/>
        <item x="146"/>
        <item x="32"/>
        <item x="147"/>
        <item x="148"/>
        <item x="149"/>
        <item x="150"/>
        <item x="151"/>
        <item x="15"/>
        <item x="152"/>
        <item x="153"/>
        <item x="154"/>
        <item x="5"/>
        <item x="155"/>
        <item x="156"/>
        <item x="3"/>
        <item x="157"/>
        <item x="158"/>
        <item x="159"/>
        <item x="160"/>
        <item x="161"/>
        <item x="162"/>
        <item x="163"/>
        <item x="164"/>
        <item x="165"/>
        <item x="166"/>
        <item x="167"/>
        <item x="168"/>
        <item x="10"/>
        <item m="1" x="208"/>
        <item m="1" x="173"/>
        <item m="1" x="198"/>
        <item m="1" x="184"/>
        <item m="1" x="209"/>
        <item m="1" x="192"/>
        <item m="1" x="214"/>
        <item m="1" x="227"/>
        <item m="1" x="195"/>
        <item m="1" x="194"/>
        <item m="1" x="199"/>
        <item m="1" x="203"/>
        <item m="1" x="216"/>
        <item m="1" x="217"/>
        <item m="1" x="187"/>
        <item x="26"/>
        <item m="1" x="200"/>
        <item m="1" x="181"/>
        <item x="0"/>
        <item m="1" x="185"/>
        <item m="1" x="176"/>
        <item x="21"/>
        <item m="1" x="231"/>
        <item x="11"/>
        <item m="1" x="226"/>
        <item m="1" x="196"/>
        <item m="1" x="220"/>
        <item x="46"/>
        <item m="1" x="232"/>
        <item m="1" x="190"/>
        <item m="1" x="204"/>
        <item m="1" x="212"/>
        <item m="1" x="174"/>
        <item m="1" x="219"/>
        <item m="1" x="218"/>
        <item m="1" x="191"/>
        <item m="1" x="170"/>
        <item m="1" x="230"/>
        <item m="1" x="177"/>
        <item m="1" x="223"/>
        <item m="1" x="222"/>
        <item m="1" x="179"/>
        <item x="43"/>
        <item m="1" x="221"/>
        <item m="1" x="178"/>
        <item m="1" x="172"/>
        <item m="1" x="213"/>
        <item x="27"/>
        <item m="1" x="215"/>
        <item m="1" x="202"/>
        <item x="25"/>
        <item x="42"/>
        <item m="1" x="211"/>
        <item m="1" x="206"/>
        <item m="1" x="186"/>
        <item m="1" x="229"/>
        <item x="22"/>
        <item m="1" x="224"/>
        <item m="1" x="201"/>
        <item m="1" x="210"/>
        <item m="1" x="225"/>
        <item m="1" x="228"/>
        <item m="1" x="188"/>
        <item m="1" x="171"/>
        <item m="1" x="207"/>
        <item m="1" x="193"/>
        <item m="1" x="182"/>
        <item m="1" x="189"/>
        <item x="34"/>
        <item m="1" x="183"/>
        <item m="1" x="180"/>
        <item x="6"/>
        <item m="1" x="197"/>
        <item m="1" x="205"/>
        <item m="1" x="175"/>
        <item x="1"/>
        <item x="2"/>
        <item x="7"/>
        <item x="8"/>
        <item x="12"/>
        <item x="13"/>
        <item x="16"/>
        <item x="20"/>
        <item x="24"/>
        <item x="28"/>
        <item x="29"/>
        <item x="31"/>
        <item x="35"/>
        <item x="37"/>
        <item x="38"/>
        <item x="39"/>
        <item x="40"/>
        <item x="44"/>
        <item x="45"/>
        <item x="47"/>
        <item x="48"/>
        <item x="49"/>
        <item t="default"/>
      </items>
    </pivotField>
    <pivotField showAll="0">
      <items count="6">
        <item x="3"/>
        <item x="0"/>
        <item x="1"/>
        <item h="1" x="4"/>
        <item h="1" x="2"/>
        <item t="default"/>
      </items>
    </pivotField>
    <pivotField showAll="0"/>
    <pivotField showAll="0"/>
    <pivotField showAll="0"/>
    <pivotField showAll="0"/>
    <pivotField showAll="0"/>
    <pivotField showAll="0"/>
    <pivotField axis="axisRow" dataField="1" multipleItemSelectionAllowed="1" showAll="0">
      <items count="9">
        <item h="1" x="2"/>
        <item x="1"/>
        <item h="1" x="3"/>
        <item x="0"/>
        <item h="1" x="5"/>
        <item m="1" x="7"/>
        <item h="1" x="4"/>
        <item h="1" m="1" x="6"/>
        <item t="default"/>
      </items>
    </pivotField>
    <pivotField showAll="0"/>
    <pivotField showAll="0"/>
    <pivotField showAll="0"/>
    <pivotField showAll="0"/>
    <pivotField showAll="0" defaultSubtotal="0"/>
    <pivotField showAll="0"/>
    <pivotField showAll="0">
      <items count="14">
        <item x="0"/>
        <item h="1" x="2"/>
        <item h="1" x="3"/>
        <item h="1" x="4"/>
        <item h="1" x="7"/>
        <item h="1" x="5"/>
        <item h="1" x="6"/>
        <item h="1" m="1" x="12"/>
        <item h="1" m="1" x="8"/>
        <item h="1" m="1" x="10"/>
        <item h="1" m="1" x="9"/>
        <item h="1" m="1" x="11"/>
        <item h="1" x="1"/>
        <item t="default"/>
      </items>
    </pivotField>
    <pivotField multipleItemSelectionAllowed="1" showAll="0">
      <items count="5">
        <item x="1"/>
        <item h="1" x="2"/>
        <item h="1" m="1" x="3"/>
        <item x="0"/>
        <item t="default"/>
      </items>
    </pivotField>
    <pivotField showAll="0"/>
    <pivotField multipleItemSelectionAllowed="1" showAll="0">
      <items count="13">
        <item x="7"/>
        <item x="2"/>
        <item x="6"/>
        <item x="1"/>
        <item x="0"/>
        <item x="4"/>
        <item x="5"/>
        <item h="1" x="8"/>
        <item m="1" x="10"/>
        <item m="1" x="9"/>
        <item x="3"/>
        <item m="1" x="11"/>
        <item t="default"/>
      </items>
    </pivotField>
    <pivotField showAll="0"/>
  </pivotFields>
  <rowFields count="1">
    <field x="10"/>
  </rowFields>
  <rowItems count="3">
    <i>
      <x v="1"/>
    </i>
    <i>
      <x v="3"/>
    </i>
    <i t="grand">
      <x/>
    </i>
  </rowItems>
  <colItems count="1">
    <i/>
  </colItems>
  <dataFields count="1">
    <dataField name="Contagem de TURNO" fld="10" subtotal="count" showDataAs="percentOfTotal" baseField="0" baseItem="0" numFmtId="10"/>
  </dataFields>
  <chartFormats count="12">
    <chartFormat chart="7" format="3" series="1">
      <pivotArea type="data" outline="0" fieldPosition="0">
        <references count="1">
          <reference field="4294967294" count="1" selected="0">
            <x v="0"/>
          </reference>
        </references>
      </pivotArea>
    </chartFormat>
    <chartFormat chart="7" format="4">
      <pivotArea type="data" outline="0" fieldPosition="0">
        <references count="2">
          <reference field="4294967294" count="1" selected="0">
            <x v="0"/>
          </reference>
          <reference field="10" count="1" selected="0">
            <x v="1"/>
          </reference>
        </references>
      </pivotArea>
    </chartFormat>
    <chartFormat chart="7" format="5">
      <pivotArea type="data" outline="0" fieldPosition="0">
        <references count="2">
          <reference field="4294967294" count="1" selected="0">
            <x v="0"/>
          </reference>
          <reference field="10" count="1" selected="0">
            <x v="3"/>
          </reference>
        </references>
      </pivotArea>
    </chartFormat>
    <chartFormat chart="8" format="20" series="1">
      <pivotArea type="data" outline="0" fieldPosition="0">
        <references count="1">
          <reference field="4294967294" count="1" selected="0">
            <x v="0"/>
          </reference>
        </references>
      </pivotArea>
    </chartFormat>
    <chartFormat chart="8" format="21">
      <pivotArea type="data" outline="0" fieldPosition="0">
        <references count="2">
          <reference field="4294967294" count="1" selected="0">
            <x v="0"/>
          </reference>
          <reference field="10" count="1" selected="0">
            <x v="1"/>
          </reference>
        </references>
      </pivotArea>
    </chartFormat>
    <chartFormat chart="8" format="22">
      <pivotArea type="data" outline="0" fieldPosition="0">
        <references count="2">
          <reference field="4294967294" count="1" selected="0">
            <x v="0"/>
          </reference>
          <reference field="10" count="1" selected="0">
            <x v="3"/>
          </reference>
        </references>
      </pivotArea>
    </chartFormat>
    <chartFormat chart="14" format="23" series="1">
      <pivotArea type="data" outline="0" fieldPosition="0">
        <references count="1">
          <reference field="4294967294" count="1" selected="0">
            <x v="0"/>
          </reference>
        </references>
      </pivotArea>
    </chartFormat>
    <chartFormat chart="14" format="24">
      <pivotArea type="data" outline="0" fieldPosition="0">
        <references count="2">
          <reference field="4294967294" count="1" selected="0">
            <x v="0"/>
          </reference>
          <reference field="10" count="1" selected="0">
            <x v="1"/>
          </reference>
        </references>
      </pivotArea>
    </chartFormat>
    <chartFormat chart="14" format="25">
      <pivotArea type="data" outline="0" fieldPosition="0">
        <references count="2">
          <reference field="4294967294" count="1" selected="0">
            <x v="0"/>
          </reference>
          <reference field="10" count="1" selected="0">
            <x v="3"/>
          </reference>
        </references>
      </pivotArea>
    </chartFormat>
    <chartFormat chart="15" format="26" series="1">
      <pivotArea type="data" outline="0" fieldPosition="0">
        <references count="1">
          <reference field="4294967294" count="1" selected="0">
            <x v="0"/>
          </reference>
        </references>
      </pivotArea>
    </chartFormat>
    <chartFormat chart="15" format="27">
      <pivotArea type="data" outline="0" fieldPosition="0">
        <references count="2">
          <reference field="4294967294" count="1" selected="0">
            <x v="0"/>
          </reference>
          <reference field="10" count="1" selected="0">
            <x v="1"/>
          </reference>
        </references>
      </pivotArea>
    </chartFormat>
    <chartFormat chart="15" format="28">
      <pivotArea type="data" outline="0" fieldPosition="0">
        <references count="2">
          <reference field="4294967294" count="1" selected="0">
            <x v="0"/>
          </reference>
          <reference field="10" count="1" selected="0">
            <x v="3"/>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TIPOS PENALIDADES" cacheId="14"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I5:J8" firstHeaderRow="1" firstDataRow="1" firstDataCol="1"/>
  <pivotFields count="22">
    <pivotField showAll="0"/>
    <pivotField showAll="0"/>
    <pivotField dataField="1" showAll="0"/>
    <pivotField showAll="0"/>
    <pivotField showAll="0"/>
    <pivotField showAll="0"/>
    <pivotField numFmtId="164" showAll="0"/>
    <pivotField showAll="0"/>
    <pivotField showAll="0"/>
    <pivotField showAll="0"/>
    <pivotField showAll="0"/>
    <pivotField showAll="0"/>
    <pivotField axis="axisRow" showAll="0">
      <items count="6">
        <item x="0"/>
        <item m="1" x="3"/>
        <item m="1" x="4"/>
        <item x="1"/>
        <item m="1" x="2"/>
        <item t="default"/>
      </items>
    </pivotField>
    <pivotField showAll="0"/>
    <pivotField showAll="0"/>
    <pivotField showAll="0"/>
    <pivotField showAll="0" defaultSubtotal="0"/>
    <pivotField showAll="0"/>
    <pivotField showAll="0"/>
    <pivotField showAll="0"/>
    <pivotField showAll="0"/>
    <pivotField showAll="0"/>
  </pivotFields>
  <rowFields count="1">
    <field x="12"/>
  </rowFields>
  <rowItems count="3">
    <i>
      <x/>
    </i>
    <i>
      <x v="3"/>
    </i>
    <i t="grand">
      <x/>
    </i>
  </rowItems>
  <colItems count="1">
    <i/>
  </colItems>
  <dataFields count="1">
    <dataField name="Contagem de MATRÍCULA" fld="2" subtotal="count" baseField="12"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Tabela dinâmica1" cacheId="1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8">
  <location ref="A34:B39" firstHeaderRow="1" firstDataRow="1" firstDataCol="1" rowPageCount="2" colPageCount="1"/>
  <pivotFields count="22">
    <pivotField showAll="0"/>
    <pivotField showAll="0"/>
    <pivotField dataField="1" showAll="0"/>
    <pivotField axis="axisPage" showAll="0">
      <items count="5">
        <item x="2"/>
        <item x="0"/>
        <item x="1"/>
        <item x="3"/>
        <item t="default"/>
      </items>
    </pivotField>
    <pivotField showAll="0"/>
    <pivotField showAll="0"/>
    <pivotField showAll="0"/>
    <pivotField showAll="0"/>
    <pivotField axis="axisPage" showAll="0">
      <items count="13">
        <item x="0"/>
        <item x="9"/>
        <item x="5"/>
        <item x="10"/>
        <item x="4"/>
        <item x="2"/>
        <item x="3"/>
        <item x="7"/>
        <item x="1"/>
        <item x="8"/>
        <item x="6"/>
        <item x="11"/>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0">
        <item m="1" x="8"/>
        <item x="4"/>
        <item m="1" x="7"/>
        <item x="5"/>
        <item x="1"/>
        <item x="0"/>
        <item x="2"/>
        <item x="3"/>
        <item h="1" x="6"/>
        <item t="default"/>
      </items>
      <autoSortScope>
        <pivotArea dataOnly="0" outline="0" fieldPosition="0">
          <references count="1">
            <reference field="4294967294" count="1" selected="0">
              <x v="0"/>
            </reference>
          </references>
        </pivotArea>
      </autoSortScope>
    </pivotField>
    <pivotField showAll="0"/>
  </pivotFields>
  <rowFields count="1">
    <field x="20"/>
  </rowFields>
  <rowItems count="5">
    <i>
      <x v="1"/>
    </i>
    <i>
      <x v="6"/>
    </i>
    <i>
      <x v="7"/>
    </i>
    <i>
      <x v="5"/>
    </i>
    <i t="grand">
      <x/>
    </i>
  </rowItems>
  <colItems count="1">
    <i/>
  </colItems>
  <pageFields count="2">
    <pageField fld="3" item="2" hier="-1"/>
    <pageField fld="8" item="0" hier="-1"/>
  </pageFields>
  <dataFields count="1">
    <dataField name="Contagem de MATRÍCULA" fld="2" subtotal="count" showDataAs="percentOfTotal" baseField="0" baseItem="0" numFmtId="10"/>
  </dataFields>
  <formats count="1">
    <format dxfId="19">
      <pivotArea collapsedLevelsAreSubtotals="1" fieldPosition="0">
        <references count="1">
          <reference field="20" count="0"/>
        </references>
      </pivotArea>
    </format>
  </formats>
  <chartFormats count="1">
    <chartFormat chart="3" format="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Tabela dinâmica4" cacheId="1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27:A28" firstHeaderRow="1" firstDataRow="1" firstDataCol="0"/>
  <pivotFields count="22">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ntagem de MATRÍCULA" fld="2"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TIPOS DE ADVERTENCIA" cacheId="12"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10">
  <location ref="M2:N5" firstHeaderRow="1" firstDataRow="1" firstDataCol="1"/>
  <pivotFields count="23">
    <pivotField showAll="0"/>
    <pivotField showAll="0"/>
    <pivotField dataField="1" showAll="0"/>
    <pivotField showAll="0"/>
    <pivotField numFmtId="14" showAll="0"/>
    <pivotField showAll="0"/>
    <pivotField numFmtId="164" showAll="0"/>
    <pivotField showAll="0"/>
    <pivotField showAll="0">
      <items count="12">
        <item x="0"/>
        <item x="9"/>
        <item x="5"/>
        <item x="10"/>
        <item x="4"/>
        <item x="2"/>
        <item x="3"/>
        <item x="7"/>
        <item x="1"/>
        <item x="8"/>
        <item x="6"/>
        <item t="default"/>
      </items>
    </pivotField>
    <pivotField showAll="0"/>
    <pivotField showAll="0"/>
    <pivotField showAll="0"/>
    <pivotField axis="axisRow" showAll="0">
      <items count="4">
        <item x="0"/>
        <item m="1" x="2"/>
        <item x="1"/>
        <item t="default"/>
      </items>
    </pivotField>
    <pivotField numFmtId="14" showAll="0"/>
    <pivotField showAll="0"/>
    <pivotField numFmtId="14" showAll="0"/>
    <pivotField showAll="0"/>
    <pivotField showAll="0"/>
    <pivotField showAll="0">
      <items count="3">
        <item h="1" x="0"/>
        <item x="1"/>
        <item t="default"/>
      </items>
    </pivotField>
    <pivotField showAll="0"/>
    <pivotField showAll="0"/>
    <pivotField showAll="0"/>
    <pivotField showAll="0" defaultSubtotal="0">
      <items count="3">
        <item x="0"/>
        <item x="2"/>
        <item x="1"/>
      </items>
    </pivotField>
  </pivotFields>
  <rowFields count="1">
    <field x="12"/>
  </rowFields>
  <rowItems count="3">
    <i>
      <x/>
    </i>
    <i>
      <x v="2"/>
    </i>
    <i t="grand">
      <x/>
    </i>
  </rowItems>
  <colItems count="1">
    <i/>
  </colItems>
  <dataFields count="1">
    <dataField name="Contagem de MATRÍCULA" fld="2" subtotal="count" baseField="0" baseItem="987129400"/>
  </dataFields>
  <chartFormats count="12">
    <chartFormat chart="1" format="6" series="1">
      <pivotArea type="data" outline="0" fieldPosition="0">
        <references count="1">
          <reference field="4294967294" count="1" selected="0">
            <x v="0"/>
          </reference>
        </references>
      </pivotArea>
    </chartFormat>
    <chartFormat chart="1" format="7">
      <pivotArea type="data" outline="0" fieldPosition="0">
        <references count="2">
          <reference field="4294967294" count="1" selected="0">
            <x v="0"/>
          </reference>
          <reference field="12" count="1" selected="0">
            <x v="0"/>
          </reference>
        </references>
      </pivotArea>
    </chartFormat>
    <chartFormat chart="1" format="8">
      <pivotArea type="data" outline="0" fieldPosition="0">
        <references count="2">
          <reference field="4294967294" count="1" selected="0">
            <x v="0"/>
          </reference>
          <reference field="12" count="1" selected="0">
            <x v="2"/>
          </reference>
        </references>
      </pivotArea>
    </chartFormat>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12" count="1" selected="0">
            <x v="0"/>
          </reference>
        </references>
      </pivotArea>
    </chartFormat>
    <chartFormat chart="2" format="16">
      <pivotArea type="data" outline="0" fieldPosition="0">
        <references count="2">
          <reference field="4294967294" count="1" selected="0">
            <x v="0"/>
          </reference>
          <reference field="12" count="1" selected="0">
            <x v="2"/>
          </reference>
        </references>
      </pivotArea>
    </chartFormat>
    <chartFormat chart="8" format="17" series="1">
      <pivotArea type="data" outline="0" fieldPosition="0">
        <references count="1">
          <reference field="4294967294" count="1" selected="0">
            <x v="0"/>
          </reference>
        </references>
      </pivotArea>
    </chartFormat>
    <chartFormat chart="8" format="18">
      <pivotArea type="data" outline="0" fieldPosition="0">
        <references count="2">
          <reference field="4294967294" count="1" selected="0">
            <x v="0"/>
          </reference>
          <reference field="12" count="1" selected="0">
            <x v="0"/>
          </reference>
        </references>
      </pivotArea>
    </chartFormat>
    <chartFormat chart="8" format="19">
      <pivotArea type="data" outline="0" fieldPosition="0">
        <references count="2">
          <reference field="4294967294" count="1" selected="0">
            <x v="0"/>
          </reference>
          <reference field="12" count="1" selected="0">
            <x v="2"/>
          </reference>
        </references>
      </pivotArea>
    </chartFormat>
    <chartFormat chart="9" format="20" series="1">
      <pivotArea type="data" outline="0" fieldPosition="0">
        <references count="1">
          <reference field="4294967294" count="1" selected="0">
            <x v="0"/>
          </reference>
        </references>
      </pivotArea>
    </chartFormat>
    <chartFormat chart="9" format="21">
      <pivotArea type="data" outline="0" fieldPosition="0">
        <references count="2">
          <reference field="4294967294" count="1" selected="0">
            <x v="0"/>
          </reference>
          <reference field="12" count="1" selected="0">
            <x v="0"/>
          </reference>
        </references>
      </pivotArea>
    </chartFormat>
    <chartFormat chart="9" format="22">
      <pivotArea type="data" outline="0" fieldPosition="0">
        <references count="2">
          <reference field="4294967294" count="1" selected="0">
            <x v="0"/>
          </reference>
          <reference field="12"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Tabela dinâmica2" cacheId="1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8">
  <location ref="A44:B50" firstHeaderRow="1" firstDataRow="1" firstDataCol="1" rowPageCount="2" colPageCount="1"/>
  <pivotFields count="22">
    <pivotField showAll="0"/>
    <pivotField showAll="0"/>
    <pivotField dataField="1" showAll="0"/>
    <pivotField axis="axisPage" showAll="0">
      <items count="5">
        <item x="2"/>
        <item x="0"/>
        <item x="1"/>
        <item x="3"/>
        <item t="default"/>
      </items>
    </pivotField>
    <pivotField showAll="0"/>
    <pivotField showAll="0"/>
    <pivotField showAll="0"/>
    <pivotField showAll="0"/>
    <pivotField axis="axisPage" showAll="0">
      <items count="13">
        <item x="0"/>
        <item x="9"/>
        <item x="5"/>
        <item x="10"/>
        <item x="4"/>
        <item x="2"/>
        <item x="3"/>
        <item x="7"/>
        <item x="1"/>
        <item x="8"/>
        <item x="6"/>
        <item x="11"/>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0">
        <item m="1" x="8"/>
        <item x="4"/>
        <item m="1" x="7"/>
        <item x="5"/>
        <item x="1"/>
        <item x="0"/>
        <item x="2"/>
        <item x="3"/>
        <item h="1" x="6"/>
        <item t="default"/>
      </items>
      <autoSortScope>
        <pivotArea dataOnly="0" outline="0" fieldPosition="0">
          <references count="1">
            <reference field="4294967294" count="1" selected="0">
              <x v="0"/>
            </reference>
          </references>
        </pivotArea>
      </autoSortScope>
    </pivotField>
    <pivotField showAll="0"/>
  </pivotFields>
  <rowFields count="1">
    <field x="20"/>
  </rowFields>
  <rowItems count="6">
    <i>
      <x v="3"/>
    </i>
    <i>
      <x v="6"/>
    </i>
    <i>
      <x v="1"/>
    </i>
    <i>
      <x v="7"/>
    </i>
    <i>
      <x v="5"/>
    </i>
    <i t="grand">
      <x/>
    </i>
  </rowItems>
  <colItems count="1">
    <i/>
  </colItems>
  <pageFields count="2">
    <pageField fld="3" item="1" hier="-1"/>
    <pageField fld="8" item="0" hier="-1"/>
  </pageFields>
  <dataFields count="1">
    <dataField name="Contagem de MATRÍCULA" fld="2" subtotal="count" showDataAs="percentOfTotal" baseField="0" baseItem="0" numFmtId="10"/>
  </dataFields>
  <formats count="1">
    <format dxfId="20">
      <pivotArea collapsedLevelsAreSubtotals="1" fieldPosition="0">
        <references count="1">
          <reference field="20" count="0"/>
        </references>
      </pivotArea>
    </format>
  </formats>
  <chartFormats count="2">
    <chartFormat chart="0" format="1"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2" name="ATIVOS" displayName="ATIVOS" ref="A1:L354" totalsRowShown="0" headerRowDxfId="13" dataDxfId="12" tableBorderDxfId="11">
  <autoFilter ref="A1:L354"/>
  <tableColumns count="12">
    <tableColumn id="1" name="Chapa" dataDxfId="10"/>
    <tableColumn id="2" name="Nome" dataDxfId="9"/>
    <tableColumn id="3" name="Data de Admissão" dataDxfId="8"/>
    <tableColumn id="4" name="Situação" dataDxfId="7"/>
    <tableColumn id="5" name="Nome Funcão" dataDxfId="6"/>
    <tableColumn id="6" name="Descrição Seção" dataDxfId="5"/>
    <tableColumn id="7" name="Turno" dataDxfId="4"/>
    <tableColumn id="8" name="Descrição do Horario" dataDxfId="3"/>
    <tableColumn id="9" name="Data de Nascimento" dataDxfId="2"/>
    <tableColumn id="10" name="Estado Civil" dataDxfId="1"/>
    <tableColumn id="11" name="Descrição da Situação" dataDxfId="0"/>
    <tableColumn id="12" name="REGIME "/>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00B050"/>
        </a:solidFill>
        <a:ln>
          <a:noFill/>
        </a:ln>
        <a:scene3d>
          <a:camera prst="orthographicFront"/>
          <a:lightRig rig="threePt" dir="t"/>
        </a:scene3d>
        <a:sp3d>
          <a:bevelT w="165100" prst="coolSlant"/>
        </a:sp3d>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1.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3"/>
  <sheetViews>
    <sheetView workbookViewId="0">
      <selection activeCell="I19" sqref="I19"/>
    </sheetView>
  </sheetViews>
  <sheetFormatPr defaultRowHeight="15" x14ac:dyDescent="0.25"/>
  <cols>
    <col min="2" max="2" width="10.140625" bestFit="1" customWidth="1"/>
    <col min="3" max="3" width="6.7109375" customWidth="1"/>
    <col min="5" max="5" width="14" bestFit="1" customWidth="1"/>
    <col min="6" max="6" width="6.7109375" customWidth="1"/>
    <col min="8" max="8" width="6.7109375" customWidth="1"/>
    <col min="10" max="10" width="13.7109375" bestFit="1" customWidth="1"/>
  </cols>
  <sheetData>
    <row r="1" spans="1:10" x14ac:dyDescent="0.25">
      <c r="A1" s="2" t="s">
        <v>0</v>
      </c>
      <c r="B1" s="2" t="s">
        <v>1</v>
      </c>
      <c r="D1" s="44" t="s">
        <v>2</v>
      </c>
      <c r="E1" s="44"/>
      <c r="G1" s="2" t="s">
        <v>3</v>
      </c>
      <c r="I1" s="45" t="s">
        <v>4</v>
      </c>
      <c r="J1" s="46"/>
    </row>
    <row r="2" spans="1:10" x14ac:dyDescent="0.25">
      <c r="A2" s="3">
        <v>1</v>
      </c>
      <c r="B2" s="3" t="s">
        <v>5</v>
      </c>
      <c r="D2" s="1">
        <v>0</v>
      </c>
      <c r="E2" s="4" t="s">
        <v>6</v>
      </c>
      <c r="G2" s="1">
        <v>360</v>
      </c>
      <c r="I2" s="1">
        <v>0</v>
      </c>
      <c r="J2" s="4" t="s">
        <v>7</v>
      </c>
    </row>
    <row r="3" spans="1:10" x14ac:dyDescent="0.25">
      <c r="A3" s="3">
        <v>2</v>
      </c>
      <c r="B3" s="3" t="s">
        <v>8</v>
      </c>
      <c r="D3" s="1">
        <v>1</v>
      </c>
      <c r="E3" s="4" t="s">
        <v>9</v>
      </c>
      <c r="I3" s="1">
        <v>1</v>
      </c>
      <c r="J3" s="4" t="s">
        <v>10</v>
      </c>
    </row>
    <row r="4" spans="1:10" x14ac:dyDescent="0.25">
      <c r="A4" s="3">
        <v>3</v>
      </c>
      <c r="B4" s="3" t="s">
        <v>11</v>
      </c>
      <c r="D4" s="1">
        <v>3</v>
      </c>
      <c r="E4" s="4" t="s">
        <v>12</v>
      </c>
      <c r="I4" s="1">
        <v>3</v>
      </c>
      <c r="J4" s="4" t="s">
        <v>13</v>
      </c>
    </row>
    <row r="5" spans="1:10" x14ac:dyDescent="0.25">
      <c r="A5" s="3">
        <v>4</v>
      </c>
      <c r="B5" s="3" t="s">
        <v>14</v>
      </c>
      <c r="D5" s="1">
        <v>5</v>
      </c>
      <c r="E5" s="4" t="s">
        <v>15</v>
      </c>
      <c r="I5" s="1">
        <v>5</v>
      </c>
      <c r="J5" s="4" t="s">
        <v>16</v>
      </c>
    </row>
    <row r="6" spans="1:10" x14ac:dyDescent="0.25">
      <c r="A6" s="3">
        <v>5</v>
      </c>
      <c r="B6" s="3" t="s">
        <v>17</v>
      </c>
    </row>
    <row r="7" spans="1:10" x14ac:dyDescent="0.25">
      <c r="A7" s="3">
        <v>6</v>
      </c>
      <c r="B7" s="3" t="s">
        <v>18</v>
      </c>
    </row>
    <row r="8" spans="1:10" x14ac:dyDescent="0.25">
      <c r="A8" s="3">
        <v>7</v>
      </c>
      <c r="B8" s="3" t="s">
        <v>19</v>
      </c>
    </row>
    <row r="9" spans="1:10" x14ac:dyDescent="0.25">
      <c r="A9" s="3">
        <v>8</v>
      </c>
      <c r="B9" s="3" t="s">
        <v>20</v>
      </c>
    </row>
    <row r="10" spans="1:10" x14ac:dyDescent="0.25">
      <c r="A10" s="3">
        <v>9</v>
      </c>
      <c r="B10" s="3" t="s">
        <v>21</v>
      </c>
    </row>
    <row r="11" spans="1:10" x14ac:dyDescent="0.25">
      <c r="A11" s="3">
        <v>10</v>
      </c>
      <c r="B11" s="3" t="s">
        <v>22</v>
      </c>
    </row>
    <row r="12" spans="1:10" x14ac:dyDescent="0.25">
      <c r="A12" s="3">
        <v>11</v>
      </c>
      <c r="B12" s="3" t="s">
        <v>23</v>
      </c>
    </row>
    <row r="13" spans="1:10" x14ac:dyDescent="0.25">
      <c r="A13" s="3">
        <v>12</v>
      </c>
      <c r="B13" s="3" t="s">
        <v>24</v>
      </c>
    </row>
  </sheetData>
  <mergeCells count="2">
    <mergeCell ref="D1:E1"/>
    <mergeCell ref="I1:J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167"/>
  <sheetViews>
    <sheetView topLeftCell="T1" zoomScale="80" zoomScaleNormal="80" workbookViewId="0">
      <selection activeCell="W5" sqref="W5"/>
    </sheetView>
  </sheetViews>
  <sheetFormatPr defaultRowHeight="15" x14ac:dyDescent="0.25"/>
  <cols>
    <col min="1" max="1" width="12.85546875" customWidth="1"/>
    <col min="2" max="2" width="23.7109375" customWidth="1"/>
    <col min="3" max="3" width="8.5703125" customWidth="1"/>
    <col min="4" max="4" width="11" customWidth="1"/>
    <col min="5" max="5" width="34.5703125" customWidth="1"/>
    <col min="6" max="6" width="23.7109375" customWidth="1"/>
    <col min="7" max="7" width="18.7109375" customWidth="1"/>
    <col min="8" max="8" width="23.7109375" customWidth="1"/>
    <col min="9" max="9" width="18.7109375" customWidth="1"/>
    <col min="10" max="10" width="24.42578125" customWidth="1"/>
    <col min="11" max="11" width="37.140625" customWidth="1"/>
    <col min="12" max="12" width="1.5703125" customWidth="1"/>
    <col min="13" max="13" width="22.5703125" customWidth="1"/>
    <col min="14" max="14" width="8.42578125" customWidth="1"/>
    <col min="15" max="15" width="7.85546875" customWidth="1"/>
    <col min="16" max="16" width="21" customWidth="1"/>
    <col min="17" max="17" width="18.7109375" customWidth="1"/>
    <col min="18" max="18" width="18.140625" customWidth="1"/>
    <col min="19" max="19" width="23.7109375" customWidth="1"/>
    <col min="20" max="20" width="24.42578125" customWidth="1"/>
    <col min="21" max="21" width="18.140625" customWidth="1"/>
    <col min="22" max="22" width="23.7109375" customWidth="1"/>
    <col min="23" max="23" width="24.42578125" customWidth="1"/>
    <col min="24" max="24" width="22.140625" customWidth="1"/>
    <col min="25" max="25" width="27.85546875" customWidth="1"/>
    <col min="26" max="26" width="8.5703125" customWidth="1"/>
    <col min="27" max="27" width="18.140625" customWidth="1"/>
    <col min="28" max="28" width="13.42578125" customWidth="1"/>
    <col min="29" max="29" width="11" customWidth="1"/>
    <col min="30" max="30" width="7.140625" customWidth="1"/>
    <col min="31" max="31" width="8.85546875" customWidth="1"/>
    <col min="32" max="32" width="11.28515625" bestFit="1" customWidth="1"/>
    <col min="33" max="33" width="10.5703125" customWidth="1"/>
    <col min="34" max="34" width="12.140625" bestFit="1" customWidth="1"/>
    <col min="35" max="35" width="11.5703125" bestFit="1" customWidth="1"/>
    <col min="36" max="37" width="11" customWidth="1"/>
    <col min="38" max="38" width="10.28515625" bestFit="1" customWidth="1"/>
    <col min="39" max="39" width="6.42578125" customWidth="1"/>
    <col min="40" max="40" width="6.28515625" customWidth="1"/>
    <col min="41" max="41" width="7.7109375" customWidth="1"/>
    <col min="42" max="42" width="7.140625" customWidth="1"/>
    <col min="43" max="43" width="8.85546875" customWidth="1"/>
    <col min="44" max="44" width="11.28515625" bestFit="1" customWidth="1"/>
    <col min="45" max="45" width="10.5703125" bestFit="1" customWidth="1"/>
    <col min="46" max="46" width="12.140625" bestFit="1" customWidth="1"/>
    <col min="47" max="47" width="11.5703125" bestFit="1" customWidth="1"/>
    <col min="48" max="48" width="9.42578125" bestFit="1" customWidth="1"/>
    <col min="49" max="49" width="13.5703125" bestFit="1" customWidth="1"/>
    <col min="50" max="50" width="11" bestFit="1" customWidth="1"/>
  </cols>
  <sheetData>
    <row r="1" spans="1:29" x14ac:dyDescent="0.25">
      <c r="A1" s="6" t="s">
        <v>25</v>
      </c>
      <c r="B1" t="s">
        <v>26</v>
      </c>
      <c r="D1" s="6" t="s">
        <v>27</v>
      </c>
      <c r="E1" t="s">
        <v>28</v>
      </c>
      <c r="G1" s="6" t="s">
        <v>27</v>
      </c>
      <c r="H1" t="s">
        <v>26</v>
      </c>
      <c r="J1" s="47"/>
      <c r="K1" s="48"/>
      <c r="M1" s="47"/>
      <c r="N1" s="49"/>
      <c r="P1" s="50" t="s">
        <v>29</v>
      </c>
      <c r="Q1" s="51"/>
      <c r="R1" s="51"/>
      <c r="S1" s="51"/>
      <c r="T1" s="52"/>
    </row>
    <row r="2" spans="1:29" x14ac:dyDescent="0.25">
      <c r="A2" t="s">
        <v>30</v>
      </c>
      <c r="B2">
        <v>54</v>
      </c>
      <c r="D2" s="5" t="s">
        <v>31</v>
      </c>
      <c r="E2" s="10">
        <v>0.56126482213438733</v>
      </c>
      <c r="G2" s="5" t="s">
        <v>32</v>
      </c>
      <c r="H2" s="10">
        <v>0.83148558758314861</v>
      </c>
      <c r="M2" s="6" t="s">
        <v>27</v>
      </c>
      <c r="N2" t="s">
        <v>26</v>
      </c>
      <c r="Q2" s="6" t="s">
        <v>27</v>
      </c>
      <c r="R2" t="s">
        <v>33</v>
      </c>
      <c r="W2" s="6" t="s">
        <v>34</v>
      </c>
      <c r="X2" t="s">
        <v>35</v>
      </c>
    </row>
    <row r="3" spans="1:29" x14ac:dyDescent="0.25">
      <c r="A3" t="s">
        <v>36</v>
      </c>
      <c r="B3">
        <v>54</v>
      </c>
      <c r="D3" s="5" t="s">
        <v>37</v>
      </c>
      <c r="E3" s="10">
        <v>0.43873517786561267</v>
      </c>
      <c r="G3" s="5" t="s">
        <v>38</v>
      </c>
      <c r="H3" s="10">
        <v>0.16851441241685144</v>
      </c>
      <c r="K3" s="22">
        <f>F24</f>
        <v>455</v>
      </c>
      <c r="M3" s="5" t="s">
        <v>39</v>
      </c>
      <c r="N3">
        <v>311</v>
      </c>
      <c r="O3" s="23">
        <f>GETPIVOTDATA("MATRÍCULA",$M$2,"TIPO DE PENALIDADE ","ADVERTENCIA")/GETPIVOTDATA("MATRÍCULA",$M$2)</f>
        <v>0.68351648351648353</v>
      </c>
      <c r="Q3" s="5" t="s">
        <v>40</v>
      </c>
      <c r="R3">
        <v>293</v>
      </c>
      <c r="S3" s="20">
        <f>GETPIVOTDATA("Chapa",$Q$2,"REGIME ","INTEGRAL")</f>
        <v>293</v>
      </c>
      <c r="T3" s="20">
        <f>COUNT(Q15:Q1048576,"AGENTE DE COLETA")</f>
        <v>153</v>
      </c>
      <c r="U3" s="21">
        <f>T3/S3</f>
        <v>0.52218430034129693</v>
      </c>
    </row>
    <row r="4" spans="1:29" x14ac:dyDescent="0.25">
      <c r="A4" t="s">
        <v>41</v>
      </c>
      <c r="B4">
        <v>22</v>
      </c>
      <c r="D4" s="5" t="s">
        <v>42</v>
      </c>
      <c r="E4" s="10">
        <v>1</v>
      </c>
      <c r="G4" s="5" t="s">
        <v>42</v>
      </c>
      <c r="H4" s="10">
        <v>1</v>
      </c>
      <c r="K4" s="5"/>
      <c r="M4" s="5" t="s">
        <v>43</v>
      </c>
      <c r="N4">
        <v>144</v>
      </c>
      <c r="O4" s="23">
        <f>GETPIVOTDATA("MATRÍCULA",$M$2,"TIPO DE PENALIDADE ","SUSPENSÃO")/GETPIVOTDATA("MATRÍCULA",$M$2)</f>
        <v>0.31648351648351647</v>
      </c>
      <c r="Q4" s="5" t="s">
        <v>38</v>
      </c>
      <c r="R4">
        <v>60</v>
      </c>
      <c r="S4" s="20">
        <f>GETPIVOTDATA("Chapa",$Q$2,"REGIME ","PARCIAL")</f>
        <v>60</v>
      </c>
      <c r="T4" s="20">
        <f>COUNT(T15:T1048576,"AGENTE DE COLETA")</f>
        <v>52</v>
      </c>
      <c r="U4" s="21">
        <f>T4/S4</f>
        <v>0.8666666666666667</v>
      </c>
      <c r="W4" s="6" t="s">
        <v>26</v>
      </c>
      <c r="X4" s="6" t="s">
        <v>44</v>
      </c>
    </row>
    <row r="5" spans="1:29" x14ac:dyDescent="0.25">
      <c r="A5" t="s">
        <v>45</v>
      </c>
      <c r="B5">
        <v>35</v>
      </c>
      <c r="I5" s="6" t="s">
        <v>27</v>
      </c>
      <c r="J5" t="s">
        <v>26</v>
      </c>
      <c r="M5" s="5" t="s">
        <v>42</v>
      </c>
      <c r="N5">
        <v>455</v>
      </c>
      <c r="O5" s="24">
        <f>SUM(O3:O4)</f>
        <v>1</v>
      </c>
      <c r="Q5" s="5" t="s">
        <v>42</v>
      </c>
      <c r="R5">
        <v>353</v>
      </c>
      <c r="S5">
        <f>GETPIVOTDATA("Chapa",$Q$2)</f>
        <v>353</v>
      </c>
      <c r="W5" s="6" t="s">
        <v>27</v>
      </c>
      <c r="X5" t="s">
        <v>46</v>
      </c>
      <c r="Y5" t="s">
        <v>47</v>
      </c>
      <c r="Z5" t="s">
        <v>48</v>
      </c>
      <c r="AA5" t="s">
        <v>49</v>
      </c>
      <c r="AB5" t="s">
        <v>50</v>
      </c>
      <c r="AC5" t="s">
        <v>42</v>
      </c>
    </row>
    <row r="6" spans="1:29" x14ac:dyDescent="0.25">
      <c r="A6" t="s">
        <v>51</v>
      </c>
      <c r="B6">
        <v>21</v>
      </c>
      <c r="I6" s="5" t="s">
        <v>39</v>
      </c>
      <c r="J6">
        <v>311</v>
      </c>
      <c r="K6" s="22">
        <f>GETPIVOTDATA("MATRÍCULA",$M$2,"TIPO DE PENALIDADE ","ADVERTENCIA")</f>
        <v>311</v>
      </c>
      <c r="W6" s="5" t="s">
        <v>5</v>
      </c>
      <c r="X6">
        <v>29</v>
      </c>
      <c r="Y6">
        <v>9</v>
      </c>
      <c r="Z6">
        <v>1</v>
      </c>
      <c r="AA6">
        <v>1</v>
      </c>
      <c r="AC6">
        <v>40</v>
      </c>
    </row>
    <row r="7" spans="1:29" x14ac:dyDescent="0.25">
      <c r="A7" t="s">
        <v>52</v>
      </c>
      <c r="B7">
        <v>39</v>
      </c>
      <c r="I7" s="5" t="s">
        <v>43</v>
      </c>
      <c r="J7">
        <v>144</v>
      </c>
      <c r="K7" s="22">
        <f>GETPIVOTDATA("MATRÍCULA",$M$2,"TIPO DE PENALIDADE ","SUSPENSÃO")</f>
        <v>144</v>
      </c>
      <c r="M7" s="5"/>
      <c r="P7" s="5"/>
      <c r="W7" s="5" t="s">
        <v>8</v>
      </c>
      <c r="X7">
        <v>11</v>
      </c>
      <c r="Z7">
        <v>1</v>
      </c>
      <c r="AA7">
        <v>1</v>
      </c>
      <c r="AC7">
        <v>13</v>
      </c>
    </row>
    <row r="8" spans="1:29" x14ac:dyDescent="0.25">
      <c r="A8" t="s">
        <v>53</v>
      </c>
      <c r="B8">
        <v>25</v>
      </c>
      <c r="I8" s="5" t="s">
        <v>42</v>
      </c>
      <c r="J8">
        <v>455</v>
      </c>
      <c r="M8" s="7"/>
      <c r="W8" s="5" t="s">
        <v>11</v>
      </c>
      <c r="X8">
        <v>8</v>
      </c>
      <c r="Y8">
        <v>6</v>
      </c>
      <c r="Z8">
        <v>1</v>
      </c>
      <c r="AA8">
        <v>1</v>
      </c>
      <c r="AC8">
        <v>16</v>
      </c>
    </row>
    <row r="9" spans="1:29" x14ac:dyDescent="0.25">
      <c r="A9" t="s">
        <v>54</v>
      </c>
      <c r="B9">
        <v>1</v>
      </c>
      <c r="M9" s="5"/>
      <c r="Q9" s="6" t="s">
        <v>34</v>
      </c>
      <c r="R9" s="6" t="s">
        <v>55</v>
      </c>
      <c r="S9" t="s">
        <v>26</v>
      </c>
      <c r="W9" s="5" t="s">
        <v>14</v>
      </c>
      <c r="X9">
        <v>13</v>
      </c>
      <c r="Y9">
        <v>6</v>
      </c>
      <c r="Z9">
        <v>2</v>
      </c>
      <c r="AC9">
        <v>21</v>
      </c>
    </row>
    <row r="10" spans="1:29" x14ac:dyDescent="0.25">
      <c r="A10" t="s">
        <v>56</v>
      </c>
      <c r="B10">
        <v>50</v>
      </c>
      <c r="M10" s="7"/>
      <c r="Q10" t="s">
        <v>35</v>
      </c>
      <c r="R10" t="s">
        <v>32</v>
      </c>
      <c r="S10">
        <v>294</v>
      </c>
      <c r="W10" s="5" t="s">
        <v>17</v>
      </c>
      <c r="X10">
        <v>26</v>
      </c>
      <c r="Y10">
        <v>3</v>
      </c>
      <c r="AA10">
        <v>2</v>
      </c>
      <c r="AC10">
        <v>31</v>
      </c>
    </row>
    <row r="11" spans="1:29" x14ac:dyDescent="0.25">
      <c r="A11" t="s">
        <v>57</v>
      </c>
      <c r="B11">
        <v>32</v>
      </c>
      <c r="M11" s="5"/>
      <c r="W11" s="5" t="s">
        <v>18</v>
      </c>
      <c r="X11">
        <v>18</v>
      </c>
      <c r="AA11">
        <v>1</v>
      </c>
      <c r="AC11">
        <v>19</v>
      </c>
    </row>
    <row r="12" spans="1:29" x14ac:dyDescent="0.25">
      <c r="A12" t="s">
        <v>58</v>
      </c>
      <c r="B12">
        <v>32</v>
      </c>
      <c r="D12" s="6" t="s">
        <v>59</v>
      </c>
      <c r="E12" s="6" t="s">
        <v>34</v>
      </c>
      <c r="F12" t="s">
        <v>26</v>
      </c>
      <c r="M12" s="7"/>
      <c r="Q12" s="6" t="s">
        <v>55</v>
      </c>
      <c r="R12" t="s">
        <v>32</v>
      </c>
      <c r="T12" s="6" t="s">
        <v>55</v>
      </c>
      <c r="U12" t="s">
        <v>38</v>
      </c>
      <c r="W12" s="5" t="s">
        <v>19</v>
      </c>
      <c r="X12">
        <v>3</v>
      </c>
      <c r="AC12">
        <v>3</v>
      </c>
    </row>
    <row r="13" spans="1:29" x14ac:dyDescent="0.25">
      <c r="A13" t="s">
        <v>60</v>
      </c>
      <c r="B13">
        <v>23</v>
      </c>
      <c r="D13" t="s">
        <v>35</v>
      </c>
      <c r="E13" t="s">
        <v>35</v>
      </c>
      <c r="F13">
        <v>368</v>
      </c>
      <c r="G13" s="11" t="str">
        <f>D13</f>
        <v>AGENTE DE COLETA</v>
      </c>
      <c r="H13" s="11">
        <f>GETPIVOTDATA("MATRÍCULA",$D$12,"FUNÇÃO","AGENTE DE COLETA","FUNÇÃO2","AGENTE DE COLETA")</f>
        <v>368</v>
      </c>
      <c r="I13" s="12">
        <f>H13/H16</f>
        <v>0.8123620309050773</v>
      </c>
      <c r="M13" s="6" t="s">
        <v>2</v>
      </c>
      <c r="N13" t="s">
        <v>61</v>
      </c>
      <c r="W13" s="5" t="s">
        <v>20</v>
      </c>
      <c r="X13">
        <v>20</v>
      </c>
      <c r="Y13">
        <v>12</v>
      </c>
      <c r="Z13">
        <v>7</v>
      </c>
      <c r="AC13">
        <v>39</v>
      </c>
    </row>
    <row r="14" spans="1:29" x14ac:dyDescent="0.25">
      <c r="A14" t="s">
        <v>62</v>
      </c>
      <c r="B14">
        <v>67</v>
      </c>
      <c r="D14" t="s">
        <v>63</v>
      </c>
      <c r="E14" t="s">
        <v>64</v>
      </c>
      <c r="F14">
        <v>2</v>
      </c>
      <c r="G14" s="11" t="str">
        <f>D23</f>
        <v>MOTORISTA</v>
      </c>
      <c r="H14" s="11">
        <f>GETPIVOTDATA("MATRÍCULA",$D$12,"FUNÇÃO","MOTORISTA","FUNÇÃO2","MOTORISTA")</f>
        <v>70</v>
      </c>
      <c r="I14" s="12">
        <f>H14/H16</f>
        <v>0.1545253863134658</v>
      </c>
      <c r="M14" s="5" t="s">
        <v>7</v>
      </c>
      <c r="N14" s="10">
        <v>0.50109890109890109</v>
      </c>
      <c r="Q14" s="6" t="s">
        <v>65</v>
      </c>
      <c r="R14" s="6" t="s">
        <v>34</v>
      </c>
      <c r="S14" t="s">
        <v>26</v>
      </c>
      <c r="T14" s="6" t="s">
        <v>65</v>
      </c>
      <c r="U14" s="6" t="s">
        <v>34</v>
      </c>
      <c r="V14" t="s">
        <v>26</v>
      </c>
      <c r="W14" s="5" t="s">
        <v>21</v>
      </c>
      <c r="X14">
        <v>22</v>
      </c>
      <c r="Y14">
        <v>1</v>
      </c>
      <c r="Z14">
        <v>1</v>
      </c>
      <c r="AB14">
        <v>2</v>
      </c>
      <c r="AC14">
        <v>26</v>
      </c>
    </row>
    <row r="15" spans="1:29" x14ac:dyDescent="0.25">
      <c r="A15" t="s">
        <v>42</v>
      </c>
      <c r="B15">
        <v>455</v>
      </c>
      <c r="E15" t="s">
        <v>66</v>
      </c>
      <c r="F15">
        <v>3</v>
      </c>
      <c r="G15" s="11" t="str">
        <f>D14</f>
        <v>OUTROS</v>
      </c>
      <c r="H15" s="11">
        <f>SUM(F15:F22)</f>
        <v>15</v>
      </c>
      <c r="I15" s="12">
        <f>H15/H16</f>
        <v>3.3112582781456956E-2</v>
      </c>
      <c r="M15" s="5" t="s">
        <v>10</v>
      </c>
      <c r="N15" s="10">
        <v>0.3934065934065934</v>
      </c>
      <c r="Q15">
        <v>2770000129</v>
      </c>
      <c r="R15" t="s">
        <v>35</v>
      </c>
      <c r="S15">
        <v>1</v>
      </c>
      <c r="T15">
        <v>2770002569</v>
      </c>
      <c r="U15" t="s">
        <v>35</v>
      </c>
      <c r="V15">
        <v>1</v>
      </c>
      <c r="W15" s="5" t="s">
        <v>22</v>
      </c>
      <c r="X15">
        <v>17</v>
      </c>
      <c r="Y15">
        <v>4</v>
      </c>
      <c r="AA15">
        <v>2</v>
      </c>
      <c r="AB15">
        <v>1</v>
      </c>
      <c r="AC15">
        <v>24</v>
      </c>
    </row>
    <row r="16" spans="1:29" x14ac:dyDescent="0.25">
      <c r="A16" s="5"/>
      <c r="E16" t="s">
        <v>67</v>
      </c>
      <c r="F16">
        <v>1</v>
      </c>
      <c r="G16" s="11"/>
      <c r="H16" s="11">
        <f>SUM(H13:H15)</f>
        <v>453</v>
      </c>
      <c r="I16" s="11"/>
      <c r="M16" s="5" t="s">
        <v>13</v>
      </c>
      <c r="N16" s="10">
        <v>5.2747252747252747E-2</v>
      </c>
      <c r="Q16">
        <v>2770000234</v>
      </c>
      <c r="R16" t="s">
        <v>35</v>
      </c>
      <c r="S16">
        <v>1</v>
      </c>
      <c r="T16">
        <v>2770002896</v>
      </c>
      <c r="U16" t="s">
        <v>35</v>
      </c>
      <c r="V16">
        <v>1</v>
      </c>
      <c r="W16" s="5" t="s">
        <v>23</v>
      </c>
      <c r="X16">
        <v>21</v>
      </c>
      <c r="Y16">
        <v>4</v>
      </c>
      <c r="AC16">
        <v>25</v>
      </c>
    </row>
    <row r="17" spans="1:29" x14ac:dyDescent="0.25">
      <c r="A17" s="7"/>
      <c r="E17" t="s">
        <v>68</v>
      </c>
      <c r="F17">
        <v>4</v>
      </c>
      <c r="M17" s="5" t="s">
        <v>16</v>
      </c>
      <c r="N17" s="10">
        <v>5.2747252747252747E-2</v>
      </c>
      <c r="Q17">
        <v>2770000243</v>
      </c>
      <c r="R17" t="s">
        <v>35</v>
      </c>
      <c r="S17">
        <v>1</v>
      </c>
      <c r="T17">
        <v>2770002916</v>
      </c>
      <c r="U17" t="s">
        <v>35</v>
      </c>
      <c r="V17">
        <v>1</v>
      </c>
      <c r="W17" s="5" t="s">
        <v>24</v>
      </c>
      <c r="X17">
        <v>49</v>
      </c>
      <c r="Y17">
        <v>8</v>
      </c>
      <c r="Z17">
        <v>2</v>
      </c>
      <c r="AA17">
        <v>2</v>
      </c>
      <c r="AC17">
        <v>61</v>
      </c>
    </row>
    <row r="18" spans="1:29" x14ac:dyDescent="0.25">
      <c r="A18" s="7"/>
      <c r="E18" t="s">
        <v>69</v>
      </c>
      <c r="F18">
        <v>1</v>
      </c>
      <c r="M18" s="5" t="s">
        <v>42</v>
      </c>
      <c r="N18" s="10">
        <v>1</v>
      </c>
      <c r="Q18">
        <v>2770000297</v>
      </c>
      <c r="R18" t="s">
        <v>35</v>
      </c>
      <c r="S18">
        <v>1</v>
      </c>
      <c r="T18">
        <v>2770002919</v>
      </c>
      <c r="U18" t="s">
        <v>35</v>
      </c>
      <c r="V18">
        <v>1</v>
      </c>
      <c r="W18" s="5" t="s">
        <v>42</v>
      </c>
      <c r="X18">
        <v>237</v>
      </c>
      <c r="Y18">
        <v>53</v>
      </c>
      <c r="Z18">
        <v>15</v>
      </c>
      <c r="AA18">
        <v>10</v>
      </c>
      <c r="AB18">
        <v>3</v>
      </c>
      <c r="AC18">
        <v>318</v>
      </c>
    </row>
    <row r="19" spans="1:29" x14ac:dyDescent="0.25">
      <c r="A19" s="5"/>
      <c r="E19" t="s">
        <v>70</v>
      </c>
      <c r="F19">
        <v>2</v>
      </c>
      <c r="G19" s="5"/>
      <c r="Q19">
        <v>2770000317</v>
      </c>
      <c r="R19" t="s">
        <v>35</v>
      </c>
      <c r="S19">
        <v>1</v>
      </c>
      <c r="T19">
        <v>2770002929</v>
      </c>
      <c r="U19" t="s">
        <v>35</v>
      </c>
      <c r="V19">
        <v>1</v>
      </c>
      <c r="X19" t="str">
        <f>X5</f>
        <v>FALTA</v>
      </c>
      <c r="Y19" t="str">
        <f t="shared" ref="Y19:AC19" si="0">Y5</f>
        <v>QUEBRA DE PROCEDIMENTO</v>
      </c>
      <c r="Z19" t="str">
        <f t="shared" si="0"/>
        <v>ATRASO</v>
      </c>
      <c r="AA19" t="str">
        <f t="shared" si="0"/>
        <v>INSUBORDINAÇÃO</v>
      </c>
      <c r="AB19" t="str">
        <f t="shared" si="0"/>
        <v>EMBRIAGUEZ</v>
      </c>
      <c r="AC19" t="str">
        <f t="shared" si="0"/>
        <v>Total Geral</v>
      </c>
    </row>
    <row r="20" spans="1:29" x14ac:dyDescent="0.25">
      <c r="A20" s="7"/>
      <c r="E20" t="s">
        <v>71</v>
      </c>
      <c r="F20">
        <v>1</v>
      </c>
      <c r="G20" s="5"/>
      <c r="I20" s="5"/>
      <c r="Q20">
        <v>2770000343</v>
      </c>
      <c r="R20" t="s">
        <v>35</v>
      </c>
      <c r="S20">
        <v>1</v>
      </c>
      <c r="T20">
        <v>2770002972</v>
      </c>
      <c r="U20" t="s">
        <v>35</v>
      </c>
      <c r="V20">
        <v>1</v>
      </c>
      <c r="W20" s="5" t="str">
        <f>W6</f>
        <v xml:space="preserve">JANEIRO </v>
      </c>
      <c r="X20">
        <f t="shared" ref="X20:AC32" si="1">X6</f>
        <v>29</v>
      </c>
      <c r="Y20">
        <f t="shared" si="1"/>
        <v>9</v>
      </c>
      <c r="Z20">
        <f t="shared" si="1"/>
        <v>1</v>
      </c>
      <c r="AA20">
        <f t="shared" si="1"/>
        <v>1</v>
      </c>
      <c r="AB20">
        <f t="shared" si="1"/>
        <v>0</v>
      </c>
      <c r="AC20">
        <f t="shared" si="1"/>
        <v>40</v>
      </c>
    </row>
    <row r="21" spans="1:29" x14ac:dyDescent="0.25">
      <c r="A21" s="7"/>
      <c r="E21" t="s">
        <v>72</v>
      </c>
      <c r="F21">
        <v>1</v>
      </c>
      <c r="G21" s="5"/>
      <c r="I21" s="5"/>
      <c r="Q21">
        <v>2770000518</v>
      </c>
      <c r="R21" t="s">
        <v>35</v>
      </c>
      <c r="S21">
        <v>1</v>
      </c>
      <c r="T21">
        <v>2770002973</v>
      </c>
      <c r="U21" t="s">
        <v>35</v>
      </c>
      <c r="V21">
        <v>1</v>
      </c>
      <c r="W21" s="5" t="str">
        <f t="shared" ref="W21:W32" si="2">W7</f>
        <v>FEVEREIRO</v>
      </c>
      <c r="X21">
        <f t="shared" si="1"/>
        <v>11</v>
      </c>
      <c r="Y21">
        <f t="shared" si="1"/>
        <v>0</v>
      </c>
      <c r="Z21">
        <f t="shared" si="1"/>
        <v>1</v>
      </c>
      <c r="AA21">
        <f t="shared" si="1"/>
        <v>1</v>
      </c>
      <c r="AB21">
        <f t="shared" si="1"/>
        <v>0</v>
      </c>
      <c r="AC21">
        <f t="shared" si="1"/>
        <v>13</v>
      </c>
    </row>
    <row r="22" spans="1:29" x14ac:dyDescent="0.25">
      <c r="A22" s="5"/>
      <c r="E22" t="s">
        <v>73</v>
      </c>
      <c r="F22">
        <v>2</v>
      </c>
      <c r="G22" s="5"/>
      <c r="I22" s="5"/>
      <c r="Q22">
        <v>2770000538</v>
      </c>
      <c r="R22" t="s">
        <v>35</v>
      </c>
      <c r="S22">
        <v>1</v>
      </c>
      <c r="T22">
        <v>2770002974</v>
      </c>
      <c r="U22" t="s">
        <v>35</v>
      </c>
      <c r="V22">
        <v>1</v>
      </c>
      <c r="W22" s="5" t="str">
        <f t="shared" si="2"/>
        <v>MARÇO</v>
      </c>
      <c r="X22">
        <f t="shared" si="1"/>
        <v>8</v>
      </c>
      <c r="Y22">
        <f t="shared" si="1"/>
        <v>6</v>
      </c>
      <c r="Z22">
        <f t="shared" si="1"/>
        <v>1</v>
      </c>
      <c r="AA22">
        <f t="shared" si="1"/>
        <v>1</v>
      </c>
      <c r="AB22">
        <f t="shared" si="1"/>
        <v>0</v>
      </c>
      <c r="AC22">
        <f t="shared" si="1"/>
        <v>16</v>
      </c>
    </row>
    <row r="23" spans="1:29" x14ac:dyDescent="0.25">
      <c r="A23" s="7"/>
      <c r="D23" t="s">
        <v>74</v>
      </c>
      <c r="E23" t="s">
        <v>74</v>
      </c>
      <c r="F23">
        <v>70</v>
      </c>
      <c r="G23" s="5"/>
      <c r="I23" s="5"/>
      <c r="Q23">
        <v>2770000769</v>
      </c>
      <c r="R23" t="s">
        <v>35</v>
      </c>
      <c r="S23">
        <v>1</v>
      </c>
      <c r="T23">
        <v>2770002992</v>
      </c>
      <c r="U23" t="s">
        <v>35</v>
      </c>
      <c r="V23">
        <v>1</v>
      </c>
      <c r="W23" s="5" t="str">
        <f t="shared" si="2"/>
        <v>ABRIL</v>
      </c>
      <c r="X23">
        <f t="shared" si="1"/>
        <v>13</v>
      </c>
      <c r="Y23">
        <f t="shared" si="1"/>
        <v>6</v>
      </c>
      <c r="Z23">
        <f t="shared" si="1"/>
        <v>2</v>
      </c>
      <c r="AA23">
        <f t="shared" si="1"/>
        <v>0</v>
      </c>
      <c r="AB23">
        <f t="shared" si="1"/>
        <v>0</v>
      </c>
      <c r="AC23">
        <f t="shared" si="1"/>
        <v>21</v>
      </c>
    </row>
    <row r="24" spans="1:29" x14ac:dyDescent="0.25">
      <c r="A24" s="7"/>
      <c r="F24">
        <f>SUM(F13:F23)</f>
        <v>455</v>
      </c>
      <c r="G24" s="5"/>
      <c r="Q24">
        <v>2770000934</v>
      </c>
      <c r="R24" t="s">
        <v>35</v>
      </c>
      <c r="S24">
        <v>1</v>
      </c>
      <c r="T24">
        <v>2770003014</v>
      </c>
      <c r="U24" t="s">
        <v>35</v>
      </c>
      <c r="V24">
        <v>1</v>
      </c>
      <c r="W24" s="5" t="str">
        <f t="shared" si="2"/>
        <v>MAIO</v>
      </c>
      <c r="X24">
        <f t="shared" si="1"/>
        <v>26</v>
      </c>
      <c r="Y24">
        <f t="shared" si="1"/>
        <v>3</v>
      </c>
      <c r="Z24">
        <f t="shared" si="1"/>
        <v>0</v>
      </c>
      <c r="AA24">
        <f t="shared" si="1"/>
        <v>2</v>
      </c>
      <c r="AB24">
        <f t="shared" si="1"/>
        <v>0</v>
      </c>
      <c r="AC24">
        <f t="shared" si="1"/>
        <v>31</v>
      </c>
    </row>
    <row r="25" spans="1:29" x14ac:dyDescent="0.25">
      <c r="A25" s="5"/>
      <c r="G25" s="5"/>
      <c r="Q25">
        <v>2770002021</v>
      </c>
      <c r="R25" t="s">
        <v>35</v>
      </c>
      <c r="S25">
        <v>1</v>
      </c>
      <c r="T25">
        <v>2770003038</v>
      </c>
      <c r="U25" t="s">
        <v>35</v>
      </c>
      <c r="V25">
        <v>1</v>
      </c>
      <c r="W25" s="5" t="str">
        <f t="shared" si="2"/>
        <v>JUNHO</v>
      </c>
      <c r="X25">
        <f t="shared" si="1"/>
        <v>18</v>
      </c>
      <c r="Y25">
        <f t="shared" si="1"/>
        <v>0</v>
      </c>
      <c r="Z25">
        <f t="shared" si="1"/>
        <v>0</v>
      </c>
      <c r="AA25">
        <f t="shared" si="1"/>
        <v>1</v>
      </c>
      <c r="AB25">
        <f t="shared" si="1"/>
        <v>0</v>
      </c>
      <c r="AC25">
        <f t="shared" si="1"/>
        <v>19</v>
      </c>
    </row>
    <row r="26" spans="1:29" x14ac:dyDescent="0.25">
      <c r="G26" s="8"/>
      <c r="Q26">
        <v>2770002055</v>
      </c>
      <c r="R26" t="s">
        <v>35</v>
      </c>
      <c r="S26">
        <v>2</v>
      </c>
      <c r="T26">
        <v>2770003039</v>
      </c>
      <c r="U26" t="s">
        <v>35</v>
      </c>
      <c r="V26">
        <v>3</v>
      </c>
      <c r="W26" s="5" t="str">
        <f t="shared" si="2"/>
        <v>JULHO</v>
      </c>
      <c r="X26">
        <f t="shared" si="1"/>
        <v>3</v>
      </c>
      <c r="Y26">
        <f t="shared" si="1"/>
        <v>0</v>
      </c>
      <c r="Z26">
        <f t="shared" si="1"/>
        <v>0</v>
      </c>
      <c r="AA26">
        <f t="shared" si="1"/>
        <v>0</v>
      </c>
      <c r="AB26">
        <f t="shared" si="1"/>
        <v>0</v>
      </c>
      <c r="AC26">
        <f t="shared" si="1"/>
        <v>3</v>
      </c>
    </row>
    <row r="27" spans="1:29" x14ac:dyDescent="0.25">
      <c r="A27" t="s">
        <v>26</v>
      </c>
      <c r="G27" s="5"/>
      <c r="Q27">
        <v>2770002134</v>
      </c>
      <c r="R27" t="s">
        <v>35</v>
      </c>
      <c r="S27">
        <v>2</v>
      </c>
      <c r="T27">
        <v>2770003042</v>
      </c>
      <c r="U27" t="s">
        <v>35</v>
      </c>
      <c r="V27">
        <v>1</v>
      </c>
      <c r="W27" s="5" t="str">
        <f t="shared" si="2"/>
        <v>AGOSTO</v>
      </c>
      <c r="X27">
        <f t="shared" si="1"/>
        <v>20</v>
      </c>
      <c r="Y27">
        <f t="shared" si="1"/>
        <v>12</v>
      </c>
      <c r="Z27">
        <f t="shared" si="1"/>
        <v>7</v>
      </c>
      <c r="AA27">
        <f t="shared" si="1"/>
        <v>0</v>
      </c>
      <c r="AB27">
        <f t="shared" si="1"/>
        <v>0</v>
      </c>
      <c r="AC27">
        <f t="shared" si="1"/>
        <v>39</v>
      </c>
    </row>
    <row r="28" spans="1:29" x14ac:dyDescent="0.25">
      <c r="A28">
        <v>455</v>
      </c>
      <c r="Q28">
        <v>2770002191</v>
      </c>
      <c r="R28" t="s">
        <v>35</v>
      </c>
      <c r="S28">
        <v>1</v>
      </c>
      <c r="T28">
        <v>2770003044</v>
      </c>
      <c r="U28" t="s">
        <v>35</v>
      </c>
      <c r="V28">
        <v>2</v>
      </c>
      <c r="W28" s="5" t="str">
        <f t="shared" si="2"/>
        <v>SETEMBRO</v>
      </c>
      <c r="X28">
        <f t="shared" si="1"/>
        <v>22</v>
      </c>
      <c r="Y28">
        <f t="shared" si="1"/>
        <v>1</v>
      </c>
      <c r="Z28">
        <f t="shared" si="1"/>
        <v>1</v>
      </c>
      <c r="AA28">
        <f t="shared" si="1"/>
        <v>0</v>
      </c>
      <c r="AB28">
        <f t="shared" si="1"/>
        <v>2</v>
      </c>
      <c r="AC28">
        <f t="shared" si="1"/>
        <v>26</v>
      </c>
    </row>
    <row r="29" spans="1:29" x14ac:dyDescent="0.25">
      <c r="Q29">
        <v>2770002204</v>
      </c>
      <c r="R29" t="s">
        <v>35</v>
      </c>
      <c r="S29">
        <v>2</v>
      </c>
      <c r="T29">
        <v>2770003088</v>
      </c>
      <c r="U29" t="s">
        <v>35</v>
      </c>
      <c r="V29">
        <v>1</v>
      </c>
      <c r="W29" s="5" t="str">
        <f t="shared" si="2"/>
        <v>OUTUBRO</v>
      </c>
      <c r="X29">
        <f t="shared" si="1"/>
        <v>17</v>
      </c>
      <c r="Y29">
        <f t="shared" si="1"/>
        <v>4</v>
      </c>
      <c r="Z29">
        <f t="shared" si="1"/>
        <v>0</v>
      </c>
      <c r="AA29">
        <f t="shared" si="1"/>
        <v>2</v>
      </c>
      <c r="AB29">
        <f t="shared" si="1"/>
        <v>1</v>
      </c>
      <c r="AC29">
        <f t="shared" si="1"/>
        <v>24</v>
      </c>
    </row>
    <row r="30" spans="1:29" x14ac:dyDescent="0.25">
      <c r="Q30">
        <v>2770002205</v>
      </c>
      <c r="R30" t="s">
        <v>35</v>
      </c>
      <c r="S30">
        <v>1</v>
      </c>
      <c r="T30">
        <v>2770003090</v>
      </c>
      <c r="U30" t="s">
        <v>35</v>
      </c>
      <c r="V30">
        <v>1</v>
      </c>
      <c r="W30" s="5" t="str">
        <f t="shared" si="2"/>
        <v>NOVEMBRO</v>
      </c>
      <c r="X30">
        <f t="shared" si="1"/>
        <v>21</v>
      </c>
      <c r="Y30">
        <f t="shared" si="1"/>
        <v>4</v>
      </c>
      <c r="Z30">
        <f t="shared" si="1"/>
        <v>0</v>
      </c>
      <c r="AA30">
        <f t="shared" si="1"/>
        <v>0</v>
      </c>
      <c r="AB30">
        <f t="shared" si="1"/>
        <v>0</v>
      </c>
      <c r="AC30">
        <f t="shared" si="1"/>
        <v>25</v>
      </c>
    </row>
    <row r="31" spans="1:29" x14ac:dyDescent="0.25">
      <c r="A31" s="6" t="s">
        <v>55</v>
      </c>
      <c r="B31" t="s">
        <v>38</v>
      </c>
      <c r="Q31">
        <v>2770002210</v>
      </c>
      <c r="R31" t="s">
        <v>35</v>
      </c>
      <c r="S31">
        <v>1</v>
      </c>
      <c r="T31">
        <v>2770003092</v>
      </c>
      <c r="U31" t="s">
        <v>35</v>
      </c>
      <c r="V31">
        <v>1</v>
      </c>
      <c r="W31" s="5" t="str">
        <f t="shared" si="2"/>
        <v>DEZEMBRO</v>
      </c>
      <c r="X31">
        <f t="shared" si="1"/>
        <v>49</v>
      </c>
      <c r="Y31">
        <f t="shared" si="1"/>
        <v>8</v>
      </c>
      <c r="Z31">
        <f t="shared" si="1"/>
        <v>2</v>
      </c>
      <c r="AA31">
        <f t="shared" si="1"/>
        <v>2</v>
      </c>
      <c r="AB31">
        <f t="shared" si="1"/>
        <v>0</v>
      </c>
      <c r="AC31">
        <f t="shared" si="1"/>
        <v>61</v>
      </c>
    </row>
    <row r="32" spans="1:29" x14ac:dyDescent="0.25">
      <c r="A32" s="6" t="s">
        <v>34</v>
      </c>
      <c r="B32" t="s">
        <v>35</v>
      </c>
      <c r="Q32">
        <v>2770002252</v>
      </c>
      <c r="R32" t="s">
        <v>35</v>
      </c>
      <c r="S32">
        <v>2</v>
      </c>
      <c r="T32">
        <v>2770003093</v>
      </c>
      <c r="U32" t="s">
        <v>35</v>
      </c>
      <c r="V32">
        <v>1</v>
      </c>
      <c r="W32" s="5" t="str">
        <f t="shared" si="2"/>
        <v>Total Geral</v>
      </c>
      <c r="X32">
        <f t="shared" si="1"/>
        <v>237</v>
      </c>
      <c r="Y32">
        <f t="shared" si="1"/>
        <v>53</v>
      </c>
      <c r="Z32">
        <f t="shared" si="1"/>
        <v>15</v>
      </c>
      <c r="AA32">
        <f t="shared" si="1"/>
        <v>10</v>
      </c>
      <c r="AB32">
        <f t="shared" si="1"/>
        <v>3</v>
      </c>
      <c r="AC32">
        <f t="shared" si="1"/>
        <v>318</v>
      </c>
    </row>
    <row r="33" spans="1:22" x14ac:dyDescent="0.25">
      <c r="Q33">
        <v>2770002254</v>
      </c>
      <c r="R33" t="s">
        <v>35</v>
      </c>
      <c r="S33">
        <v>2</v>
      </c>
      <c r="T33">
        <v>2770003095</v>
      </c>
      <c r="U33" t="s">
        <v>35</v>
      </c>
      <c r="V33">
        <v>1</v>
      </c>
    </row>
    <row r="34" spans="1:22" x14ac:dyDescent="0.25">
      <c r="A34" s="6" t="s">
        <v>27</v>
      </c>
      <c r="B34" t="s">
        <v>26</v>
      </c>
      <c r="Q34">
        <v>2770002369</v>
      </c>
      <c r="R34" t="s">
        <v>35</v>
      </c>
      <c r="S34">
        <v>3</v>
      </c>
      <c r="T34">
        <v>2770003096</v>
      </c>
      <c r="U34" t="s">
        <v>35</v>
      </c>
      <c r="V34">
        <v>1</v>
      </c>
    </row>
    <row r="35" spans="1:22" x14ac:dyDescent="0.25">
      <c r="A35" s="5" t="s">
        <v>48</v>
      </c>
      <c r="B35" s="24">
        <v>1.3513513513513514E-2</v>
      </c>
      <c r="Q35">
        <v>2770002391</v>
      </c>
      <c r="R35" t="s">
        <v>35</v>
      </c>
      <c r="S35">
        <v>4</v>
      </c>
      <c r="T35">
        <v>2770003097</v>
      </c>
      <c r="U35" t="s">
        <v>35</v>
      </c>
      <c r="V35">
        <v>1</v>
      </c>
    </row>
    <row r="36" spans="1:22" x14ac:dyDescent="0.25">
      <c r="A36" s="5" t="s">
        <v>49</v>
      </c>
      <c r="B36" s="24">
        <v>1.3513513513513514E-2</v>
      </c>
      <c r="Q36">
        <v>2770002422</v>
      </c>
      <c r="R36" t="s">
        <v>35</v>
      </c>
      <c r="S36">
        <v>1</v>
      </c>
      <c r="T36">
        <v>2770003098</v>
      </c>
      <c r="U36" t="s">
        <v>35</v>
      </c>
      <c r="V36">
        <v>3</v>
      </c>
    </row>
    <row r="37" spans="1:22" x14ac:dyDescent="0.25">
      <c r="A37" s="5" t="s">
        <v>47</v>
      </c>
      <c r="B37" s="24">
        <v>8.1081081081081086E-2</v>
      </c>
      <c r="Q37">
        <v>2770002430</v>
      </c>
      <c r="R37" t="s">
        <v>35</v>
      </c>
      <c r="S37">
        <v>2</v>
      </c>
      <c r="T37">
        <v>2770003105</v>
      </c>
      <c r="U37" t="s">
        <v>35</v>
      </c>
      <c r="V37">
        <v>2</v>
      </c>
    </row>
    <row r="38" spans="1:22" x14ac:dyDescent="0.25">
      <c r="A38" s="5" t="s">
        <v>46</v>
      </c>
      <c r="B38" s="24">
        <v>0.89189189189189189</v>
      </c>
      <c r="Q38">
        <v>2770002442</v>
      </c>
      <c r="R38" t="s">
        <v>35</v>
      </c>
      <c r="S38">
        <v>1</v>
      </c>
      <c r="T38">
        <v>2770003108</v>
      </c>
      <c r="U38" t="s">
        <v>35</v>
      </c>
      <c r="V38">
        <v>3</v>
      </c>
    </row>
    <row r="39" spans="1:22" x14ac:dyDescent="0.25">
      <c r="A39" s="5" t="s">
        <v>42</v>
      </c>
      <c r="B39" s="10">
        <v>1</v>
      </c>
      <c r="Q39">
        <v>2770002443</v>
      </c>
      <c r="R39" t="s">
        <v>35</v>
      </c>
      <c r="S39">
        <v>1</v>
      </c>
      <c r="T39">
        <v>2770003109</v>
      </c>
      <c r="U39" t="s">
        <v>35</v>
      </c>
      <c r="V39">
        <v>1</v>
      </c>
    </row>
    <row r="40" spans="1:22" x14ac:dyDescent="0.25">
      <c r="Q40">
        <v>2770002457</v>
      </c>
      <c r="R40" t="s">
        <v>35</v>
      </c>
      <c r="S40">
        <v>1</v>
      </c>
      <c r="T40">
        <v>2770003111</v>
      </c>
      <c r="U40" t="s">
        <v>35</v>
      </c>
      <c r="V40">
        <v>2</v>
      </c>
    </row>
    <row r="41" spans="1:22" x14ac:dyDescent="0.25">
      <c r="A41" s="6" t="s">
        <v>55</v>
      </c>
      <c r="B41" t="s">
        <v>32</v>
      </c>
      <c r="Q41">
        <v>2770002460</v>
      </c>
      <c r="R41" t="s">
        <v>35</v>
      </c>
      <c r="S41">
        <v>1</v>
      </c>
      <c r="T41">
        <v>2770003115</v>
      </c>
      <c r="U41" t="s">
        <v>35</v>
      </c>
      <c r="V41">
        <v>1</v>
      </c>
    </row>
    <row r="42" spans="1:22" x14ac:dyDescent="0.25">
      <c r="A42" s="6" t="s">
        <v>34</v>
      </c>
      <c r="B42" t="s">
        <v>35</v>
      </c>
      <c r="Q42">
        <v>2770002482</v>
      </c>
      <c r="R42" t="s">
        <v>35</v>
      </c>
      <c r="S42">
        <v>1</v>
      </c>
      <c r="T42">
        <v>2770003116</v>
      </c>
      <c r="U42" t="s">
        <v>35</v>
      </c>
      <c r="V42">
        <v>2</v>
      </c>
    </row>
    <row r="43" spans="1:22" x14ac:dyDescent="0.25">
      <c r="Q43">
        <v>2770002486</v>
      </c>
      <c r="R43" t="s">
        <v>35</v>
      </c>
      <c r="S43">
        <v>1</v>
      </c>
      <c r="T43">
        <v>2770003122</v>
      </c>
      <c r="U43" t="s">
        <v>35</v>
      </c>
      <c r="V43">
        <v>3</v>
      </c>
    </row>
    <row r="44" spans="1:22" x14ac:dyDescent="0.25">
      <c r="A44" s="6" t="s">
        <v>27</v>
      </c>
      <c r="B44" t="s">
        <v>26</v>
      </c>
      <c r="Q44">
        <v>2770002496</v>
      </c>
      <c r="R44" t="s">
        <v>35</v>
      </c>
      <c r="S44">
        <v>1</v>
      </c>
      <c r="T44">
        <v>2770003136</v>
      </c>
      <c r="U44" t="s">
        <v>35</v>
      </c>
      <c r="V44">
        <v>1</v>
      </c>
    </row>
    <row r="45" spans="1:22" x14ac:dyDescent="0.25">
      <c r="A45" s="5" t="s">
        <v>50</v>
      </c>
      <c r="B45" s="24">
        <v>1.020408163265306E-2</v>
      </c>
      <c r="Q45">
        <v>2770002498</v>
      </c>
      <c r="R45" t="s">
        <v>35</v>
      </c>
      <c r="S45">
        <v>1</v>
      </c>
      <c r="T45">
        <v>2770003137</v>
      </c>
      <c r="U45" t="s">
        <v>35</v>
      </c>
      <c r="V45">
        <v>1</v>
      </c>
    </row>
    <row r="46" spans="1:22" x14ac:dyDescent="0.25">
      <c r="A46" s="5" t="s">
        <v>49</v>
      </c>
      <c r="B46" s="24">
        <v>3.7414965986394558E-2</v>
      </c>
      <c r="Q46">
        <v>2770002510</v>
      </c>
      <c r="R46" t="s">
        <v>35</v>
      </c>
      <c r="S46">
        <v>1</v>
      </c>
      <c r="T46">
        <v>2770003138</v>
      </c>
      <c r="U46" t="s">
        <v>35</v>
      </c>
      <c r="V46">
        <v>1</v>
      </c>
    </row>
    <row r="47" spans="1:22" x14ac:dyDescent="0.25">
      <c r="A47" s="5" t="s">
        <v>48</v>
      </c>
      <c r="B47" s="24">
        <v>4.7619047619047616E-2</v>
      </c>
      <c r="Q47">
        <v>2770002517</v>
      </c>
      <c r="R47" t="s">
        <v>35</v>
      </c>
      <c r="S47">
        <v>1</v>
      </c>
      <c r="T47">
        <v>2770003139</v>
      </c>
      <c r="U47" t="s">
        <v>35</v>
      </c>
      <c r="V47">
        <v>1</v>
      </c>
    </row>
    <row r="48" spans="1:22" x14ac:dyDescent="0.25">
      <c r="A48" s="5" t="s">
        <v>47</v>
      </c>
      <c r="B48" s="24">
        <v>0.17006802721088435</v>
      </c>
      <c r="Q48">
        <v>2770002518</v>
      </c>
      <c r="R48" t="s">
        <v>35</v>
      </c>
      <c r="S48">
        <v>1</v>
      </c>
      <c r="T48">
        <v>2770003141</v>
      </c>
      <c r="U48" t="s">
        <v>35</v>
      </c>
      <c r="V48">
        <v>1</v>
      </c>
    </row>
    <row r="49" spans="1:22" x14ac:dyDescent="0.25">
      <c r="A49" s="5" t="s">
        <v>46</v>
      </c>
      <c r="B49" s="24">
        <v>0.73469387755102045</v>
      </c>
      <c r="Q49">
        <v>2770002520</v>
      </c>
      <c r="R49" t="s">
        <v>35</v>
      </c>
      <c r="S49">
        <v>2</v>
      </c>
      <c r="T49">
        <v>2770003142</v>
      </c>
      <c r="U49" t="s">
        <v>35</v>
      </c>
      <c r="V49">
        <v>2</v>
      </c>
    </row>
    <row r="50" spans="1:22" x14ac:dyDescent="0.25">
      <c r="A50" s="5" t="s">
        <v>42</v>
      </c>
      <c r="B50" s="10">
        <v>1</v>
      </c>
      <c r="Q50">
        <v>2770002538</v>
      </c>
      <c r="R50" t="s">
        <v>35</v>
      </c>
      <c r="S50">
        <v>1</v>
      </c>
      <c r="T50">
        <v>2770003151</v>
      </c>
      <c r="U50" t="s">
        <v>35</v>
      </c>
      <c r="V50">
        <v>1</v>
      </c>
    </row>
    <row r="51" spans="1:22" x14ac:dyDescent="0.25">
      <c r="Q51">
        <v>2770002546</v>
      </c>
      <c r="R51" t="s">
        <v>35</v>
      </c>
      <c r="S51">
        <v>2</v>
      </c>
      <c r="T51">
        <v>2770003155</v>
      </c>
      <c r="U51" t="s">
        <v>35</v>
      </c>
      <c r="V51">
        <v>2</v>
      </c>
    </row>
    <row r="52" spans="1:22" x14ac:dyDescent="0.25">
      <c r="Q52">
        <v>2770002569</v>
      </c>
      <c r="R52" t="s">
        <v>35</v>
      </c>
      <c r="S52">
        <v>5</v>
      </c>
      <c r="T52">
        <v>2770003159</v>
      </c>
      <c r="U52" t="s">
        <v>35</v>
      </c>
      <c r="V52">
        <v>1</v>
      </c>
    </row>
    <row r="53" spans="1:22" x14ac:dyDescent="0.25">
      <c r="A53" s="6" t="s">
        <v>34</v>
      </c>
      <c r="B53" t="s">
        <v>35</v>
      </c>
      <c r="Q53">
        <v>2770002591</v>
      </c>
      <c r="R53" t="s">
        <v>35</v>
      </c>
      <c r="S53">
        <v>1</v>
      </c>
      <c r="T53">
        <v>2770003164</v>
      </c>
      <c r="U53" t="s">
        <v>35</v>
      </c>
      <c r="V53">
        <v>1</v>
      </c>
    </row>
    <row r="54" spans="1:22" x14ac:dyDescent="0.25">
      <c r="Q54">
        <v>2770002602</v>
      </c>
      <c r="R54" t="s">
        <v>35</v>
      </c>
      <c r="S54">
        <v>2</v>
      </c>
      <c r="T54">
        <v>2770003170</v>
      </c>
      <c r="U54" t="s">
        <v>35</v>
      </c>
      <c r="V54">
        <v>4</v>
      </c>
    </row>
    <row r="55" spans="1:22" x14ac:dyDescent="0.25">
      <c r="A55" s="6" t="s">
        <v>26</v>
      </c>
      <c r="B55" s="6" t="s">
        <v>44</v>
      </c>
      <c r="Q55">
        <v>2770002609</v>
      </c>
      <c r="R55" t="s">
        <v>35</v>
      </c>
      <c r="S55">
        <v>1</v>
      </c>
      <c r="T55">
        <v>2770003184</v>
      </c>
      <c r="U55" t="s">
        <v>35</v>
      </c>
      <c r="V55">
        <v>2</v>
      </c>
    </row>
    <row r="56" spans="1:22" x14ac:dyDescent="0.25">
      <c r="A56" s="6" t="s">
        <v>27</v>
      </c>
      <c r="B56" t="s">
        <v>32</v>
      </c>
      <c r="C56" t="s">
        <v>38</v>
      </c>
      <c r="D56" t="s">
        <v>42</v>
      </c>
      <c r="Q56">
        <v>2770002613</v>
      </c>
      <c r="R56" t="s">
        <v>35</v>
      </c>
      <c r="S56">
        <v>4</v>
      </c>
      <c r="T56">
        <v>2770003188</v>
      </c>
      <c r="U56" t="s">
        <v>35</v>
      </c>
      <c r="V56">
        <v>2</v>
      </c>
    </row>
    <row r="57" spans="1:22" x14ac:dyDescent="0.25">
      <c r="A57" s="5" t="s">
        <v>48</v>
      </c>
      <c r="B57">
        <v>14</v>
      </c>
      <c r="C57">
        <v>1</v>
      </c>
      <c r="D57">
        <v>15</v>
      </c>
      <c r="Q57">
        <v>2770002634</v>
      </c>
      <c r="R57" t="s">
        <v>35</v>
      </c>
      <c r="S57">
        <v>1</v>
      </c>
      <c r="T57">
        <v>2770003204</v>
      </c>
      <c r="U57" t="s">
        <v>35</v>
      </c>
      <c r="V57">
        <v>1</v>
      </c>
    </row>
    <row r="58" spans="1:22" x14ac:dyDescent="0.25">
      <c r="A58" s="5" t="s">
        <v>50</v>
      </c>
      <c r="B58">
        <v>3</v>
      </c>
      <c r="D58">
        <v>3</v>
      </c>
      <c r="Q58">
        <v>2770002661</v>
      </c>
      <c r="R58" t="s">
        <v>35</v>
      </c>
      <c r="S58">
        <v>2</v>
      </c>
      <c r="T58">
        <v>2770003208</v>
      </c>
      <c r="U58" t="s">
        <v>35</v>
      </c>
      <c r="V58">
        <v>2</v>
      </c>
    </row>
    <row r="59" spans="1:22" x14ac:dyDescent="0.25">
      <c r="A59" s="5" t="s">
        <v>46</v>
      </c>
      <c r="B59">
        <v>216</v>
      </c>
      <c r="C59">
        <v>66</v>
      </c>
      <c r="D59">
        <v>282</v>
      </c>
      <c r="Q59">
        <v>2770002665</v>
      </c>
      <c r="R59" t="s">
        <v>35</v>
      </c>
      <c r="S59">
        <v>1</v>
      </c>
      <c r="T59">
        <v>2770003219</v>
      </c>
      <c r="U59" t="s">
        <v>35</v>
      </c>
      <c r="V59">
        <v>1</v>
      </c>
    </row>
    <row r="60" spans="1:22" x14ac:dyDescent="0.25">
      <c r="A60" s="5" t="s">
        <v>49</v>
      </c>
      <c r="B60">
        <v>11</v>
      </c>
      <c r="C60">
        <v>1</v>
      </c>
      <c r="D60">
        <v>12</v>
      </c>
      <c r="Q60">
        <v>2770002675</v>
      </c>
      <c r="R60" t="s">
        <v>35</v>
      </c>
      <c r="S60">
        <v>3</v>
      </c>
      <c r="T60">
        <v>2770003223</v>
      </c>
      <c r="U60" t="s">
        <v>35</v>
      </c>
      <c r="V60">
        <v>1</v>
      </c>
    </row>
    <row r="61" spans="1:22" x14ac:dyDescent="0.25">
      <c r="A61" s="5" t="s">
        <v>47</v>
      </c>
      <c r="B61">
        <v>50</v>
      </c>
      <c r="C61">
        <v>6</v>
      </c>
      <c r="D61">
        <v>56</v>
      </c>
      <c r="Q61">
        <v>2770002676</v>
      </c>
      <c r="R61" t="s">
        <v>35</v>
      </c>
      <c r="S61">
        <v>1</v>
      </c>
      <c r="T61">
        <v>2770003226</v>
      </c>
      <c r="U61" t="s">
        <v>35</v>
      </c>
      <c r="V61">
        <v>1</v>
      </c>
    </row>
    <row r="62" spans="1:22" x14ac:dyDescent="0.25">
      <c r="A62" s="5" t="s">
        <v>42</v>
      </c>
      <c r="B62">
        <v>294</v>
      </c>
      <c r="C62">
        <v>74</v>
      </c>
      <c r="D62">
        <v>368</v>
      </c>
      <c r="Q62">
        <v>2770002677</v>
      </c>
      <c r="R62" t="s">
        <v>35</v>
      </c>
      <c r="S62">
        <v>1</v>
      </c>
      <c r="T62">
        <v>2770003243</v>
      </c>
      <c r="U62" t="s">
        <v>35</v>
      </c>
      <c r="V62">
        <v>1</v>
      </c>
    </row>
    <row r="63" spans="1:22" x14ac:dyDescent="0.25">
      <c r="Q63">
        <v>2770002692</v>
      </c>
      <c r="R63" t="s">
        <v>35</v>
      </c>
      <c r="S63">
        <v>2</v>
      </c>
      <c r="T63">
        <v>2770003246</v>
      </c>
      <c r="U63" t="s">
        <v>35</v>
      </c>
      <c r="V63">
        <v>1</v>
      </c>
    </row>
    <row r="64" spans="1:22" x14ac:dyDescent="0.25">
      <c r="Q64">
        <v>2770002699</v>
      </c>
      <c r="R64" t="s">
        <v>35</v>
      </c>
      <c r="S64">
        <v>1</v>
      </c>
      <c r="T64">
        <v>2770003262</v>
      </c>
      <c r="U64" t="s">
        <v>35</v>
      </c>
      <c r="V64">
        <v>1</v>
      </c>
    </row>
    <row r="65" spans="1:22" x14ac:dyDescent="0.25">
      <c r="Q65">
        <v>2770002704</v>
      </c>
      <c r="R65" t="s">
        <v>35</v>
      </c>
      <c r="S65">
        <v>3</v>
      </c>
      <c r="T65">
        <v>2770003271</v>
      </c>
      <c r="U65" t="s">
        <v>35</v>
      </c>
      <c r="V65">
        <v>2</v>
      </c>
    </row>
    <row r="66" spans="1:22" x14ac:dyDescent="0.25">
      <c r="A66" t="s">
        <v>75</v>
      </c>
      <c r="B66" s="26">
        <v>293</v>
      </c>
      <c r="C66" s="26">
        <v>60</v>
      </c>
      <c r="Q66">
        <v>2770002709</v>
      </c>
      <c r="R66" t="s">
        <v>35</v>
      </c>
      <c r="S66">
        <v>3</v>
      </c>
      <c r="T66">
        <v>2770003273</v>
      </c>
      <c r="U66" t="s">
        <v>35</v>
      </c>
      <c r="V66">
        <v>2</v>
      </c>
    </row>
    <row r="67" spans="1:22" x14ac:dyDescent="0.25">
      <c r="A67" t="s">
        <v>76</v>
      </c>
      <c r="B67" s="26" t="s">
        <v>32</v>
      </c>
      <c r="C67" s="26" t="s">
        <v>38</v>
      </c>
      <c r="Q67">
        <v>2770002737</v>
      </c>
      <c r="R67" t="s">
        <v>35</v>
      </c>
      <c r="S67">
        <v>1</v>
      </c>
    </row>
    <row r="68" spans="1:22" x14ac:dyDescent="0.25">
      <c r="A68" t="str">
        <f>A57</f>
        <v>ATRASO</v>
      </c>
      <c r="B68" s="25">
        <f>B57/$B$66</f>
        <v>4.778156996587031E-2</v>
      </c>
      <c r="C68" s="25">
        <f>C57/$C$66</f>
        <v>1.6666666666666666E-2</v>
      </c>
      <c r="Q68">
        <v>2770002764</v>
      </c>
      <c r="R68" t="s">
        <v>35</v>
      </c>
      <c r="S68">
        <v>1</v>
      </c>
    </row>
    <row r="69" spans="1:22" x14ac:dyDescent="0.25">
      <c r="A69" t="str">
        <f>A58</f>
        <v>EMBRIAGUEZ</v>
      </c>
      <c r="B69" s="25">
        <f>B58/$B$66</f>
        <v>1.0238907849829351E-2</v>
      </c>
      <c r="C69" s="25">
        <f>C58/$C$66</f>
        <v>0</v>
      </c>
      <c r="Q69">
        <v>2770002769</v>
      </c>
      <c r="R69" t="s">
        <v>35</v>
      </c>
      <c r="S69">
        <v>5</v>
      </c>
    </row>
    <row r="70" spans="1:22" x14ac:dyDescent="0.25">
      <c r="A70" t="str">
        <f>A59</f>
        <v>FALTA</v>
      </c>
      <c r="B70" s="25">
        <f>B59/$B$66</f>
        <v>0.73720136518771329</v>
      </c>
      <c r="C70" s="25">
        <f>C59/$C$66</f>
        <v>1.1000000000000001</v>
      </c>
      <c r="Q70">
        <v>2770002772</v>
      </c>
      <c r="R70" t="s">
        <v>35</v>
      </c>
      <c r="S70">
        <v>1</v>
      </c>
    </row>
    <row r="71" spans="1:22" x14ac:dyDescent="0.25">
      <c r="A71" t="str">
        <f>A60</f>
        <v>INSUBORDINAÇÃO</v>
      </c>
      <c r="B71" s="25">
        <f>B60/$B$66</f>
        <v>3.7542662116040959E-2</v>
      </c>
      <c r="C71" s="25">
        <f>C60/$C$66</f>
        <v>1.6666666666666666E-2</v>
      </c>
      <c r="Q71">
        <v>2770002773</v>
      </c>
      <c r="R71" t="s">
        <v>35</v>
      </c>
      <c r="S71">
        <v>1</v>
      </c>
    </row>
    <row r="72" spans="1:22" x14ac:dyDescent="0.25">
      <c r="A72" t="str">
        <f>A61</f>
        <v>QUEBRA DE PROCEDIMENTO</v>
      </c>
      <c r="B72" s="25">
        <f>B61/$B$66</f>
        <v>0.17064846416382254</v>
      </c>
      <c r="C72" s="25">
        <f>C61/$C$66</f>
        <v>0.1</v>
      </c>
      <c r="Q72">
        <v>2770002776</v>
      </c>
      <c r="R72" t="s">
        <v>35</v>
      </c>
      <c r="S72">
        <v>2</v>
      </c>
    </row>
    <row r="73" spans="1:22" x14ac:dyDescent="0.25">
      <c r="Q73">
        <v>2770002786</v>
      </c>
      <c r="R73" t="s">
        <v>35</v>
      </c>
      <c r="S73">
        <v>3</v>
      </c>
    </row>
    <row r="74" spans="1:22" x14ac:dyDescent="0.25">
      <c r="Q74">
        <v>2770002789</v>
      </c>
      <c r="R74" t="s">
        <v>35</v>
      </c>
      <c r="S74">
        <v>1</v>
      </c>
    </row>
    <row r="75" spans="1:22" x14ac:dyDescent="0.25">
      <c r="Q75">
        <v>2770002792</v>
      </c>
      <c r="R75" t="s">
        <v>35</v>
      </c>
      <c r="S75">
        <v>3</v>
      </c>
    </row>
    <row r="76" spans="1:22" x14ac:dyDescent="0.25">
      <c r="Q76">
        <v>2770002804</v>
      </c>
      <c r="R76" t="s">
        <v>35</v>
      </c>
      <c r="S76">
        <v>2</v>
      </c>
    </row>
    <row r="77" spans="1:22" x14ac:dyDescent="0.25">
      <c r="Q77">
        <v>2770002812</v>
      </c>
      <c r="R77" t="s">
        <v>35</v>
      </c>
      <c r="S77">
        <v>1</v>
      </c>
    </row>
    <row r="78" spans="1:22" x14ac:dyDescent="0.25">
      <c r="Q78">
        <v>2770002817</v>
      </c>
      <c r="R78" t="s">
        <v>35</v>
      </c>
      <c r="S78">
        <v>1</v>
      </c>
    </row>
    <row r="79" spans="1:22" x14ac:dyDescent="0.25">
      <c r="Q79">
        <v>2770002820</v>
      </c>
      <c r="R79" t="s">
        <v>35</v>
      </c>
      <c r="S79">
        <v>1</v>
      </c>
    </row>
    <row r="80" spans="1:22" x14ac:dyDescent="0.25">
      <c r="Q80">
        <v>2770002821</v>
      </c>
      <c r="R80" t="s">
        <v>35</v>
      </c>
      <c r="S80">
        <v>1</v>
      </c>
    </row>
    <row r="81" spans="17:19" x14ac:dyDescent="0.25">
      <c r="Q81">
        <v>2770002827</v>
      </c>
      <c r="R81" t="s">
        <v>35</v>
      </c>
      <c r="S81">
        <v>7</v>
      </c>
    </row>
    <row r="82" spans="17:19" x14ac:dyDescent="0.25">
      <c r="Q82">
        <v>2770002828</v>
      </c>
      <c r="R82" t="s">
        <v>35</v>
      </c>
      <c r="S82">
        <v>2</v>
      </c>
    </row>
    <row r="83" spans="17:19" x14ac:dyDescent="0.25">
      <c r="Q83">
        <v>2770002829</v>
      </c>
      <c r="R83" t="s">
        <v>35</v>
      </c>
      <c r="S83">
        <v>6</v>
      </c>
    </row>
    <row r="84" spans="17:19" x14ac:dyDescent="0.25">
      <c r="Q84">
        <v>2770002830</v>
      </c>
      <c r="R84" t="s">
        <v>35</v>
      </c>
      <c r="S84">
        <v>1</v>
      </c>
    </row>
    <row r="85" spans="17:19" x14ac:dyDescent="0.25">
      <c r="Q85">
        <v>2770002833</v>
      </c>
      <c r="R85" t="s">
        <v>35</v>
      </c>
      <c r="S85">
        <v>1</v>
      </c>
    </row>
    <row r="86" spans="17:19" x14ac:dyDescent="0.25">
      <c r="Q86">
        <v>2770002835</v>
      </c>
      <c r="R86" t="s">
        <v>35</v>
      </c>
      <c r="S86">
        <v>2</v>
      </c>
    </row>
    <row r="87" spans="17:19" x14ac:dyDescent="0.25">
      <c r="Q87">
        <v>2770002861</v>
      </c>
      <c r="R87" t="s">
        <v>35</v>
      </c>
      <c r="S87">
        <v>3</v>
      </c>
    </row>
    <row r="88" spans="17:19" x14ac:dyDescent="0.25">
      <c r="Q88">
        <v>2770002873</v>
      </c>
      <c r="R88" t="s">
        <v>35</v>
      </c>
      <c r="S88">
        <v>3</v>
      </c>
    </row>
    <row r="89" spans="17:19" x14ac:dyDescent="0.25">
      <c r="Q89">
        <v>2770002874</v>
      </c>
      <c r="R89" t="s">
        <v>35</v>
      </c>
      <c r="S89">
        <v>2</v>
      </c>
    </row>
    <row r="90" spans="17:19" x14ac:dyDescent="0.25">
      <c r="Q90">
        <v>2770002875</v>
      </c>
      <c r="R90" t="s">
        <v>35</v>
      </c>
      <c r="S90">
        <v>2</v>
      </c>
    </row>
    <row r="91" spans="17:19" x14ac:dyDescent="0.25">
      <c r="Q91">
        <v>2770002884</v>
      </c>
      <c r="R91" t="s">
        <v>35</v>
      </c>
      <c r="S91">
        <v>1</v>
      </c>
    </row>
    <row r="92" spans="17:19" x14ac:dyDescent="0.25">
      <c r="Q92">
        <v>2770002885</v>
      </c>
      <c r="R92" t="s">
        <v>35</v>
      </c>
      <c r="S92">
        <v>4</v>
      </c>
    </row>
    <row r="93" spans="17:19" x14ac:dyDescent="0.25">
      <c r="Q93">
        <v>2770002895</v>
      </c>
      <c r="R93" t="s">
        <v>35</v>
      </c>
      <c r="S93">
        <v>3</v>
      </c>
    </row>
    <row r="94" spans="17:19" x14ac:dyDescent="0.25">
      <c r="Q94">
        <v>2770002897</v>
      </c>
      <c r="R94" t="s">
        <v>35</v>
      </c>
      <c r="S94">
        <v>2</v>
      </c>
    </row>
    <row r="95" spans="17:19" x14ac:dyDescent="0.25">
      <c r="Q95">
        <v>2770002916</v>
      </c>
      <c r="R95" t="s">
        <v>35</v>
      </c>
      <c r="S95">
        <v>2</v>
      </c>
    </row>
    <row r="96" spans="17:19" x14ac:dyDescent="0.25">
      <c r="Q96">
        <v>2770002917</v>
      </c>
      <c r="R96" t="s">
        <v>35</v>
      </c>
      <c r="S96">
        <v>2</v>
      </c>
    </row>
    <row r="97" spans="17:19" x14ac:dyDescent="0.25">
      <c r="Q97">
        <v>2770002920</v>
      </c>
      <c r="R97" t="s">
        <v>35</v>
      </c>
      <c r="S97">
        <v>4</v>
      </c>
    </row>
    <row r="98" spans="17:19" x14ac:dyDescent="0.25">
      <c r="Q98">
        <v>2770002925</v>
      </c>
      <c r="R98" t="s">
        <v>35</v>
      </c>
      <c r="S98">
        <v>4</v>
      </c>
    </row>
    <row r="99" spans="17:19" x14ac:dyDescent="0.25">
      <c r="Q99">
        <v>2770002926</v>
      </c>
      <c r="R99" t="s">
        <v>35</v>
      </c>
      <c r="S99">
        <v>3</v>
      </c>
    </row>
    <row r="100" spans="17:19" x14ac:dyDescent="0.25">
      <c r="Q100">
        <v>2770002929</v>
      </c>
      <c r="R100" t="s">
        <v>35</v>
      </c>
      <c r="S100">
        <v>5</v>
      </c>
    </row>
    <row r="101" spans="17:19" x14ac:dyDescent="0.25">
      <c r="Q101">
        <v>2770002933</v>
      </c>
      <c r="R101" t="s">
        <v>35</v>
      </c>
      <c r="S101">
        <v>2</v>
      </c>
    </row>
    <row r="102" spans="17:19" x14ac:dyDescent="0.25">
      <c r="Q102">
        <v>2770002938</v>
      </c>
      <c r="R102" t="s">
        <v>35</v>
      </c>
      <c r="S102">
        <v>1</v>
      </c>
    </row>
    <row r="103" spans="17:19" x14ac:dyDescent="0.25">
      <c r="Q103">
        <v>2770002951</v>
      </c>
      <c r="R103" t="s">
        <v>35</v>
      </c>
      <c r="S103">
        <v>1</v>
      </c>
    </row>
    <row r="104" spans="17:19" x14ac:dyDescent="0.25">
      <c r="Q104">
        <v>2770002952</v>
      </c>
      <c r="R104" t="s">
        <v>35</v>
      </c>
      <c r="S104">
        <v>2</v>
      </c>
    </row>
    <row r="105" spans="17:19" x14ac:dyDescent="0.25">
      <c r="Q105">
        <v>2770002953</v>
      </c>
      <c r="R105" t="s">
        <v>35</v>
      </c>
      <c r="S105">
        <v>5</v>
      </c>
    </row>
    <row r="106" spans="17:19" x14ac:dyDescent="0.25">
      <c r="Q106">
        <v>2770002956</v>
      </c>
      <c r="R106" t="s">
        <v>35</v>
      </c>
      <c r="S106">
        <v>3</v>
      </c>
    </row>
    <row r="107" spans="17:19" x14ac:dyDescent="0.25">
      <c r="Q107">
        <v>2770002963</v>
      </c>
      <c r="R107" t="s">
        <v>35</v>
      </c>
      <c r="S107">
        <v>5</v>
      </c>
    </row>
    <row r="108" spans="17:19" x14ac:dyDescent="0.25">
      <c r="Q108">
        <v>2770002965</v>
      </c>
      <c r="R108" t="s">
        <v>35</v>
      </c>
      <c r="S108">
        <v>1</v>
      </c>
    </row>
    <row r="109" spans="17:19" x14ac:dyDescent="0.25">
      <c r="Q109">
        <v>2770002970</v>
      </c>
      <c r="R109" t="s">
        <v>35</v>
      </c>
      <c r="S109">
        <v>1</v>
      </c>
    </row>
    <row r="110" spans="17:19" x14ac:dyDescent="0.25">
      <c r="Q110">
        <v>2770002972</v>
      </c>
      <c r="R110" t="s">
        <v>35</v>
      </c>
      <c r="S110">
        <v>1</v>
      </c>
    </row>
    <row r="111" spans="17:19" x14ac:dyDescent="0.25">
      <c r="Q111">
        <v>2770002973</v>
      </c>
      <c r="R111" t="s">
        <v>35</v>
      </c>
      <c r="S111">
        <v>4</v>
      </c>
    </row>
    <row r="112" spans="17:19" x14ac:dyDescent="0.25">
      <c r="Q112">
        <v>2770002974</v>
      </c>
      <c r="R112" t="s">
        <v>35</v>
      </c>
      <c r="S112">
        <v>1</v>
      </c>
    </row>
    <row r="113" spans="17:19" x14ac:dyDescent="0.25">
      <c r="Q113">
        <v>2770002978</v>
      </c>
      <c r="R113" t="s">
        <v>35</v>
      </c>
      <c r="S113">
        <v>2</v>
      </c>
    </row>
    <row r="114" spans="17:19" x14ac:dyDescent="0.25">
      <c r="Q114">
        <v>2770002979</v>
      </c>
      <c r="R114" t="s">
        <v>35</v>
      </c>
      <c r="S114">
        <v>2</v>
      </c>
    </row>
    <row r="115" spans="17:19" x14ac:dyDescent="0.25">
      <c r="Q115">
        <v>2770002983</v>
      </c>
      <c r="R115" t="s">
        <v>35</v>
      </c>
      <c r="S115">
        <v>1</v>
      </c>
    </row>
    <row r="116" spans="17:19" x14ac:dyDescent="0.25">
      <c r="Q116">
        <v>2770002988</v>
      </c>
      <c r="R116" t="s">
        <v>35</v>
      </c>
      <c r="S116">
        <v>3</v>
      </c>
    </row>
    <row r="117" spans="17:19" x14ac:dyDescent="0.25">
      <c r="Q117">
        <v>2770002989</v>
      </c>
      <c r="R117" t="s">
        <v>35</v>
      </c>
      <c r="S117">
        <v>1</v>
      </c>
    </row>
    <row r="118" spans="17:19" x14ac:dyDescent="0.25">
      <c r="Q118">
        <v>2770002993</v>
      </c>
      <c r="R118" t="s">
        <v>35</v>
      </c>
      <c r="S118">
        <v>1</v>
      </c>
    </row>
    <row r="119" spans="17:19" x14ac:dyDescent="0.25">
      <c r="Q119">
        <v>2770002994</v>
      </c>
      <c r="R119" t="s">
        <v>35</v>
      </c>
      <c r="S119">
        <v>4</v>
      </c>
    </row>
    <row r="120" spans="17:19" x14ac:dyDescent="0.25">
      <c r="Q120">
        <v>2770002995</v>
      </c>
      <c r="R120" t="s">
        <v>35</v>
      </c>
      <c r="S120">
        <v>1</v>
      </c>
    </row>
    <row r="121" spans="17:19" x14ac:dyDescent="0.25">
      <c r="Q121">
        <v>2770002997</v>
      </c>
      <c r="R121" t="s">
        <v>35</v>
      </c>
      <c r="S121">
        <v>2</v>
      </c>
    </row>
    <row r="122" spans="17:19" x14ac:dyDescent="0.25">
      <c r="Q122">
        <v>2770003004</v>
      </c>
      <c r="R122" t="s">
        <v>35</v>
      </c>
      <c r="S122">
        <v>2</v>
      </c>
    </row>
    <row r="123" spans="17:19" x14ac:dyDescent="0.25">
      <c r="Q123">
        <v>2770003008</v>
      </c>
      <c r="R123" t="s">
        <v>35</v>
      </c>
      <c r="S123">
        <v>4</v>
      </c>
    </row>
    <row r="124" spans="17:19" x14ac:dyDescent="0.25">
      <c r="Q124">
        <v>2770003010</v>
      </c>
      <c r="R124" t="s">
        <v>35</v>
      </c>
      <c r="S124">
        <v>1</v>
      </c>
    </row>
    <row r="125" spans="17:19" x14ac:dyDescent="0.25">
      <c r="Q125">
        <v>2770003011</v>
      </c>
      <c r="R125" t="s">
        <v>35</v>
      </c>
      <c r="S125">
        <v>3</v>
      </c>
    </row>
    <row r="126" spans="17:19" x14ac:dyDescent="0.25">
      <c r="Q126">
        <v>2770003013</v>
      </c>
      <c r="R126" t="s">
        <v>35</v>
      </c>
      <c r="S126">
        <v>1</v>
      </c>
    </row>
    <row r="127" spans="17:19" x14ac:dyDescent="0.25">
      <c r="Q127">
        <v>2770003014</v>
      </c>
      <c r="R127" t="s">
        <v>35</v>
      </c>
      <c r="S127">
        <v>2</v>
      </c>
    </row>
    <row r="128" spans="17:19" x14ac:dyDescent="0.25">
      <c r="Q128">
        <v>2770003016</v>
      </c>
      <c r="R128" t="s">
        <v>35</v>
      </c>
      <c r="S128">
        <v>1</v>
      </c>
    </row>
    <row r="129" spans="17:19" x14ac:dyDescent="0.25">
      <c r="Q129">
        <v>2770003020</v>
      </c>
      <c r="R129" t="s">
        <v>35</v>
      </c>
      <c r="S129">
        <v>1</v>
      </c>
    </row>
    <row r="130" spans="17:19" x14ac:dyDescent="0.25">
      <c r="Q130">
        <v>2770003021</v>
      </c>
      <c r="R130" t="s">
        <v>35</v>
      </c>
      <c r="S130">
        <v>2</v>
      </c>
    </row>
    <row r="131" spans="17:19" x14ac:dyDescent="0.25">
      <c r="Q131">
        <v>2770003022</v>
      </c>
      <c r="R131" t="s">
        <v>35</v>
      </c>
      <c r="S131">
        <v>3</v>
      </c>
    </row>
    <row r="132" spans="17:19" x14ac:dyDescent="0.25">
      <c r="Q132">
        <v>2770003026</v>
      </c>
      <c r="R132" t="s">
        <v>35</v>
      </c>
      <c r="S132">
        <v>1</v>
      </c>
    </row>
    <row r="133" spans="17:19" x14ac:dyDescent="0.25">
      <c r="Q133">
        <v>2770003029</v>
      </c>
      <c r="R133" t="s">
        <v>35</v>
      </c>
      <c r="S133">
        <v>3</v>
      </c>
    </row>
    <row r="134" spans="17:19" x14ac:dyDescent="0.25">
      <c r="Q134">
        <v>2770003030</v>
      </c>
      <c r="R134" t="s">
        <v>35</v>
      </c>
      <c r="S134">
        <v>1</v>
      </c>
    </row>
    <row r="135" spans="17:19" x14ac:dyDescent="0.25">
      <c r="Q135">
        <v>2770003031</v>
      </c>
      <c r="R135" t="s">
        <v>35</v>
      </c>
      <c r="S135">
        <v>1</v>
      </c>
    </row>
    <row r="136" spans="17:19" x14ac:dyDescent="0.25">
      <c r="Q136">
        <v>2770003038</v>
      </c>
      <c r="R136" t="s">
        <v>35</v>
      </c>
      <c r="S136">
        <v>7</v>
      </c>
    </row>
    <row r="137" spans="17:19" x14ac:dyDescent="0.25">
      <c r="Q137">
        <v>2770003039</v>
      </c>
      <c r="R137" t="s">
        <v>35</v>
      </c>
      <c r="S137">
        <v>1</v>
      </c>
    </row>
    <row r="138" spans="17:19" x14ac:dyDescent="0.25">
      <c r="Q138">
        <v>2770003042</v>
      </c>
      <c r="R138" t="s">
        <v>35</v>
      </c>
      <c r="S138">
        <v>5</v>
      </c>
    </row>
    <row r="139" spans="17:19" x14ac:dyDescent="0.25">
      <c r="Q139">
        <v>2770003044</v>
      </c>
      <c r="R139" t="s">
        <v>35</v>
      </c>
      <c r="S139">
        <v>4</v>
      </c>
    </row>
    <row r="140" spans="17:19" x14ac:dyDescent="0.25">
      <c r="Q140">
        <v>2770003053</v>
      </c>
      <c r="R140" t="s">
        <v>35</v>
      </c>
      <c r="S140">
        <v>2</v>
      </c>
    </row>
    <row r="141" spans="17:19" x14ac:dyDescent="0.25">
      <c r="Q141">
        <v>2770003064</v>
      </c>
      <c r="R141" t="s">
        <v>35</v>
      </c>
      <c r="S141">
        <v>1</v>
      </c>
    </row>
    <row r="142" spans="17:19" x14ac:dyDescent="0.25">
      <c r="Q142">
        <v>2770003076</v>
      </c>
      <c r="R142" t="s">
        <v>35</v>
      </c>
      <c r="S142">
        <v>3</v>
      </c>
    </row>
    <row r="143" spans="17:19" x14ac:dyDescent="0.25">
      <c r="Q143">
        <v>2770003085</v>
      </c>
      <c r="R143" t="s">
        <v>35</v>
      </c>
      <c r="S143">
        <v>2</v>
      </c>
    </row>
    <row r="144" spans="17:19" x14ac:dyDescent="0.25">
      <c r="Q144">
        <v>2770003091</v>
      </c>
      <c r="R144" t="s">
        <v>35</v>
      </c>
      <c r="S144">
        <v>1</v>
      </c>
    </row>
    <row r="145" spans="17:19" x14ac:dyDescent="0.25">
      <c r="Q145">
        <v>2770003093</v>
      </c>
      <c r="R145" t="s">
        <v>35</v>
      </c>
      <c r="S145">
        <v>1</v>
      </c>
    </row>
    <row r="146" spans="17:19" x14ac:dyDescent="0.25">
      <c r="Q146">
        <v>2770003094</v>
      </c>
      <c r="R146" t="s">
        <v>35</v>
      </c>
      <c r="S146">
        <v>1</v>
      </c>
    </row>
    <row r="147" spans="17:19" x14ac:dyDescent="0.25">
      <c r="Q147">
        <v>2770003097</v>
      </c>
      <c r="R147" t="s">
        <v>35</v>
      </c>
      <c r="S147">
        <v>1</v>
      </c>
    </row>
    <row r="148" spans="17:19" x14ac:dyDescent="0.25">
      <c r="Q148">
        <v>2770003100</v>
      </c>
      <c r="R148" t="s">
        <v>35</v>
      </c>
      <c r="S148">
        <v>1</v>
      </c>
    </row>
    <row r="149" spans="17:19" x14ac:dyDescent="0.25">
      <c r="Q149">
        <v>2770003103</v>
      </c>
      <c r="R149" t="s">
        <v>35</v>
      </c>
      <c r="S149">
        <v>1</v>
      </c>
    </row>
    <row r="150" spans="17:19" x14ac:dyDescent="0.25">
      <c r="Q150">
        <v>2770003108</v>
      </c>
      <c r="R150" t="s">
        <v>35</v>
      </c>
      <c r="S150">
        <v>1</v>
      </c>
    </row>
    <row r="151" spans="17:19" x14ac:dyDescent="0.25">
      <c r="Q151">
        <v>2770003110</v>
      </c>
      <c r="R151" t="s">
        <v>35</v>
      </c>
      <c r="S151">
        <v>2</v>
      </c>
    </row>
    <row r="152" spans="17:19" x14ac:dyDescent="0.25">
      <c r="Q152">
        <v>2770003113</v>
      </c>
      <c r="R152" t="s">
        <v>35</v>
      </c>
      <c r="S152">
        <v>1</v>
      </c>
    </row>
    <row r="153" spans="17:19" x14ac:dyDescent="0.25">
      <c r="Q153">
        <v>2770003115</v>
      </c>
      <c r="R153" t="s">
        <v>35</v>
      </c>
      <c r="S153">
        <v>1</v>
      </c>
    </row>
    <row r="154" spans="17:19" x14ac:dyDescent="0.25">
      <c r="Q154">
        <v>2770003120</v>
      </c>
      <c r="R154" t="s">
        <v>35</v>
      </c>
      <c r="S154">
        <v>1</v>
      </c>
    </row>
    <row r="155" spans="17:19" x14ac:dyDescent="0.25">
      <c r="Q155">
        <v>2770003122</v>
      </c>
      <c r="R155" t="s">
        <v>35</v>
      </c>
      <c r="S155">
        <v>4</v>
      </c>
    </row>
    <row r="156" spans="17:19" x14ac:dyDescent="0.25">
      <c r="Q156">
        <v>2770003126</v>
      </c>
      <c r="R156" t="s">
        <v>35</v>
      </c>
      <c r="S156">
        <v>3</v>
      </c>
    </row>
    <row r="157" spans="17:19" x14ac:dyDescent="0.25">
      <c r="Q157">
        <v>2770003133</v>
      </c>
      <c r="R157" t="s">
        <v>35</v>
      </c>
      <c r="S157">
        <v>1</v>
      </c>
    </row>
    <row r="158" spans="17:19" x14ac:dyDescent="0.25">
      <c r="Q158">
        <v>2770003145</v>
      </c>
      <c r="R158" t="s">
        <v>35</v>
      </c>
      <c r="S158">
        <v>1</v>
      </c>
    </row>
    <row r="159" spans="17:19" x14ac:dyDescent="0.25">
      <c r="Q159">
        <v>2770003146</v>
      </c>
      <c r="R159" t="s">
        <v>35</v>
      </c>
      <c r="S159">
        <v>1</v>
      </c>
    </row>
    <row r="160" spans="17:19" x14ac:dyDescent="0.25">
      <c r="Q160">
        <v>2770003152</v>
      </c>
      <c r="R160" t="s">
        <v>35</v>
      </c>
      <c r="S160">
        <v>1</v>
      </c>
    </row>
    <row r="161" spans="17:19" x14ac:dyDescent="0.25">
      <c r="Q161">
        <v>2770003166</v>
      </c>
      <c r="R161" t="s">
        <v>35</v>
      </c>
      <c r="S161">
        <v>2</v>
      </c>
    </row>
    <row r="162" spans="17:19" x14ac:dyDescent="0.25">
      <c r="Q162">
        <v>2770003169</v>
      </c>
      <c r="R162" t="s">
        <v>35</v>
      </c>
      <c r="S162">
        <v>5</v>
      </c>
    </row>
    <row r="163" spans="17:19" x14ac:dyDescent="0.25">
      <c r="Q163">
        <v>2770003176</v>
      </c>
      <c r="R163" t="s">
        <v>35</v>
      </c>
      <c r="S163">
        <v>1</v>
      </c>
    </row>
    <row r="164" spans="17:19" x14ac:dyDescent="0.25">
      <c r="Q164">
        <v>2770003228</v>
      </c>
      <c r="R164" t="s">
        <v>35</v>
      </c>
      <c r="S164">
        <v>1</v>
      </c>
    </row>
    <row r="165" spans="17:19" x14ac:dyDescent="0.25">
      <c r="Q165">
        <v>2770003240</v>
      </c>
      <c r="R165" t="s">
        <v>35</v>
      </c>
      <c r="S165">
        <v>1</v>
      </c>
    </row>
    <row r="166" spans="17:19" x14ac:dyDescent="0.25">
      <c r="Q166">
        <v>2770003273</v>
      </c>
      <c r="R166" t="s">
        <v>35</v>
      </c>
      <c r="S166">
        <v>1</v>
      </c>
    </row>
    <row r="167" spans="17:19" x14ac:dyDescent="0.25">
      <c r="Q167">
        <v>2770003275</v>
      </c>
      <c r="R167" t="s">
        <v>35</v>
      </c>
      <c r="S167">
        <v>1</v>
      </c>
    </row>
  </sheetData>
  <mergeCells count="3">
    <mergeCell ref="J1:K1"/>
    <mergeCell ref="M1:N1"/>
    <mergeCell ref="P1:T1"/>
  </mergeCells>
  <pageMargins left="0.511811024" right="0.511811024" top="0.78740157499999996" bottom="0.78740157499999996" header="0.31496062000000002" footer="0.31496062000000002"/>
  <pageSetup paperSize="9" orientation="portrait" r:id="rId1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54"/>
  <sheetViews>
    <sheetView topLeftCell="D1" workbookViewId="0">
      <selection activeCell="E2" sqref="E2:E354"/>
    </sheetView>
  </sheetViews>
  <sheetFormatPr defaultRowHeight="15" x14ac:dyDescent="0.25"/>
  <cols>
    <col min="3" max="3" width="17.7109375" customWidth="1"/>
    <col min="4" max="4" width="10.140625" customWidth="1"/>
    <col min="5" max="5" width="13.85546875" customWidth="1"/>
    <col min="6" max="6" width="16.28515625" customWidth="1"/>
    <col min="8" max="8" width="69.28515625" bestFit="1" customWidth="1"/>
    <col min="9" max="9" width="19.28515625" customWidth="1"/>
    <col min="10" max="10" width="12.28515625" customWidth="1"/>
    <col min="11" max="11" width="20.85546875" customWidth="1"/>
    <col min="12" max="12" width="9.7109375" customWidth="1"/>
  </cols>
  <sheetData>
    <row r="1" spans="1:12" x14ac:dyDescent="0.25">
      <c r="A1" s="18" t="s">
        <v>77</v>
      </c>
      <c r="B1" s="13" t="s">
        <v>78</v>
      </c>
      <c r="C1" s="13" t="s">
        <v>79</v>
      </c>
      <c r="D1" s="13" t="s">
        <v>80</v>
      </c>
      <c r="E1" s="13" t="s">
        <v>81</v>
      </c>
      <c r="F1" s="13" t="s">
        <v>82</v>
      </c>
      <c r="G1" s="13" t="s">
        <v>83</v>
      </c>
      <c r="H1" s="13" t="s">
        <v>84</v>
      </c>
      <c r="I1" s="13" t="s">
        <v>85</v>
      </c>
      <c r="J1" s="13" t="s">
        <v>86</v>
      </c>
      <c r="K1" s="13" t="s">
        <v>87</v>
      </c>
      <c r="L1" s="17" t="s">
        <v>88</v>
      </c>
    </row>
    <row r="2" spans="1:12" x14ac:dyDescent="0.25">
      <c r="A2" s="19" t="s">
        <v>89</v>
      </c>
      <c r="B2" s="14" t="s">
        <v>90</v>
      </c>
      <c r="C2" s="15">
        <v>43773</v>
      </c>
      <c r="D2" s="14" t="s">
        <v>91</v>
      </c>
      <c r="E2" s="14" t="s">
        <v>35</v>
      </c>
      <c r="F2" s="14" t="s">
        <v>92</v>
      </c>
      <c r="G2" s="16" t="s">
        <v>31</v>
      </c>
      <c r="H2" s="14" t="s">
        <v>93</v>
      </c>
      <c r="I2" s="15">
        <v>31255</v>
      </c>
      <c r="J2" s="16" t="s">
        <v>94</v>
      </c>
      <c r="K2" s="14" t="s">
        <v>95</v>
      </c>
      <c r="L2" t="s">
        <v>40</v>
      </c>
    </row>
    <row r="3" spans="1:12" x14ac:dyDescent="0.25">
      <c r="A3" s="19" t="s">
        <v>96</v>
      </c>
      <c r="B3" s="14" t="s">
        <v>97</v>
      </c>
      <c r="C3" s="15">
        <v>41313</v>
      </c>
      <c r="D3" s="14" t="s">
        <v>91</v>
      </c>
      <c r="E3" s="14" t="s">
        <v>35</v>
      </c>
      <c r="F3" s="14" t="s">
        <v>92</v>
      </c>
      <c r="G3" s="16" t="s">
        <v>37</v>
      </c>
      <c r="H3" s="14" t="s">
        <v>98</v>
      </c>
      <c r="I3" s="15">
        <v>30025</v>
      </c>
      <c r="J3" s="16" t="s">
        <v>94</v>
      </c>
      <c r="K3" s="14" t="s">
        <v>95</v>
      </c>
      <c r="L3" t="s">
        <v>40</v>
      </c>
    </row>
    <row r="4" spans="1:12" x14ac:dyDescent="0.25">
      <c r="A4" s="19" t="s">
        <v>99</v>
      </c>
      <c r="B4" s="14" t="s">
        <v>100</v>
      </c>
      <c r="C4" s="15">
        <v>44473</v>
      </c>
      <c r="D4" s="14" t="s">
        <v>91</v>
      </c>
      <c r="E4" s="14" t="s">
        <v>35</v>
      </c>
      <c r="F4" s="14" t="s">
        <v>92</v>
      </c>
      <c r="G4" s="16" t="s">
        <v>31</v>
      </c>
      <c r="H4" s="14" t="s">
        <v>93</v>
      </c>
      <c r="I4" s="15">
        <v>32773</v>
      </c>
      <c r="J4" s="16" t="s">
        <v>94</v>
      </c>
      <c r="K4" s="14" t="s">
        <v>95</v>
      </c>
      <c r="L4" t="s">
        <v>40</v>
      </c>
    </row>
    <row r="5" spans="1:12" x14ac:dyDescent="0.25">
      <c r="A5" s="19" t="s">
        <v>101</v>
      </c>
      <c r="B5" s="14" t="s">
        <v>102</v>
      </c>
      <c r="C5" s="15">
        <v>45022</v>
      </c>
      <c r="D5" s="14" t="s">
        <v>91</v>
      </c>
      <c r="E5" s="14" t="s">
        <v>35</v>
      </c>
      <c r="F5" s="14" t="s">
        <v>92</v>
      </c>
      <c r="G5" s="16" t="s">
        <v>31</v>
      </c>
      <c r="H5" s="14" t="s">
        <v>93</v>
      </c>
      <c r="I5" s="15">
        <v>35441</v>
      </c>
      <c r="J5" s="16" t="s">
        <v>103</v>
      </c>
      <c r="K5" s="14" t="s">
        <v>95</v>
      </c>
      <c r="L5" t="s">
        <v>40</v>
      </c>
    </row>
    <row r="6" spans="1:12" x14ac:dyDescent="0.25">
      <c r="A6" s="19" t="s">
        <v>104</v>
      </c>
      <c r="B6" s="14" t="s">
        <v>105</v>
      </c>
      <c r="C6" s="15">
        <v>43599</v>
      </c>
      <c r="D6" s="14" t="s">
        <v>91</v>
      </c>
      <c r="E6" s="14" t="s">
        <v>35</v>
      </c>
      <c r="F6" s="14" t="s">
        <v>92</v>
      </c>
      <c r="G6" s="16" t="s">
        <v>31</v>
      </c>
      <c r="H6" s="14" t="s">
        <v>93</v>
      </c>
      <c r="I6" s="15">
        <v>34960</v>
      </c>
      <c r="J6" s="16" t="s">
        <v>94</v>
      </c>
      <c r="K6" s="14" t="s">
        <v>95</v>
      </c>
      <c r="L6" t="s">
        <v>40</v>
      </c>
    </row>
    <row r="7" spans="1:12" x14ac:dyDescent="0.25">
      <c r="A7" s="19" t="s">
        <v>106</v>
      </c>
      <c r="B7" s="14" t="s">
        <v>107</v>
      </c>
      <c r="C7" s="15">
        <v>44473</v>
      </c>
      <c r="D7" s="14" t="s">
        <v>91</v>
      </c>
      <c r="E7" s="14" t="s">
        <v>35</v>
      </c>
      <c r="F7" s="14" t="s">
        <v>92</v>
      </c>
      <c r="G7" s="16" t="s">
        <v>31</v>
      </c>
      <c r="H7" s="14" t="s">
        <v>93</v>
      </c>
      <c r="I7" s="15">
        <v>36674</v>
      </c>
      <c r="J7" s="16" t="s">
        <v>94</v>
      </c>
      <c r="K7" s="14" t="s">
        <v>95</v>
      </c>
      <c r="L7" t="s">
        <v>40</v>
      </c>
    </row>
    <row r="8" spans="1:12" x14ac:dyDescent="0.25">
      <c r="A8" s="19" t="s">
        <v>108</v>
      </c>
      <c r="B8" s="14" t="s">
        <v>109</v>
      </c>
      <c r="C8" s="15">
        <v>41313</v>
      </c>
      <c r="D8" s="14" t="s">
        <v>91</v>
      </c>
      <c r="E8" s="14" t="s">
        <v>35</v>
      </c>
      <c r="F8" s="14" t="s">
        <v>110</v>
      </c>
      <c r="G8" s="16" t="s">
        <v>37</v>
      </c>
      <c r="H8" s="14" t="s">
        <v>111</v>
      </c>
      <c r="I8" s="15">
        <v>33269</v>
      </c>
      <c r="J8" s="16" t="s">
        <v>94</v>
      </c>
      <c r="K8" s="14" t="s">
        <v>95</v>
      </c>
      <c r="L8" t="s">
        <v>40</v>
      </c>
    </row>
    <row r="9" spans="1:12" x14ac:dyDescent="0.25">
      <c r="A9" s="19" t="s">
        <v>112</v>
      </c>
      <c r="B9" s="14" t="s">
        <v>113</v>
      </c>
      <c r="C9" s="15">
        <v>44868</v>
      </c>
      <c r="D9" s="14" t="s">
        <v>91</v>
      </c>
      <c r="E9" s="14" t="s">
        <v>35</v>
      </c>
      <c r="F9" s="14" t="s">
        <v>92</v>
      </c>
      <c r="G9" s="16" t="s">
        <v>37</v>
      </c>
      <c r="H9" s="14" t="s">
        <v>98</v>
      </c>
      <c r="I9" s="15">
        <v>35124</v>
      </c>
      <c r="J9" s="16" t="s">
        <v>94</v>
      </c>
      <c r="K9" s="14" t="s">
        <v>95</v>
      </c>
      <c r="L9" t="s">
        <v>40</v>
      </c>
    </row>
    <row r="10" spans="1:12" x14ac:dyDescent="0.25">
      <c r="A10" s="19" t="s">
        <v>114</v>
      </c>
      <c r="B10" s="14" t="s">
        <v>115</v>
      </c>
      <c r="C10" s="15">
        <v>45051</v>
      </c>
      <c r="D10" s="14" t="s">
        <v>91</v>
      </c>
      <c r="E10" s="14" t="s">
        <v>35</v>
      </c>
      <c r="F10" s="14" t="s">
        <v>92</v>
      </c>
      <c r="G10" s="16" t="s">
        <v>31</v>
      </c>
      <c r="H10" s="14" t="s">
        <v>93</v>
      </c>
      <c r="I10" s="15">
        <v>33508</v>
      </c>
      <c r="J10" s="16" t="s">
        <v>94</v>
      </c>
      <c r="K10" s="14" t="s">
        <v>95</v>
      </c>
      <c r="L10" t="s">
        <v>40</v>
      </c>
    </row>
    <row r="11" spans="1:12" x14ac:dyDescent="0.25">
      <c r="A11" s="19" t="s">
        <v>116</v>
      </c>
      <c r="B11" s="14" t="s">
        <v>117</v>
      </c>
      <c r="C11" s="15">
        <v>45001</v>
      </c>
      <c r="D11" s="14" t="s">
        <v>91</v>
      </c>
      <c r="E11" s="14" t="s">
        <v>35</v>
      </c>
      <c r="F11" s="14" t="s">
        <v>92</v>
      </c>
      <c r="G11" s="16" t="s">
        <v>31</v>
      </c>
      <c r="H11" s="14" t="s">
        <v>93</v>
      </c>
      <c r="I11" s="15">
        <v>36349</v>
      </c>
      <c r="J11" s="16" t="s">
        <v>94</v>
      </c>
      <c r="K11" s="14" t="s">
        <v>95</v>
      </c>
      <c r="L11" t="s">
        <v>40</v>
      </c>
    </row>
    <row r="12" spans="1:12" x14ac:dyDescent="0.25">
      <c r="A12" s="19" t="s">
        <v>118</v>
      </c>
      <c r="B12" s="14" t="s">
        <v>119</v>
      </c>
      <c r="C12" s="15">
        <v>45212</v>
      </c>
      <c r="D12" s="14" t="s">
        <v>91</v>
      </c>
      <c r="E12" s="14" t="s">
        <v>35</v>
      </c>
      <c r="F12" s="14" t="s">
        <v>92</v>
      </c>
      <c r="G12" s="16" t="s">
        <v>37</v>
      </c>
      <c r="H12" s="14" t="s">
        <v>120</v>
      </c>
      <c r="I12" s="15">
        <v>31329</v>
      </c>
      <c r="J12" s="16" t="s">
        <v>94</v>
      </c>
      <c r="K12" s="14" t="s">
        <v>95</v>
      </c>
      <c r="L12" t="s">
        <v>38</v>
      </c>
    </row>
    <row r="13" spans="1:12" x14ac:dyDescent="0.25">
      <c r="A13" s="19" t="s">
        <v>121</v>
      </c>
      <c r="B13" s="14" t="s">
        <v>122</v>
      </c>
      <c r="C13" s="15">
        <v>44868</v>
      </c>
      <c r="D13" s="14" t="s">
        <v>123</v>
      </c>
      <c r="E13" s="14" t="s">
        <v>35</v>
      </c>
      <c r="F13" s="14" t="s">
        <v>92</v>
      </c>
      <c r="G13" s="16" t="s">
        <v>37</v>
      </c>
      <c r="H13" s="14" t="s">
        <v>98</v>
      </c>
      <c r="I13" s="15">
        <v>35121</v>
      </c>
      <c r="J13" s="16" t="s">
        <v>94</v>
      </c>
      <c r="K13" s="14" t="s">
        <v>124</v>
      </c>
      <c r="L13" t="s">
        <v>40</v>
      </c>
    </row>
    <row r="14" spans="1:12" x14ac:dyDescent="0.25">
      <c r="A14" s="19" t="s">
        <v>125</v>
      </c>
      <c r="B14" s="14" t="s">
        <v>126</v>
      </c>
      <c r="C14" s="15">
        <v>45182</v>
      </c>
      <c r="D14" s="14" t="s">
        <v>91</v>
      </c>
      <c r="E14" s="14" t="s">
        <v>35</v>
      </c>
      <c r="F14" s="14" t="s">
        <v>127</v>
      </c>
      <c r="G14" s="16" t="s">
        <v>31</v>
      </c>
      <c r="H14" s="14" t="s">
        <v>93</v>
      </c>
      <c r="I14" s="15">
        <v>35050</v>
      </c>
      <c r="J14" s="16" t="s">
        <v>94</v>
      </c>
      <c r="K14" s="14" t="s">
        <v>95</v>
      </c>
      <c r="L14" t="s">
        <v>40</v>
      </c>
    </row>
    <row r="15" spans="1:12" x14ac:dyDescent="0.25">
      <c r="A15" s="19" t="s">
        <v>128</v>
      </c>
      <c r="B15" s="14" t="s">
        <v>129</v>
      </c>
      <c r="C15" s="15">
        <v>45113</v>
      </c>
      <c r="D15" s="14" t="s">
        <v>91</v>
      </c>
      <c r="E15" s="14" t="s">
        <v>35</v>
      </c>
      <c r="F15" s="14" t="s">
        <v>92</v>
      </c>
      <c r="G15" s="16" t="s">
        <v>37</v>
      </c>
      <c r="H15" s="14" t="s">
        <v>98</v>
      </c>
      <c r="I15" s="15">
        <v>37292</v>
      </c>
      <c r="J15" s="16" t="s">
        <v>94</v>
      </c>
      <c r="K15" s="14" t="s">
        <v>95</v>
      </c>
      <c r="L15" t="s">
        <v>40</v>
      </c>
    </row>
    <row r="16" spans="1:12" x14ac:dyDescent="0.25">
      <c r="A16" s="19" t="s">
        <v>130</v>
      </c>
      <c r="B16" s="14" t="s">
        <v>129</v>
      </c>
      <c r="C16" s="15">
        <v>44391</v>
      </c>
      <c r="D16" s="14" t="s">
        <v>91</v>
      </c>
      <c r="E16" s="14" t="s">
        <v>35</v>
      </c>
      <c r="F16" s="14" t="s">
        <v>92</v>
      </c>
      <c r="G16" s="16" t="s">
        <v>37</v>
      </c>
      <c r="H16" s="14" t="s">
        <v>98</v>
      </c>
      <c r="I16" s="15">
        <v>33188</v>
      </c>
      <c r="J16" s="16" t="s">
        <v>94</v>
      </c>
      <c r="K16" s="14" t="s">
        <v>95</v>
      </c>
      <c r="L16" t="s">
        <v>40</v>
      </c>
    </row>
    <row r="17" spans="1:12" x14ac:dyDescent="0.25">
      <c r="A17" s="19" t="s">
        <v>131</v>
      </c>
      <c r="B17" s="14" t="s">
        <v>132</v>
      </c>
      <c r="C17" s="15">
        <v>44263</v>
      </c>
      <c r="D17" s="14" t="s">
        <v>91</v>
      </c>
      <c r="E17" s="14" t="s">
        <v>35</v>
      </c>
      <c r="F17" s="14" t="s">
        <v>92</v>
      </c>
      <c r="G17" s="16" t="s">
        <v>31</v>
      </c>
      <c r="H17" s="14" t="s">
        <v>93</v>
      </c>
      <c r="I17" s="15">
        <v>35815</v>
      </c>
      <c r="J17" s="16" t="s">
        <v>94</v>
      </c>
      <c r="K17" s="14" t="s">
        <v>95</v>
      </c>
      <c r="L17" t="s">
        <v>40</v>
      </c>
    </row>
    <row r="18" spans="1:12" x14ac:dyDescent="0.25">
      <c r="A18" s="19" t="s">
        <v>133</v>
      </c>
      <c r="B18" s="14" t="s">
        <v>134</v>
      </c>
      <c r="C18" s="15">
        <v>45033</v>
      </c>
      <c r="D18" s="14" t="s">
        <v>91</v>
      </c>
      <c r="E18" s="14" t="s">
        <v>35</v>
      </c>
      <c r="F18" s="14" t="s">
        <v>92</v>
      </c>
      <c r="G18" s="16" t="s">
        <v>37</v>
      </c>
      <c r="H18" s="14" t="s">
        <v>98</v>
      </c>
      <c r="I18" s="15">
        <v>37597</v>
      </c>
      <c r="J18" s="16" t="s">
        <v>94</v>
      </c>
      <c r="K18" s="14" t="s">
        <v>95</v>
      </c>
      <c r="L18" t="s">
        <v>40</v>
      </c>
    </row>
    <row r="19" spans="1:12" x14ac:dyDescent="0.25">
      <c r="A19" s="19" t="s">
        <v>135</v>
      </c>
      <c r="B19" s="14" t="s">
        <v>136</v>
      </c>
      <c r="C19" s="15">
        <v>44837</v>
      </c>
      <c r="D19" s="14" t="s">
        <v>91</v>
      </c>
      <c r="E19" s="14" t="s">
        <v>35</v>
      </c>
      <c r="F19" s="14" t="s">
        <v>92</v>
      </c>
      <c r="G19" s="16" t="s">
        <v>37</v>
      </c>
      <c r="H19" s="14" t="s">
        <v>98</v>
      </c>
      <c r="I19" s="15">
        <v>36711</v>
      </c>
      <c r="J19" s="16" t="s">
        <v>94</v>
      </c>
      <c r="K19" s="14" t="s">
        <v>95</v>
      </c>
      <c r="L19" t="s">
        <v>40</v>
      </c>
    </row>
    <row r="20" spans="1:12" x14ac:dyDescent="0.25">
      <c r="A20" s="19" t="s">
        <v>137</v>
      </c>
      <c r="B20" s="14" t="s">
        <v>138</v>
      </c>
      <c r="C20" s="15">
        <v>45338</v>
      </c>
      <c r="D20" s="14" t="s">
        <v>91</v>
      </c>
      <c r="E20" s="14" t="s">
        <v>35</v>
      </c>
      <c r="F20" s="14" t="s">
        <v>92</v>
      </c>
      <c r="G20" s="16" t="s">
        <v>31</v>
      </c>
      <c r="H20" s="14" t="s">
        <v>139</v>
      </c>
      <c r="I20" s="15">
        <v>36843</v>
      </c>
      <c r="J20" s="16" t="s">
        <v>94</v>
      </c>
      <c r="K20" s="14" t="s">
        <v>95</v>
      </c>
      <c r="L20" t="s">
        <v>38</v>
      </c>
    </row>
    <row r="21" spans="1:12" x14ac:dyDescent="0.25">
      <c r="A21" s="19" t="s">
        <v>140</v>
      </c>
      <c r="B21" s="14" t="s">
        <v>141</v>
      </c>
      <c r="C21" s="15">
        <v>44896</v>
      </c>
      <c r="D21" s="14" t="s">
        <v>91</v>
      </c>
      <c r="E21" s="14" t="s">
        <v>35</v>
      </c>
      <c r="F21" s="14" t="s">
        <v>92</v>
      </c>
      <c r="G21" s="16" t="s">
        <v>37</v>
      </c>
      <c r="H21" s="14" t="s">
        <v>98</v>
      </c>
      <c r="I21" s="15">
        <v>36071</v>
      </c>
      <c r="J21" s="16" t="s">
        <v>94</v>
      </c>
      <c r="K21" s="14" t="s">
        <v>95</v>
      </c>
      <c r="L21" t="s">
        <v>40</v>
      </c>
    </row>
    <row r="22" spans="1:12" x14ac:dyDescent="0.25">
      <c r="A22" s="19" t="s">
        <v>142</v>
      </c>
      <c r="B22" s="14" t="s">
        <v>143</v>
      </c>
      <c r="C22" s="15">
        <v>45093</v>
      </c>
      <c r="D22" s="14" t="s">
        <v>91</v>
      </c>
      <c r="E22" s="14" t="s">
        <v>35</v>
      </c>
      <c r="F22" s="14" t="s">
        <v>92</v>
      </c>
      <c r="G22" s="16" t="s">
        <v>31</v>
      </c>
      <c r="H22" s="14" t="s">
        <v>93</v>
      </c>
      <c r="I22" s="15">
        <v>34472</v>
      </c>
      <c r="J22" s="16" t="s">
        <v>94</v>
      </c>
      <c r="K22" s="14" t="s">
        <v>95</v>
      </c>
      <c r="L22" t="s">
        <v>40</v>
      </c>
    </row>
    <row r="23" spans="1:12" x14ac:dyDescent="0.25">
      <c r="A23" s="19" t="s">
        <v>144</v>
      </c>
      <c r="B23" s="14" t="s">
        <v>145</v>
      </c>
      <c r="C23" s="15">
        <v>44109</v>
      </c>
      <c r="D23" s="14" t="s">
        <v>91</v>
      </c>
      <c r="E23" s="14" t="s">
        <v>35</v>
      </c>
      <c r="F23" s="14" t="s">
        <v>92</v>
      </c>
      <c r="G23" s="16" t="s">
        <v>37</v>
      </c>
      <c r="H23" s="14" t="s">
        <v>98</v>
      </c>
      <c r="I23" s="15">
        <v>35890</v>
      </c>
      <c r="J23" s="16" t="s">
        <v>94</v>
      </c>
      <c r="K23" s="14" t="s">
        <v>95</v>
      </c>
      <c r="L23" t="s">
        <v>40</v>
      </c>
    </row>
    <row r="24" spans="1:12" x14ac:dyDescent="0.25">
      <c r="A24" s="19" t="s">
        <v>146</v>
      </c>
      <c r="B24" s="14" t="s">
        <v>147</v>
      </c>
      <c r="C24" s="15">
        <v>45233</v>
      </c>
      <c r="D24" s="14" t="s">
        <v>91</v>
      </c>
      <c r="E24" s="14" t="s">
        <v>35</v>
      </c>
      <c r="F24" s="14" t="s">
        <v>92</v>
      </c>
      <c r="G24" s="16" t="s">
        <v>37</v>
      </c>
      <c r="H24" s="14" t="s">
        <v>148</v>
      </c>
      <c r="I24" s="15">
        <v>36623</v>
      </c>
      <c r="J24" s="16" t="s">
        <v>94</v>
      </c>
      <c r="K24" s="14" t="s">
        <v>95</v>
      </c>
      <c r="L24" t="s">
        <v>38</v>
      </c>
    </row>
    <row r="25" spans="1:12" x14ac:dyDescent="0.25">
      <c r="A25" s="19" t="s">
        <v>149</v>
      </c>
      <c r="B25" s="14" t="s">
        <v>150</v>
      </c>
      <c r="C25" s="15">
        <v>41313</v>
      </c>
      <c r="D25" s="14" t="s">
        <v>91</v>
      </c>
      <c r="E25" s="14" t="s">
        <v>35</v>
      </c>
      <c r="F25" s="14" t="s">
        <v>151</v>
      </c>
      <c r="G25" s="16" t="s">
        <v>37</v>
      </c>
      <c r="H25" s="14" t="s">
        <v>152</v>
      </c>
      <c r="I25" s="15">
        <v>24688</v>
      </c>
      <c r="J25" s="16" t="s">
        <v>94</v>
      </c>
      <c r="K25" s="14" t="s">
        <v>95</v>
      </c>
      <c r="L25" t="s">
        <v>40</v>
      </c>
    </row>
    <row r="26" spans="1:12" x14ac:dyDescent="0.25">
      <c r="A26" s="19" t="s">
        <v>153</v>
      </c>
      <c r="B26" s="14" t="s">
        <v>154</v>
      </c>
      <c r="C26" s="15">
        <v>45078</v>
      </c>
      <c r="D26" s="14" t="s">
        <v>91</v>
      </c>
      <c r="E26" s="14" t="s">
        <v>35</v>
      </c>
      <c r="F26" s="14" t="s">
        <v>92</v>
      </c>
      <c r="G26" s="16" t="s">
        <v>31</v>
      </c>
      <c r="H26" s="14" t="s">
        <v>93</v>
      </c>
      <c r="I26" s="15">
        <v>34967</v>
      </c>
      <c r="J26" s="16" t="s">
        <v>94</v>
      </c>
      <c r="K26" s="14" t="s">
        <v>95</v>
      </c>
      <c r="L26" t="s">
        <v>40</v>
      </c>
    </row>
    <row r="27" spans="1:12" x14ac:dyDescent="0.25">
      <c r="A27" s="19" t="s">
        <v>155</v>
      </c>
      <c r="B27" s="14" t="s">
        <v>156</v>
      </c>
      <c r="C27" s="15">
        <v>41313</v>
      </c>
      <c r="D27" s="14" t="s">
        <v>91</v>
      </c>
      <c r="E27" s="14" t="s">
        <v>35</v>
      </c>
      <c r="F27" s="14" t="s">
        <v>92</v>
      </c>
      <c r="G27" s="16" t="s">
        <v>31</v>
      </c>
      <c r="H27" s="14" t="s">
        <v>93</v>
      </c>
      <c r="I27" s="15">
        <v>28523</v>
      </c>
      <c r="J27" s="16" t="s">
        <v>94</v>
      </c>
      <c r="K27" s="14" t="s">
        <v>95</v>
      </c>
      <c r="L27" t="s">
        <v>40</v>
      </c>
    </row>
    <row r="28" spans="1:12" x14ac:dyDescent="0.25">
      <c r="A28" s="19" t="s">
        <v>157</v>
      </c>
      <c r="B28" s="14" t="s">
        <v>158</v>
      </c>
      <c r="C28" s="15">
        <v>45247</v>
      </c>
      <c r="D28" s="14" t="s">
        <v>91</v>
      </c>
      <c r="E28" s="14" t="s">
        <v>35</v>
      </c>
      <c r="F28" s="14" t="s">
        <v>92</v>
      </c>
      <c r="G28" s="16" t="s">
        <v>31</v>
      </c>
      <c r="H28" s="14" t="s">
        <v>93</v>
      </c>
      <c r="I28" s="15">
        <v>35648</v>
      </c>
      <c r="J28" s="16" t="s">
        <v>103</v>
      </c>
      <c r="K28" s="14" t="s">
        <v>95</v>
      </c>
      <c r="L28" t="s">
        <v>40</v>
      </c>
    </row>
    <row r="29" spans="1:12" x14ac:dyDescent="0.25">
      <c r="A29" s="19" t="s">
        <v>159</v>
      </c>
      <c r="B29" s="14" t="s">
        <v>160</v>
      </c>
      <c r="C29" s="15">
        <v>44993</v>
      </c>
      <c r="D29" s="14" t="s">
        <v>91</v>
      </c>
      <c r="E29" s="14" t="s">
        <v>35</v>
      </c>
      <c r="F29" s="14" t="s">
        <v>92</v>
      </c>
      <c r="G29" s="16" t="s">
        <v>37</v>
      </c>
      <c r="H29" s="14" t="s">
        <v>98</v>
      </c>
      <c r="I29" s="15">
        <v>33917</v>
      </c>
      <c r="J29" s="16" t="s">
        <v>94</v>
      </c>
      <c r="K29" s="14" t="s">
        <v>95</v>
      </c>
      <c r="L29" t="s">
        <v>40</v>
      </c>
    </row>
    <row r="30" spans="1:12" x14ac:dyDescent="0.25">
      <c r="A30" s="19" t="s">
        <v>161</v>
      </c>
      <c r="B30" s="14" t="s">
        <v>162</v>
      </c>
      <c r="C30" s="15">
        <v>43936</v>
      </c>
      <c r="D30" s="14" t="s">
        <v>91</v>
      </c>
      <c r="E30" s="14" t="s">
        <v>35</v>
      </c>
      <c r="F30" s="14" t="s">
        <v>92</v>
      </c>
      <c r="G30" s="16" t="s">
        <v>31</v>
      </c>
      <c r="H30" s="14" t="s">
        <v>93</v>
      </c>
      <c r="I30" s="15">
        <v>33459</v>
      </c>
      <c r="J30" s="16" t="s">
        <v>94</v>
      </c>
      <c r="K30" s="14" t="s">
        <v>95</v>
      </c>
      <c r="L30" t="s">
        <v>40</v>
      </c>
    </row>
    <row r="31" spans="1:12" x14ac:dyDescent="0.25">
      <c r="A31" s="19" t="s">
        <v>163</v>
      </c>
      <c r="B31" s="14" t="s">
        <v>164</v>
      </c>
      <c r="C31" s="15">
        <v>45307</v>
      </c>
      <c r="D31" s="14" t="s">
        <v>91</v>
      </c>
      <c r="E31" s="14" t="s">
        <v>35</v>
      </c>
      <c r="F31" s="14" t="s">
        <v>92</v>
      </c>
      <c r="G31" s="16" t="s">
        <v>31</v>
      </c>
      <c r="H31" s="14" t="s">
        <v>165</v>
      </c>
      <c r="I31" s="15">
        <v>33798</v>
      </c>
      <c r="J31" s="16" t="s">
        <v>94</v>
      </c>
      <c r="K31" s="14" t="s">
        <v>95</v>
      </c>
      <c r="L31" t="s">
        <v>38</v>
      </c>
    </row>
    <row r="32" spans="1:12" x14ac:dyDescent="0.25">
      <c r="A32" s="19" t="s">
        <v>166</v>
      </c>
      <c r="B32" s="14" t="s">
        <v>167</v>
      </c>
      <c r="C32" s="15">
        <v>41397</v>
      </c>
      <c r="D32" s="14" t="s">
        <v>123</v>
      </c>
      <c r="E32" s="14" t="s">
        <v>35</v>
      </c>
      <c r="F32" s="14" t="s">
        <v>92</v>
      </c>
      <c r="G32" s="16" t="s">
        <v>31</v>
      </c>
      <c r="H32" s="14" t="s">
        <v>93</v>
      </c>
      <c r="I32" s="15">
        <v>31771</v>
      </c>
      <c r="J32" s="16" t="s">
        <v>94</v>
      </c>
      <c r="K32" s="14" t="s">
        <v>124</v>
      </c>
      <c r="L32" t="s">
        <v>40</v>
      </c>
    </row>
    <row r="33" spans="1:12" x14ac:dyDescent="0.25">
      <c r="A33" s="19" t="s">
        <v>168</v>
      </c>
      <c r="B33" s="14" t="s">
        <v>169</v>
      </c>
      <c r="C33" s="15">
        <v>45212</v>
      </c>
      <c r="D33" s="14" t="s">
        <v>91</v>
      </c>
      <c r="E33" s="14" t="s">
        <v>35</v>
      </c>
      <c r="F33" s="14" t="s">
        <v>92</v>
      </c>
      <c r="G33" s="16" t="s">
        <v>31</v>
      </c>
      <c r="H33" s="14" t="s">
        <v>93</v>
      </c>
      <c r="I33" s="15">
        <v>34889</v>
      </c>
      <c r="J33" s="16" t="s">
        <v>94</v>
      </c>
      <c r="K33" s="14" t="s">
        <v>95</v>
      </c>
      <c r="L33" t="s">
        <v>40</v>
      </c>
    </row>
    <row r="34" spans="1:12" x14ac:dyDescent="0.25">
      <c r="A34" s="19" t="s">
        <v>170</v>
      </c>
      <c r="B34" s="14" t="s">
        <v>171</v>
      </c>
      <c r="C34" s="15">
        <v>44993</v>
      </c>
      <c r="D34" s="14" t="s">
        <v>91</v>
      </c>
      <c r="E34" s="14" t="s">
        <v>35</v>
      </c>
      <c r="F34" s="14" t="s">
        <v>92</v>
      </c>
      <c r="G34" s="16" t="s">
        <v>31</v>
      </c>
      <c r="H34" s="14" t="s">
        <v>93</v>
      </c>
      <c r="I34" s="15">
        <v>35156</v>
      </c>
      <c r="J34" s="16" t="s">
        <v>94</v>
      </c>
      <c r="K34" s="14" t="s">
        <v>95</v>
      </c>
      <c r="L34" t="s">
        <v>40</v>
      </c>
    </row>
    <row r="35" spans="1:12" x14ac:dyDescent="0.25">
      <c r="A35" s="19" t="s">
        <v>172</v>
      </c>
      <c r="B35" s="14" t="s">
        <v>173</v>
      </c>
      <c r="C35" s="15">
        <v>45264</v>
      </c>
      <c r="D35" s="14" t="s">
        <v>91</v>
      </c>
      <c r="E35" s="14" t="s">
        <v>35</v>
      </c>
      <c r="F35" s="14" t="s">
        <v>92</v>
      </c>
      <c r="G35" s="16" t="s">
        <v>31</v>
      </c>
      <c r="H35" s="14" t="s">
        <v>139</v>
      </c>
      <c r="I35" s="15">
        <v>37984</v>
      </c>
      <c r="J35" s="16" t="s">
        <v>94</v>
      </c>
      <c r="K35" s="14" t="s">
        <v>95</v>
      </c>
      <c r="L35" t="s">
        <v>38</v>
      </c>
    </row>
    <row r="36" spans="1:12" x14ac:dyDescent="0.25">
      <c r="A36" s="19" t="s">
        <v>174</v>
      </c>
      <c r="B36" s="14" t="s">
        <v>175</v>
      </c>
      <c r="C36" s="15">
        <v>44805</v>
      </c>
      <c r="D36" s="14" t="s">
        <v>91</v>
      </c>
      <c r="E36" s="14" t="s">
        <v>35</v>
      </c>
      <c r="F36" s="14" t="s">
        <v>92</v>
      </c>
      <c r="G36" s="16" t="s">
        <v>31</v>
      </c>
      <c r="H36" s="14" t="s">
        <v>93</v>
      </c>
      <c r="I36" s="15">
        <v>32854</v>
      </c>
      <c r="J36" s="16" t="s">
        <v>103</v>
      </c>
      <c r="K36" s="14" t="s">
        <v>95</v>
      </c>
      <c r="L36" t="s">
        <v>40</v>
      </c>
    </row>
    <row r="37" spans="1:12" x14ac:dyDescent="0.25">
      <c r="A37" s="19" t="s">
        <v>176</v>
      </c>
      <c r="B37" s="14" t="s">
        <v>177</v>
      </c>
      <c r="C37" s="15">
        <v>45063</v>
      </c>
      <c r="D37" s="14" t="s">
        <v>91</v>
      </c>
      <c r="E37" s="14" t="s">
        <v>35</v>
      </c>
      <c r="F37" s="14" t="s">
        <v>92</v>
      </c>
      <c r="G37" s="16" t="s">
        <v>37</v>
      </c>
      <c r="H37" s="14" t="s">
        <v>98</v>
      </c>
      <c r="I37" s="15">
        <v>37410</v>
      </c>
      <c r="J37" s="16" t="s">
        <v>94</v>
      </c>
      <c r="K37" s="14" t="s">
        <v>95</v>
      </c>
      <c r="L37" t="s">
        <v>40</v>
      </c>
    </row>
    <row r="38" spans="1:12" x14ac:dyDescent="0.25">
      <c r="A38" s="19" t="s">
        <v>178</v>
      </c>
      <c r="B38" s="14" t="s">
        <v>179</v>
      </c>
      <c r="C38" s="15">
        <v>44896</v>
      </c>
      <c r="D38" s="14" t="s">
        <v>91</v>
      </c>
      <c r="E38" s="14" t="s">
        <v>35</v>
      </c>
      <c r="F38" s="14" t="s">
        <v>92</v>
      </c>
      <c r="G38" s="16" t="s">
        <v>31</v>
      </c>
      <c r="H38" s="14" t="s">
        <v>93</v>
      </c>
      <c r="I38" s="15">
        <v>36209</v>
      </c>
      <c r="J38" s="16" t="s">
        <v>94</v>
      </c>
      <c r="K38" s="14" t="s">
        <v>95</v>
      </c>
      <c r="L38" t="s">
        <v>40</v>
      </c>
    </row>
    <row r="39" spans="1:12" x14ac:dyDescent="0.25">
      <c r="A39" s="19" t="s">
        <v>180</v>
      </c>
      <c r="B39" s="14" t="s">
        <v>181</v>
      </c>
      <c r="C39" s="15">
        <v>44351</v>
      </c>
      <c r="D39" s="14" t="s">
        <v>91</v>
      </c>
      <c r="E39" s="14" t="s">
        <v>35</v>
      </c>
      <c r="F39" s="14" t="s">
        <v>92</v>
      </c>
      <c r="G39" s="16" t="s">
        <v>37</v>
      </c>
      <c r="H39" s="14" t="s">
        <v>98</v>
      </c>
      <c r="I39" s="15">
        <v>31870</v>
      </c>
      <c r="J39" s="16" t="s">
        <v>94</v>
      </c>
      <c r="K39" s="14" t="s">
        <v>95</v>
      </c>
      <c r="L39" t="s">
        <v>40</v>
      </c>
    </row>
    <row r="40" spans="1:12" x14ac:dyDescent="0.25">
      <c r="A40" s="19" t="s">
        <v>182</v>
      </c>
      <c r="B40" s="14" t="s">
        <v>183</v>
      </c>
      <c r="C40" s="15">
        <v>45212</v>
      </c>
      <c r="D40" s="14" t="s">
        <v>91</v>
      </c>
      <c r="E40" s="14" t="s">
        <v>35</v>
      </c>
      <c r="F40" s="14" t="s">
        <v>92</v>
      </c>
      <c r="G40" s="16" t="s">
        <v>31</v>
      </c>
      <c r="H40" s="14" t="s">
        <v>93</v>
      </c>
      <c r="I40" s="15">
        <v>34765</v>
      </c>
      <c r="J40" s="16" t="s">
        <v>94</v>
      </c>
      <c r="K40" s="14" t="s">
        <v>95</v>
      </c>
      <c r="L40" t="s">
        <v>40</v>
      </c>
    </row>
    <row r="41" spans="1:12" x14ac:dyDescent="0.25">
      <c r="A41" s="19" t="s">
        <v>184</v>
      </c>
      <c r="B41" s="14" t="s">
        <v>185</v>
      </c>
      <c r="C41" s="15">
        <v>44683</v>
      </c>
      <c r="D41" s="14" t="s">
        <v>91</v>
      </c>
      <c r="E41" s="14" t="s">
        <v>35</v>
      </c>
      <c r="F41" s="14" t="s">
        <v>92</v>
      </c>
      <c r="G41" s="16" t="s">
        <v>37</v>
      </c>
      <c r="H41" s="14" t="s">
        <v>98</v>
      </c>
      <c r="I41" s="15">
        <v>34540</v>
      </c>
      <c r="J41" s="16" t="s">
        <v>94</v>
      </c>
      <c r="K41" s="14" t="s">
        <v>95</v>
      </c>
      <c r="L41" t="s">
        <v>40</v>
      </c>
    </row>
    <row r="42" spans="1:12" x14ac:dyDescent="0.25">
      <c r="A42" s="19" t="s">
        <v>186</v>
      </c>
      <c r="B42" s="14" t="s">
        <v>187</v>
      </c>
      <c r="C42" s="15">
        <v>44868</v>
      </c>
      <c r="D42" s="14" t="s">
        <v>91</v>
      </c>
      <c r="E42" s="14" t="s">
        <v>35</v>
      </c>
      <c r="F42" s="14" t="s">
        <v>92</v>
      </c>
      <c r="G42" s="16" t="s">
        <v>37</v>
      </c>
      <c r="H42" s="14" t="s">
        <v>98</v>
      </c>
      <c r="I42" s="15">
        <v>36656</v>
      </c>
      <c r="J42" s="16" t="s">
        <v>94</v>
      </c>
      <c r="K42" s="14" t="s">
        <v>95</v>
      </c>
      <c r="L42" t="s">
        <v>40</v>
      </c>
    </row>
    <row r="43" spans="1:12" x14ac:dyDescent="0.25">
      <c r="A43" s="19" t="s">
        <v>188</v>
      </c>
      <c r="B43" s="14" t="s">
        <v>189</v>
      </c>
      <c r="C43" s="15">
        <v>44902</v>
      </c>
      <c r="D43" s="14" t="s">
        <v>123</v>
      </c>
      <c r="E43" s="14" t="s">
        <v>35</v>
      </c>
      <c r="F43" s="14" t="s">
        <v>127</v>
      </c>
      <c r="G43" s="16" t="s">
        <v>31</v>
      </c>
      <c r="H43" s="14" t="s">
        <v>93</v>
      </c>
      <c r="I43" s="15">
        <v>30266</v>
      </c>
      <c r="J43" s="16" t="s">
        <v>103</v>
      </c>
      <c r="K43" s="14" t="s">
        <v>124</v>
      </c>
      <c r="L43" t="s">
        <v>40</v>
      </c>
    </row>
    <row r="44" spans="1:12" x14ac:dyDescent="0.25">
      <c r="A44" s="19" t="s">
        <v>190</v>
      </c>
      <c r="B44" s="14" t="s">
        <v>191</v>
      </c>
      <c r="C44" s="15">
        <v>45299</v>
      </c>
      <c r="D44" s="14" t="s">
        <v>91</v>
      </c>
      <c r="E44" s="14" t="s">
        <v>35</v>
      </c>
      <c r="F44" s="14" t="s">
        <v>92</v>
      </c>
      <c r="G44" s="16" t="s">
        <v>31</v>
      </c>
      <c r="H44" s="14" t="s">
        <v>165</v>
      </c>
      <c r="I44" s="15">
        <v>34553</v>
      </c>
      <c r="J44" s="16" t="s">
        <v>94</v>
      </c>
      <c r="K44" s="14" t="s">
        <v>95</v>
      </c>
      <c r="L44" t="s">
        <v>38</v>
      </c>
    </row>
    <row r="45" spans="1:12" x14ac:dyDescent="0.25">
      <c r="A45" s="19" t="s">
        <v>192</v>
      </c>
      <c r="B45" s="14" t="s">
        <v>193</v>
      </c>
      <c r="C45" s="15">
        <v>44993</v>
      </c>
      <c r="D45" s="14" t="s">
        <v>91</v>
      </c>
      <c r="E45" s="14" t="s">
        <v>35</v>
      </c>
      <c r="F45" s="14" t="s">
        <v>92</v>
      </c>
      <c r="G45" s="16" t="s">
        <v>31</v>
      </c>
      <c r="H45" s="14" t="s">
        <v>165</v>
      </c>
      <c r="I45" s="15">
        <v>35699</v>
      </c>
      <c r="J45" s="16" t="s">
        <v>94</v>
      </c>
      <c r="K45" s="14" t="s">
        <v>95</v>
      </c>
      <c r="L45" t="s">
        <v>38</v>
      </c>
    </row>
    <row r="46" spans="1:12" x14ac:dyDescent="0.25">
      <c r="A46" s="19" t="s">
        <v>194</v>
      </c>
      <c r="B46" s="14" t="s">
        <v>195</v>
      </c>
      <c r="C46" s="15">
        <v>44868</v>
      </c>
      <c r="D46" s="14" t="s">
        <v>123</v>
      </c>
      <c r="E46" s="14" t="s">
        <v>35</v>
      </c>
      <c r="F46" s="14" t="s">
        <v>92</v>
      </c>
      <c r="G46" s="16" t="s">
        <v>31</v>
      </c>
      <c r="H46" s="14" t="s">
        <v>93</v>
      </c>
      <c r="I46" s="15">
        <v>33523</v>
      </c>
      <c r="J46" s="16" t="s">
        <v>94</v>
      </c>
      <c r="K46" s="14" t="s">
        <v>124</v>
      </c>
      <c r="L46" t="s">
        <v>40</v>
      </c>
    </row>
    <row r="47" spans="1:12" x14ac:dyDescent="0.25">
      <c r="A47" s="19" t="s">
        <v>196</v>
      </c>
      <c r="B47" s="14" t="s">
        <v>197</v>
      </c>
      <c r="C47" s="15">
        <v>43361</v>
      </c>
      <c r="D47" s="14" t="s">
        <v>91</v>
      </c>
      <c r="E47" s="14" t="s">
        <v>35</v>
      </c>
      <c r="F47" s="14" t="s">
        <v>92</v>
      </c>
      <c r="G47" s="16" t="s">
        <v>31</v>
      </c>
      <c r="H47" s="14" t="s">
        <v>93</v>
      </c>
      <c r="I47" s="15">
        <v>35042</v>
      </c>
      <c r="J47" s="16" t="s">
        <v>94</v>
      </c>
      <c r="K47" s="14" t="s">
        <v>95</v>
      </c>
      <c r="L47" t="s">
        <v>40</v>
      </c>
    </row>
    <row r="48" spans="1:12" x14ac:dyDescent="0.25">
      <c r="A48" s="19" t="s">
        <v>198</v>
      </c>
      <c r="B48" s="14" t="s">
        <v>199</v>
      </c>
      <c r="C48" s="15">
        <v>44993</v>
      </c>
      <c r="D48" s="14" t="s">
        <v>91</v>
      </c>
      <c r="E48" s="14" t="s">
        <v>35</v>
      </c>
      <c r="F48" s="14" t="s">
        <v>92</v>
      </c>
      <c r="G48" s="16" t="s">
        <v>31</v>
      </c>
      <c r="H48" s="14" t="s">
        <v>165</v>
      </c>
      <c r="I48" s="15">
        <v>37985</v>
      </c>
      <c r="J48" s="16" t="s">
        <v>94</v>
      </c>
      <c r="K48" s="14" t="s">
        <v>95</v>
      </c>
      <c r="L48" t="s">
        <v>38</v>
      </c>
    </row>
    <row r="49" spans="1:12" x14ac:dyDescent="0.25">
      <c r="A49" s="19" t="s">
        <v>200</v>
      </c>
      <c r="B49" s="14" t="s">
        <v>201</v>
      </c>
      <c r="C49" s="15">
        <v>44202</v>
      </c>
      <c r="D49" s="14" t="s">
        <v>123</v>
      </c>
      <c r="E49" s="14" t="s">
        <v>35</v>
      </c>
      <c r="F49" s="14" t="s">
        <v>92</v>
      </c>
      <c r="G49" s="16" t="s">
        <v>37</v>
      </c>
      <c r="H49" s="14" t="s">
        <v>98</v>
      </c>
      <c r="I49" s="15">
        <v>36052</v>
      </c>
      <c r="J49" s="16" t="s">
        <v>94</v>
      </c>
      <c r="K49" s="14" t="s">
        <v>124</v>
      </c>
      <c r="L49" t="s">
        <v>40</v>
      </c>
    </row>
    <row r="50" spans="1:12" x14ac:dyDescent="0.25">
      <c r="A50" s="19" t="s">
        <v>202</v>
      </c>
      <c r="B50" s="14" t="s">
        <v>203</v>
      </c>
      <c r="C50" s="15">
        <v>45051</v>
      </c>
      <c r="D50" s="14" t="s">
        <v>91</v>
      </c>
      <c r="E50" s="14" t="s">
        <v>35</v>
      </c>
      <c r="F50" s="14" t="s">
        <v>92</v>
      </c>
      <c r="G50" s="16" t="s">
        <v>37</v>
      </c>
      <c r="H50" s="14" t="s">
        <v>98</v>
      </c>
      <c r="I50" s="15">
        <v>36947</v>
      </c>
      <c r="J50" s="16" t="s">
        <v>103</v>
      </c>
      <c r="K50" s="14" t="s">
        <v>95</v>
      </c>
      <c r="L50" t="s">
        <v>40</v>
      </c>
    </row>
    <row r="51" spans="1:12" x14ac:dyDescent="0.25">
      <c r="A51" s="19" t="s">
        <v>204</v>
      </c>
      <c r="B51" s="14" t="s">
        <v>205</v>
      </c>
      <c r="C51" s="15">
        <v>43865</v>
      </c>
      <c r="D51" s="14" t="s">
        <v>91</v>
      </c>
      <c r="E51" s="14" t="s">
        <v>35</v>
      </c>
      <c r="F51" s="14" t="s">
        <v>92</v>
      </c>
      <c r="G51" s="16" t="s">
        <v>31</v>
      </c>
      <c r="H51" s="14" t="s">
        <v>93</v>
      </c>
      <c r="I51" s="15">
        <v>34446</v>
      </c>
      <c r="J51" s="16" t="s">
        <v>94</v>
      </c>
      <c r="K51" s="14" t="s">
        <v>95</v>
      </c>
      <c r="L51" t="s">
        <v>40</v>
      </c>
    </row>
    <row r="52" spans="1:12" x14ac:dyDescent="0.25">
      <c r="A52" s="19" t="s">
        <v>206</v>
      </c>
      <c r="B52" s="14" t="s">
        <v>207</v>
      </c>
      <c r="C52" s="15">
        <v>44896</v>
      </c>
      <c r="D52" s="14" t="s">
        <v>91</v>
      </c>
      <c r="E52" s="14" t="s">
        <v>35</v>
      </c>
      <c r="F52" s="14" t="s">
        <v>92</v>
      </c>
      <c r="G52" s="16" t="s">
        <v>31</v>
      </c>
      <c r="H52" s="14" t="s">
        <v>93</v>
      </c>
      <c r="I52" s="15">
        <v>33865</v>
      </c>
      <c r="J52" s="16" t="s">
        <v>94</v>
      </c>
      <c r="K52" s="14" t="s">
        <v>95</v>
      </c>
      <c r="L52" t="s">
        <v>40</v>
      </c>
    </row>
    <row r="53" spans="1:12" x14ac:dyDescent="0.25">
      <c r="A53" s="19" t="s">
        <v>208</v>
      </c>
      <c r="B53" s="14" t="s">
        <v>209</v>
      </c>
      <c r="C53" s="15">
        <v>45001</v>
      </c>
      <c r="D53" s="14" t="s">
        <v>91</v>
      </c>
      <c r="E53" s="14" t="s">
        <v>35</v>
      </c>
      <c r="F53" s="14" t="s">
        <v>92</v>
      </c>
      <c r="G53" s="16" t="s">
        <v>37</v>
      </c>
      <c r="H53" s="14" t="s">
        <v>98</v>
      </c>
      <c r="I53" s="15">
        <v>34938</v>
      </c>
      <c r="J53" s="16" t="s">
        <v>94</v>
      </c>
      <c r="K53" s="14" t="s">
        <v>95</v>
      </c>
      <c r="L53" t="s">
        <v>40</v>
      </c>
    </row>
    <row r="54" spans="1:12" x14ac:dyDescent="0.25">
      <c r="A54" s="19" t="s">
        <v>210</v>
      </c>
      <c r="B54" s="14" t="s">
        <v>211</v>
      </c>
      <c r="C54" s="15">
        <v>44627</v>
      </c>
      <c r="D54" s="14" t="s">
        <v>91</v>
      </c>
      <c r="E54" s="14" t="s">
        <v>35</v>
      </c>
      <c r="F54" s="14" t="s">
        <v>92</v>
      </c>
      <c r="G54" s="16" t="s">
        <v>31</v>
      </c>
      <c r="H54" s="14" t="s">
        <v>93</v>
      </c>
      <c r="I54" s="15">
        <v>32857</v>
      </c>
      <c r="J54" s="16" t="s">
        <v>94</v>
      </c>
      <c r="K54" s="14" t="s">
        <v>95</v>
      </c>
      <c r="L54" t="s">
        <v>40</v>
      </c>
    </row>
    <row r="55" spans="1:12" x14ac:dyDescent="0.25">
      <c r="A55" s="19" t="s">
        <v>212</v>
      </c>
      <c r="B55" s="14" t="s">
        <v>213</v>
      </c>
      <c r="C55" s="15">
        <v>44868</v>
      </c>
      <c r="D55" s="14" t="s">
        <v>91</v>
      </c>
      <c r="E55" s="14" t="s">
        <v>35</v>
      </c>
      <c r="F55" s="14" t="s">
        <v>92</v>
      </c>
      <c r="G55" s="16" t="s">
        <v>37</v>
      </c>
      <c r="H55" s="14" t="s">
        <v>98</v>
      </c>
      <c r="I55" s="15">
        <v>36695</v>
      </c>
      <c r="J55" s="16" t="s">
        <v>94</v>
      </c>
      <c r="K55" s="14" t="s">
        <v>95</v>
      </c>
      <c r="L55" t="s">
        <v>40</v>
      </c>
    </row>
    <row r="56" spans="1:12" x14ac:dyDescent="0.25">
      <c r="A56" s="19" t="s">
        <v>214</v>
      </c>
      <c r="B56" s="14" t="s">
        <v>215</v>
      </c>
      <c r="C56" s="15">
        <v>44202</v>
      </c>
      <c r="D56" s="14" t="s">
        <v>91</v>
      </c>
      <c r="E56" s="14" t="s">
        <v>35</v>
      </c>
      <c r="F56" s="14" t="s">
        <v>92</v>
      </c>
      <c r="G56" s="16" t="s">
        <v>37</v>
      </c>
      <c r="H56" s="14" t="s">
        <v>98</v>
      </c>
      <c r="I56" s="15">
        <v>33013</v>
      </c>
      <c r="J56" s="16" t="s">
        <v>94</v>
      </c>
      <c r="K56" s="14" t="s">
        <v>95</v>
      </c>
      <c r="L56" t="s">
        <v>40</v>
      </c>
    </row>
    <row r="57" spans="1:12" x14ac:dyDescent="0.25">
      <c r="A57" s="19" t="s">
        <v>216</v>
      </c>
      <c r="B57" s="14" t="s">
        <v>217</v>
      </c>
      <c r="C57" s="15">
        <v>44966</v>
      </c>
      <c r="D57" s="14" t="s">
        <v>91</v>
      </c>
      <c r="E57" s="14" t="s">
        <v>35</v>
      </c>
      <c r="F57" s="14" t="s">
        <v>92</v>
      </c>
      <c r="G57" s="16" t="s">
        <v>37</v>
      </c>
      <c r="H57" s="14" t="s">
        <v>98</v>
      </c>
      <c r="I57" s="15">
        <v>36658</v>
      </c>
      <c r="J57" s="16" t="s">
        <v>94</v>
      </c>
      <c r="K57" s="14" t="s">
        <v>95</v>
      </c>
      <c r="L57" t="s">
        <v>40</v>
      </c>
    </row>
    <row r="58" spans="1:12" x14ac:dyDescent="0.25">
      <c r="A58" s="19" t="s">
        <v>218</v>
      </c>
      <c r="B58" s="14" t="s">
        <v>219</v>
      </c>
      <c r="C58" s="15">
        <v>43955</v>
      </c>
      <c r="D58" s="14" t="s">
        <v>91</v>
      </c>
      <c r="E58" s="14" t="s">
        <v>35</v>
      </c>
      <c r="F58" s="14" t="s">
        <v>92</v>
      </c>
      <c r="G58" s="16" t="s">
        <v>31</v>
      </c>
      <c r="H58" s="14" t="s">
        <v>93</v>
      </c>
      <c r="I58" s="15">
        <v>34758</v>
      </c>
      <c r="J58" s="16" t="s">
        <v>94</v>
      </c>
      <c r="K58" s="14" t="s">
        <v>95</v>
      </c>
      <c r="L58" t="s">
        <v>40</v>
      </c>
    </row>
    <row r="59" spans="1:12" x14ac:dyDescent="0.25">
      <c r="A59" s="19" t="s">
        <v>220</v>
      </c>
      <c r="B59" s="14" t="s">
        <v>221</v>
      </c>
      <c r="C59" s="15">
        <v>44272</v>
      </c>
      <c r="D59" s="14" t="s">
        <v>91</v>
      </c>
      <c r="E59" s="14" t="s">
        <v>35</v>
      </c>
      <c r="F59" s="14" t="s">
        <v>92</v>
      </c>
      <c r="G59" s="16" t="s">
        <v>37</v>
      </c>
      <c r="H59" s="14" t="s">
        <v>98</v>
      </c>
      <c r="I59" s="15">
        <v>32284</v>
      </c>
      <c r="J59" s="16" t="s">
        <v>94</v>
      </c>
      <c r="K59" s="14" t="s">
        <v>95</v>
      </c>
      <c r="L59" t="s">
        <v>40</v>
      </c>
    </row>
    <row r="60" spans="1:12" x14ac:dyDescent="0.25">
      <c r="A60" s="19" t="s">
        <v>222</v>
      </c>
      <c r="B60" s="14" t="s">
        <v>223</v>
      </c>
      <c r="C60" s="15">
        <v>42870</v>
      </c>
      <c r="D60" s="14" t="s">
        <v>91</v>
      </c>
      <c r="E60" s="14" t="s">
        <v>35</v>
      </c>
      <c r="F60" s="14" t="s">
        <v>92</v>
      </c>
      <c r="G60" s="16" t="s">
        <v>37</v>
      </c>
      <c r="H60" s="14" t="s">
        <v>98</v>
      </c>
      <c r="I60" s="15">
        <v>29180</v>
      </c>
      <c r="J60" s="16" t="s">
        <v>94</v>
      </c>
      <c r="K60" s="14" t="s">
        <v>95</v>
      </c>
      <c r="L60" t="s">
        <v>40</v>
      </c>
    </row>
    <row r="61" spans="1:12" x14ac:dyDescent="0.25">
      <c r="A61" s="19" t="s">
        <v>224</v>
      </c>
      <c r="B61" s="14" t="s">
        <v>225</v>
      </c>
      <c r="C61" s="15">
        <v>44874</v>
      </c>
      <c r="D61" s="14" t="s">
        <v>91</v>
      </c>
      <c r="E61" s="14" t="s">
        <v>35</v>
      </c>
      <c r="F61" s="14" t="s">
        <v>127</v>
      </c>
      <c r="G61" s="16" t="s">
        <v>31</v>
      </c>
      <c r="H61" s="14" t="s">
        <v>93</v>
      </c>
      <c r="I61" s="15">
        <v>37433</v>
      </c>
      <c r="J61" s="16" t="s">
        <v>94</v>
      </c>
      <c r="K61" s="14" t="s">
        <v>95</v>
      </c>
      <c r="L61" t="s">
        <v>40</v>
      </c>
    </row>
    <row r="62" spans="1:12" x14ac:dyDescent="0.25">
      <c r="A62" s="19" t="s">
        <v>226</v>
      </c>
      <c r="B62" s="14" t="s">
        <v>227</v>
      </c>
      <c r="C62" s="15">
        <v>45264</v>
      </c>
      <c r="D62" s="14" t="s">
        <v>91</v>
      </c>
      <c r="E62" s="14" t="s">
        <v>35</v>
      </c>
      <c r="F62" s="14" t="s">
        <v>92</v>
      </c>
      <c r="G62" s="16" t="s">
        <v>31</v>
      </c>
      <c r="H62" s="14" t="s">
        <v>165</v>
      </c>
      <c r="I62" s="15">
        <v>34471</v>
      </c>
      <c r="J62" s="16" t="s">
        <v>94</v>
      </c>
      <c r="K62" s="14" t="s">
        <v>95</v>
      </c>
      <c r="L62" t="s">
        <v>38</v>
      </c>
    </row>
    <row r="63" spans="1:12" x14ac:dyDescent="0.25">
      <c r="A63" s="19" t="s">
        <v>228</v>
      </c>
      <c r="B63" s="14" t="s">
        <v>229</v>
      </c>
      <c r="C63" s="15">
        <v>43075</v>
      </c>
      <c r="D63" s="14" t="s">
        <v>123</v>
      </c>
      <c r="E63" s="14" t="s">
        <v>35</v>
      </c>
      <c r="F63" s="14" t="s">
        <v>151</v>
      </c>
      <c r="G63" s="16" t="s">
        <v>31</v>
      </c>
      <c r="H63" s="14" t="s">
        <v>230</v>
      </c>
      <c r="I63" s="15">
        <v>30443</v>
      </c>
      <c r="J63" s="16" t="s">
        <v>103</v>
      </c>
      <c r="K63" s="14" t="s">
        <v>124</v>
      </c>
      <c r="L63" t="s">
        <v>40</v>
      </c>
    </row>
    <row r="64" spans="1:12" x14ac:dyDescent="0.25">
      <c r="A64" s="19" t="s">
        <v>231</v>
      </c>
      <c r="B64" s="14" t="s">
        <v>232</v>
      </c>
      <c r="C64" s="15">
        <v>44578</v>
      </c>
      <c r="D64" s="14" t="s">
        <v>91</v>
      </c>
      <c r="E64" s="14" t="s">
        <v>35</v>
      </c>
      <c r="F64" s="14" t="s">
        <v>92</v>
      </c>
      <c r="G64" s="16" t="s">
        <v>37</v>
      </c>
      <c r="H64" s="14" t="s">
        <v>98</v>
      </c>
      <c r="I64" s="15">
        <v>34430</v>
      </c>
      <c r="J64" s="16" t="s">
        <v>94</v>
      </c>
      <c r="K64" s="14" t="s">
        <v>95</v>
      </c>
      <c r="L64" t="s">
        <v>40</v>
      </c>
    </row>
    <row r="65" spans="1:12" x14ac:dyDescent="0.25">
      <c r="A65" s="19" t="s">
        <v>233</v>
      </c>
      <c r="B65" s="14" t="s">
        <v>234</v>
      </c>
      <c r="C65" s="15">
        <v>41313</v>
      </c>
      <c r="D65" s="14" t="s">
        <v>91</v>
      </c>
      <c r="E65" s="14" t="s">
        <v>35</v>
      </c>
      <c r="F65" s="14" t="s">
        <v>92</v>
      </c>
      <c r="G65" s="16" t="s">
        <v>31</v>
      </c>
      <c r="H65" s="14" t="s">
        <v>93</v>
      </c>
      <c r="I65" s="15">
        <v>30816</v>
      </c>
      <c r="J65" s="16" t="s">
        <v>94</v>
      </c>
      <c r="K65" s="14" t="s">
        <v>95</v>
      </c>
      <c r="L65" t="s">
        <v>40</v>
      </c>
    </row>
    <row r="66" spans="1:12" x14ac:dyDescent="0.25">
      <c r="A66" s="19" t="s">
        <v>235</v>
      </c>
      <c r="B66" s="14" t="s">
        <v>236</v>
      </c>
      <c r="C66" s="15">
        <v>44046</v>
      </c>
      <c r="D66" s="14" t="s">
        <v>91</v>
      </c>
      <c r="E66" s="14" t="s">
        <v>35</v>
      </c>
      <c r="F66" s="14" t="s">
        <v>110</v>
      </c>
      <c r="G66" s="16" t="s">
        <v>31</v>
      </c>
      <c r="H66" s="14" t="s">
        <v>93</v>
      </c>
      <c r="I66" s="15">
        <v>32900</v>
      </c>
      <c r="J66" s="16" t="s">
        <v>103</v>
      </c>
      <c r="K66" s="14" t="s">
        <v>95</v>
      </c>
      <c r="L66" t="s">
        <v>40</v>
      </c>
    </row>
    <row r="67" spans="1:12" x14ac:dyDescent="0.25">
      <c r="A67" s="19" t="s">
        <v>237</v>
      </c>
      <c r="B67" s="14" t="s">
        <v>238</v>
      </c>
      <c r="C67" s="15">
        <v>43782</v>
      </c>
      <c r="D67" s="14" t="s">
        <v>91</v>
      </c>
      <c r="E67" s="14" t="s">
        <v>35</v>
      </c>
      <c r="F67" s="14" t="s">
        <v>92</v>
      </c>
      <c r="G67" s="16" t="s">
        <v>37</v>
      </c>
      <c r="H67" s="14" t="s">
        <v>98</v>
      </c>
      <c r="I67" s="15">
        <v>32520</v>
      </c>
      <c r="J67" s="16" t="s">
        <v>94</v>
      </c>
      <c r="K67" s="14" t="s">
        <v>95</v>
      </c>
      <c r="L67" t="s">
        <v>40</v>
      </c>
    </row>
    <row r="68" spans="1:12" x14ac:dyDescent="0.25">
      <c r="A68" s="19" t="s">
        <v>239</v>
      </c>
      <c r="B68" s="14" t="s">
        <v>240</v>
      </c>
      <c r="C68" s="15">
        <v>45146</v>
      </c>
      <c r="D68" s="14" t="s">
        <v>91</v>
      </c>
      <c r="E68" s="14" t="s">
        <v>35</v>
      </c>
      <c r="F68" s="14" t="s">
        <v>92</v>
      </c>
      <c r="G68" s="16" t="s">
        <v>37</v>
      </c>
      <c r="H68" s="14" t="s">
        <v>98</v>
      </c>
      <c r="I68" s="15">
        <v>35317</v>
      </c>
      <c r="J68" s="16" t="s">
        <v>94</v>
      </c>
      <c r="K68" s="14" t="s">
        <v>95</v>
      </c>
      <c r="L68" t="s">
        <v>40</v>
      </c>
    </row>
    <row r="69" spans="1:12" x14ac:dyDescent="0.25">
      <c r="A69" s="19" t="s">
        <v>241</v>
      </c>
      <c r="B69" s="14" t="s">
        <v>242</v>
      </c>
      <c r="C69" s="15">
        <v>44966</v>
      </c>
      <c r="D69" s="14" t="s">
        <v>91</v>
      </c>
      <c r="E69" s="14" t="s">
        <v>35</v>
      </c>
      <c r="F69" s="14" t="s">
        <v>92</v>
      </c>
      <c r="G69" s="16" t="s">
        <v>37</v>
      </c>
      <c r="H69" s="14" t="s">
        <v>98</v>
      </c>
      <c r="I69" s="15">
        <v>36670</v>
      </c>
      <c r="J69" s="16" t="s">
        <v>94</v>
      </c>
      <c r="K69" s="14" t="s">
        <v>95</v>
      </c>
      <c r="L69" t="s">
        <v>40</v>
      </c>
    </row>
    <row r="70" spans="1:12" x14ac:dyDescent="0.25">
      <c r="A70" s="19" t="s">
        <v>243</v>
      </c>
      <c r="B70" s="14" t="s">
        <v>244</v>
      </c>
      <c r="C70" s="15">
        <v>44655</v>
      </c>
      <c r="D70" s="14" t="s">
        <v>91</v>
      </c>
      <c r="E70" s="14" t="s">
        <v>35</v>
      </c>
      <c r="F70" s="14" t="s">
        <v>92</v>
      </c>
      <c r="G70" s="16" t="s">
        <v>37</v>
      </c>
      <c r="H70" s="14" t="s">
        <v>98</v>
      </c>
      <c r="I70" s="15">
        <v>34406</v>
      </c>
      <c r="J70" s="16" t="s">
        <v>94</v>
      </c>
      <c r="K70" s="14" t="s">
        <v>95</v>
      </c>
      <c r="L70" t="s">
        <v>40</v>
      </c>
    </row>
    <row r="71" spans="1:12" x14ac:dyDescent="0.25">
      <c r="A71" s="19" t="s">
        <v>245</v>
      </c>
      <c r="B71" s="14" t="s">
        <v>246</v>
      </c>
      <c r="C71" s="15">
        <v>41946</v>
      </c>
      <c r="D71" s="14" t="s">
        <v>91</v>
      </c>
      <c r="E71" s="14" t="s">
        <v>35</v>
      </c>
      <c r="F71" s="14" t="s">
        <v>92</v>
      </c>
      <c r="G71" s="16" t="s">
        <v>37</v>
      </c>
      <c r="H71" s="14" t="s">
        <v>98</v>
      </c>
      <c r="I71" s="15">
        <v>33706</v>
      </c>
      <c r="J71" s="16" t="s">
        <v>94</v>
      </c>
      <c r="K71" s="14" t="s">
        <v>95</v>
      </c>
      <c r="L71" t="s">
        <v>40</v>
      </c>
    </row>
    <row r="72" spans="1:12" x14ac:dyDescent="0.25">
      <c r="A72" s="19" t="s">
        <v>247</v>
      </c>
      <c r="B72" s="14" t="s">
        <v>248</v>
      </c>
      <c r="C72" s="15">
        <v>44075</v>
      </c>
      <c r="D72" s="14" t="s">
        <v>91</v>
      </c>
      <c r="E72" s="14" t="s">
        <v>35</v>
      </c>
      <c r="F72" s="14" t="s">
        <v>151</v>
      </c>
      <c r="G72" s="16" t="s">
        <v>31</v>
      </c>
      <c r="H72" s="14" t="s">
        <v>249</v>
      </c>
      <c r="I72" s="15">
        <v>25440</v>
      </c>
      <c r="J72" s="16" t="s">
        <v>103</v>
      </c>
      <c r="K72" s="14" t="s">
        <v>95</v>
      </c>
      <c r="L72" t="s">
        <v>40</v>
      </c>
    </row>
    <row r="73" spans="1:12" x14ac:dyDescent="0.25">
      <c r="A73" s="19" t="s">
        <v>250</v>
      </c>
      <c r="B73" s="14" t="s">
        <v>251</v>
      </c>
      <c r="C73" s="15">
        <v>45182</v>
      </c>
      <c r="D73" s="14" t="s">
        <v>91</v>
      </c>
      <c r="E73" s="14" t="s">
        <v>35</v>
      </c>
      <c r="F73" s="14" t="s">
        <v>92</v>
      </c>
      <c r="G73" s="16" t="s">
        <v>37</v>
      </c>
      <c r="H73" s="14" t="s">
        <v>148</v>
      </c>
      <c r="I73" s="15">
        <v>34913</v>
      </c>
      <c r="J73" s="16" t="s">
        <v>94</v>
      </c>
      <c r="K73" s="14" t="s">
        <v>95</v>
      </c>
      <c r="L73" t="s">
        <v>38</v>
      </c>
    </row>
    <row r="74" spans="1:12" x14ac:dyDescent="0.25">
      <c r="A74" s="19" t="s">
        <v>252</v>
      </c>
      <c r="B74" s="14" t="s">
        <v>253</v>
      </c>
      <c r="C74" s="15">
        <v>44417</v>
      </c>
      <c r="D74" s="14" t="s">
        <v>91</v>
      </c>
      <c r="E74" s="14" t="s">
        <v>35</v>
      </c>
      <c r="F74" s="14" t="s">
        <v>92</v>
      </c>
      <c r="G74" s="16" t="s">
        <v>31</v>
      </c>
      <c r="H74" s="14" t="s">
        <v>93</v>
      </c>
      <c r="I74" s="15">
        <v>34128</v>
      </c>
      <c r="J74" s="16" t="s">
        <v>94</v>
      </c>
      <c r="K74" s="14" t="s">
        <v>95</v>
      </c>
      <c r="L74" t="s">
        <v>40</v>
      </c>
    </row>
    <row r="75" spans="1:12" x14ac:dyDescent="0.25">
      <c r="A75" s="19" t="s">
        <v>254</v>
      </c>
      <c r="B75" s="14" t="s">
        <v>255</v>
      </c>
      <c r="C75" s="15">
        <v>41397</v>
      </c>
      <c r="D75" s="14" t="s">
        <v>91</v>
      </c>
      <c r="E75" s="14" t="s">
        <v>35</v>
      </c>
      <c r="F75" s="14" t="s">
        <v>92</v>
      </c>
      <c r="G75" s="16" t="s">
        <v>31</v>
      </c>
      <c r="H75" s="14" t="s">
        <v>93</v>
      </c>
      <c r="I75" s="15">
        <v>33349</v>
      </c>
      <c r="J75" s="16" t="s">
        <v>94</v>
      </c>
      <c r="K75" s="14" t="s">
        <v>95</v>
      </c>
      <c r="L75" t="s">
        <v>40</v>
      </c>
    </row>
    <row r="76" spans="1:12" x14ac:dyDescent="0.25">
      <c r="A76" s="19" t="s">
        <v>256</v>
      </c>
      <c r="B76" s="14" t="s">
        <v>257</v>
      </c>
      <c r="C76" s="15">
        <v>45299</v>
      </c>
      <c r="D76" s="14" t="s">
        <v>91</v>
      </c>
      <c r="E76" s="14" t="s">
        <v>35</v>
      </c>
      <c r="F76" s="14" t="s">
        <v>92</v>
      </c>
      <c r="G76" s="16" t="s">
        <v>31</v>
      </c>
      <c r="H76" s="14" t="s">
        <v>258</v>
      </c>
      <c r="I76" s="15">
        <v>36715</v>
      </c>
      <c r="J76" s="16" t="s">
        <v>94</v>
      </c>
      <c r="K76" s="14" t="s">
        <v>95</v>
      </c>
      <c r="L76" t="s">
        <v>38</v>
      </c>
    </row>
    <row r="77" spans="1:12" x14ac:dyDescent="0.25">
      <c r="A77" s="19" t="s">
        <v>259</v>
      </c>
      <c r="B77" s="14" t="s">
        <v>260</v>
      </c>
      <c r="C77" s="15">
        <v>44896</v>
      </c>
      <c r="D77" s="14" t="s">
        <v>91</v>
      </c>
      <c r="E77" s="14" t="s">
        <v>35</v>
      </c>
      <c r="F77" s="14" t="s">
        <v>92</v>
      </c>
      <c r="G77" s="16" t="s">
        <v>31</v>
      </c>
      <c r="H77" s="14" t="s">
        <v>93</v>
      </c>
      <c r="I77" s="15">
        <v>35325</v>
      </c>
      <c r="J77" s="16" t="s">
        <v>94</v>
      </c>
      <c r="K77" s="14" t="s">
        <v>95</v>
      </c>
      <c r="L77" t="s">
        <v>40</v>
      </c>
    </row>
    <row r="78" spans="1:12" x14ac:dyDescent="0.25">
      <c r="A78" s="19" t="s">
        <v>261</v>
      </c>
      <c r="B78" s="14" t="s">
        <v>262</v>
      </c>
      <c r="C78" s="15">
        <v>45233</v>
      </c>
      <c r="D78" s="14" t="s">
        <v>91</v>
      </c>
      <c r="E78" s="14" t="s">
        <v>35</v>
      </c>
      <c r="F78" s="14" t="s">
        <v>92</v>
      </c>
      <c r="G78" s="16" t="s">
        <v>37</v>
      </c>
      <c r="H78" s="14" t="s">
        <v>111</v>
      </c>
      <c r="I78" s="15">
        <v>33553</v>
      </c>
      <c r="J78" s="16" t="s">
        <v>94</v>
      </c>
      <c r="K78" s="14" t="s">
        <v>95</v>
      </c>
      <c r="L78" t="s">
        <v>40</v>
      </c>
    </row>
    <row r="79" spans="1:12" x14ac:dyDescent="0.25">
      <c r="A79" s="19" t="s">
        <v>263</v>
      </c>
      <c r="B79" s="14" t="s">
        <v>264</v>
      </c>
      <c r="C79" s="15">
        <v>45338</v>
      </c>
      <c r="D79" s="14" t="s">
        <v>91</v>
      </c>
      <c r="E79" s="14" t="s">
        <v>35</v>
      </c>
      <c r="F79" s="14" t="s">
        <v>92</v>
      </c>
      <c r="G79" s="16" t="s">
        <v>37</v>
      </c>
      <c r="H79" s="14" t="s">
        <v>265</v>
      </c>
      <c r="I79" s="15">
        <v>36539</v>
      </c>
      <c r="J79" s="16" t="s">
        <v>94</v>
      </c>
      <c r="K79" s="14" t="s">
        <v>95</v>
      </c>
      <c r="L79" t="s">
        <v>38</v>
      </c>
    </row>
    <row r="80" spans="1:12" x14ac:dyDescent="0.25">
      <c r="A80" s="19" t="s">
        <v>266</v>
      </c>
      <c r="B80" s="14" t="s">
        <v>267</v>
      </c>
      <c r="C80" s="15">
        <v>41313</v>
      </c>
      <c r="D80" s="14" t="s">
        <v>91</v>
      </c>
      <c r="E80" s="14" t="s">
        <v>35</v>
      </c>
      <c r="F80" s="14" t="s">
        <v>110</v>
      </c>
      <c r="G80" s="16" t="s">
        <v>31</v>
      </c>
      <c r="H80" s="14" t="s">
        <v>93</v>
      </c>
      <c r="I80" s="15">
        <v>26541</v>
      </c>
      <c r="J80" s="16" t="s">
        <v>94</v>
      </c>
      <c r="K80" s="14" t="s">
        <v>95</v>
      </c>
      <c r="L80" t="s">
        <v>40</v>
      </c>
    </row>
    <row r="81" spans="1:12" x14ac:dyDescent="0.25">
      <c r="A81" s="19" t="s">
        <v>268</v>
      </c>
      <c r="B81" s="14" t="s">
        <v>269</v>
      </c>
      <c r="C81" s="15">
        <v>41320</v>
      </c>
      <c r="D81" s="14" t="s">
        <v>91</v>
      </c>
      <c r="E81" s="14" t="s">
        <v>35</v>
      </c>
      <c r="F81" s="14" t="s">
        <v>110</v>
      </c>
      <c r="G81" s="16" t="s">
        <v>37</v>
      </c>
      <c r="H81" s="14" t="s">
        <v>111</v>
      </c>
      <c r="I81" s="15">
        <v>30979</v>
      </c>
      <c r="J81" s="16" t="s">
        <v>94</v>
      </c>
      <c r="K81" s="14" t="s">
        <v>95</v>
      </c>
      <c r="L81" t="s">
        <v>40</v>
      </c>
    </row>
    <row r="82" spans="1:12" x14ac:dyDescent="0.25">
      <c r="A82" s="19" t="s">
        <v>270</v>
      </c>
      <c r="B82" s="14" t="s">
        <v>271</v>
      </c>
      <c r="C82" s="15">
        <v>44637</v>
      </c>
      <c r="D82" s="14" t="s">
        <v>91</v>
      </c>
      <c r="E82" s="14" t="s">
        <v>35</v>
      </c>
      <c r="F82" s="14" t="s">
        <v>92</v>
      </c>
      <c r="G82" s="16" t="s">
        <v>31</v>
      </c>
      <c r="H82" s="14" t="s">
        <v>93</v>
      </c>
      <c r="I82" s="15">
        <v>36857</v>
      </c>
      <c r="J82" s="16" t="s">
        <v>94</v>
      </c>
      <c r="K82" s="14" t="s">
        <v>95</v>
      </c>
      <c r="L82" t="s">
        <v>40</v>
      </c>
    </row>
    <row r="83" spans="1:12" x14ac:dyDescent="0.25">
      <c r="A83" s="19" t="s">
        <v>272</v>
      </c>
      <c r="B83" s="14" t="s">
        <v>273</v>
      </c>
      <c r="C83" s="15">
        <v>44805</v>
      </c>
      <c r="D83" s="14" t="s">
        <v>91</v>
      </c>
      <c r="E83" s="14" t="s">
        <v>35</v>
      </c>
      <c r="F83" s="14" t="s">
        <v>92</v>
      </c>
      <c r="G83" s="16" t="s">
        <v>31</v>
      </c>
      <c r="H83" s="14" t="s">
        <v>93</v>
      </c>
      <c r="I83" s="15">
        <v>37092</v>
      </c>
      <c r="J83" s="16" t="s">
        <v>94</v>
      </c>
      <c r="K83" s="14" t="s">
        <v>95</v>
      </c>
      <c r="L83" t="s">
        <v>40</v>
      </c>
    </row>
    <row r="84" spans="1:12" x14ac:dyDescent="0.25">
      <c r="A84" s="19" t="s">
        <v>274</v>
      </c>
      <c r="B84" s="14" t="s">
        <v>275</v>
      </c>
      <c r="C84" s="15">
        <v>41313</v>
      </c>
      <c r="D84" s="14" t="s">
        <v>91</v>
      </c>
      <c r="E84" s="14" t="s">
        <v>35</v>
      </c>
      <c r="F84" s="14" t="s">
        <v>92</v>
      </c>
      <c r="G84" s="16" t="s">
        <v>31</v>
      </c>
      <c r="H84" s="14" t="s">
        <v>93</v>
      </c>
      <c r="I84" s="15">
        <v>31507</v>
      </c>
      <c r="J84" s="16" t="s">
        <v>94</v>
      </c>
      <c r="K84" s="14" t="s">
        <v>95</v>
      </c>
      <c r="L84" t="s">
        <v>40</v>
      </c>
    </row>
    <row r="85" spans="1:12" x14ac:dyDescent="0.25">
      <c r="A85" s="19" t="s">
        <v>276</v>
      </c>
      <c r="B85" s="14" t="s">
        <v>277</v>
      </c>
      <c r="C85" s="15">
        <v>45001</v>
      </c>
      <c r="D85" s="14" t="s">
        <v>91</v>
      </c>
      <c r="E85" s="14" t="s">
        <v>35</v>
      </c>
      <c r="F85" s="14" t="s">
        <v>92</v>
      </c>
      <c r="G85" s="16" t="s">
        <v>31</v>
      </c>
      <c r="H85" s="14" t="s">
        <v>139</v>
      </c>
      <c r="I85" s="15">
        <v>31740</v>
      </c>
      <c r="J85" s="16" t="s">
        <v>94</v>
      </c>
      <c r="K85" s="14" t="s">
        <v>95</v>
      </c>
      <c r="L85" t="s">
        <v>38</v>
      </c>
    </row>
    <row r="86" spans="1:12" x14ac:dyDescent="0.25">
      <c r="A86" s="19" t="s">
        <v>278</v>
      </c>
      <c r="B86" s="14" t="s">
        <v>279</v>
      </c>
      <c r="C86" s="15">
        <v>44805</v>
      </c>
      <c r="D86" s="14" t="s">
        <v>91</v>
      </c>
      <c r="E86" s="14" t="s">
        <v>35</v>
      </c>
      <c r="F86" s="14" t="s">
        <v>92</v>
      </c>
      <c r="G86" s="16" t="s">
        <v>37</v>
      </c>
      <c r="H86" s="14" t="s">
        <v>98</v>
      </c>
      <c r="I86" s="15">
        <v>33623</v>
      </c>
      <c r="J86" s="16" t="s">
        <v>94</v>
      </c>
      <c r="K86" s="14" t="s">
        <v>95</v>
      </c>
      <c r="L86" t="s">
        <v>40</v>
      </c>
    </row>
    <row r="87" spans="1:12" x14ac:dyDescent="0.25">
      <c r="A87" s="19" t="s">
        <v>280</v>
      </c>
      <c r="B87" s="14" t="s">
        <v>281</v>
      </c>
      <c r="C87" s="15">
        <v>45146</v>
      </c>
      <c r="D87" s="14" t="s">
        <v>91</v>
      </c>
      <c r="E87" s="14" t="s">
        <v>35</v>
      </c>
      <c r="F87" s="14" t="s">
        <v>92</v>
      </c>
      <c r="G87" s="16" t="s">
        <v>37</v>
      </c>
      <c r="H87" s="14" t="s">
        <v>120</v>
      </c>
      <c r="I87" s="15">
        <v>36765</v>
      </c>
      <c r="J87" s="16" t="s">
        <v>94</v>
      </c>
      <c r="K87" s="14" t="s">
        <v>95</v>
      </c>
      <c r="L87" t="s">
        <v>38</v>
      </c>
    </row>
    <row r="88" spans="1:12" x14ac:dyDescent="0.25">
      <c r="A88" s="19" t="s">
        <v>282</v>
      </c>
      <c r="B88" s="14" t="s">
        <v>283</v>
      </c>
      <c r="C88" s="15">
        <v>44482</v>
      </c>
      <c r="D88" s="14" t="s">
        <v>91</v>
      </c>
      <c r="E88" s="14" t="s">
        <v>35</v>
      </c>
      <c r="F88" s="14" t="s">
        <v>92</v>
      </c>
      <c r="G88" s="16" t="s">
        <v>31</v>
      </c>
      <c r="H88" s="14" t="s">
        <v>93</v>
      </c>
      <c r="I88" s="15">
        <v>33854</v>
      </c>
      <c r="J88" s="16" t="s">
        <v>94</v>
      </c>
      <c r="K88" s="14" t="s">
        <v>95</v>
      </c>
      <c r="L88" t="s">
        <v>40</v>
      </c>
    </row>
    <row r="89" spans="1:12" x14ac:dyDescent="0.25">
      <c r="A89" s="19" t="s">
        <v>284</v>
      </c>
      <c r="B89" s="14" t="s">
        <v>285</v>
      </c>
      <c r="C89" s="15">
        <v>45233</v>
      </c>
      <c r="D89" s="14" t="s">
        <v>91</v>
      </c>
      <c r="E89" s="14" t="s">
        <v>35</v>
      </c>
      <c r="F89" s="14" t="s">
        <v>92</v>
      </c>
      <c r="G89" s="16" t="s">
        <v>37</v>
      </c>
      <c r="H89" s="14" t="s">
        <v>120</v>
      </c>
      <c r="I89" s="15">
        <v>33951</v>
      </c>
      <c r="J89" s="16" t="s">
        <v>94</v>
      </c>
      <c r="K89" s="14" t="s">
        <v>95</v>
      </c>
      <c r="L89" t="s">
        <v>38</v>
      </c>
    </row>
    <row r="90" spans="1:12" x14ac:dyDescent="0.25">
      <c r="A90" s="19" t="s">
        <v>286</v>
      </c>
      <c r="B90" s="14" t="s">
        <v>287</v>
      </c>
      <c r="C90" s="15">
        <v>44966</v>
      </c>
      <c r="D90" s="14" t="s">
        <v>91</v>
      </c>
      <c r="E90" s="14" t="s">
        <v>35</v>
      </c>
      <c r="F90" s="14" t="s">
        <v>92</v>
      </c>
      <c r="G90" s="16" t="s">
        <v>37</v>
      </c>
      <c r="H90" s="14" t="s">
        <v>98</v>
      </c>
      <c r="I90" s="15">
        <v>34882</v>
      </c>
      <c r="J90" s="16" t="s">
        <v>94</v>
      </c>
      <c r="K90" s="14" t="s">
        <v>95</v>
      </c>
      <c r="L90" t="s">
        <v>40</v>
      </c>
    </row>
    <row r="91" spans="1:12" x14ac:dyDescent="0.25">
      <c r="A91" s="19" t="s">
        <v>288</v>
      </c>
      <c r="B91" s="14" t="s">
        <v>289</v>
      </c>
      <c r="C91" s="15">
        <v>41313</v>
      </c>
      <c r="D91" s="14" t="s">
        <v>91</v>
      </c>
      <c r="E91" s="14" t="s">
        <v>35</v>
      </c>
      <c r="F91" s="14" t="s">
        <v>110</v>
      </c>
      <c r="G91" s="16" t="s">
        <v>31</v>
      </c>
      <c r="H91" s="14" t="s">
        <v>93</v>
      </c>
      <c r="I91" s="15">
        <v>26407</v>
      </c>
      <c r="J91" s="16" t="s">
        <v>94</v>
      </c>
      <c r="K91" s="14" t="s">
        <v>95</v>
      </c>
      <c r="L91" t="s">
        <v>40</v>
      </c>
    </row>
    <row r="92" spans="1:12" x14ac:dyDescent="0.25">
      <c r="A92" s="19" t="s">
        <v>290</v>
      </c>
      <c r="B92" s="14" t="s">
        <v>291</v>
      </c>
      <c r="C92" s="15">
        <v>44785</v>
      </c>
      <c r="D92" s="14" t="s">
        <v>91</v>
      </c>
      <c r="E92" s="14" t="s">
        <v>35</v>
      </c>
      <c r="F92" s="14" t="s">
        <v>92</v>
      </c>
      <c r="G92" s="16" t="s">
        <v>37</v>
      </c>
      <c r="H92" s="14" t="s">
        <v>98</v>
      </c>
      <c r="I92" s="15">
        <v>35346</v>
      </c>
      <c r="J92" s="16" t="s">
        <v>94</v>
      </c>
      <c r="K92" s="14" t="s">
        <v>95</v>
      </c>
      <c r="L92" t="s">
        <v>40</v>
      </c>
    </row>
    <row r="93" spans="1:12" x14ac:dyDescent="0.25">
      <c r="A93" s="19" t="s">
        <v>292</v>
      </c>
      <c r="B93" s="14" t="s">
        <v>293</v>
      </c>
      <c r="C93" s="15">
        <v>41313</v>
      </c>
      <c r="D93" s="14" t="s">
        <v>91</v>
      </c>
      <c r="E93" s="14" t="s">
        <v>35</v>
      </c>
      <c r="F93" s="14" t="s">
        <v>92</v>
      </c>
      <c r="G93" s="16" t="s">
        <v>31</v>
      </c>
      <c r="H93" s="14" t="s">
        <v>93</v>
      </c>
      <c r="I93" s="15">
        <v>30308</v>
      </c>
      <c r="J93" s="16" t="s">
        <v>94</v>
      </c>
      <c r="K93" s="14" t="s">
        <v>95</v>
      </c>
      <c r="L93" t="s">
        <v>40</v>
      </c>
    </row>
    <row r="94" spans="1:12" x14ac:dyDescent="0.25">
      <c r="A94" s="19" t="s">
        <v>294</v>
      </c>
      <c r="B94" s="14" t="s">
        <v>295</v>
      </c>
      <c r="C94" s="15">
        <v>44963</v>
      </c>
      <c r="D94" s="14" t="s">
        <v>91</v>
      </c>
      <c r="E94" s="14" t="s">
        <v>35</v>
      </c>
      <c r="F94" s="14" t="s">
        <v>127</v>
      </c>
      <c r="G94" s="16" t="s">
        <v>31</v>
      </c>
      <c r="H94" s="14" t="s">
        <v>93</v>
      </c>
      <c r="I94" s="15">
        <v>32503</v>
      </c>
      <c r="J94" s="16" t="s">
        <v>94</v>
      </c>
      <c r="K94" s="14" t="s">
        <v>95</v>
      </c>
      <c r="L94" t="s">
        <v>40</v>
      </c>
    </row>
    <row r="95" spans="1:12" x14ac:dyDescent="0.25">
      <c r="A95" s="19" t="s">
        <v>296</v>
      </c>
      <c r="B95" s="14" t="s">
        <v>297</v>
      </c>
      <c r="C95" s="15">
        <v>43525</v>
      </c>
      <c r="D95" s="14" t="s">
        <v>91</v>
      </c>
      <c r="E95" s="14" t="s">
        <v>35</v>
      </c>
      <c r="F95" s="14" t="s">
        <v>92</v>
      </c>
      <c r="G95" s="16" t="s">
        <v>37</v>
      </c>
      <c r="H95" s="14" t="s">
        <v>98</v>
      </c>
      <c r="I95" s="15">
        <v>32524</v>
      </c>
      <c r="J95" s="16" t="s">
        <v>94</v>
      </c>
      <c r="K95" s="14" t="s">
        <v>95</v>
      </c>
      <c r="L95" t="s">
        <v>40</v>
      </c>
    </row>
    <row r="96" spans="1:12" x14ac:dyDescent="0.25">
      <c r="A96" s="19" t="s">
        <v>298</v>
      </c>
      <c r="B96" s="14" t="s">
        <v>299</v>
      </c>
      <c r="C96" s="15">
        <v>44837</v>
      </c>
      <c r="D96" s="14" t="s">
        <v>123</v>
      </c>
      <c r="E96" s="14" t="s">
        <v>35</v>
      </c>
      <c r="F96" s="14" t="s">
        <v>92</v>
      </c>
      <c r="G96" s="16" t="s">
        <v>37</v>
      </c>
      <c r="H96" s="14" t="s">
        <v>98</v>
      </c>
      <c r="I96" s="15">
        <v>34085</v>
      </c>
      <c r="J96" s="16" t="s">
        <v>94</v>
      </c>
      <c r="K96" s="14" t="s">
        <v>124</v>
      </c>
      <c r="L96" t="s">
        <v>40</v>
      </c>
    </row>
    <row r="97" spans="1:12" x14ac:dyDescent="0.25">
      <c r="A97" s="19" t="s">
        <v>300</v>
      </c>
      <c r="B97" s="14" t="s">
        <v>301</v>
      </c>
      <c r="C97" s="15">
        <v>44571</v>
      </c>
      <c r="D97" s="14" t="s">
        <v>123</v>
      </c>
      <c r="E97" s="14" t="s">
        <v>35</v>
      </c>
      <c r="F97" s="14" t="s">
        <v>92</v>
      </c>
      <c r="G97" s="16" t="s">
        <v>37</v>
      </c>
      <c r="H97" s="14" t="s">
        <v>98</v>
      </c>
      <c r="I97" s="15">
        <v>34846</v>
      </c>
      <c r="J97" s="16" t="s">
        <v>94</v>
      </c>
      <c r="K97" s="14" t="s">
        <v>124</v>
      </c>
      <c r="L97" t="s">
        <v>40</v>
      </c>
    </row>
    <row r="98" spans="1:12" x14ac:dyDescent="0.25">
      <c r="A98" s="19" t="s">
        <v>302</v>
      </c>
      <c r="B98" s="14" t="s">
        <v>303</v>
      </c>
      <c r="C98" s="15">
        <v>44727</v>
      </c>
      <c r="D98" s="14" t="s">
        <v>91</v>
      </c>
      <c r="E98" s="14" t="s">
        <v>35</v>
      </c>
      <c r="F98" s="14" t="s">
        <v>92</v>
      </c>
      <c r="G98" s="16" t="s">
        <v>31</v>
      </c>
      <c r="H98" s="14" t="s">
        <v>93</v>
      </c>
      <c r="I98" s="15">
        <v>36223</v>
      </c>
      <c r="J98" s="16" t="s">
        <v>94</v>
      </c>
      <c r="K98" s="14" t="s">
        <v>95</v>
      </c>
      <c r="L98" t="s">
        <v>40</v>
      </c>
    </row>
    <row r="99" spans="1:12" x14ac:dyDescent="0.25">
      <c r="A99" s="19" t="s">
        <v>304</v>
      </c>
      <c r="B99" s="14" t="s">
        <v>305</v>
      </c>
      <c r="C99" s="15">
        <v>44868</v>
      </c>
      <c r="D99" s="14" t="s">
        <v>123</v>
      </c>
      <c r="E99" s="14" t="s">
        <v>35</v>
      </c>
      <c r="F99" s="14" t="s">
        <v>92</v>
      </c>
      <c r="G99" s="16" t="s">
        <v>31</v>
      </c>
      <c r="H99" s="14" t="s">
        <v>93</v>
      </c>
      <c r="I99" s="15">
        <v>36469</v>
      </c>
      <c r="J99" s="16" t="s">
        <v>94</v>
      </c>
      <c r="K99" s="14" t="s">
        <v>124</v>
      </c>
      <c r="L99" t="s">
        <v>40</v>
      </c>
    </row>
    <row r="100" spans="1:12" x14ac:dyDescent="0.25">
      <c r="A100" s="19" t="s">
        <v>306</v>
      </c>
      <c r="B100" s="14" t="s">
        <v>307</v>
      </c>
      <c r="C100" s="15">
        <v>45155</v>
      </c>
      <c r="D100" s="14" t="s">
        <v>91</v>
      </c>
      <c r="E100" s="14" t="s">
        <v>35</v>
      </c>
      <c r="F100" s="14" t="s">
        <v>92</v>
      </c>
      <c r="G100" s="16" t="s">
        <v>31</v>
      </c>
      <c r="H100" s="14" t="s">
        <v>93</v>
      </c>
      <c r="I100" s="15">
        <v>35099</v>
      </c>
      <c r="J100" s="16" t="s">
        <v>94</v>
      </c>
      <c r="K100" s="14" t="s">
        <v>95</v>
      </c>
      <c r="L100" t="s">
        <v>40</v>
      </c>
    </row>
    <row r="101" spans="1:12" x14ac:dyDescent="0.25">
      <c r="A101" s="19" t="s">
        <v>308</v>
      </c>
      <c r="B101" s="14" t="s">
        <v>309</v>
      </c>
      <c r="C101" s="15">
        <v>44805</v>
      </c>
      <c r="D101" s="14" t="s">
        <v>91</v>
      </c>
      <c r="E101" s="14" t="s">
        <v>35</v>
      </c>
      <c r="F101" s="14" t="s">
        <v>92</v>
      </c>
      <c r="G101" s="16" t="s">
        <v>37</v>
      </c>
      <c r="H101" s="14" t="s">
        <v>98</v>
      </c>
      <c r="I101" s="15">
        <v>35058</v>
      </c>
      <c r="J101" s="16" t="s">
        <v>94</v>
      </c>
      <c r="K101" s="14" t="s">
        <v>95</v>
      </c>
      <c r="L101" t="s">
        <v>40</v>
      </c>
    </row>
    <row r="102" spans="1:12" x14ac:dyDescent="0.25">
      <c r="A102" s="19" t="s">
        <v>310</v>
      </c>
      <c r="B102" s="14" t="s">
        <v>311</v>
      </c>
      <c r="C102" s="15">
        <v>45001</v>
      </c>
      <c r="D102" s="14" t="s">
        <v>91</v>
      </c>
      <c r="E102" s="14" t="s">
        <v>35</v>
      </c>
      <c r="F102" s="14" t="s">
        <v>92</v>
      </c>
      <c r="G102" s="16" t="s">
        <v>31</v>
      </c>
      <c r="H102" s="14" t="s">
        <v>93</v>
      </c>
      <c r="I102" s="15">
        <v>35465</v>
      </c>
      <c r="J102" s="16" t="s">
        <v>94</v>
      </c>
      <c r="K102" s="14" t="s">
        <v>95</v>
      </c>
      <c r="L102" t="s">
        <v>40</v>
      </c>
    </row>
    <row r="103" spans="1:12" x14ac:dyDescent="0.25">
      <c r="A103" s="19" t="s">
        <v>312</v>
      </c>
      <c r="B103" s="14" t="s">
        <v>313</v>
      </c>
      <c r="C103" s="15">
        <v>43865</v>
      </c>
      <c r="D103" s="14" t="s">
        <v>91</v>
      </c>
      <c r="E103" s="14" t="s">
        <v>35</v>
      </c>
      <c r="F103" s="14" t="s">
        <v>92</v>
      </c>
      <c r="G103" s="16" t="s">
        <v>31</v>
      </c>
      <c r="H103" s="14" t="s">
        <v>93</v>
      </c>
      <c r="I103" s="15">
        <v>33464</v>
      </c>
      <c r="J103" s="16" t="s">
        <v>103</v>
      </c>
      <c r="K103" s="14" t="s">
        <v>95</v>
      </c>
      <c r="L103" t="s">
        <v>40</v>
      </c>
    </row>
    <row r="104" spans="1:12" x14ac:dyDescent="0.25">
      <c r="A104" s="19" t="s">
        <v>314</v>
      </c>
      <c r="B104" s="14" t="s">
        <v>315</v>
      </c>
      <c r="C104" s="15">
        <v>44417</v>
      </c>
      <c r="D104" s="14" t="s">
        <v>91</v>
      </c>
      <c r="E104" s="14" t="s">
        <v>35</v>
      </c>
      <c r="F104" s="14" t="s">
        <v>92</v>
      </c>
      <c r="G104" s="16" t="s">
        <v>37</v>
      </c>
      <c r="H104" s="14" t="s">
        <v>98</v>
      </c>
      <c r="I104" s="15">
        <v>33773</v>
      </c>
      <c r="J104" s="16" t="s">
        <v>94</v>
      </c>
      <c r="K104" s="14" t="s">
        <v>95</v>
      </c>
      <c r="L104" t="s">
        <v>40</v>
      </c>
    </row>
    <row r="105" spans="1:12" x14ac:dyDescent="0.25">
      <c r="A105" s="19" t="s">
        <v>316</v>
      </c>
      <c r="B105" s="14" t="s">
        <v>317</v>
      </c>
      <c r="C105" s="15">
        <v>41313</v>
      </c>
      <c r="D105" s="14" t="s">
        <v>91</v>
      </c>
      <c r="E105" s="14" t="s">
        <v>35</v>
      </c>
      <c r="F105" s="14" t="s">
        <v>92</v>
      </c>
      <c r="G105" s="16" t="s">
        <v>31</v>
      </c>
      <c r="H105" s="14" t="s">
        <v>93</v>
      </c>
      <c r="I105" s="15">
        <v>26525</v>
      </c>
      <c r="J105" s="16" t="s">
        <v>94</v>
      </c>
      <c r="K105" s="14" t="s">
        <v>95</v>
      </c>
      <c r="L105" t="s">
        <v>40</v>
      </c>
    </row>
    <row r="106" spans="1:12" x14ac:dyDescent="0.25">
      <c r="A106" s="19" t="s">
        <v>318</v>
      </c>
      <c r="B106" s="14" t="s">
        <v>319</v>
      </c>
      <c r="C106" s="15">
        <v>44305</v>
      </c>
      <c r="D106" s="14" t="s">
        <v>91</v>
      </c>
      <c r="E106" s="14" t="s">
        <v>35</v>
      </c>
      <c r="F106" s="14" t="s">
        <v>127</v>
      </c>
      <c r="G106" s="16" t="s">
        <v>37</v>
      </c>
      <c r="H106" s="14" t="s">
        <v>98</v>
      </c>
      <c r="I106" s="15">
        <v>29996</v>
      </c>
      <c r="J106" s="16" t="s">
        <v>94</v>
      </c>
      <c r="K106" s="14" t="s">
        <v>95</v>
      </c>
      <c r="L106" t="s">
        <v>40</v>
      </c>
    </row>
    <row r="107" spans="1:12" x14ac:dyDescent="0.25">
      <c r="A107" s="19" t="s">
        <v>320</v>
      </c>
      <c r="B107" s="14" t="s">
        <v>321</v>
      </c>
      <c r="C107" s="15">
        <v>44896</v>
      </c>
      <c r="D107" s="14" t="s">
        <v>91</v>
      </c>
      <c r="E107" s="14" t="s">
        <v>35</v>
      </c>
      <c r="F107" s="14" t="s">
        <v>92</v>
      </c>
      <c r="G107" s="16" t="s">
        <v>37</v>
      </c>
      <c r="H107" s="14" t="s">
        <v>98</v>
      </c>
      <c r="I107" s="15">
        <v>35600</v>
      </c>
      <c r="J107" s="16" t="s">
        <v>94</v>
      </c>
      <c r="K107" s="14" t="s">
        <v>95</v>
      </c>
      <c r="L107" t="s">
        <v>40</v>
      </c>
    </row>
    <row r="108" spans="1:12" x14ac:dyDescent="0.25">
      <c r="A108" s="19" t="s">
        <v>322</v>
      </c>
      <c r="B108" s="14" t="s">
        <v>323</v>
      </c>
      <c r="C108" s="15">
        <v>44518</v>
      </c>
      <c r="D108" s="14" t="s">
        <v>91</v>
      </c>
      <c r="E108" s="14" t="s">
        <v>35</v>
      </c>
      <c r="F108" s="14" t="s">
        <v>92</v>
      </c>
      <c r="G108" s="16" t="s">
        <v>31</v>
      </c>
      <c r="H108" s="14" t="s">
        <v>93</v>
      </c>
      <c r="I108" s="15">
        <v>33616</v>
      </c>
      <c r="J108" s="16" t="s">
        <v>94</v>
      </c>
      <c r="K108" s="14" t="s">
        <v>95</v>
      </c>
      <c r="L108" t="s">
        <v>40</v>
      </c>
    </row>
    <row r="109" spans="1:12" x14ac:dyDescent="0.25">
      <c r="A109" s="19" t="s">
        <v>324</v>
      </c>
      <c r="B109" s="14" t="s">
        <v>325</v>
      </c>
      <c r="C109" s="15">
        <v>45264</v>
      </c>
      <c r="D109" s="14" t="s">
        <v>91</v>
      </c>
      <c r="E109" s="14" t="s">
        <v>35</v>
      </c>
      <c r="F109" s="14" t="s">
        <v>92</v>
      </c>
      <c r="G109" s="16" t="s">
        <v>37</v>
      </c>
      <c r="H109" s="14" t="s">
        <v>148</v>
      </c>
      <c r="I109" s="15">
        <v>37101</v>
      </c>
      <c r="J109" s="16" t="s">
        <v>94</v>
      </c>
      <c r="K109" s="14" t="s">
        <v>95</v>
      </c>
      <c r="L109" t="s">
        <v>38</v>
      </c>
    </row>
    <row r="110" spans="1:12" x14ac:dyDescent="0.25">
      <c r="A110" s="19" t="s">
        <v>326</v>
      </c>
      <c r="B110" s="14" t="s">
        <v>327</v>
      </c>
      <c r="C110" s="15">
        <v>44166</v>
      </c>
      <c r="D110" s="14" t="s">
        <v>91</v>
      </c>
      <c r="E110" s="14" t="s">
        <v>35</v>
      </c>
      <c r="F110" s="14" t="s">
        <v>92</v>
      </c>
      <c r="G110" s="16" t="s">
        <v>37</v>
      </c>
      <c r="H110" s="14" t="s">
        <v>98</v>
      </c>
      <c r="I110" s="15">
        <v>32826</v>
      </c>
      <c r="J110" s="16" t="s">
        <v>94</v>
      </c>
      <c r="K110" s="14" t="s">
        <v>95</v>
      </c>
      <c r="L110" t="s">
        <v>40</v>
      </c>
    </row>
    <row r="111" spans="1:12" x14ac:dyDescent="0.25">
      <c r="A111" s="19" t="s">
        <v>328</v>
      </c>
      <c r="B111" s="14" t="s">
        <v>329</v>
      </c>
      <c r="C111" s="15">
        <v>41313</v>
      </c>
      <c r="D111" s="14" t="s">
        <v>91</v>
      </c>
      <c r="E111" s="14" t="s">
        <v>35</v>
      </c>
      <c r="F111" s="14" t="s">
        <v>92</v>
      </c>
      <c r="G111" s="16" t="s">
        <v>31</v>
      </c>
      <c r="H111" s="14" t="s">
        <v>93</v>
      </c>
      <c r="I111" s="15">
        <v>32334</v>
      </c>
      <c r="J111" s="16" t="s">
        <v>94</v>
      </c>
      <c r="K111" s="14" t="s">
        <v>95</v>
      </c>
      <c r="L111" t="s">
        <v>40</v>
      </c>
    </row>
    <row r="112" spans="1:12" x14ac:dyDescent="0.25">
      <c r="A112" s="19" t="s">
        <v>330</v>
      </c>
      <c r="B112" s="14" t="s">
        <v>331</v>
      </c>
      <c r="C112" s="15">
        <v>44818</v>
      </c>
      <c r="D112" s="14" t="s">
        <v>91</v>
      </c>
      <c r="E112" s="14" t="s">
        <v>35</v>
      </c>
      <c r="F112" s="14" t="s">
        <v>92</v>
      </c>
      <c r="G112" s="16" t="s">
        <v>37</v>
      </c>
      <c r="H112" s="14" t="s">
        <v>98</v>
      </c>
      <c r="I112" s="15">
        <v>36120</v>
      </c>
      <c r="J112" s="16" t="s">
        <v>94</v>
      </c>
      <c r="K112" s="14" t="s">
        <v>95</v>
      </c>
      <c r="L112" t="s">
        <v>40</v>
      </c>
    </row>
    <row r="113" spans="1:12" x14ac:dyDescent="0.25">
      <c r="A113" s="19" t="s">
        <v>332</v>
      </c>
      <c r="B113" s="14" t="s">
        <v>333</v>
      </c>
      <c r="C113" s="15">
        <v>44348</v>
      </c>
      <c r="D113" s="14" t="s">
        <v>91</v>
      </c>
      <c r="E113" s="14" t="s">
        <v>35</v>
      </c>
      <c r="F113" s="14" t="s">
        <v>92</v>
      </c>
      <c r="G113" s="16" t="s">
        <v>37</v>
      </c>
      <c r="H113" s="14" t="s">
        <v>98</v>
      </c>
      <c r="I113" s="15">
        <v>35775</v>
      </c>
      <c r="J113" s="16" t="s">
        <v>94</v>
      </c>
      <c r="K113" s="14" t="s">
        <v>95</v>
      </c>
      <c r="L113" t="s">
        <v>40</v>
      </c>
    </row>
    <row r="114" spans="1:12" x14ac:dyDescent="0.25">
      <c r="A114" s="19" t="s">
        <v>334</v>
      </c>
      <c r="B114" s="14" t="s">
        <v>335</v>
      </c>
      <c r="C114" s="15">
        <v>44818</v>
      </c>
      <c r="D114" s="14" t="s">
        <v>91</v>
      </c>
      <c r="E114" s="14" t="s">
        <v>35</v>
      </c>
      <c r="F114" s="14" t="s">
        <v>92</v>
      </c>
      <c r="G114" s="16" t="s">
        <v>37</v>
      </c>
      <c r="H114" s="14" t="s">
        <v>98</v>
      </c>
      <c r="I114" s="15">
        <v>34791</v>
      </c>
      <c r="J114" s="16" t="s">
        <v>94</v>
      </c>
      <c r="K114" s="14" t="s">
        <v>95</v>
      </c>
      <c r="L114" t="s">
        <v>40</v>
      </c>
    </row>
    <row r="115" spans="1:12" x14ac:dyDescent="0.25">
      <c r="A115" s="19" t="s">
        <v>336</v>
      </c>
      <c r="B115" s="14" t="s">
        <v>337</v>
      </c>
      <c r="C115" s="15">
        <v>44868</v>
      </c>
      <c r="D115" s="14" t="s">
        <v>91</v>
      </c>
      <c r="E115" s="14" t="s">
        <v>35</v>
      </c>
      <c r="F115" s="14" t="s">
        <v>127</v>
      </c>
      <c r="G115" s="16" t="s">
        <v>31</v>
      </c>
      <c r="H115" s="14" t="s">
        <v>93</v>
      </c>
      <c r="I115" s="15">
        <v>35335</v>
      </c>
      <c r="J115" s="16" t="s">
        <v>94</v>
      </c>
      <c r="K115" s="14" t="s">
        <v>95</v>
      </c>
      <c r="L115" t="s">
        <v>40</v>
      </c>
    </row>
    <row r="116" spans="1:12" x14ac:dyDescent="0.25">
      <c r="A116" s="19" t="s">
        <v>338</v>
      </c>
      <c r="B116" s="14" t="s">
        <v>339</v>
      </c>
      <c r="C116" s="15">
        <v>44683</v>
      </c>
      <c r="D116" s="14" t="s">
        <v>91</v>
      </c>
      <c r="E116" s="14" t="s">
        <v>35</v>
      </c>
      <c r="F116" s="14" t="s">
        <v>92</v>
      </c>
      <c r="G116" s="16" t="s">
        <v>31</v>
      </c>
      <c r="H116" s="14" t="s">
        <v>93</v>
      </c>
      <c r="I116" s="15">
        <v>33183</v>
      </c>
      <c r="J116" s="16" t="s">
        <v>103</v>
      </c>
      <c r="K116" s="14" t="s">
        <v>95</v>
      </c>
      <c r="L116" t="s">
        <v>40</v>
      </c>
    </row>
    <row r="117" spans="1:12" x14ac:dyDescent="0.25">
      <c r="A117" s="19" t="s">
        <v>340</v>
      </c>
      <c r="B117" s="14" t="s">
        <v>341</v>
      </c>
      <c r="C117" s="15">
        <v>45001</v>
      </c>
      <c r="D117" s="14" t="s">
        <v>91</v>
      </c>
      <c r="E117" s="14" t="s">
        <v>35</v>
      </c>
      <c r="F117" s="14" t="s">
        <v>92</v>
      </c>
      <c r="G117" s="16" t="s">
        <v>31</v>
      </c>
      <c r="H117" s="14" t="s">
        <v>93</v>
      </c>
      <c r="I117" s="15">
        <v>36619</v>
      </c>
      <c r="J117" s="16" t="s">
        <v>94</v>
      </c>
      <c r="K117" s="14" t="s">
        <v>95</v>
      </c>
      <c r="L117" t="s">
        <v>40</v>
      </c>
    </row>
    <row r="118" spans="1:12" x14ac:dyDescent="0.25">
      <c r="A118" s="19" t="s">
        <v>342</v>
      </c>
      <c r="B118" s="14" t="s">
        <v>343</v>
      </c>
      <c r="C118" s="15">
        <v>44868</v>
      </c>
      <c r="D118" s="14" t="s">
        <v>91</v>
      </c>
      <c r="E118" s="14" t="s">
        <v>35</v>
      </c>
      <c r="F118" s="14" t="s">
        <v>92</v>
      </c>
      <c r="G118" s="16" t="s">
        <v>37</v>
      </c>
      <c r="H118" s="14" t="s">
        <v>98</v>
      </c>
      <c r="I118" s="15">
        <v>35495</v>
      </c>
      <c r="J118" s="16" t="s">
        <v>94</v>
      </c>
      <c r="K118" s="14" t="s">
        <v>95</v>
      </c>
      <c r="L118" t="s">
        <v>40</v>
      </c>
    </row>
    <row r="119" spans="1:12" x14ac:dyDescent="0.25">
      <c r="A119" s="19" t="s">
        <v>344</v>
      </c>
      <c r="B119" s="14" t="s">
        <v>345</v>
      </c>
      <c r="C119" s="15">
        <v>44713</v>
      </c>
      <c r="D119" s="14" t="s">
        <v>91</v>
      </c>
      <c r="E119" s="14" t="s">
        <v>35</v>
      </c>
      <c r="F119" s="14" t="s">
        <v>92</v>
      </c>
      <c r="G119" s="16" t="s">
        <v>37</v>
      </c>
      <c r="H119" s="14" t="s">
        <v>98</v>
      </c>
      <c r="I119" s="15">
        <v>36116</v>
      </c>
      <c r="J119" s="16" t="s">
        <v>94</v>
      </c>
      <c r="K119" s="14" t="s">
        <v>95</v>
      </c>
      <c r="L119" t="s">
        <v>40</v>
      </c>
    </row>
    <row r="120" spans="1:12" x14ac:dyDescent="0.25">
      <c r="A120" s="19" t="s">
        <v>346</v>
      </c>
      <c r="B120" s="14" t="s">
        <v>347</v>
      </c>
      <c r="C120" s="15">
        <v>44874</v>
      </c>
      <c r="D120" s="14" t="s">
        <v>91</v>
      </c>
      <c r="E120" s="14" t="s">
        <v>35</v>
      </c>
      <c r="F120" s="14" t="s">
        <v>92</v>
      </c>
      <c r="G120" s="16" t="s">
        <v>31</v>
      </c>
      <c r="H120" s="14" t="s">
        <v>93</v>
      </c>
      <c r="I120" s="15">
        <v>36484</v>
      </c>
      <c r="J120" s="16" t="s">
        <v>94</v>
      </c>
      <c r="K120" s="14" t="s">
        <v>95</v>
      </c>
      <c r="L120" t="s">
        <v>40</v>
      </c>
    </row>
    <row r="121" spans="1:12" x14ac:dyDescent="0.25">
      <c r="A121" s="19" t="s">
        <v>348</v>
      </c>
      <c r="B121" s="14" t="s">
        <v>349</v>
      </c>
      <c r="C121" s="15">
        <v>45001</v>
      </c>
      <c r="D121" s="14" t="s">
        <v>91</v>
      </c>
      <c r="E121" s="14" t="s">
        <v>35</v>
      </c>
      <c r="F121" s="14" t="s">
        <v>92</v>
      </c>
      <c r="G121" s="16" t="s">
        <v>37</v>
      </c>
      <c r="H121" s="14" t="s">
        <v>98</v>
      </c>
      <c r="I121" s="15">
        <v>35324</v>
      </c>
      <c r="J121" s="16" t="s">
        <v>94</v>
      </c>
      <c r="K121" s="14" t="s">
        <v>95</v>
      </c>
      <c r="L121" t="s">
        <v>40</v>
      </c>
    </row>
    <row r="122" spans="1:12" x14ac:dyDescent="0.25">
      <c r="A122" s="19" t="s">
        <v>350</v>
      </c>
      <c r="B122" s="14" t="s">
        <v>351</v>
      </c>
      <c r="C122" s="15">
        <v>41313</v>
      </c>
      <c r="D122" s="14" t="s">
        <v>91</v>
      </c>
      <c r="E122" s="14" t="s">
        <v>35</v>
      </c>
      <c r="F122" s="14" t="s">
        <v>92</v>
      </c>
      <c r="G122" s="16" t="s">
        <v>31</v>
      </c>
      <c r="H122" s="14" t="s">
        <v>93</v>
      </c>
      <c r="I122" s="15">
        <v>29087</v>
      </c>
      <c r="J122" s="16" t="s">
        <v>94</v>
      </c>
      <c r="K122" s="14" t="s">
        <v>95</v>
      </c>
      <c r="L122" t="s">
        <v>40</v>
      </c>
    </row>
    <row r="123" spans="1:12" x14ac:dyDescent="0.25">
      <c r="A123" s="19" t="s">
        <v>352</v>
      </c>
      <c r="B123" s="14" t="s">
        <v>353</v>
      </c>
      <c r="C123" s="15">
        <v>44993</v>
      </c>
      <c r="D123" s="14" t="s">
        <v>91</v>
      </c>
      <c r="E123" s="14" t="s">
        <v>35</v>
      </c>
      <c r="F123" s="14" t="s">
        <v>92</v>
      </c>
      <c r="G123" s="16" t="s">
        <v>37</v>
      </c>
      <c r="H123" s="14" t="s">
        <v>265</v>
      </c>
      <c r="I123" s="15">
        <v>34292</v>
      </c>
      <c r="J123" s="16" t="s">
        <v>94</v>
      </c>
      <c r="K123" s="14" t="s">
        <v>95</v>
      </c>
      <c r="L123" t="s">
        <v>38</v>
      </c>
    </row>
    <row r="124" spans="1:12" x14ac:dyDescent="0.25">
      <c r="A124" s="19" t="s">
        <v>354</v>
      </c>
      <c r="B124" s="14" t="s">
        <v>355</v>
      </c>
      <c r="C124" s="15">
        <v>44655</v>
      </c>
      <c r="D124" s="14" t="s">
        <v>91</v>
      </c>
      <c r="E124" s="14" t="s">
        <v>35</v>
      </c>
      <c r="F124" s="14" t="s">
        <v>92</v>
      </c>
      <c r="G124" s="16" t="s">
        <v>37</v>
      </c>
      <c r="H124" s="14" t="s">
        <v>98</v>
      </c>
      <c r="I124" s="15">
        <v>34187</v>
      </c>
      <c r="J124" s="16" t="s">
        <v>94</v>
      </c>
      <c r="K124" s="14" t="s">
        <v>95</v>
      </c>
      <c r="L124" t="s">
        <v>40</v>
      </c>
    </row>
    <row r="125" spans="1:12" x14ac:dyDescent="0.25">
      <c r="A125" s="19" t="s">
        <v>356</v>
      </c>
      <c r="B125" s="14" t="s">
        <v>357</v>
      </c>
      <c r="C125" s="15">
        <v>45264</v>
      </c>
      <c r="D125" s="14" t="s">
        <v>91</v>
      </c>
      <c r="E125" s="14" t="s">
        <v>35</v>
      </c>
      <c r="F125" s="14" t="s">
        <v>92</v>
      </c>
      <c r="G125" s="16" t="s">
        <v>31</v>
      </c>
      <c r="H125" s="14" t="s">
        <v>258</v>
      </c>
      <c r="I125" s="15">
        <v>34569</v>
      </c>
      <c r="J125" s="16" t="s">
        <v>94</v>
      </c>
      <c r="K125" s="14" t="s">
        <v>95</v>
      </c>
      <c r="L125" t="s">
        <v>38</v>
      </c>
    </row>
    <row r="126" spans="1:12" x14ac:dyDescent="0.25">
      <c r="A126" s="19" t="s">
        <v>358</v>
      </c>
      <c r="B126" s="14" t="s">
        <v>359</v>
      </c>
      <c r="C126" s="15">
        <v>41313</v>
      </c>
      <c r="D126" s="14" t="s">
        <v>91</v>
      </c>
      <c r="E126" s="14" t="s">
        <v>35</v>
      </c>
      <c r="F126" s="14" t="s">
        <v>92</v>
      </c>
      <c r="G126" s="16" t="s">
        <v>31</v>
      </c>
      <c r="H126" s="14" t="s">
        <v>93</v>
      </c>
      <c r="I126" s="15">
        <v>30589</v>
      </c>
      <c r="J126" s="16" t="s">
        <v>94</v>
      </c>
      <c r="K126" s="14" t="s">
        <v>95</v>
      </c>
      <c r="L126" t="s">
        <v>40</v>
      </c>
    </row>
    <row r="127" spans="1:12" x14ac:dyDescent="0.25">
      <c r="A127" s="19" t="s">
        <v>360</v>
      </c>
      <c r="B127" s="14" t="s">
        <v>361</v>
      </c>
      <c r="C127" s="15">
        <v>44785</v>
      </c>
      <c r="D127" s="14" t="s">
        <v>91</v>
      </c>
      <c r="E127" s="14" t="s">
        <v>35</v>
      </c>
      <c r="F127" s="14" t="s">
        <v>92</v>
      </c>
      <c r="G127" s="16" t="s">
        <v>37</v>
      </c>
      <c r="H127" s="14" t="s">
        <v>98</v>
      </c>
      <c r="I127" s="15">
        <v>33968</v>
      </c>
      <c r="J127" s="16" t="s">
        <v>94</v>
      </c>
      <c r="K127" s="14" t="s">
        <v>95</v>
      </c>
      <c r="L127" t="s">
        <v>40</v>
      </c>
    </row>
    <row r="128" spans="1:12" x14ac:dyDescent="0.25">
      <c r="A128" s="19" t="s">
        <v>362</v>
      </c>
      <c r="B128" s="14" t="s">
        <v>363</v>
      </c>
      <c r="C128" s="15">
        <v>45093</v>
      </c>
      <c r="D128" s="14" t="s">
        <v>91</v>
      </c>
      <c r="E128" s="14" t="s">
        <v>35</v>
      </c>
      <c r="F128" s="14" t="s">
        <v>92</v>
      </c>
      <c r="G128" s="16" t="s">
        <v>37</v>
      </c>
      <c r="H128" s="14" t="s">
        <v>265</v>
      </c>
      <c r="I128" s="15">
        <v>34154</v>
      </c>
      <c r="J128" s="16" t="s">
        <v>94</v>
      </c>
      <c r="K128" s="14" t="s">
        <v>95</v>
      </c>
      <c r="L128" t="s">
        <v>38</v>
      </c>
    </row>
    <row r="129" spans="1:12" x14ac:dyDescent="0.25">
      <c r="A129" s="19" t="s">
        <v>364</v>
      </c>
      <c r="B129" s="14" t="s">
        <v>365</v>
      </c>
      <c r="C129" s="15">
        <v>45022</v>
      </c>
      <c r="D129" s="14" t="s">
        <v>91</v>
      </c>
      <c r="E129" s="14" t="s">
        <v>35</v>
      </c>
      <c r="F129" s="14" t="s">
        <v>92</v>
      </c>
      <c r="G129" s="16" t="s">
        <v>31</v>
      </c>
      <c r="H129" s="14" t="s">
        <v>93</v>
      </c>
      <c r="I129" s="15">
        <v>35483</v>
      </c>
      <c r="J129" s="16" t="s">
        <v>94</v>
      </c>
      <c r="K129" s="14" t="s">
        <v>95</v>
      </c>
      <c r="L129" t="s">
        <v>40</v>
      </c>
    </row>
    <row r="130" spans="1:12" x14ac:dyDescent="0.25">
      <c r="A130" s="19" t="s">
        <v>366</v>
      </c>
      <c r="B130" s="14" t="s">
        <v>367</v>
      </c>
      <c r="C130" s="15">
        <v>44326</v>
      </c>
      <c r="D130" s="14" t="s">
        <v>91</v>
      </c>
      <c r="E130" s="14" t="s">
        <v>35</v>
      </c>
      <c r="F130" s="14" t="s">
        <v>92</v>
      </c>
      <c r="G130" s="16" t="s">
        <v>31</v>
      </c>
      <c r="H130" s="14" t="s">
        <v>93</v>
      </c>
      <c r="I130" s="15">
        <v>36003</v>
      </c>
      <c r="J130" s="16" t="s">
        <v>94</v>
      </c>
      <c r="K130" s="14" t="s">
        <v>95</v>
      </c>
      <c r="L130" t="s">
        <v>40</v>
      </c>
    </row>
    <row r="131" spans="1:12" x14ac:dyDescent="0.25">
      <c r="A131" s="19" t="s">
        <v>368</v>
      </c>
      <c r="B131" s="14" t="s">
        <v>369</v>
      </c>
      <c r="C131" s="15">
        <v>45338</v>
      </c>
      <c r="D131" s="14" t="s">
        <v>91</v>
      </c>
      <c r="E131" s="14" t="s">
        <v>35</v>
      </c>
      <c r="F131" s="14" t="s">
        <v>92</v>
      </c>
      <c r="G131" s="16" t="s">
        <v>37</v>
      </c>
      <c r="H131" s="14" t="s">
        <v>120</v>
      </c>
      <c r="I131" s="15">
        <v>30258</v>
      </c>
      <c r="J131" s="16" t="s">
        <v>94</v>
      </c>
      <c r="K131" s="14" t="s">
        <v>95</v>
      </c>
      <c r="L131" t="s">
        <v>38</v>
      </c>
    </row>
    <row r="132" spans="1:12" x14ac:dyDescent="0.25">
      <c r="A132" s="19" t="s">
        <v>370</v>
      </c>
      <c r="B132" s="14" t="s">
        <v>371</v>
      </c>
      <c r="C132" s="15">
        <v>45264</v>
      </c>
      <c r="D132" s="14" t="s">
        <v>91</v>
      </c>
      <c r="E132" s="14" t="s">
        <v>35</v>
      </c>
      <c r="F132" s="14" t="s">
        <v>92</v>
      </c>
      <c r="G132" s="16" t="s">
        <v>37</v>
      </c>
      <c r="H132" s="14" t="s">
        <v>148</v>
      </c>
      <c r="I132" s="15">
        <v>36129</v>
      </c>
      <c r="J132" s="16" t="s">
        <v>94</v>
      </c>
      <c r="K132" s="14" t="s">
        <v>95</v>
      </c>
      <c r="L132" t="s">
        <v>38</v>
      </c>
    </row>
    <row r="133" spans="1:12" x14ac:dyDescent="0.25">
      <c r="A133" s="19" t="s">
        <v>372</v>
      </c>
      <c r="B133" s="14" t="s">
        <v>373</v>
      </c>
      <c r="C133" s="15">
        <v>43865</v>
      </c>
      <c r="D133" s="14" t="s">
        <v>91</v>
      </c>
      <c r="E133" s="14" t="s">
        <v>35</v>
      </c>
      <c r="F133" s="14" t="s">
        <v>92</v>
      </c>
      <c r="G133" s="16" t="s">
        <v>31</v>
      </c>
      <c r="H133" s="14" t="s">
        <v>93</v>
      </c>
      <c r="I133" s="15">
        <v>36615</v>
      </c>
      <c r="J133" s="16" t="s">
        <v>94</v>
      </c>
      <c r="K133" s="14" t="s">
        <v>95</v>
      </c>
      <c r="L133" t="s">
        <v>40</v>
      </c>
    </row>
    <row r="134" spans="1:12" x14ac:dyDescent="0.25">
      <c r="A134" s="19" t="s">
        <v>374</v>
      </c>
      <c r="B134" s="14" t="s">
        <v>375</v>
      </c>
      <c r="C134" s="15">
        <v>45264</v>
      </c>
      <c r="D134" s="14" t="s">
        <v>91</v>
      </c>
      <c r="E134" s="14" t="s">
        <v>35</v>
      </c>
      <c r="F134" s="14" t="s">
        <v>92</v>
      </c>
      <c r="G134" s="16" t="s">
        <v>31</v>
      </c>
      <c r="H134" s="14" t="s">
        <v>139</v>
      </c>
      <c r="I134" s="15">
        <v>36340</v>
      </c>
      <c r="J134" s="16" t="s">
        <v>94</v>
      </c>
      <c r="K134" s="14" t="s">
        <v>95</v>
      </c>
      <c r="L134" t="s">
        <v>38</v>
      </c>
    </row>
    <row r="135" spans="1:12" x14ac:dyDescent="0.25">
      <c r="A135" s="19" t="s">
        <v>376</v>
      </c>
      <c r="B135" s="14" t="s">
        <v>377</v>
      </c>
      <c r="C135" s="15">
        <v>45078</v>
      </c>
      <c r="D135" s="14" t="s">
        <v>91</v>
      </c>
      <c r="E135" s="14" t="s">
        <v>35</v>
      </c>
      <c r="F135" s="14" t="s">
        <v>92</v>
      </c>
      <c r="G135" s="16" t="s">
        <v>31</v>
      </c>
      <c r="H135" s="14" t="s">
        <v>139</v>
      </c>
      <c r="I135" s="15">
        <v>36924</v>
      </c>
      <c r="J135" s="16" t="s">
        <v>94</v>
      </c>
      <c r="K135" s="14" t="s">
        <v>95</v>
      </c>
      <c r="L135" t="s">
        <v>38</v>
      </c>
    </row>
    <row r="136" spans="1:12" x14ac:dyDescent="0.25">
      <c r="A136" s="19" t="s">
        <v>378</v>
      </c>
      <c r="B136" s="14" t="s">
        <v>379</v>
      </c>
      <c r="C136" s="15">
        <v>45113</v>
      </c>
      <c r="D136" s="14" t="s">
        <v>91</v>
      </c>
      <c r="E136" s="14" t="s">
        <v>35</v>
      </c>
      <c r="F136" s="14" t="s">
        <v>92</v>
      </c>
      <c r="G136" s="16" t="s">
        <v>31</v>
      </c>
      <c r="H136" s="14" t="s">
        <v>139</v>
      </c>
      <c r="I136" s="15">
        <v>37201</v>
      </c>
      <c r="J136" s="16" t="s">
        <v>94</v>
      </c>
      <c r="K136" s="14" t="s">
        <v>95</v>
      </c>
      <c r="L136" t="s">
        <v>38</v>
      </c>
    </row>
    <row r="137" spans="1:12" x14ac:dyDescent="0.25">
      <c r="A137" s="19" t="s">
        <v>380</v>
      </c>
      <c r="B137" s="14" t="s">
        <v>381</v>
      </c>
      <c r="C137" s="15">
        <v>43752</v>
      </c>
      <c r="D137" s="14" t="s">
        <v>123</v>
      </c>
      <c r="E137" s="14" t="s">
        <v>35</v>
      </c>
      <c r="F137" s="14" t="s">
        <v>382</v>
      </c>
      <c r="G137" s="16" t="s">
        <v>31</v>
      </c>
      <c r="H137" s="14" t="s">
        <v>93</v>
      </c>
      <c r="I137" s="15">
        <v>31311</v>
      </c>
      <c r="J137" s="16" t="s">
        <v>94</v>
      </c>
      <c r="K137" s="14" t="s">
        <v>124</v>
      </c>
      <c r="L137" t="s">
        <v>40</v>
      </c>
    </row>
    <row r="138" spans="1:12" x14ac:dyDescent="0.25">
      <c r="A138" s="19" t="s">
        <v>383</v>
      </c>
      <c r="B138" s="14" t="s">
        <v>384</v>
      </c>
      <c r="C138" s="15">
        <v>45182</v>
      </c>
      <c r="D138" s="14" t="s">
        <v>91</v>
      </c>
      <c r="E138" s="14" t="s">
        <v>35</v>
      </c>
      <c r="F138" s="14" t="s">
        <v>92</v>
      </c>
      <c r="G138" s="16" t="s">
        <v>31</v>
      </c>
      <c r="H138" s="14" t="s">
        <v>385</v>
      </c>
      <c r="I138" s="15">
        <v>33565</v>
      </c>
      <c r="J138" s="16" t="s">
        <v>94</v>
      </c>
      <c r="K138" s="14" t="s">
        <v>95</v>
      </c>
      <c r="L138" t="s">
        <v>38</v>
      </c>
    </row>
    <row r="139" spans="1:12" x14ac:dyDescent="0.25">
      <c r="A139" s="19" t="s">
        <v>386</v>
      </c>
      <c r="B139" s="14" t="s">
        <v>387</v>
      </c>
      <c r="C139" s="15">
        <v>45063</v>
      </c>
      <c r="D139" s="14" t="s">
        <v>91</v>
      </c>
      <c r="E139" s="14" t="s">
        <v>35</v>
      </c>
      <c r="F139" s="14" t="s">
        <v>92</v>
      </c>
      <c r="G139" s="16" t="s">
        <v>37</v>
      </c>
      <c r="H139" s="14" t="s">
        <v>98</v>
      </c>
      <c r="I139" s="15">
        <v>36471</v>
      </c>
      <c r="J139" s="16" t="s">
        <v>94</v>
      </c>
      <c r="K139" s="14" t="s">
        <v>95</v>
      </c>
      <c r="L139" t="s">
        <v>40</v>
      </c>
    </row>
    <row r="140" spans="1:12" x14ac:dyDescent="0.25">
      <c r="A140" s="19" t="s">
        <v>388</v>
      </c>
      <c r="B140" s="14" t="s">
        <v>389</v>
      </c>
      <c r="C140" s="15">
        <v>44896</v>
      </c>
      <c r="D140" s="14" t="s">
        <v>91</v>
      </c>
      <c r="E140" s="14" t="s">
        <v>35</v>
      </c>
      <c r="F140" s="14" t="s">
        <v>92</v>
      </c>
      <c r="G140" s="16" t="s">
        <v>31</v>
      </c>
      <c r="H140" s="14" t="s">
        <v>93</v>
      </c>
      <c r="I140" s="15">
        <v>32501</v>
      </c>
      <c r="J140" s="16" t="s">
        <v>94</v>
      </c>
      <c r="K140" s="14" t="s">
        <v>95</v>
      </c>
      <c r="L140" t="s">
        <v>40</v>
      </c>
    </row>
    <row r="141" spans="1:12" x14ac:dyDescent="0.25">
      <c r="A141" s="19" t="s">
        <v>390</v>
      </c>
      <c r="B141" s="14" t="s">
        <v>391</v>
      </c>
      <c r="C141" s="15">
        <v>45155</v>
      </c>
      <c r="D141" s="14" t="s">
        <v>91</v>
      </c>
      <c r="E141" s="14" t="s">
        <v>35</v>
      </c>
      <c r="F141" s="14" t="s">
        <v>92</v>
      </c>
      <c r="G141" s="16" t="s">
        <v>37</v>
      </c>
      <c r="H141" s="14" t="s">
        <v>148</v>
      </c>
      <c r="I141" s="15">
        <v>33984</v>
      </c>
      <c r="J141" s="16" t="s">
        <v>94</v>
      </c>
      <c r="K141" s="14" t="s">
        <v>95</v>
      </c>
      <c r="L141" t="s">
        <v>38</v>
      </c>
    </row>
    <row r="142" spans="1:12" x14ac:dyDescent="0.25">
      <c r="A142" s="19" t="s">
        <v>392</v>
      </c>
      <c r="B142" s="14" t="s">
        <v>393</v>
      </c>
      <c r="C142" s="15">
        <v>44291</v>
      </c>
      <c r="D142" s="14" t="s">
        <v>91</v>
      </c>
      <c r="E142" s="14" t="s">
        <v>35</v>
      </c>
      <c r="F142" s="14" t="s">
        <v>92</v>
      </c>
      <c r="G142" s="16" t="s">
        <v>31</v>
      </c>
      <c r="H142" s="14" t="s">
        <v>93</v>
      </c>
      <c r="I142" s="15">
        <v>30334</v>
      </c>
      <c r="J142" s="16" t="s">
        <v>94</v>
      </c>
      <c r="K142" s="14" t="s">
        <v>95</v>
      </c>
      <c r="L142" t="s">
        <v>40</v>
      </c>
    </row>
    <row r="143" spans="1:12" x14ac:dyDescent="0.25">
      <c r="A143" s="19" t="s">
        <v>394</v>
      </c>
      <c r="B143" s="14" t="s">
        <v>395</v>
      </c>
      <c r="C143" s="15">
        <v>45051</v>
      </c>
      <c r="D143" s="14" t="s">
        <v>91</v>
      </c>
      <c r="E143" s="14" t="s">
        <v>35</v>
      </c>
      <c r="F143" s="14" t="s">
        <v>92</v>
      </c>
      <c r="G143" s="16" t="s">
        <v>37</v>
      </c>
      <c r="H143" s="14" t="s">
        <v>98</v>
      </c>
      <c r="I143" s="15">
        <v>35246</v>
      </c>
      <c r="J143" s="16" t="s">
        <v>94</v>
      </c>
      <c r="K143" s="14" t="s">
        <v>95</v>
      </c>
      <c r="L143" t="s">
        <v>40</v>
      </c>
    </row>
    <row r="144" spans="1:12" x14ac:dyDescent="0.25">
      <c r="A144" s="19" t="s">
        <v>396</v>
      </c>
      <c r="B144" s="14" t="s">
        <v>397</v>
      </c>
      <c r="C144" s="15">
        <v>41313</v>
      </c>
      <c r="D144" s="14" t="s">
        <v>91</v>
      </c>
      <c r="E144" s="14" t="s">
        <v>35</v>
      </c>
      <c r="F144" s="14" t="s">
        <v>92</v>
      </c>
      <c r="G144" s="16" t="s">
        <v>31</v>
      </c>
      <c r="H144" s="14" t="s">
        <v>93</v>
      </c>
      <c r="I144" s="15">
        <v>31412</v>
      </c>
      <c r="J144" s="16" t="s">
        <v>94</v>
      </c>
      <c r="K144" s="14" t="s">
        <v>95</v>
      </c>
      <c r="L144" t="s">
        <v>40</v>
      </c>
    </row>
    <row r="145" spans="1:12" x14ac:dyDescent="0.25">
      <c r="A145" s="19" t="s">
        <v>398</v>
      </c>
      <c r="B145" s="14" t="s">
        <v>399</v>
      </c>
      <c r="C145" s="15">
        <v>41313</v>
      </c>
      <c r="D145" s="14" t="s">
        <v>91</v>
      </c>
      <c r="E145" s="14" t="s">
        <v>35</v>
      </c>
      <c r="F145" s="14" t="s">
        <v>92</v>
      </c>
      <c r="G145" s="16" t="s">
        <v>37</v>
      </c>
      <c r="H145" s="14" t="s">
        <v>98</v>
      </c>
      <c r="I145" s="15">
        <v>25216</v>
      </c>
      <c r="J145" s="16" t="s">
        <v>94</v>
      </c>
      <c r="K145" s="14" t="s">
        <v>95</v>
      </c>
      <c r="L145" t="s">
        <v>40</v>
      </c>
    </row>
    <row r="146" spans="1:12" x14ac:dyDescent="0.25">
      <c r="A146" s="19" t="s">
        <v>400</v>
      </c>
      <c r="B146" s="14" t="s">
        <v>401</v>
      </c>
      <c r="C146" s="15">
        <v>42440</v>
      </c>
      <c r="D146" s="14" t="s">
        <v>91</v>
      </c>
      <c r="E146" s="14" t="s">
        <v>35</v>
      </c>
      <c r="F146" s="14" t="s">
        <v>92</v>
      </c>
      <c r="G146" s="16" t="s">
        <v>31</v>
      </c>
      <c r="H146" s="14" t="s">
        <v>93</v>
      </c>
      <c r="I146" s="15">
        <v>33229</v>
      </c>
      <c r="J146" s="16" t="s">
        <v>103</v>
      </c>
      <c r="K146" s="14" t="s">
        <v>95</v>
      </c>
      <c r="L146" t="s">
        <v>40</v>
      </c>
    </row>
    <row r="147" spans="1:12" x14ac:dyDescent="0.25">
      <c r="A147" s="19" t="s">
        <v>402</v>
      </c>
      <c r="B147" s="14" t="s">
        <v>403</v>
      </c>
      <c r="C147" s="15">
        <v>44896</v>
      </c>
      <c r="D147" s="14" t="s">
        <v>91</v>
      </c>
      <c r="E147" s="14" t="s">
        <v>35</v>
      </c>
      <c r="F147" s="14" t="s">
        <v>92</v>
      </c>
      <c r="G147" s="16" t="s">
        <v>31</v>
      </c>
      <c r="H147" s="14" t="s">
        <v>93</v>
      </c>
      <c r="I147" s="15">
        <v>32882</v>
      </c>
      <c r="J147" s="16" t="s">
        <v>94</v>
      </c>
      <c r="K147" s="14" t="s">
        <v>95</v>
      </c>
      <c r="L147" t="s">
        <v>40</v>
      </c>
    </row>
    <row r="148" spans="1:12" x14ac:dyDescent="0.25">
      <c r="A148" s="19" t="s">
        <v>404</v>
      </c>
      <c r="B148" s="14" t="s">
        <v>405</v>
      </c>
      <c r="C148" s="15">
        <v>44351</v>
      </c>
      <c r="D148" s="14" t="s">
        <v>91</v>
      </c>
      <c r="E148" s="14" t="s">
        <v>35</v>
      </c>
      <c r="F148" s="14" t="s">
        <v>92</v>
      </c>
      <c r="G148" s="16" t="s">
        <v>37</v>
      </c>
      <c r="H148" s="14" t="s">
        <v>98</v>
      </c>
      <c r="I148" s="15">
        <v>35739</v>
      </c>
      <c r="J148" s="16" t="s">
        <v>94</v>
      </c>
      <c r="K148" s="14" t="s">
        <v>95</v>
      </c>
      <c r="L148" t="s">
        <v>40</v>
      </c>
    </row>
    <row r="149" spans="1:12" x14ac:dyDescent="0.25">
      <c r="A149" s="19" t="s">
        <v>406</v>
      </c>
      <c r="B149" s="14" t="s">
        <v>407</v>
      </c>
      <c r="C149" s="15">
        <v>44938</v>
      </c>
      <c r="D149" s="14" t="s">
        <v>91</v>
      </c>
      <c r="E149" s="14" t="s">
        <v>35</v>
      </c>
      <c r="F149" s="14" t="s">
        <v>92</v>
      </c>
      <c r="G149" s="16" t="s">
        <v>37</v>
      </c>
      <c r="H149" s="14" t="s">
        <v>98</v>
      </c>
      <c r="I149" s="15">
        <v>34488</v>
      </c>
      <c r="J149" s="16" t="s">
        <v>94</v>
      </c>
      <c r="K149" s="14" t="s">
        <v>95</v>
      </c>
      <c r="L149" t="s">
        <v>40</v>
      </c>
    </row>
    <row r="150" spans="1:12" x14ac:dyDescent="0.25">
      <c r="A150" s="19" t="s">
        <v>408</v>
      </c>
      <c r="B150" s="14" t="s">
        <v>409</v>
      </c>
      <c r="C150" s="15">
        <v>44518</v>
      </c>
      <c r="D150" s="14" t="s">
        <v>91</v>
      </c>
      <c r="E150" s="14" t="s">
        <v>35</v>
      </c>
      <c r="F150" s="14" t="s">
        <v>382</v>
      </c>
      <c r="G150" s="16" t="s">
        <v>31</v>
      </c>
      <c r="H150" s="14" t="s">
        <v>93</v>
      </c>
      <c r="I150" s="15">
        <v>35722</v>
      </c>
      <c r="J150" s="16" t="s">
        <v>94</v>
      </c>
      <c r="K150" s="14" t="s">
        <v>95</v>
      </c>
      <c r="L150" t="s">
        <v>40</v>
      </c>
    </row>
    <row r="151" spans="1:12" x14ac:dyDescent="0.25">
      <c r="A151" s="19" t="s">
        <v>410</v>
      </c>
      <c r="B151" s="14" t="s">
        <v>411</v>
      </c>
      <c r="C151" s="15">
        <v>41313</v>
      </c>
      <c r="D151" s="14" t="s">
        <v>91</v>
      </c>
      <c r="E151" s="14" t="s">
        <v>35</v>
      </c>
      <c r="F151" s="14" t="s">
        <v>151</v>
      </c>
      <c r="G151" s="16" t="s">
        <v>31</v>
      </c>
      <c r="H151" s="14" t="s">
        <v>412</v>
      </c>
      <c r="I151" s="15">
        <v>24211</v>
      </c>
      <c r="J151" s="16" t="s">
        <v>94</v>
      </c>
      <c r="K151" s="14" t="s">
        <v>95</v>
      </c>
      <c r="L151" t="s">
        <v>40</v>
      </c>
    </row>
    <row r="152" spans="1:12" x14ac:dyDescent="0.25">
      <c r="A152" s="19" t="s">
        <v>413</v>
      </c>
      <c r="B152" s="14" t="s">
        <v>414</v>
      </c>
      <c r="C152" s="15">
        <v>44424</v>
      </c>
      <c r="D152" s="14" t="s">
        <v>91</v>
      </c>
      <c r="E152" s="14" t="s">
        <v>35</v>
      </c>
      <c r="F152" s="14" t="s">
        <v>92</v>
      </c>
      <c r="G152" s="16" t="s">
        <v>31</v>
      </c>
      <c r="H152" s="14" t="s">
        <v>93</v>
      </c>
      <c r="I152" s="15">
        <v>34931</v>
      </c>
      <c r="J152" s="16" t="s">
        <v>94</v>
      </c>
      <c r="K152" s="14" t="s">
        <v>95</v>
      </c>
      <c r="L152" t="s">
        <v>40</v>
      </c>
    </row>
    <row r="153" spans="1:12" x14ac:dyDescent="0.25">
      <c r="A153" s="19" t="s">
        <v>415</v>
      </c>
      <c r="B153" s="14" t="s">
        <v>416</v>
      </c>
      <c r="C153" s="15">
        <v>44202</v>
      </c>
      <c r="D153" s="14" t="s">
        <v>91</v>
      </c>
      <c r="E153" s="14" t="s">
        <v>35</v>
      </c>
      <c r="F153" s="14" t="s">
        <v>92</v>
      </c>
      <c r="G153" s="16" t="s">
        <v>31</v>
      </c>
      <c r="H153" s="14" t="s">
        <v>93</v>
      </c>
      <c r="I153" s="15">
        <v>31659</v>
      </c>
      <c r="J153" s="16" t="s">
        <v>94</v>
      </c>
      <c r="K153" s="14" t="s">
        <v>95</v>
      </c>
      <c r="L153" t="s">
        <v>40</v>
      </c>
    </row>
    <row r="154" spans="1:12" x14ac:dyDescent="0.25">
      <c r="A154" s="19" t="s">
        <v>417</v>
      </c>
      <c r="B154" s="14" t="s">
        <v>418</v>
      </c>
      <c r="C154" s="15">
        <v>41313</v>
      </c>
      <c r="D154" s="14" t="s">
        <v>91</v>
      </c>
      <c r="E154" s="14" t="s">
        <v>35</v>
      </c>
      <c r="F154" s="14" t="s">
        <v>92</v>
      </c>
      <c r="G154" s="16" t="s">
        <v>37</v>
      </c>
      <c r="H154" s="14" t="s">
        <v>98</v>
      </c>
      <c r="I154" s="15">
        <v>29461</v>
      </c>
      <c r="J154" s="16" t="s">
        <v>94</v>
      </c>
      <c r="K154" s="14" t="s">
        <v>95</v>
      </c>
      <c r="L154" t="s">
        <v>40</v>
      </c>
    </row>
    <row r="155" spans="1:12" x14ac:dyDescent="0.25">
      <c r="A155" s="19" t="s">
        <v>419</v>
      </c>
      <c r="B155" s="14" t="s">
        <v>420</v>
      </c>
      <c r="C155" s="15">
        <v>44424</v>
      </c>
      <c r="D155" s="14" t="s">
        <v>91</v>
      </c>
      <c r="E155" s="14" t="s">
        <v>35</v>
      </c>
      <c r="F155" s="14" t="s">
        <v>92</v>
      </c>
      <c r="G155" s="16" t="s">
        <v>37</v>
      </c>
      <c r="H155" s="14" t="s">
        <v>98</v>
      </c>
      <c r="I155" s="15">
        <v>35780</v>
      </c>
      <c r="J155" s="16" t="s">
        <v>94</v>
      </c>
      <c r="K155" s="14" t="s">
        <v>95</v>
      </c>
      <c r="L155" t="s">
        <v>40</v>
      </c>
    </row>
    <row r="156" spans="1:12" x14ac:dyDescent="0.25">
      <c r="A156" s="19" t="s">
        <v>421</v>
      </c>
      <c r="B156" s="14" t="s">
        <v>422</v>
      </c>
      <c r="C156" s="15">
        <v>44291</v>
      </c>
      <c r="D156" s="14" t="s">
        <v>91</v>
      </c>
      <c r="E156" s="14" t="s">
        <v>35</v>
      </c>
      <c r="F156" s="14" t="s">
        <v>92</v>
      </c>
      <c r="G156" s="16" t="s">
        <v>37</v>
      </c>
      <c r="H156" s="14" t="s">
        <v>98</v>
      </c>
      <c r="I156" s="15">
        <v>33780</v>
      </c>
      <c r="J156" s="16" t="s">
        <v>94</v>
      </c>
      <c r="K156" s="14" t="s">
        <v>95</v>
      </c>
      <c r="L156" t="s">
        <v>40</v>
      </c>
    </row>
    <row r="157" spans="1:12" x14ac:dyDescent="0.25">
      <c r="A157" s="19" t="s">
        <v>423</v>
      </c>
      <c r="B157" s="14" t="s">
        <v>424</v>
      </c>
      <c r="C157" s="15">
        <v>45022</v>
      </c>
      <c r="D157" s="14" t="s">
        <v>91</v>
      </c>
      <c r="E157" s="14" t="s">
        <v>35</v>
      </c>
      <c r="F157" s="14" t="s">
        <v>92</v>
      </c>
      <c r="G157" s="16" t="s">
        <v>37</v>
      </c>
      <c r="H157" s="14" t="s">
        <v>265</v>
      </c>
      <c r="I157" s="15">
        <v>34934</v>
      </c>
      <c r="J157" s="16" t="s">
        <v>94</v>
      </c>
      <c r="K157" s="14" t="s">
        <v>95</v>
      </c>
      <c r="L157" t="s">
        <v>38</v>
      </c>
    </row>
    <row r="158" spans="1:12" x14ac:dyDescent="0.25">
      <c r="A158" s="19" t="s">
        <v>425</v>
      </c>
      <c r="B158" s="14" t="s">
        <v>426</v>
      </c>
      <c r="C158" s="15">
        <v>45022</v>
      </c>
      <c r="D158" s="14" t="s">
        <v>91</v>
      </c>
      <c r="E158" s="14" t="s">
        <v>35</v>
      </c>
      <c r="F158" s="14" t="s">
        <v>92</v>
      </c>
      <c r="G158" s="16" t="s">
        <v>37</v>
      </c>
      <c r="H158" s="14" t="s">
        <v>98</v>
      </c>
      <c r="I158" s="15">
        <v>34600</v>
      </c>
      <c r="J158" s="16" t="s">
        <v>94</v>
      </c>
      <c r="K158" s="14" t="s">
        <v>95</v>
      </c>
      <c r="L158" t="s">
        <v>40</v>
      </c>
    </row>
    <row r="159" spans="1:12" x14ac:dyDescent="0.25">
      <c r="A159" s="19" t="s">
        <v>427</v>
      </c>
      <c r="B159" s="14" t="s">
        <v>428</v>
      </c>
      <c r="C159" s="15">
        <v>45247</v>
      </c>
      <c r="D159" s="14" t="s">
        <v>91</v>
      </c>
      <c r="E159" s="14" t="s">
        <v>35</v>
      </c>
      <c r="F159" s="14" t="s">
        <v>92</v>
      </c>
      <c r="G159" s="16" t="s">
        <v>37</v>
      </c>
      <c r="H159" s="14" t="s">
        <v>148</v>
      </c>
      <c r="I159" s="15">
        <v>37020</v>
      </c>
      <c r="J159" s="16" t="s">
        <v>94</v>
      </c>
      <c r="K159" s="14" t="s">
        <v>95</v>
      </c>
      <c r="L159" t="s">
        <v>38</v>
      </c>
    </row>
    <row r="160" spans="1:12" x14ac:dyDescent="0.25">
      <c r="A160" s="19" t="s">
        <v>429</v>
      </c>
      <c r="B160" s="14" t="s">
        <v>430</v>
      </c>
      <c r="C160" s="15">
        <v>45338</v>
      </c>
      <c r="D160" s="14" t="s">
        <v>91</v>
      </c>
      <c r="E160" s="14" t="s">
        <v>35</v>
      </c>
      <c r="F160" s="14" t="s">
        <v>92</v>
      </c>
      <c r="G160" s="16" t="s">
        <v>37</v>
      </c>
      <c r="H160" s="14" t="s">
        <v>265</v>
      </c>
      <c r="I160" s="15">
        <v>28486</v>
      </c>
      <c r="J160" s="16" t="s">
        <v>94</v>
      </c>
      <c r="K160" s="14" t="s">
        <v>95</v>
      </c>
      <c r="L160" t="s">
        <v>38</v>
      </c>
    </row>
    <row r="161" spans="1:12" x14ac:dyDescent="0.25">
      <c r="A161" s="19" t="s">
        <v>431</v>
      </c>
      <c r="B161" s="14" t="s">
        <v>432</v>
      </c>
      <c r="C161" s="15">
        <v>45307</v>
      </c>
      <c r="D161" s="14" t="s">
        <v>91</v>
      </c>
      <c r="E161" s="14" t="s">
        <v>35</v>
      </c>
      <c r="F161" s="14" t="s">
        <v>92</v>
      </c>
      <c r="G161" s="16" t="s">
        <v>31</v>
      </c>
      <c r="H161" s="14" t="s">
        <v>139</v>
      </c>
      <c r="I161" s="15">
        <v>36130</v>
      </c>
      <c r="J161" s="16" t="s">
        <v>94</v>
      </c>
      <c r="K161" s="14" t="s">
        <v>95</v>
      </c>
      <c r="L161" t="s">
        <v>38</v>
      </c>
    </row>
    <row r="162" spans="1:12" x14ac:dyDescent="0.25">
      <c r="A162" s="19" t="s">
        <v>433</v>
      </c>
      <c r="B162" s="14" t="s">
        <v>434</v>
      </c>
      <c r="C162" s="15">
        <v>45264</v>
      </c>
      <c r="D162" s="14" t="s">
        <v>91</v>
      </c>
      <c r="E162" s="14" t="s">
        <v>35</v>
      </c>
      <c r="F162" s="14" t="s">
        <v>92</v>
      </c>
      <c r="G162" s="16" t="s">
        <v>31</v>
      </c>
      <c r="H162" s="14" t="s">
        <v>258</v>
      </c>
      <c r="I162" s="15">
        <v>37269</v>
      </c>
      <c r="J162" s="16" t="s">
        <v>94</v>
      </c>
      <c r="K162" s="14" t="s">
        <v>95</v>
      </c>
      <c r="L162" t="s">
        <v>38</v>
      </c>
    </row>
    <row r="163" spans="1:12" x14ac:dyDescent="0.25">
      <c r="A163" s="19" t="s">
        <v>435</v>
      </c>
      <c r="B163" s="14" t="s">
        <v>436</v>
      </c>
      <c r="C163" s="15">
        <v>45212</v>
      </c>
      <c r="D163" s="14" t="s">
        <v>91</v>
      </c>
      <c r="E163" s="14" t="s">
        <v>35</v>
      </c>
      <c r="F163" s="14" t="s">
        <v>92</v>
      </c>
      <c r="G163" s="16" t="s">
        <v>31</v>
      </c>
      <c r="H163" s="14" t="s">
        <v>93</v>
      </c>
      <c r="I163" s="15">
        <v>35920</v>
      </c>
      <c r="J163" s="16" t="s">
        <v>94</v>
      </c>
      <c r="K163" s="14" t="s">
        <v>95</v>
      </c>
      <c r="L163" t="s">
        <v>40</v>
      </c>
    </row>
    <row r="164" spans="1:12" x14ac:dyDescent="0.25">
      <c r="A164" s="19" t="s">
        <v>437</v>
      </c>
      <c r="B164" s="14" t="s">
        <v>438</v>
      </c>
      <c r="C164" s="15">
        <v>45113</v>
      </c>
      <c r="D164" s="14" t="s">
        <v>91</v>
      </c>
      <c r="E164" s="14" t="s">
        <v>35</v>
      </c>
      <c r="F164" s="14" t="s">
        <v>92</v>
      </c>
      <c r="G164" s="16" t="s">
        <v>37</v>
      </c>
      <c r="H164" s="14" t="s">
        <v>265</v>
      </c>
      <c r="I164" s="15">
        <v>36831</v>
      </c>
      <c r="J164" s="16" t="s">
        <v>94</v>
      </c>
      <c r="K164" s="14" t="s">
        <v>95</v>
      </c>
      <c r="L164" t="s">
        <v>38</v>
      </c>
    </row>
    <row r="165" spans="1:12" x14ac:dyDescent="0.25">
      <c r="A165" s="19" t="s">
        <v>439</v>
      </c>
      <c r="B165" s="14" t="s">
        <v>440</v>
      </c>
      <c r="C165" s="15">
        <v>44993</v>
      </c>
      <c r="D165" s="14" t="s">
        <v>91</v>
      </c>
      <c r="E165" s="14" t="s">
        <v>35</v>
      </c>
      <c r="F165" s="14" t="s">
        <v>92</v>
      </c>
      <c r="G165" s="16" t="s">
        <v>31</v>
      </c>
      <c r="H165" s="14" t="s">
        <v>93</v>
      </c>
      <c r="I165" s="15">
        <v>35859</v>
      </c>
      <c r="J165" s="16" t="s">
        <v>94</v>
      </c>
      <c r="K165" s="14" t="s">
        <v>95</v>
      </c>
      <c r="L165" t="s">
        <v>40</v>
      </c>
    </row>
    <row r="166" spans="1:12" x14ac:dyDescent="0.25">
      <c r="A166" s="19" t="s">
        <v>441</v>
      </c>
      <c r="B166" s="14" t="s">
        <v>442</v>
      </c>
      <c r="C166" s="15">
        <v>45264</v>
      </c>
      <c r="D166" s="14" t="s">
        <v>91</v>
      </c>
      <c r="E166" s="14" t="s">
        <v>35</v>
      </c>
      <c r="F166" s="14" t="s">
        <v>92</v>
      </c>
      <c r="G166" s="16" t="s">
        <v>37</v>
      </c>
      <c r="H166" s="14" t="s">
        <v>265</v>
      </c>
      <c r="I166" s="15">
        <v>36097</v>
      </c>
      <c r="J166" s="16" t="s">
        <v>94</v>
      </c>
      <c r="K166" s="14" t="s">
        <v>95</v>
      </c>
      <c r="L166" t="s">
        <v>38</v>
      </c>
    </row>
    <row r="167" spans="1:12" x14ac:dyDescent="0.25">
      <c r="A167" s="19" t="s">
        <v>443</v>
      </c>
      <c r="B167" s="14" t="s">
        <v>444</v>
      </c>
      <c r="C167" s="15">
        <v>45264</v>
      </c>
      <c r="D167" s="14" t="s">
        <v>91</v>
      </c>
      <c r="E167" s="14" t="s">
        <v>35</v>
      </c>
      <c r="F167" s="14" t="s">
        <v>92</v>
      </c>
      <c r="G167" s="16" t="s">
        <v>37</v>
      </c>
      <c r="H167" s="14" t="s">
        <v>265</v>
      </c>
      <c r="I167" s="15">
        <v>34234</v>
      </c>
      <c r="J167" s="16" t="s">
        <v>103</v>
      </c>
      <c r="K167" s="14" t="s">
        <v>95</v>
      </c>
      <c r="L167" t="s">
        <v>38</v>
      </c>
    </row>
    <row r="168" spans="1:12" x14ac:dyDescent="0.25">
      <c r="A168" s="19" t="s">
        <v>445</v>
      </c>
      <c r="B168" s="14" t="s">
        <v>446</v>
      </c>
      <c r="C168" s="15">
        <v>45093</v>
      </c>
      <c r="D168" s="14" t="s">
        <v>91</v>
      </c>
      <c r="E168" s="14" t="s">
        <v>35</v>
      </c>
      <c r="F168" s="14" t="s">
        <v>92</v>
      </c>
      <c r="G168" s="16" t="s">
        <v>37</v>
      </c>
      <c r="H168" s="14" t="s">
        <v>148</v>
      </c>
      <c r="I168" s="15">
        <v>35053</v>
      </c>
      <c r="J168" s="16" t="s">
        <v>94</v>
      </c>
      <c r="K168" s="14" t="s">
        <v>95</v>
      </c>
      <c r="L168" t="s">
        <v>38</v>
      </c>
    </row>
    <row r="169" spans="1:12" x14ac:dyDescent="0.25">
      <c r="A169" s="19" t="s">
        <v>447</v>
      </c>
      <c r="B169" s="14" t="s">
        <v>448</v>
      </c>
      <c r="C169" s="15">
        <v>45051</v>
      </c>
      <c r="D169" s="14" t="s">
        <v>91</v>
      </c>
      <c r="E169" s="14" t="s">
        <v>35</v>
      </c>
      <c r="F169" s="14" t="s">
        <v>92</v>
      </c>
      <c r="G169" s="16" t="s">
        <v>37</v>
      </c>
      <c r="H169" s="14" t="s">
        <v>120</v>
      </c>
      <c r="I169" s="15">
        <v>37388</v>
      </c>
      <c r="J169" s="16" t="s">
        <v>94</v>
      </c>
      <c r="K169" s="14" t="s">
        <v>95</v>
      </c>
      <c r="L169" t="s">
        <v>38</v>
      </c>
    </row>
    <row r="170" spans="1:12" x14ac:dyDescent="0.25">
      <c r="A170" s="19" t="s">
        <v>449</v>
      </c>
      <c r="B170" s="14" t="s">
        <v>450</v>
      </c>
      <c r="C170" s="15">
        <v>44713</v>
      </c>
      <c r="D170" s="14" t="s">
        <v>91</v>
      </c>
      <c r="E170" s="14" t="s">
        <v>35</v>
      </c>
      <c r="F170" s="14" t="s">
        <v>92</v>
      </c>
      <c r="G170" s="16" t="s">
        <v>37</v>
      </c>
      <c r="H170" s="14" t="s">
        <v>98</v>
      </c>
      <c r="I170" s="15">
        <v>35376</v>
      </c>
      <c r="J170" s="16" t="s">
        <v>94</v>
      </c>
      <c r="K170" s="14" t="s">
        <v>95</v>
      </c>
      <c r="L170" t="s">
        <v>40</v>
      </c>
    </row>
    <row r="171" spans="1:12" x14ac:dyDescent="0.25">
      <c r="A171" s="19" t="s">
        <v>451</v>
      </c>
      <c r="B171" s="14" t="s">
        <v>452</v>
      </c>
      <c r="C171" s="15">
        <v>45078</v>
      </c>
      <c r="D171" s="14" t="s">
        <v>91</v>
      </c>
      <c r="E171" s="14" t="s">
        <v>35</v>
      </c>
      <c r="F171" s="14" t="s">
        <v>92</v>
      </c>
      <c r="G171" s="16" t="s">
        <v>31</v>
      </c>
      <c r="H171" s="14" t="s">
        <v>93</v>
      </c>
      <c r="I171" s="15">
        <v>35877</v>
      </c>
      <c r="J171" s="16" t="s">
        <v>94</v>
      </c>
      <c r="K171" s="14" t="s">
        <v>95</v>
      </c>
      <c r="L171" t="s">
        <v>40</v>
      </c>
    </row>
    <row r="172" spans="1:12" x14ac:dyDescent="0.25">
      <c r="A172" s="19" t="s">
        <v>453</v>
      </c>
      <c r="B172" s="14" t="s">
        <v>454</v>
      </c>
      <c r="C172" s="15">
        <v>44938</v>
      </c>
      <c r="D172" s="14" t="s">
        <v>91</v>
      </c>
      <c r="E172" s="14" t="s">
        <v>35</v>
      </c>
      <c r="F172" s="14" t="s">
        <v>127</v>
      </c>
      <c r="G172" s="16" t="s">
        <v>31</v>
      </c>
      <c r="H172" s="14" t="s">
        <v>93</v>
      </c>
      <c r="I172" s="15">
        <v>31279</v>
      </c>
      <c r="J172" s="16" t="s">
        <v>103</v>
      </c>
      <c r="K172" s="14" t="s">
        <v>95</v>
      </c>
      <c r="L172" t="s">
        <v>40</v>
      </c>
    </row>
    <row r="173" spans="1:12" x14ac:dyDescent="0.25">
      <c r="A173" s="19" t="s">
        <v>455</v>
      </c>
      <c r="B173" s="14" t="s">
        <v>456</v>
      </c>
      <c r="C173" s="15">
        <v>44896</v>
      </c>
      <c r="D173" s="14" t="s">
        <v>91</v>
      </c>
      <c r="E173" s="14" t="s">
        <v>35</v>
      </c>
      <c r="F173" s="14" t="s">
        <v>92</v>
      </c>
      <c r="G173" s="16" t="s">
        <v>37</v>
      </c>
      <c r="H173" s="14" t="s">
        <v>98</v>
      </c>
      <c r="I173" s="15">
        <v>34052</v>
      </c>
      <c r="J173" s="16" t="s">
        <v>94</v>
      </c>
      <c r="K173" s="14" t="s">
        <v>95</v>
      </c>
      <c r="L173" t="s">
        <v>40</v>
      </c>
    </row>
    <row r="174" spans="1:12" x14ac:dyDescent="0.25">
      <c r="A174" s="19" t="s">
        <v>457</v>
      </c>
      <c r="B174" s="14" t="s">
        <v>458</v>
      </c>
      <c r="C174" s="15">
        <v>44785</v>
      </c>
      <c r="D174" s="14" t="s">
        <v>91</v>
      </c>
      <c r="E174" s="14" t="s">
        <v>35</v>
      </c>
      <c r="F174" s="14" t="s">
        <v>92</v>
      </c>
      <c r="G174" s="16" t="s">
        <v>37</v>
      </c>
      <c r="H174" s="14" t="s">
        <v>98</v>
      </c>
      <c r="I174" s="15">
        <v>36585</v>
      </c>
      <c r="J174" s="16" t="s">
        <v>94</v>
      </c>
      <c r="K174" s="14" t="s">
        <v>95</v>
      </c>
      <c r="L174" t="s">
        <v>40</v>
      </c>
    </row>
    <row r="175" spans="1:12" x14ac:dyDescent="0.25">
      <c r="A175" s="19" t="s">
        <v>459</v>
      </c>
      <c r="B175" s="14" t="s">
        <v>460</v>
      </c>
      <c r="C175" s="15">
        <v>45146</v>
      </c>
      <c r="D175" s="14" t="s">
        <v>91</v>
      </c>
      <c r="E175" s="14" t="s">
        <v>35</v>
      </c>
      <c r="F175" s="14" t="s">
        <v>92</v>
      </c>
      <c r="G175" s="16" t="s">
        <v>37</v>
      </c>
      <c r="H175" s="14" t="s">
        <v>120</v>
      </c>
      <c r="I175" s="15">
        <v>38211</v>
      </c>
      <c r="J175" s="16" t="s">
        <v>94</v>
      </c>
      <c r="K175" s="14" t="s">
        <v>95</v>
      </c>
      <c r="L175" t="s">
        <v>38</v>
      </c>
    </row>
    <row r="176" spans="1:12" x14ac:dyDescent="0.25">
      <c r="A176" s="19" t="s">
        <v>461</v>
      </c>
      <c r="B176" s="14" t="s">
        <v>462</v>
      </c>
      <c r="C176" s="15">
        <v>44805</v>
      </c>
      <c r="D176" s="14" t="s">
        <v>91</v>
      </c>
      <c r="E176" s="14" t="s">
        <v>35</v>
      </c>
      <c r="F176" s="14" t="s">
        <v>92</v>
      </c>
      <c r="G176" s="16" t="s">
        <v>37</v>
      </c>
      <c r="H176" s="14" t="s">
        <v>98</v>
      </c>
      <c r="I176" s="15">
        <v>35201</v>
      </c>
      <c r="J176" s="16" t="s">
        <v>94</v>
      </c>
      <c r="K176" s="14" t="s">
        <v>95</v>
      </c>
      <c r="L176" t="s">
        <v>40</v>
      </c>
    </row>
    <row r="177" spans="1:12" x14ac:dyDescent="0.25">
      <c r="A177" s="19" t="s">
        <v>463</v>
      </c>
      <c r="B177" s="14" t="s">
        <v>464</v>
      </c>
      <c r="C177" s="15">
        <v>44805</v>
      </c>
      <c r="D177" s="14" t="s">
        <v>91</v>
      </c>
      <c r="E177" s="14" t="s">
        <v>35</v>
      </c>
      <c r="F177" s="14" t="s">
        <v>92</v>
      </c>
      <c r="G177" s="16" t="s">
        <v>31</v>
      </c>
      <c r="H177" s="14" t="s">
        <v>93</v>
      </c>
      <c r="I177" s="15">
        <v>34267</v>
      </c>
      <c r="J177" s="16" t="s">
        <v>94</v>
      </c>
      <c r="K177" s="14" t="s">
        <v>95</v>
      </c>
      <c r="L177" t="s">
        <v>40</v>
      </c>
    </row>
    <row r="178" spans="1:12" x14ac:dyDescent="0.25">
      <c r="A178" s="19" t="s">
        <v>465</v>
      </c>
      <c r="B178" s="14" t="s">
        <v>466</v>
      </c>
      <c r="C178" s="15">
        <v>45233</v>
      </c>
      <c r="D178" s="14" t="s">
        <v>91</v>
      </c>
      <c r="E178" s="14" t="s">
        <v>35</v>
      </c>
      <c r="F178" s="14" t="s">
        <v>110</v>
      </c>
      <c r="G178" s="16" t="s">
        <v>37</v>
      </c>
      <c r="H178" s="14" t="s">
        <v>111</v>
      </c>
      <c r="I178" s="15">
        <v>35368</v>
      </c>
      <c r="J178" s="16" t="s">
        <v>94</v>
      </c>
      <c r="K178" s="14" t="s">
        <v>95</v>
      </c>
      <c r="L178" t="s">
        <v>40</v>
      </c>
    </row>
    <row r="179" spans="1:12" x14ac:dyDescent="0.25">
      <c r="A179" s="19" t="s">
        <v>467</v>
      </c>
      <c r="B179" s="14" t="s">
        <v>468</v>
      </c>
      <c r="C179" s="15">
        <v>41830</v>
      </c>
      <c r="D179" s="14" t="s">
        <v>91</v>
      </c>
      <c r="E179" s="14" t="s">
        <v>35</v>
      </c>
      <c r="F179" s="14" t="s">
        <v>92</v>
      </c>
      <c r="G179" s="16" t="s">
        <v>31</v>
      </c>
      <c r="H179" s="14" t="s">
        <v>93</v>
      </c>
      <c r="I179" s="15">
        <v>31493</v>
      </c>
      <c r="J179" s="16" t="s">
        <v>94</v>
      </c>
      <c r="K179" s="14" t="s">
        <v>95</v>
      </c>
      <c r="L179" t="s">
        <v>40</v>
      </c>
    </row>
    <row r="180" spans="1:12" x14ac:dyDescent="0.25">
      <c r="A180" s="19" t="s">
        <v>469</v>
      </c>
      <c r="B180" s="14" t="s">
        <v>470</v>
      </c>
      <c r="C180" s="15">
        <v>41592</v>
      </c>
      <c r="D180" s="14" t="s">
        <v>91</v>
      </c>
      <c r="E180" s="14" t="s">
        <v>35</v>
      </c>
      <c r="F180" s="14" t="s">
        <v>92</v>
      </c>
      <c r="G180" s="16" t="s">
        <v>31</v>
      </c>
      <c r="H180" s="14" t="s">
        <v>93</v>
      </c>
      <c r="I180" s="15">
        <v>30207</v>
      </c>
      <c r="J180" s="16" t="s">
        <v>94</v>
      </c>
      <c r="K180" s="14" t="s">
        <v>95</v>
      </c>
      <c r="L180" t="s">
        <v>40</v>
      </c>
    </row>
    <row r="181" spans="1:12" x14ac:dyDescent="0.25">
      <c r="A181" s="19" t="s">
        <v>471</v>
      </c>
      <c r="B181" s="14" t="s">
        <v>472</v>
      </c>
      <c r="C181" s="15">
        <v>45338</v>
      </c>
      <c r="D181" s="14" t="s">
        <v>91</v>
      </c>
      <c r="E181" s="14" t="s">
        <v>35</v>
      </c>
      <c r="F181" s="14" t="s">
        <v>92</v>
      </c>
      <c r="G181" s="16" t="s">
        <v>31</v>
      </c>
      <c r="H181" s="14" t="s">
        <v>165</v>
      </c>
      <c r="I181" s="15">
        <v>31867</v>
      </c>
      <c r="J181" s="16" t="s">
        <v>94</v>
      </c>
      <c r="K181" s="14" t="s">
        <v>95</v>
      </c>
      <c r="L181" t="s">
        <v>38</v>
      </c>
    </row>
    <row r="182" spans="1:12" x14ac:dyDescent="0.25">
      <c r="A182" s="19" t="s">
        <v>473</v>
      </c>
      <c r="B182" s="14" t="s">
        <v>474</v>
      </c>
      <c r="C182" s="15">
        <v>41313</v>
      </c>
      <c r="D182" s="14" t="s">
        <v>91</v>
      </c>
      <c r="E182" s="14" t="s">
        <v>35</v>
      </c>
      <c r="F182" s="14" t="s">
        <v>92</v>
      </c>
      <c r="G182" s="16" t="s">
        <v>37</v>
      </c>
      <c r="H182" s="14" t="s">
        <v>98</v>
      </c>
      <c r="I182" s="15">
        <v>32025</v>
      </c>
      <c r="J182" s="16" t="s">
        <v>94</v>
      </c>
      <c r="K182" s="14" t="s">
        <v>95</v>
      </c>
      <c r="L182" t="s">
        <v>40</v>
      </c>
    </row>
    <row r="183" spans="1:12" x14ac:dyDescent="0.25">
      <c r="A183" s="19" t="s">
        <v>475</v>
      </c>
      <c r="B183" s="14" t="s">
        <v>476</v>
      </c>
      <c r="C183" s="15">
        <v>44417</v>
      </c>
      <c r="D183" s="14" t="s">
        <v>123</v>
      </c>
      <c r="E183" s="14" t="s">
        <v>35</v>
      </c>
      <c r="F183" s="14" t="s">
        <v>92</v>
      </c>
      <c r="G183" s="16" t="s">
        <v>37</v>
      </c>
      <c r="H183" s="14" t="s">
        <v>98</v>
      </c>
      <c r="I183" s="15">
        <v>35966</v>
      </c>
      <c r="J183" s="16" t="s">
        <v>94</v>
      </c>
      <c r="K183" s="14" t="s">
        <v>124</v>
      </c>
      <c r="L183" t="s">
        <v>40</v>
      </c>
    </row>
    <row r="184" spans="1:12" x14ac:dyDescent="0.25">
      <c r="A184" s="19" t="s">
        <v>477</v>
      </c>
      <c r="B184" s="14" t="s">
        <v>478</v>
      </c>
      <c r="C184" s="15">
        <v>44594</v>
      </c>
      <c r="D184" s="14" t="s">
        <v>123</v>
      </c>
      <c r="E184" s="14" t="s">
        <v>35</v>
      </c>
      <c r="F184" s="14" t="s">
        <v>92</v>
      </c>
      <c r="G184" s="16" t="s">
        <v>31</v>
      </c>
      <c r="H184" s="14" t="s">
        <v>479</v>
      </c>
      <c r="I184" s="15">
        <v>33454</v>
      </c>
      <c r="J184" s="16" t="s">
        <v>94</v>
      </c>
      <c r="K184" s="14" t="s">
        <v>124</v>
      </c>
      <c r="L184" t="s">
        <v>40</v>
      </c>
    </row>
    <row r="185" spans="1:12" x14ac:dyDescent="0.25">
      <c r="A185" s="19" t="s">
        <v>480</v>
      </c>
      <c r="B185" s="14" t="s">
        <v>481</v>
      </c>
      <c r="C185" s="15">
        <v>45182</v>
      </c>
      <c r="D185" s="14" t="s">
        <v>91</v>
      </c>
      <c r="E185" s="14" t="s">
        <v>35</v>
      </c>
      <c r="F185" s="14" t="s">
        <v>92</v>
      </c>
      <c r="G185" s="16" t="s">
        <v>31</v>
      </c>
      <c r="H185" s="14" t="s">
        <v>93</v>
      </c>
      <c r="I185" s="15">
        <v>35241</v>
      </c>
      <c r="J185" s="16" t="s">
        <v>94</v>
      </c>
      <c r="K185" s="14" t="s">
        <v>95</v>
      </c>
      <c r="L185" t="s">
        <v>40</v>
      </c>
    </row>
    <row r="186" spans="1:12" x14ac:dyDescent="0.25">
      <c r="A186" s="19" t="s">
        <v>482</v>
      </c>
      <c r="B186" s="14" t="s">
        <v>483</v>
      </c>
      <c r="C186" s="15">
        <v>44683</v>
      </c>
      <c r="D186" s="14" t="s">
        <v>91</v>
      </c>
      <c r="E186" s="14" t="s">
        <v>35</v>
      </c>
      <c r="F186" s="14" t="s">
        <v>92</v>
      </c>
      <c r="G186" s="16" t="s">
        <v>37</v>
      </c>
      <c r="H186" s="14" t="s">
        <v>98</v>
      </c>
      <c r="I186" s="15">
        <v>36571</v>
      </c>
      <c r="J186" s="16" t="s">
        <v>94</v>
      </c>
      <c r="K186" s="14" t="s">
        <v>95</v>
      </c>
      <c r="L186" t="s">
        <v>40</v>
      </c>
    </row>
    <row r="187" spans="1:12" x14ac:dyDescent="0.25">
      <c r="A187" s="19" t="s">
        <v>484</v>
      </c>
      <c r="B187" s="14" t="s">
        <v>485</v>
      </c>
      <c r="C187" s="15">
        <v>44868</v>
      </c>
      <c r="D187" s="14" t="s">
        <v>91</v>
      </c>
      <c r="E187" s="14" t="s">
        <v>35</v>
      </c>
      <c r="F187" s="14" t="s">
        <v>92</v>
      </c>
      <c r="G187" s="16" t="s">
        <v>31</v>
      </c>
      <c r="H187" s="14" t="s">
        <v>93</v>
      </c>
      <c r="I187" s="15">
        <v>33496</v>
      </c>
      <c r="J187" s="16" t="s">
        <v>94</v>
      </c>
      <c r="K187" s="14" t="s">
        <v>95</v>
      </c>
      <c r="L187" t="s">
        <v>40</v>
      </c>
    </row>
    <row r="188" spans="1:12" x14ac:dyDescent="0.25">
      <c r="A188" s="19" t="s">
        <v>486</v>
      </c>
      <c r="B188" s="14" t="s">
        <v>487</v>
      </c>
      <c r="C188" s="15">
        <v>45078</v>
      </c>
      <c r="D188" s="14" t="s">
        <v>91</v>
      </c>
      <c r="E188" s="14" t="s">
        <v>35</v>
      </c>
      <c r="F188" s="14" t="s">
        <v>92</v>
      </c>
      <c r="G188" s="16" t="s">
        <v>31</v>
      </c>
      <c r="H188" s="14" t="s">
        <v>93</v>
      </c>
      <c r="I188" s="15">
        <v>34710</v>
      </c>
      <c r="J188" s="16" t="s">
        <v>94</v>
      </c>
      <c r="K188" s="14" t="s">
        <v>95</v>
      </c>
      <c r="L188" t="s">
        <v>40</v>
      </c>
    </row>
    <row r="189" spans="1:12" x14ac:dyDescent="0.25">
      <c r="A189" s="19" t="s">
        <v>488</v>
      </c>
      <c r="B189" s="14" t="s">
        <v>489</v>
      </c>
      <c r="C189" s="15">
        <v>44938</v>
      </c>
      <c r="D189" s="14" t="s">
        <v>91</v>
      </c>
      <c r="E189" s="14" t="s">
        <v>35</v>
      </c>
      <c r="F189" s="14" t="s">
        <v>92</v>
      </c>
      <c r="G189" s="16" t="s">
        <v>37</v>
      </c>
      <c r="H189" s="14" t="s">
        <v>98</v>
      </c>
      <c r="I189" s="15">
        <v>34197</v>
      </c>
      <c r="J189" s="16" t="s">
        <v>94</v>
      </c>
      <c r="K189" s="14" t="s">
        <v>95</v>
      </c>
      <c r="L189" t="s">
        <v>40</v>
      </c>
    </row>
    <row r="190" spans="1:12" x14ac:dyDescent="0.25">
      <c r="A190" s="19" t="s">
        <v>490</v>
      </c>
      <c r="B190" s="14" t="s">
        <v>491</v>
      </c>
      <c r="C190" s="15">
        <v>45146</v>
      </c>
      <c r="D190" s="14" t="s">
        <v>91</v>
      </c>
      <c r="E190" s="14" t="s">
        <v>35</v>
      </c>
      <c r="F190" s="14" t="s">
        <v>92</v>
      </c>
      <c r="G190" s="16" t="s">
        <v>37</v>
      </c>
      <c r="H190" s="14" t="s">
        <v>98</v>
      </c>
      <c r="I190" s="15">
        <v>35669</v>
      </c>
      <c r="J190" s="16" t="s">
        <v>94</v>
      </c>
      <c r="K190" s="14" t="s">
        <v>95</v>
      </c>
      <c r="L190" t="s">
        <v>40</v>
      </c>
    </row>
    <row r="191" spans="1:12" x14ac:dyDescent="0.25">
      <c r="A191" s="19" t="s">
        <v>492</v>
      </c>
      <c r="B191" s="14" t="s">
        <v>493</v>
      </c>
      <c r="C191" s="15">
        <v>45051</v>
      </c>
      <c r="D191" s="14" t="s">
        <v>91</v>
      </c>
      <c r="E191" s="14" t="s">
        <v>35</v>
      </c>
      <c r="F191" s="14" t="s">
        <v>92</v>
      </c>
      <c r="G191" s="16" t="s">
        <v>37</v>
      </c>
      <c r="H191" s="14" t="s">
        <v>148</v>
      </c>
      <c r="I191" s="15">
        <v>35382</v>
      </c>
      <c r="J191" s="16" t="s">
        <v>94</v>
      </c>
      <c r="K191" s="14" t="s">
        <v>95</v>
      </c>
      <c r="L191" t="s">
        <v>38</v>
      </c>
    </row>
    <row r="192" spans="1:12" x14ac:dyDescent="0.25">
      <c r="A192" s="19" t="s">
        <v>494</v>
      </c>
      <c r="B192" s="14" t="s">
        <v>495</v>
      </c>
      <c r="C192" s="15">
        <v>44896</v>
      </c>
      <c r="D192" s="14" t="s">
        <v>91</v>
      </c>
      <c r="E192" s="14" t="s">
        <v>35</v>
      </c>
      <c r="F192" s="14" t="s">
        <v>92</v>
      </c>
      <c r="G192" s="16" t="s">
        <v>31</v>
      </c>
      <c r="H192" s="14" t="s">
        <v>93</v>
      </c>
      <c r="I192" s="15">
        <v>36248</v>
      </c>
      <c r="J192" s="16" t="s">
        <v>103</v>
      </c>
      <c r="K192" s="14" t="s">
        <v>95</v>
      </c>
      <c r="L192" t="s">
        <v>40</v>
      </c>
    </row>
    <row r="193" spans="1:12" x14ac:dyDescent="0.25">
      <c r="A193" s="19" t="s">
        <v>496</v>
      </c>
      <c r="B193" s="14" t="s">
        <v>497</v>
      </c>
      <c r="C193" s="15">
        <v>45051</v>
      </c>
      <c r="D193" s="14" t="s">
        <v>91</v>
      </c>
      <c r="E193" s="14" t="s">
        <v>35</v>
      </c>
      <c r="F193" s="14" t="s">
        <v>92</v>
      </c>
      <c r="G193" s="16" t="s">
        <v>37</v>
      </c>
      <c r="H193" s="14" t="s">
        <v>148</v>
      </c>
      <c r="I193" s="15">
        <v>36975</v>
      </c>
      <c r="J193" s="16" t="s">
        <v>94</v>
      </c>
      <c r="K193" s="14" t="s">
        <v>95</v>
      </c>
      <c r="L193" t="s">
        <v>38</v>
      </c>
    </row>
    <row r="194" spans="1:12" x14ac:dyDescent="0.25">
      <c r="A194" s="19" t="s">
        <v>498</v>
      </c>
      <c r="B194" s="14" t="s">
        <v>499</v>
      </c>
      <c r="C194" s="15">
        <v>44966</v>
      </c>
      <c r="D194" s="14" t="s">
        <v>91</v>
      </c>
      <c r="E194" s="14" t="s">
        <v>35</v>
      </c>
      <c r="F194" s="14" t="s">
        <v>92</v>
      </c>
      <c r="G194" s="16" t="s">
        <v>37</v>
      </c>
      <c r="H194" s="14" t="s">
        <v>98</v>
      </c>
      <c r="I194" s="15">
        <v>37097</v>
      </c>
      <c r="J194" s="16" t="s">
        <v>94</v>
      </c>
      <c r="K194" s="14" t="s">
        <v>95</v>
      </c>
      <c r="L194" t="s">
        <v>40</v>
      </c>
    </row>
    <row r="195" spans="1:12" x14ac:dyDescent="0.25">
      <c r="A195" s="19" t="s">
        <v>500</v>
      </c>
      <c r="B195" s="14" t="s">
        <v>501</v>
      </c>
      <c r="C195" s="15">
        <v>41313</v>
      </c>
      <c r="D195" s="14" t="s">
        <v>91</v>
      </c>
      <c r="E195" s="14" t="s">
        <v>35</v>
      </c>
      <c r="F195" s="14" t="s">
        <v>92</v>
      </c>
      <c r="G195" s="16" t="s">
        <v>31</v>
      </c>
      <c r="H195" s="14" t="s">
        <v>93</v>
      </c>
      <c r="I195" s="15">
        <v>31697</v>
      </c>
      <c r="J195" s="16" t="s">
        <v>94</v>
      </c>
      <c r="K195" s="14" t="s">
        <v>95</v>
      </c>
      <c r="L195" t="s">
        <v>40</v>
      </c>
    </row>
    <row r="196" spans="1:12" x14ac:dyDescent="0.25">
      <c r="A196" s="19" t="s">
        <v>502</v>
      </c>
      <c r="B196" s="14" t="s">
        <v>503</v>
      </c>
      <c r="C196" s="15">
        <v>44482</v>
      </c>
      <c r="D196" s="14" t="s">
        <v>91</v>
      </c>
      <c r="E196" s="14" t="s">
        <v>35</v>
      </c>
      <c r="F196" s="14" t="s">
        <v>92</v>
      </c>
      <c r="G196" s="16" t="s">
        <v>31</v>
      </c>
      <c r="H196" s="14" t="s">
        <v>93</v>
      </c>
      <c r="I196" s="15">
        <v>33873</v>
      </c>
      <c r="J196" s="16" t="s">
        <v>94</v>
      </c>
      <c r="K196" s="14" t="s">
        <v>95</v>
      </c>
      <c r="L196" t="s">
        <v>40</v>
      </c>
    </row>
    <row r="197" spans="1:12" x14ac:dyDescent="0.25">
      <c r="A197" s="19" t="s">
        <v>504</v>
      </c>
      <c r="B197" s="14" t="s">
        <v>505</v>
      </c>
      <c r="C197" s="15">
        <v>44503</v>
      </c>
      <c r="D197" s="14" t="s">
        <v>123</v>
      </c>
      <c r="E197" s="14" t="s">
        <v>35</v>
      </c>
      <c r="F197" s="14" t="s">
        <v>92</v>
      </c>
      <c r="G197" s="16" t="s">
        <v>31</v>
      </c>
      <c r="H197" s="14" t="s">
        <v>93</v>
      </c>
      <c r="I197" s="15">
        <v>36575</v>
      </c>
      <c r="J197" s="16" t="s">
        <v>94</v>
      </c>
      <c r="K197" s="14" t="s">
        <v>124</v>
      </c>
      <c r="L197" t="s">
        <v>40</v>
      </c>
    </row>
    <row r="198" spans="1:12" x14ac:dyDescent="0.25">
      <c r="A198" s="19" t="s">
        <v>506</v>
      </c>
      <c r="B198" s="14" t="s">
        <v>507</v>
      </c>
      <c r="C198" s="15">
        <v>45212</v>
      </c>
      <c r="D198" s="14" t="s">
        <v>91</v>
      </c>
      <c r="E198" s="14" t="s">
        <v>35</v>
      </c>
      <c r="F198" s="14" t="s">
        <v>92</v>
      </c>
      <c r="G198" s="16" t="s">
        <v>31</v>
      </c>
      <c r="H198" s="14" t="s">
        <v>93</v>
      </c>
      <c r="I198" s="15">
        <v>33560</v>
      </c>
      <c r="J198" s="16" t="s">
        <v>94</v>
      </c>
      <c r="K198" s="14" t="s">
        <v>95</v>
      </c>
      <c r="L198" t="s">
        <v>40</v>
      </c>
    </row>
    <row r="199" spans="1:12" x14ac:dyDescent="0.25">
      <c r="A199" s="19" t="s">
        <v>508</v>
      </c>
      <c r="B199" s="14" t="s">
        <v>509</v>
      </c>
      <c r="C199" s="15">
        <v>44966</v>
      </c>
      <c r="D199" s="14" t="s">
        <v>91</v>
      </c>
      <c r="E199" s="14" t="s">
        <v>35</v>
      </c>
      <c r="F199" s="14" t="s">
        <v>92</v>
      </c>
      <c r="G199" s="16" t="s">
        <v>37</v>
      </c>
      <c r="H199" s="14" t="s">
        <v>98</v>
      </c>
      <c r="I199" s="15">
        <v>31799</v>
      </c>
      <c r="J199" s="16" t="s">
        <v>94</v>
      </c>
      <c r="K199" s="14" t="s">
        <v>95</v>
      </c>
      <c r="L199" t="s">
        <v>40</v>
      </c>
    </row>
    <row r="200" spans="1:12" x14ac:dyDescent="0.25">
      <c r="A200" s="19" t="s">
        <v>510</v>
      </c>
      <c r="B200" s="14" t="s">
        <v>511</v>
      </c>
      <c r="C200" s="15">
        <v>44305</v>
      </c>
      <c r="D200" s="14" t="s">
        <v>91</v>
      </c>
      <c r="E200" s="14" t="s">
        <v>35</v>
      </c>
      <c r="F200" s="14" t="s">
        <v>127</v>
      </c>
      <c r="G200" s="16" t="s">
        <v>31</v>
      </c>
      <c r="H200" s="14" t="s">
        <v>93</v>
      </c>
      <c r="I200" s="15">
        <v>20977</v>
      </c>
      <c r="J200" s="16" t="s">
        <v>94</v>
      </c>
      <c r="K200" s="14" t="s">
        <v>95</v>
      </c>
      <c r="L200" t="s">
        <v>40</v>
      </c>
    </row>
    <row r="201" spans="1:12" x14ac:dyDescent="0.25">
      <c r="A201" s="19" t="s">
        <v>512</v>
      </c>
      <c r="B201" s="14" t="s">
        <v>513</v>
      </c>
      <c r="C201" s="15">
        <v>44837</v>
      </c>
      <c r="D201" s="14" t="s">
        <v>91</v>
      </c>
      <c r="E201" s="14" t="s">
        <v>35</v>
      </c>
      <c r="F201" s="14" t="s">
        <v>92</v>
      </c>
      <c r="G201" s="16" t="s">
        <v>37</v>
      </c>
      <c r="H201" s="14" t="s">
        <v>98</v>
      </c>
      <c r="I201" s="15">
        <v>34986</v>
      </c>
      <c r="J201" s="16" t="s">
        <v>94</v>
      </c>
      <c r="K201" s="14" t="s">
        <v>95</v>
      </c>
      <c r="L201" t="s">
        <v>40</v>
      </c>
    </row>
    <row r="202" spans="1:12" x14ac:dyDescent="0.25">
      <c r="A202" s="19" t="s">
        <v>514</v>
      </c>
      <c r="B202" s="14" t="s">
        <v>515</v>
      </c>
      <c r="C202" s="15">
        <v>45338</v>
      </c>
      <c r="D202" s="14" t="s">
        <v>91</v>
      </c>
      <c r="E202" s="14" t="s">
        <v>35</v>
      </c>
      <c r="F202" s="14" t="s">
        <v>92</v>
      </c>
      <c r="G202" s="16" t="s">
        <v>31</v>
      </c>
      <c r="H202" s="14" t="s">
        <v>258</v>
      </c>
      <c r="I202" s="15">
        <v>35369</v>
      </c>
      <c r="J202" s="16" t="s">
        <v>94</v>
      </c>
      <c r="K202" s="14" t="s">
        <v>95</v>
      </c>
      <c r="L202" t="s">
        <v>38</v>
      </c>
    </row>
    <row r="203" spans="1:12" x14ac:dyDescent="0.25">
      <c r="A203" s="19" t="s">
        <v>516</v>
      </c>
      <c r="B203" s="14" t="s">
        <v>517</v>
      </c>
      <c r="C203" s="15">
        <v>45338</v>
      </c>
      <c r="D203" s="14" t="s">
        <v>91</v>
      </c>
      <c r="E203" s="14" t="s">
        <v>35</v>
      </c>
      <c r="F203" s="14" t="s">
        <v>92</v>
      </c>
      <c r="G203" s="16" t="s">
        <v>31</v>
      </c>
      <c r="H203" s="14" t="s">
        <v>258</v>
      </c>
      <c r="I203" s="15">
        <v>34474</v>
      </c>
      <c r="J203" s="16" t="s">
        <v>103</v>
      </c>
      <c r="K203" s="14" t="s">
        <v>95</v>
      </c>
      <c r="L203" t="s">
        <v>38</v>
      </c>
    </row>
    <row r="204" spans="1:12" x14ac:dyDescent="0.25">
      <c r="A204" s="19" t="s">
        <v>518</v>
      </c>
      <c r="B204" s="14" t="s">
        <v>519</v>
      </c>
      <c r="C204" s="15">
        <v>44319</v>
      </c>
      <c r="D204" s="14" t="s">
        <v>91</v>
      </c>
      <c r="E204" s="14" t="s">
        <v>35</v>
      </c>
      <c r="F204" s="14" t="s">
        <v>92</v>
      </c>
      <c r="G204" s="16" t="s">
        <v>37</v>
      </c>
      <c r="H204" s="14" t="s">
        <v>98</v>
      </c>
      <c r="I204" s="15">
        <v>33036</v>
      </c>
      <c r="J204" s="16" t="s">
        <v>94</v>
      </c>
      <c r="K204" s="14" t="s">
        <v>95</v>
      </c>
      <c r="L204" t="s">
        <v>40</v>
      </c>
    </row>
    <row r="205" spans="1:12" x14ac:dyDescent="0.25">
      <c r="A205" s="19" t="s">
        <v>520</v>
      </c>
      <c r="B205" s="14" t="s">
        <v>521</v>
      </c>
      <c r="C205" s="15">
        <v>45033</v>
      </c>
      <c r="D205" s="14" t="s">
        <v>91</v>
      </c>
      <c r="E205" s="14" t="s">
        <v>35</v>
      </c>
      <c r="F205" s="14" t="s">
        <v>92</v>
      </c>
      <c r="G205" s="16" t="s">
        <v>37</v>
      </c>
      <c r="H205" s="14" t="s">
        <v>98</v>
      </c>
      <c r="I205" s="15">
        <v>37411</v>
      </c>
      <c r="J205" s="16" t="s">
        <v>94</v>
      </c>
      <c r="K205" s="14" t="s">
        <v>95</v>
      </c>
      <c r="L205" t="s">
        <v>40</v>
      </c>
    </row>
    <row r="206" spans="1:12" x14ac:dyDescent="0.25">
      <c r="A206" s="19" t="s">
        <v>522</v>
      </c>
      <c r="B206" s="14" t="s">
        <v>523</v>
      </c>
      <c r="C206" s="15">
        <v>44378</v>
      </c>
      <c r="D206" s="14" t="s">
        <v>91</v>
      </c>
      <c r="E206" s="14" t="s">
        <v>35</v>
      </c>
      <c r="F206" s="14" t="s">
        <v>92</v>
      </c>
      <c r="G206" s="16" t="s">
        <v>37</v>
      </c>
      <c r="H206" s="14" t="s">
        <v>98</v>
      </c>
      <c r="I206" s="15">
        <v>32412</v>
      </c>
      <c r="J206" s="16" t="s">
        <v>94</v>
      </c>
      <c r="K206" s="14" t="s">
        <v>95</v>
      </c>
      <c r="L206" t="s">
        <v>40</v>
      </c>
    </row>
    <row r="207" spans="1:12" x14ac:dyDescent="0.25">
      <c r="A207" s="19" t="s">
        <v>524</v>
      </c>
      <c r="B207" s="14" t="s">
        <v>525</v>
      </c>
      <c r="C207" s="15">
        <v>45063</v>
      </c>
      <c r="D207" s="14" t="s">
        <v>91</v>
      </c>
      <c r="E207" s="14" t="s">
        <v>35</v>
      </c>
      <c r="F207" s="14" t="s">
        <v>92</v>
      </c>
      <c r="G207" s="16" t="s">
        <v>37</v>
      </c>
      <c r="H207" s="14" t="s">
        <v>265</v>
      </c>
      <c r="I207" s="15">
        <v>35014</v>
      </c>
      <c r="J207" s="16" t="s">
        <v>94</v>
      </c>
      <c r="K207" s="14" t="s">
        <v>95</v>
      </c>
      <c r="L207" t="s">
        <v>38</v>
      </c>
    </row>
    <row r="208" spans="1:12" x14ac:dyDescent="0.25">
      <c r="A208" s="19" t="s">
        <v>526</v>
      </c>
      <c r="B208" s="14" t="s">
        <v>527</v>
      </c>
      <c r="C208" s="15">
        <v>44606</v>
      </c>
      <c r="D208" s="14" t="s">
        <v>91</v>
      </c>
      <c r="E208" s="14" t="s">
        <v>35</v>
      </c>
      <c r="F208" s="14" t="s">
        <v>92</v>
      </c>
      <c r="G208" s="16" t="s">
        <v>31</v>
      </c>
      <c r="H208" s="14" t="s">
        <v>93</v>
      </c>
      <c r="I208" s="15">
        <v>35734</v>
      </c>
      <c r="J208" s="16" t="s">
        <v>94</v>
      </c>
      <c r="K208" s="14" t="s">
        <v>95</v>
      </c>
      <c r="L208" t="s">
        <v>40</v>
      </c>
    </row>
    <row r="209" spans="1:12" x14ac:dyDescent="0.25">
      <c r="A209" s="19" t="s">
        <v>528</v>
      </c>
      <c r="B209" s="14" t="s">
        <v>529</v>
      </c>
      <c r="C209" s="15">
        <v>44440</v>
      </c>
      <c r="D209" s="14" t="s">
        <v>123</v>
      </c>
      <c r="E209" s="14" t="s">
        <v>35</v>
      </c>
      <c r="F209" s="14" t="s">
        <v>92</v>
      </c>
      <c r="G209" s="16" t="s">
        <v>37</v>
      </c>
      <c r="H209" s="14" t="s">
        <v>98</v>
      </c>
      <c r="I209" s="15">
        <v>32217</v>
      </c>
      <c r="J209" s="16" t="s">
        <v>103</v>
      </c>
      <c r="K209" s="14" t="s">
        <v>124</v>
      </c>
      <c r="L209" t="s">
        <v>40</v>
      </c>
    </row>
    <row r="210" spans="1:12" x14ac:dyDescent="0.25">
      <c r="A210" s="19" t="s">
        <v>530</v>
      </c>
      <c r="B210" s="14" t="s">
        <v>531</v>
      </c>
      <c r="C210" s="15">
        <v>44518</v>
      </c>
      <c r="D210" s="14" t="s">
        <v>123</v>
      </c>
      <c r="E210" s="14" t="s">
        <v>35</v>
      </c>
      <c r="F210" s="14" t="s">
        <v>92</v>
      </c>
      <c r="G210" s="16" t="s">
        <v>31</v>
      </c>
      <c r="H210" s="14" t="s">
        <v>93</v>
      </c>
      <c r="I210" s="15">
        <v>35688</v>
      </c>
      <c r="J210" s="16" t="s">
        <v>94</v>
      </c>
      <c r="K210" s="14" t="s">
        <v>124</v>
      </c>
      <c r="L210" t="s">
        <v>40</v>
      </c>
    </row>
    <row r="211" spans="1:12" x14ac:dyDescent="0.25">
      <c r="A211" s="19" t="s">
        <v>532</v>
      </c>
      <c r="B211" s="14" t="s">
        <v>533</v>
      </c>
      <c r="C211" s="15">
        <v>44664</v>
      </c>
      <c r="D211" s="14" t="s">
        <v>91</v>
      </c>
      <c r="E211" s="14" t="s">
        <v>35</v>
      </c>
      <c r="F211" s="14" t="s">
        <v>92</v>
      </c>
      <c r="G211" s="16" t="s">
        <v>37</v>
      </c>
      <c r="H211" s="14" t="s">
        <v>98</v>
      </c>
      <c r="I211" s="15">
        <v>36260</v>
      </c>
      <c r="J211" s="16" t="s">
        <v>94</v>
      </c>
      <c r="K211" s="14" t="s">
        <v>95</v>
      </c>
      <c r="L211" t="s">
        <v>40</v>
      </c>
    </row>
    <row r="212" spans="1:12" x14ac:dyDescent="0.25">
      <c r="A212" s="19" t="s">
        <v>534</v>
      </c>
      <c r="B212" s="14" t="s">
        <v>535</v>
      </c>
      <c r="C212" s="15">
        <v>45338</v>
      </c>
      <c r="D212" s="14" t="s">
        <v>91</v>
      </c>
      <c r="E212" s="14" t="s">
        <v>35</v>
      </c>
      <c r="F212" s="14" t="s">
        <v>92</v>
      </c>
      <c r="G212" s="16" t="s">
        <v>31</v>
      </c>
      <c r="H212" s="14" t="s">
        <v>258</v>
      </c>
      <c r="I212" s="15">
        <v>35484</v>
      </c>
      <c r="J212" s="16" t="s">
        <v>94</v>
      </c>
      <c r="K212" s="14" t="s">
        <v>95</v>
      </c>
      <c r="L212" t="s">
        <v>38</v>
      </c>
    </row>
    <row r="213" spans="1:12" x14ac:dyDescent="0.25">
      <c r="A213" s="19" t="s">
        <v>536</v>
      </c>
      <c r="B213" s="14" t="s">
        <v>537</v>
      </c>
      <c r="C213" s="15">
        <v>44305</v>
      </c>
      <c r="D213" s="14" t="s">
        <v>91</v>
      </c>
      <c r="E213" s="14" t="s">
        <v>35</v>
      </c>
      <c r="F213" s="14" t="s">
        <v>127</v>
      </c>
      <c r="G213" s="16" t="s">
        <v>31</v>
      </c>
      <c r="H213" s="14" t="s">
        <v>93</v>
      </c>
      <c r="I213" s="15">
        <v>31775</v>
      </c>
      <c r="J213" s="16" t="s">
        <v>94</v>
      </c>
      <c r="K213" s="14" t="s">
        <v>95</v>
      </c>
      <c r="L213" t="s">
        <v>40</v>
      </c>
    </row>
    <row r="214" spans="1:12" x14ac:dyDescent="0.25">
      <c r="A214" s="19" t="s">
        <v>538</v>
      </c>
      <c r="B214" s="14" t="s">
        <v>539</v>
      </c>
      <c r="C214" s="15">
        <v>45299</v>
      </c>
      <c r="D214" s="14" t="s">
        <v>91</v>
      </c>
      <c r="E214" s="14" t="s">
        <v>35</v>
      </c>
      <c r="F214" s="14" t="s">
        <v>92</v>
      </c>
      <c r="G214" s="16" t="s">
        <v>31</v>
      </c>
      <c r="H214" s="14" t="s">
        <v>139</v>
      </c>
      <c r="I214" s="15">
        <v>33367</v>
      </c>
      <c r="J214" s="16" t="s">
        <v>94</v>
      </c>
      <c r="K214" s="14" t="s">
        <v>95</v>
      </c>
      <c r="L214" t="s">
        <v>38</v>
      </c>
    </row>
    <row r="215" spans="1:12" x14ac:dyDescent="0.25">
      <c r="A215" s="19" t="s">
        <v>540</v>
      </c>
      <c r="B215" s="14" t="s">
        <v>541</v>
      </c>
      <c r="C215" s="15">
        <v>45113</v>
      </c>
      <c r="D215" s="14" t="s">
        <v>91</v>
      </c>
      <c r="E215" s="14" t="s">
        <v>35</v>
      </c>
      <c r="F215" s="14" t="s">
        <v>92</v>
      </c>
      <c r="G215" s="16" t="s">
        <v>31</v>
      </c>
      <c r="H215" s="14" t="s">
        <v>93</v>
      </c>
      <c r="I215" s="15">
        <v>37062</v>
      </c>
      <c r="J215" s="16" t="s">
        <v>94</v>
      </c>
      <c r="K215" s="14" t="s">
        <v>95</v>
      </c>
      <c r="L215" t="s">
        <v>40</v>
      </c>
    </row>
    <row r="216" spans="1:12" x14ac:dyDescent="0.25">
      <c r="A216" s="19" t="s">
        <v>542</v>
      </c>
      <c r="B216" s="14" t="s">
        <v>543</v>
      </c>
      <c r="C216" s="15">
        <v>43865</v>
      </c>
      <c r="D216" s="14" t="s">
        <v>91</v>
      </c>
      <c r="E216" s="14" t="s">
        <v>35</v>
      </c>
      <c r="F216" s="14" t="s">
        <v>92</v>
      </c>
      <c r="G216" s="16" t="s">
        <v>37</v>
      </c>
      <c r="H216" s="14" t="s">
        <v>98</v>
      </c>
      <c r="I216" s="15">
        <v>32386</v>
      </c>
      <c r="J216" s="16" t="s">
        <v>103</v>
      </c>
      <c r="K216" s="14" t="s">
        <v>95</v>
      </c>
      <c r="L216" t="s">
        <v>40</v>
      </c>
    </row>
    <row r="217" spans="1:12" x14ac:dyDescent="0.25">
      <c r="A217" s="19" t="s">
        <v>544</v>
      </c>
      <c r="B217" s="14" t="s">
        <v>545</v>
      </c>
      <c r="C217" s="15">
        <v>41313</v>
      </c>
      <c r="D217" s="14" t="s">
        <v>91</v>
      </c>
      <c r="E217" s="14" t="s">
        <v>35</v>
      </c>
      <c r="F217" s="14" t="s">
        <v>92</v>
      </c>
      <c r="G217" s="16" t="s">
        <v>37</v>
      </c>
      <c r="H217" s="14" t="s">
        <v>152</v>
      </c>
      <c r="I217" s="15">
        <v>28892</v>
      </c>
      <c r="J217" s="16" t="s">
        <v>94</v>
      </c>
      <c r="K217" s="14" t="s">
        <v>95</v>
      </c>
      <c r="L217" t="s">
        <v>40</v>
      </c>
    </row>
    <row r="218" spans="1:12" x14ac:dyDescent="0.25">
      <c r="A218" s="19" t="s">
        <v>546</v>
      </c>
      <c r="B218" s="14" t="s">
        <v>547</v>
      </c>
      <c r="C218" s="15">
        <v>43678</v>
      </c>
      <c r="D218" s="14" t="s">
        <v>91</v>
      </c>
      <c r="E218" s="14" t="s">
        <v>35</v>
      </c>
      <c r="F218" s="14" t="s">
        <v>92</v>
      </c>
      <c r="G218" s="16" t="s">
        <v>37</v>
      </c>
      <c r="H218" s="14" t="s">
        <v>98</v>
      </c>
      <c r="I218" s="15">
        <v>33913</v>
      </c>
      <c r="J218" s="16" t="s">
        <v>94</v>
      </c>
      <c r="K218" s="14" t="s">
        <v>95</v>
      </c>
      <c r="L218" t="s">
        <v>40</v>
      </c>
    </row>
    <row r="219" spans="1:12" x14ac:dyDescent="0.25">
      <c r="A219" s="19" t="s">
        <v>548</v>
      </c>
      <c r="B219" s="14" t="s">
        <v>549</v>
      </c>
      <c r="C219" s="15">
        <v>44896</v>
      </c>
      <c r="D219" s="14" t="s">
        <v>123</v>
      </c>
      <c r="E219" s="14" t="s">
        <v>35</v>
      </c>
      <c r="F219" s="14" t="s">
        <v>92</v>
      </c>
      <c r="G219" s="16" t="s">
        <v>37</v>
      </c>
      <c r="H219" s="14" t="s">
        <v>98</v>
      </c>
      <c r="I219" s="15">
        <v>34200</v>
      </c>
      <c r="J219" s="16" t="s">
        <v>94</v>
      </c>
      <c r="K219" s="14" t="s">
        <v>124</v>
      </c>
      <c r="L219" t="s">
        <v>40</v>
      </c>
    </row>
    <row r="220" spans="1:12" x14ac:dyDescent="0.25">
      <c r="A220" s="19" t="s">
        <v>550</v>
      </c>
      <c r="B220" s="14" t="s">
        <v>551</v>
      </c>
      <c r="C220" s="15">
        <v>44874</v>
      </c>
      <c r="D220" s="14" t="s">
        <v>91</v>
      </c>
      <c r="E220" s="14" t="s">
        <v>35</v>
      </c>
      <c r="F220" s="14" t="s">
        <v>92</v>
      </c>
      <c r="G220" s="16" t="s">
        <v>31</v>
      </c>
      <c r="H220" s="14" t="s">
        <v>139</v>
      </c>
      <c r="I220" s="15">
        <v>33646</v>
      </c>
      <c r="J220" s="16" t="s">
        <v>94</v>
      </c>
      <c r="K220" s="14" t="s">
        <v>95</v>
      </c>
      <c r="L220" t="s">
        <v>38</v>
      </c>
    </row>
    <row r="221" spans="1:12" x14ac:dyDescent="0.25">
      <c r="A221" s="19" t="s">
        <v>552</v>
      </c>
      <c r="B221" s="14" t="s">
        <v>553</v>
      </c>
      <c r="C221" s="15">
        <v>44993</v>
      </c>
      <c r="D221" s="14" t="s">
        <v>91</v>
      </c>
      <c r="E221" s="14" t="s">
        <v>35</v>
      </c>
      <c r="F221" s="14" t="s">
        <v>92</v>
      </c>
      <c r="G221" s="16" t="s">
        <v>37</v>
      </c>
      <c r="H221" s="14" t="s">
        <v>148</v>
      </c>
      <c r="I221" s="15">
        <v>36491</v>
      </c>
      <c r="J221" s="16" t="s">
        <v>94</v>
      </c>
      <c r="K221" s="14" t="s">
        <v>95</v>
      </c>
      <c r="L221" t="s">
        <v>38</v>
      </c>
    </row>
    <row r="222" spans="1:12" x14ac:dyDescent="0.25">
      <c r="A222" s="19" t="s">
        <v>554</v>
      </c>
      <c r="B222" s="14" t="s">
        <v>555</v>
      </c>
      <c r="C222" s="15">
        <v>43045</v>
      </c>
      <c r="D222" s="14" t="s">
        <v>91</v>
      </c>
      <c r="E222" s="14" t="s">
        <v>35</v>
      </c>
      <c r="F222" s="14" t="s">
        <v>92</v>
      </c>
      <c r="G222" s="16" t="s">
        <v>31</v>
      </c>
      <c r="H222" s="14" t="s">
        <v>556</v>
      </c>
      <c r="I222" s="15">
        <v>35713</v>
      </c>
      <c r="J222" s="16" t="s">
        <v>94</v>
      </c>
      <c r="K222" s="14" t="s">
        <v>95</v>
      </c>
      <c r="L222" t="s">
        <v>40</v>
      </c>
    </row>
    <row r="223" spans="1:12" x14ac:dyDescent="0.25">
      <c r="A223" s="19" t="s">
        <v>557</v>
      </c>
      <c r="B223" s="14" t="s">
        <v>558</v>
      </c>
      <c r="C223" s="15">
        <v>42706</v>
      </c>
      <c r="D223" s="14" t="s">
        <v>91</v>
      </c>
      <c r="E223" s="14" t="s">
        <v>35</v>
      </c>
      <c r="F223" s="14" t="s">
        <v>92</v>
      </c>
      <c r="G223" s="16" t="s">
        <v>31</v>
      </c>
      <c r="H223" s="14" t="s">
        <v>93</v>
      </c>
      <c r="I223" s="15">
        <v>31806</v>
      </c>
      <c r="J223" s="16" t="s">
        <v>94</v>
      </c>
      <c r="K223" s="14" t="s">
        <v>95</v>
      </c>
      <c r="L223" t="s">
        <v>40</v>
      </c>
    </row>
    <row r="224" spans="1:12" x14ac:dyDescent="0.25">
      <c r="A224" s="19" t="s">
        <v>559</v>
      </c>
      <c r="B224" s="14" t="s">
        <v>560</v>
      </c>
      <c r="C224" s="15">
        <v>45233</v>
      </c>
      <c r="D224" s="14" t="s">
        <v>91</v>
      </c>
      <c r="E224" s="14" t="s">
        <v>35</v>
      </c>
      <c r="F224" s="14" t="s">
        <v>92</v>
      </c>
      <c r="G224" s="16" t="s">
        <v>37</v>
      </c>
      <c r="H224" s="14" t="s">
        <v>148</v>
      </c>
      <c r="I224" s="15">
        <v>33411</v>
      </c>
      <c r="J224" s="16" t="s">
        <v>94</v>
      </c>
      <c r="K224" s="14" t="s">
        <v>95</v>
      </c>
      <c r="L224" t="s">
        <v>38</v>
      </c>
    </row>
    <row r="225" spans="1:12" x14ac:dyDescent="0.25">
      <c r="A225" s="19" t="s">
        <v>561</v>
      </c>
      <c r="B225" s="14" t="s">
        <v>562</v>
      </c>
      <c r="C225" s="15">
        <v>45146</v>
      </c>
      <c r="D225" s="14" t="s">
        <v>91</v>
      </c>
      <c r="E225" s="14" t="s">
        <v>35</v>
      </c>
      <c r="F225" s="14" t="s">
        <v>92</v>
      </c>
      <c r="G225" s="16" t="s">
        <v>563</v>
      </c>
      <c r="H225" s="14" t="s">
        <v>563</v>
      </c>
      <c r="I225" s="15">
        <v>36833</v>
      </c>
      <c r="J225" s="16" t="s">
        <v>94</v>
      </c>
      <c r="K225" s="14" t="s">
        <v>95</v>
      </c>
      <c r="L225" t="s">
        <v>40</v>
      </c>
    </row>
    <row r="226" spans="1:12" x14ac:dyDescent="0.25">
      <c r="A226" s="19" t="s">
        <v>564</v>
      </c>
      <c r="B226" s="14" t="s">
        <v>565</v>
      </c>
      <c r="C226" s="15">
        <v>44319</v>
      </c>
      <c r="D226" s="14" t="s">
        <v>91</v>
      </c>
      <c r="E226" s="14" t="s">
        <v>35</v>
      </c>
      <c r="F226" s="14" t="s">
        <v>92</v>
      </c>
      <c r="G226" s="16" t="s">
        <v>37</v>
      </c>
      <c r="H226" s="14" t="s">
        <v>98</v>
      </c>
      <c r="I226" s="15">
        <v>34778</v>
      </c>
      <c r="J226" s="16" t="s">
        <v>94</v>
      </c>
      <c r="K226" s="14" t="s">
        <v>95</v>
      </c>
      <c r="L226" t="s">
        <v>40</v>
      </c>
    </row>
    <row r="227" spans="1:12" x14ac:dyDescent="0.25">
      <c r="A227" s="19" t="s">
        <v>566</v>
      </c>
      <c r="B227" s="14" t="s">
        <v>567</v>
      </c>
      <c r="C227" s="15">
        <v>45233</v>
      </c>
      <c r="D227" s="14" t="s">
        <v>91</v>
      </c>
      <c r="E227" s="14" t="s">
        <v>35</v>
      </c>
      <c r="F227" s="14" t="s">
        <v>92</v>
      </c>
      <c r="G227" s="16" t="s">
        <v>37</v>
      </c>
      <c r="H227" s="14" t="s">
        <v>120</v>
      </c>
      <c r="I227" s="15">
        <v>37678</v>
      </c>
      <c r="J227" s="16" t="s">
        <v>94</v>
      </c>
      <c r="K227" s="14" t="s">
        <v>95</v>
      </c>
      <c r="L227" t="s">
        <v>38</v>
      </c>
    </row>
    <row r="228" spans="1:12" x14ac:dyDescent="0.25">
      <c r="A228" s="19" t="s">
        <v>568</v>
      </c>
      <c r="B228" s="14" t="s">
        <v>569</v>
      </c>
      <c r="C228" s="15">
        <v>44785</v>
      </c>
      <c r="D228" s="14" t="s">
        <v>91</v>
      </c>
      <c r="E228" s="14" t="s">
        <v>35</v>
      </c>
      <c r="F228" s="14" t="s">
        <v>92</v>
      </c>
      <c r="G228" s="16" t="s">
        <v>37</v>
      </c>
      <c r="H228" s="14" t="s">
        <v>98</v>
      </c>
      <c r="I228" s="15">
        <v>36233</v>
      </c>
      <c r="J228" s="16" t="s">
        <v>94</v>
      </c>
      <c r="K228" s="14" t="s">
        <v>95</v>
      </c>
      <c r="L228" t="s">
        <v>40</v>
      </c>
    </row>
    <row r="229" spans="1:12" x14ac:dyDescent="0.25">
      <c r="A229" s="19" t="s">
        <v>570</v>
      </c>
      <c r="B229" s="14" t="s">
        <v>571</v>
      </c>
      <c r="C229" s="15">
        <v>44503</v>
      </c>
      <c r="D229" s="14" t="s">
        <v>123</v>
      </c>
      <c r="E229" s="14" t="s">
        <v>35</v>
      </c>
      <c r="F229" s="14" t="s">
        <v>92</v>
      </c>
      <c r="G229" s="16" t="s">
        <v>37</v>
      </c>
      <c r="H229" s="14" t="s">
        <v>98</v>
      </c>
      <c r="I229" s="15">
        <v>36198</v>
      </c>
      <c r="J229" s="16" t="s">
        <v>94</v>
      </c>
      <c r="K229" s="14" t="s">
        <v>124</v>
      </c>
      <c r="L229" t="s">
        <v>40</v>
      </c>
    </row>
    <row r="230" spans="1:12" x14ac:dyDescent="0.25">
      <c r="A230" s="19" t="s">
        <v>572</v>
      </c>
      <c r="B230" s="14" t="s">
        <v>573</v>
      </c>
      <c r="C230" s="15">
        <v>44440</v>
      </c>
      <c r="D230" s="14" t="s">
        <v>91</v>
      </c>
      <c r="E230" s="14" t="s">
        <v>35</v>
      </c>
      <c r="F230" s="14" t="s">
        <v>110</v>
      </c>
      <c r="G230" s="16" t="s">
        <v>31</v>
      </c>
      <c r="H230" s="14" t="s">
        <v>93</v>
      </c>
      <c r="I230" s="15">
        <v>33207</v>
      </c>
      <c r="J230" s="16" t="s">
        <v>94</v>
      </c>
      <c r="K230" s="14" t="s">
        <v>95</v>
      </c>
      <c r="L230" t="s">
        <v>40</v>
      </c>
    </row>
    <row r="231" spans="1:12" x14ac:dyDescent="0.25">
      <c r="A231" s="19" t="s">
        <v>574</v>
      </c>
      <c r="B231" s="14" t="s">
        <v>575</v>
      </c>
      <c r="C231" s="15">
        <v>41313</v>
      </c>
      <c r="D231" s="14" t="s">
        <v>91</v>
      </c>
      <c r="E231" s="14" t="s">
        <v>35</v>
      </c>
      <c r="F231" s="14" t="s">
        <v>92</v>
      </c>
      <c r="G231" s="16" t="s">
        <v>37</v>
      </c>
      <c r="H231" s="14" t="s">
        <v>98</v>
      </c>
      <c r="I231" s="15">
        <v>31425</v>
      </c>
      <c r="J231" s="16" t="s">
        <v>94</v>
      </c>
      <c r="K231" s="14" t="s">
        <v>95</v>
      </c>
      <c r="L231" t="s">
        <v>40</v>
      </c>
    </row>
    <row r="232" spans="1:12" x14ac:dyDescent="0.25">
      <c r="A232" s="19" t="s">
        <v>576</v>
      </c>
      <c r="B232" s="14" t="s">
        <v>577</v>
      </c>
      <c r="C232" s="15">
        <v>44536</v>
      </c>
      <c r="D232" s="14" t="s">
        <v>91</v>
      </c>
      <c r="E232" s="14" t="s">
        <v>35</v>
      </c>
      <c r="F232" s="14" t="s">
        <v>92</v>
      </c>
      <c r="G232" s="16" t="s">
        <v>37</v>
      </c>
      <c r="H232" s="14" t="s">
        <v>98</v>
      </c>
      <c r="I232" s="15">
        <v>35021</v>
      </c>
      <c r="J232" s="16" t="s">
        <v>94</v>
      </c>
      <c r="K232" s="14" t="s">
        <v>95</v>
      </c>
      <c r="L232" t="s">
        <v>40</v>
      </c>
    </row>
    <row r="233" spans="1:12" x14ac:dyDescent="0.25">
      <c r="A233" s="19" t="s">
        <v>578</v>
      </c>
      <c r="B233" s="14" t="s">
        <v>579</v>
      </c>
      <c r="C233" s="15">
        <v>44473</v>
      </c>
      <c r="D233" s="14" t="s">
        <v>91</v>
      </c>
      <c r="E233" s="14" t="s">
        <v>35</v>
      </c>
      <c r="F233" s="14" t="s">
        <v>92</v>
      </c>
      <c r="G233" s="16" t="s">
        <v>31</v>
      </c>
      <c r="H233" s="14" t="s">
        <v>93</v>
      </c>
      <c r="I233" s="15">
        <v>35212</v>
      </c>
      <c r="J233" s="16" t="s">
        <v>94</v>
      </c>
      <c r="K233" s="14" t="s">
        <v>95</v>
      </c>
      <c r="L233" t="s">
        <v>40</v>
      </c>
    </row>
    <row r="234" spans="1:12" x14ac:dyDescent="0.25">
      <c r="A234" s="19" t="s">
        <v>580</v>
      </c>
      <c r="B234" s="14" t="s">
        <v>581</v>
      </c>
      <c r="C234" s="15">
        <v>45307</v>
      </c>
      <c r="D234" s="14" t="s">
        <v>91</v>
      </c>
      <c r="E234" s="14" t="s">
        <v>35</v>
      </c>
      <c r="F234" s="14" t="s">
        <v>92</v>
      </c>
      <c r="G234" s="16" t="s">
        <v>31</v>
      </c>
      <c r="H234" s="14" t="s">
        <v>165</v>
      </c>
      <c r="I234" s="15">
        <v>33419</v>
      </c>
      <c r="J234" s="16" t="s">
        <v>94</v>
      </c>
      <c r="K234" s="14" t="s">
        <v>95</v>
      </c>
      <c r="L234" t="s">
        <v>38</v>
      </c>
    </row>
    <row r="235" spans="1:12" x14ac:dyDescent="0.25">
      <c r="A235" s="19" t="s">
        <v>582</v>
      </c>
      <c r="B235" s="14" t="s">
        <v>583</v>
      </c>
      <c r="C235" s="15">
        <v>41313</v>
      </c>
      <c r="D235" s="14" t="s">
        <v>91</v>
      </c>
      <c r="E235" s="14" t="s">
        <v>35</v>
      </c>
      <c r="F235" s="14" t="s">
        <v>151</v>
      </c>
      <c r="G235" s="16" t="s">
        <v>31</v>
      </c>
      <c r="H235" s="14" t="s">
        <v>93</v>
      </c>
      <c r="I235" s="15">
        <v>25048</v>
      </c>
      <c r="J235" s="16" t="s">
        <v>94</v>
      </c>
      <c r="K235" s="14" t="s">
        <v>95</v>
      </c>
      <c r="L235" t="s">
        <v>40</v>
      </c>
    </row>
    <row r="236" spans="1:12" x14ac:dyDescent="0.25">
      <c r="A236" s="19" t="s">
        <v>584</v>
      </c>
      <c r="B236" s="14" t="s">
        <v>585</v>
      </c>
      <c r="C236" s="15">
        <v>41313</v>
      </c>
      <c r="D236" s="14" t="s">
        <v>91</v>
      </c>
      <c r="E236" s="14" t="s">
        <v>35</v>
      </c>
      <c r="F236" s="14" t="s">
        <v>382</v>
      </c>
      <c r="G236" s="16" t="s">
        <v>31</v>
      </c>
      <c r="H236" s="14" t="s">
        <v>93</v>
      </c>
      <c r="I236" s="15">
        <v>29054</v>
      </c>
      <c r="J236" s="16" t="s">
        <v>94</v>
      </c>
      <c r="K236" s="14" t="s">
        <v>95</v>
      </c>
      <c r="L236" t="s">
        <v>40</v>
      </c>
    </row>
    <row r="237" spans="1:12" x14ac:dyDescent="0.25">
      <c r="A237" s="19" t="s">
        <v>586</v>
      </c>
      <c r="B237" s="14" t="s">
        <v>587</v>
      </c>
      <c r="C237" s="15">
        <v>41313</v>
      </c>
      <c r="D237" s="14" t="s">
        <v>91</v>
      </c>
      <c r="E237" s="14" t="s">
        <v>35</v>
      </c>
      <c r="F237" s="14" t="s">
        <v>92</v>
      </c>
      <c r="G237" s="16" t="s">
        <v>31</v>
      </c>
      <c r="H237" s="14" t="s">
        <v>93</v>
      </c>
      <c r="I237" s="15">
        <v>28164</v>
      </c>
      <c r="J237" s="16" t="s">
        <v>94</v>
      </c>
      <c r="K237" s="14" t="s">
        <v>95</v>
      </c>
      <c r="L237" t="s">
        <v>40</v>
      </c>
    </row>
    <row r="238" spans="1:12" x14ac:dyDescent="0.25">
      <c r="A238" s="19" t="s">
        <v>588</v>
      </c>
      <c r="B238" s="14" t="s">
        <v>589</v>
      </c>
      <c r="C238" s="15">
        <v>45307</v>
      </c>
      <c r="D238" s="14" t="s">
        <v>91</v>
      </c>
      <c r="E238" s="14" t="s">
        <v>35</v>
      </c>
      <c r="F238" s="14" t="s">
        <v>92</v>
      </c>
      <c r="G238" s="16" t="s">
        <v>31</v>
      </c>
      <c r="H238" s="14" t="s">
        <v>258</v>
      </c>
      <c r="I238" s="15">
        <v>33501</v>
      </c>
      <c r="J238" s="16" t="s">
        <v>94</v>
      </c>
      <c r="K238" s="14" t="s">
        <v>95</v>
      </c>
      <c r="L238" t="s">
        <v>38</v>
      </c>
    </row>
    <row r="239" spans="1:12" x14ac:dyDescent="0.25">
      <c r="A239" s="19" t="s">
        <v>590</v>
      </c>
      <c r="B239" s="14" t="s">
        <v>591</v>
      </c>
      <c r="C239" s="15">
        <v>45307</v>
      </c>
      <c r="D239" s="14" t="s">
        <v>91</v>
      </c>
      <c r="E239" s="14" t="s">
        <v>35</v>
      </c>
      <c r="F239" s="14" t="s">
        <v>92</v>
      </c>
      <c r="G239" s="16" t="s">
        <v>31</v>
      </c>
      <c r="H239" s="14" t="s">
        <v>165</v>
      </c>
      <c r="I239" s="15">
        <v>33149</v>
      </c>
      <c r="J239" s="16" t="s">
        <v>94</v>
      </c>
      <c r="K239" s="14" t="s">
        <v>95</v>
      </c>
      <c r="L239" t="s">
        <v>38</v>
      </c>
    </row>
    <row r="240" spans="1:12" x14ac:dyDescent="0.25">
      <c r="A240" s="19" t="s">
        <v>592</v>
      </c>
      <c r="B240" s="14" t="s">
        <v>593</v>
      </c>
      <c r="C240" s="15">
        <v>44578</v>
      </c>
      <c r="D240" s="14" t="s">
        <v>91</v>
      </c>
      <c r="E240" s="14" t="s">
        <v>35</v>
      </c>
      <c r="F240" s="14" t="s">
        <v>92</v>
      </c>
      <c r="G240" s="16" t="s">
        <v>37</v>
      </c>
      <c r="H240" s="14" t="s">
        <v>98</v>
      </c>
      <c r="I240" s="15">
        <v>35292</v>
      </c>
      <c r="J240" s="16" t="s">
        <v>94</v>
      </c>
      <c r="K240" s="14" t="s">
        <v>95</v>
      </c>
      <c r="L240" t="s">
        <v>40</v>
      </c>
    </row>
    <row r="241" spans="1:12" x14ac:dyDescent="0.25">
      <c r="A241" s="19" t="s">
        <v>594</v>
      </c>
      <c r="B241" s="14" t="s">
        <v>595</v>
      </c>
      <c r="C241" s="15">
        <v>44805</v>
      </c>
      <c r="D241" s="14" t="s">
        <v>91</v>
      </c>
      <c r="E241" s="14" t="s">
        <v>35</v>
      </c>
      <c r="F241" s="14" t="s">
        <v>92</v>
      </c>
      <c r="G241" s="16" t="s">
        <v>31</v>
      </c>
      <c r="H241" s="14" t="s">
        <v>93</v>
      </c>
      <c r="I241" s="15">
        <v>36445</v>
      </c>
      <c r="J241" s="16" t="s">
        <v>94</v>
      </c>
      <c r="K241" s="14" t="s">
        <v>95</v>
      </c>
      <c r="L241" t="s">
        <v>40</v>
      </c>
    </row>
    <row r="242" spans="1:12" x14ac:dyDescent="0.25">
      <c r="A242" s="19" t="s">
        <v>596</v>
      </c>
      <c r="B242" s="14" t="s">
        <v>597</v>
      </c>
      <c r="C242" s="15">
        <v>45338</v>
      </c>
      <c r="D242" s="14" t="s">
        <v>91</v>
      </c>
      <c r="E242" s="14" t="s">
        <v>35</v>
      </c>
      <c r="F242" s="14" t="s">
        <v>92</v>
      </c>
      <c r="G242" s="16" t="s">
        <v>31</v>
      </c>
      <c r="H242" s="14" t="s">
        <v>139</v>
      </c>
      <c r="I242" s="15">
        <v>37335</v>
      </c>
      <c r="J242" s="16" t="s">
        <v>94</v>
      </c>
      <c r="K242" s="14" t="s">
        <v>95</v>
      </c>
      <c r="L242" t="s">
        <v>38</v>
      </c>
    </row>
    <row r="243" spans="1:12" x14ac:dyDescent="0.25">
      <c r="A243" s="19" t="s">
        <v>598</v>
      </c>
      <c r="B243" s="14" t="s">
        <v>599</v>
      </c>
      <c r="C243" s="15">
        <v>45212</v>
      </c>
      <c r="D243" s="14" t="s">
        <v>91</v>
      </c>
      <c r="E243" s="14" t="s">
        <v>35</v>
      </c>
      <c r="F243" s="14" t="s">
        <v>92</v>
      </c>
      <c r="G243" s="16" t="s">
        <v>37</v>
      </c>
      <c r="H243" s="14" t="s">
        <v>265</v>
      </c>
      <c r="I243" s="15">
        <v>32143</v>
      </c>
      <c r="J243" s="16" t="s">
        <v>103</v>
      </c>
      <c r="K243" s="14" t="s">
        <v>95</v>
      </c>
      <c r="L243" t="s">
        <v>38</v>
      </c>
    </row>
    <row r="244" spans="1:12" x14ac:dyDescent="0.25">
      <c r="A244" s="19" t="s">
        <v>600</v>
      </c>
      <c r="B244" s="14" t="s">
        <v>601</v>
      </c>
      <c r="C244" s="15">
        <v>45113</v>
      </c>
      <c r="D244" s="14" t="s">
        <v>91</v>
      </c>
      <c r="E244" s="14" t="s">
        <v>35</v>
      </c>
      <c r="F244" s="14" t="s">
        <v>92</v>
      </c>
      <c r="G244" s="16" t="s">
        <v>37</v>
      </c>
      <c r="H244" s="14" t="s">
        <v>120</v>
      </c>
      <c r="I244" s="15">
        <v>36967</v>
      </c>
      <c r="J244" s="16" t="s">
        <v>94</v>
      </c>
      <c r="K244" s="14" t="s">
        <v>95</v>
      </c>
      <c r="L244" t="s">
        <v>38</v>
      </c>
    </row>
    <row r="245" spans="1:12" x14ac:dyDescent="0.25">
      <c r="A245" s="19" t="s">
        <v>602</v>
      </c>
      <c r="B245" s="14" t="s">
        <v>603</v>
      </c>
      <c r="C245" s="15">
        <v>44785</v>
      </c>
      <c r="D245" s="14" t="s">
        <v>91</v>
      </c>
      <c r="E245" s="14" t="s">
        <v>35</v>
      </c>
      <c r="F245" s="14" t="s">
        <v>92</v>
      </c>
      <c r="G245" s="16" t="s">
        <v>31</v>
      </c>
      <c r="H245" s="14" t="s">
        <v>93</v>
      </c>
      <c r="I245" s="15">
        <v>34548</v>
      </c>
      <c r="J245" s="16" t="s">
        <v>94</v>
      </c>
      <c r="K245" s="14" t="s">
        <v>95</v>
      </c>
      <c r="L245" t="s">
        <v>40</v>
      </c>
    </row>
    <row r="246" spans="1:12" x14ac:dyDescent="0.25">
      <c r="A246" s="19" t="s">
        <v>604</v>
      </c>
      <c r="B246" s="14" t="s">
        <v>605</v>
      </c>
      <c r="C246" s="15">
        <v>44305</v>
      </c>
      <c r="D246" s="14" t="s">
        <v>91</v>
      </c>
      <c r="E246" s="14" t="s">
        <v>35</v>
      </c>
      <c r="F246" s="14" t="s">
        <v>127</v>
      </c>
      <c r="G246" s="16" t="s">
        <v>37</v>
      </c>
      <c r="H246" s="14" t="s">
        <v>98</v>
      </c>
      <c r="I246" s="15">
        <v>27822</v>
      </c>
      <c r="J246" s="16" t="s">
        <v>94</v>
      </c>
      <c r="K246" s="14" t="s">
        <v>95</v>
      </c>
      <c r="L246" t="s">
        <v>40</v>
      </c>
    </row>
    <row r="247" spans="1:12" x14ac:dyDescent="0.25">
      <c r="A247" s="19" t="s">
        <v>606</v>
      </c>
      <c r="B247" s="14" t="s">
        <v>607</v>
      </c>
      <c r="C247" s="15">
        <v>44202</v>
      </c>
      <c r="D247" s="14" t="s">
        <v>91</v>
      </c>
      <c r="E247" s="14" t="s">
        <v>35</v>
      </c>
      <c r="F247" s="14" t="s">
        <v>92</v>
      </c>
      <c r="G247" s="16" t="s">
        <v>37</v>
      </c>
      <c r="H247" s="14" t="s">
        <v>98</v>
      </c>
      <c r="I247" s="15">
        <v>33762</v>
      </c>
      <c r="J247" s="16" t="s">
        <v>94</v>
      </c>
      <c r="K247" s="14" t="s">
        <v>95</v>
      </c>
      <c r="L247" t="s">
        <v>40</v>
      </c>
    </row>
    <row r="248" spans="1:12" x14ac:dyDescent="0.25">
      <c r="A248" s="19" t="s">
        <v>608</v>
      </c>
      <c r="B248" s="14" t="s">
        <v>609</v>
      </c>
      <c r="C248" s="15">
        <v>45264</v>
      </c>
      <c r="D248" s="14" t="s">
        <v>91</v>
      </c>
      <c r="E248" s="14" t="s">
        <v>35</v>
      </c>
      <c r="F248" s="14" t="s">
        <v>92</v>
      </c>
      <c r="G248" s="16" t="s">
        <v>37</v>
      </c>
      <c r="H248" s="14" t="s">
        <v>148</v>
      </c>
      <c r="I248" s="15">
        <v>36588</v>
      </c>
      <c r="J248" s="16" t="s">
        <v>94</v>
      </c>
      <c r="K248" s="14" t="s">
        <v>95</v>
      </c>
      <c r="L248" t="s">
        <v>38</v>
      </c>
    </row>
    <row r="249" spans="1:12" x14ac:dyDescent="0.25">
      <c r="A249" s="19" t="s">
        <v>610</v>
      </c>
      <c r="B249" s="14" t="s">
        <v>611</v>
      </c>
      <c r="C249" s="15">
        <v>44727</v>
      </c>
      <c r="D249" s="14" t="s">
        <v>91</v>
      </c>
      <c r="E249" s="14" t="s">
        <v>35</v>
      </c>
      <c r="F249" s="14" t="s">
        <v>92</v>
      </c>
      <c r="G249" s="16" t="s">
        <v>31</v>
      </c>
      <c r="H249" s="14" t="s">
        <v>93</v>
      </c>
      <c r="I249" s="15">
        <v>37043</v>
      </c>
      <c r="J249" s="16" t="s">
        <v>94</v>
      </c>
      <c r="K249" s="14" t="s">
        <v>95</v>
      </c>
      <c r="L249" t="s">
        <v>40</v>
      </c>
    </row>
    <row r="250" spans="1:12" x14ac:dyDescent="0.25">
      <c r="A250" s="19" t="s">
        <v>612</v>
      </c>
      <c r="B250" s="14" t="s">
        <v>613</v>
      </c>
      <c r="C250" s="15">
        <v>44805</v>
      </c>
      <c r="D250" s="14" t="s">
        <v>91</v>
      </c>
      <c r="E250" s="14" t="s">
        <v>35</v>
      </c>
      <c r="F250" s="14" t="s">
        <v>92</v>
      </c>
      <c r="G250" s="16" t="s">
        <v>31</v>
      </c>
      <c r="H250" s="14" t="s">
        <v>93</v>
      </c>
      <c r="I250" s="15">
        <v>36431</v>
      </c>
      <c r="J250" s="16" t="s">
        <v>94</v>
      </c>
      <c r="K250" s="14" t="s">
        <v>95</v>
      </c>
      <c r="L250" t="s">
        <v>40</v>
      </c>
    </row>
    <row r="251" spans="1:12" x14ac:dyDescent="0.25">
      <c r="A251" s="19" t="s">
        <v>614</v>
      </c>
      <c r="B251" s="14" t="s">
        <v>615</v>
      </c>
      <c r="C251" s="15">
        <v>44993</v>
      </c>
      <c r="D251" s="14" t="s">
        <v>91</v>
      </c>
      <c r="E251" s="14" t="s">
        <v>35</v>
      </c>
      <c r="F251" s="14" t="s">
        <v>92</v>
      </c>
      <c r="G251" s="16" t="s">
        <v>31</v>
      </c>
      <c r="H251" s="14" t="s">
        <v>93</v>
      </c>
      <c r="I251" s="15">
        <v>33278</v>
      </c>
      <c r="J251" s="16" t="s">
        <v>94</v>
      </c>
      <c r="K251" s="14" t="s">
        <v>95</v>
      </c>
      <c r="L251" t="s">
        <v>40</v>
      </c>
    </row>
    <row r="252" spans="1:12" x14ac:dyDescent="0.25">
      <c r="A252" s="19" t="s">
        <v>616</v>
      </c>
      <c r="B252" s="14" t="s">
        <v>617</v>
      </c>
      <c r="C252" s="15">
        <v>41519</v>
      </c>
      <c r="D252" s="14" t="s">
        <v>91</v>
      </c>
      <c r="E252" s="14" t="s">
        <v>35</v>
      </c>
      <c r="F252" s="14" t="s">
        <v>382</v>
      </c>
      <c r="G252" s="16" t="s">
        <v>31</v>
      </c>
      <c r="H252" s="14" t="s">
        <v>93</v>
      </c>
      <c r="I252" s="15">
        <v>29003</v>
      </c>
      <c r="J252" s="16" t="s">
        <v>94</v>
      </c>
      <c r="K252" s="14" t="s">
        <v>95</v>
      </c>
      <c r="L252" t="s">
        <v>40</v>
      </c>
    </row>
    <row r="253" spans="1:12" x14ac:dyDescent="0.25">
      <c r="A253" s="19" t="s">
        <v>618</v>
      </c>
      <c r="B253" s="14" t="s">
        <v>619</v>
      </c>
      <c r="C253" s="15">
        <v>44594</v>
      </c>
      <c r="D253" s="14" t="s">
        <v>91</v>
      </c>
      <c r="E253" s="14" t="s">
        <v>35</v>
      </c>
      <c r="F253" s="14" t="s">
        <v>92</v>
      </c>
      <c r="G253" s="16" t="s">
        <v>37</v>
      </c>
      <c r="H253" s="14" t="s">
        <v>98</v>
      </c>
      <c r="I253" s="15">
        <v>34640</v>
      </c>
      <c r="J253" s="16" t="s">
        <v>94</v>
      </c>
      <c r="K253" s="14" t="s">
        <v>95</v>
      </c>
      <c r="L253" t="s">
        <v>40</v>
      </c>
    </row>
    <row r="254" spans="1:12" x14ac:dyDescent="0.25">
      <c r="A254" s="19" t="s">
        <v>620</v>
      </c>
      <c r="B254" s="14" t="s">
        <v>621</v>
      </c>
      <c r="C254" s="15">
        <v>41313</v>
      </c>
      <c r="D254" s="14" t="s">
        <v>91</v>
      </c>
      <c r="E254" s="14" t="s">
        <v>35</v>
      </c>
      <c r="F254" s="14" t="s">
        <v>110</v>
      </c>
      <c r="G254" s="16" t="s">
        <v>37</v>
      </c>
      <c r="H254" s="14" t="s">
        <v>111</v>
      </c>
      <c r="I254" s="15">
        <v>27895</v>
      </c>
      <c r="J254" s="16" t="s">
        <v>94</v>
      </c>
      <c r="K254" s="14" t="s">
        <v>95</v>
      </c>
      <c r="L254" t="s">
        <v>40</v>
      </c>
    </row>
    <row r="255" spans="1:12" x14ac:dyDescent="0.25">
      <c r="A255" s="19" t="s">
        <v>622</v>
      </c>
      <c r="B255" s="14" t="s">
        <v>623</v>
      </c>
      <c r="C255" s="15">
        <v>41803</v>
      </c>
      <c r="D255" s="14" t="s">
        <v>91</v>
      </c>
      <c r="E255" s="14" t="s">
        <v>35</v>
      </c>
      <c r="F255" s="14" t="s">
        <v>92</v>
      </c>
      <c r="G255" s="16" t="s">
        <v>31</v>
      </c>
      <c r="H255" s="14" t="s">
        <v>93</v>
      </c>
      <c r="I255" s="15">
        <v>30279</v>
      </c>
      <c r="J255" s="16" t="s">
        <v>94</v>
      </c>
      <c r="K255" s="14" t="s">
        <v>95</v>
      </c>
      <c r="L255" t="s">
        <v>40</v>
      </c>
    </row>
    <row r="256" spans="1:12" x14ac:dyDescent="0.25">
      <c r="A256" s="19" t="s">
        <v>624</v>
      </c>
      <c r="B256" s="14" t="s">
        <v>625</v>
      </c>
      <c r="C256" s="15">
        <v>41313</v>
      </c>
      <c r="D256" s="14" t="s">
        <v>91</v>
      </c>
      <c r="E256" s="14" t="s">
        <v>35</v>
      </c>
      <c r="F256" s="14" t="s">
        <v>92</v>
      </c>
      <c r="G256" s="16" t="s">
        <v>31</v>
      </c>
      <c r="H256" s="14" t="s">
        <v>93</v>
      </c>
      <c r="I256" s="15">
        <v>31489</v>
      </c>
      <c r="J256" s="16" t="s">
        <v>94</v>
      </c>
      <c r="K256" s="14" t="s">
        <v>95</v>
      </c>
      <c r="L256" t="s">
        <v>40</v>
      </c>
    </row>
    <row r="257" spans="1:12" x14ac:dyDescent="0.25">
      <c r="A257" s="19" t="s">
        <v>626</v>
      </c>
      <c r="B257" s="14" t="s">
        <v>627</v>
      </c>
      <c r="C257" s="15">
        <v>45063</v>
      </c>
      <c r="D257" s="14" t="s">
        <v>91</v>
      </c>
      <c r="E257" s="14" t="s">
        <v>35</v>
      </c>
      <c r="F257" s="14" t="s">
        <v>92</v>
      </c>
      <c r="G257" s="16" t="s">
        <v>37</v>
      </c>
      <c r="H257" s="14" t="s">
        <v>98</v>
      </c>
      <c r="I257" s="15">
        <v>36757</v>
      </c>
      <c r="J257" s="16" t="s">
        <v>94</v>
      </c>
      <c r="K257" s="14" t="s">
        <v>95</v>
      </c>
      <c r="L257" t="s">
        <v>40</v>
      </c>
    </row>
    <row r="258" spans="1:12" x14ac:dyDescent="0.25">
      <c r="A258" s="19" t="s">
        <v>628</v>
      </c>
      <c r="B258" s="14" t="s">
        <v>629</v>
      </c>
      <c r="C258" s="15">
        <v>44902</v>
      </c>
      <c r="D258" s="14" t="s">
        <v>91</v>
      </c>
      <c r="E258" s="14" t="s">
        <v>35</v>
      </c>
      <c r="F258" s="14" t="s">
        <v>127</v>
      </c>
      <c r="G258" s="16" t="s">
        <v>31</v>
      </c>
      <c r="H258" s="14" t="s">
        <v>93</v>
      </c>
      <c r="I258" s="15">
        <v>30074</v>
      </c>
      <c r="J258" s="16" t="s">
        <v>94</v>
      </c>
      <c r="K258" s="14" t="s">
        <v>95</v>
      </c>
      <c r="L258" t="s">
        <v>40</v>
      </c>
    </row>
    <row r="259" spans="1:12" x14ac:dyDescent="0.25">
      <c r="A259" s="19" t="s">
        <v>630</v>
      </c>
      <c r="B259" s="14" t="s">
        <v>631</v>
      </c>
      <c r="C259" s="15">
        <v>44319</v>
      </c>
      <c r="D259" s="14" t="s">
        <v>91</v>
      </c>
      <c r="E259" s="14" t="s">
        <v>35</v>
      </c>
      <c r="F259" s="14" t="s">
        <v>92</v>
      </c>
      <c r="G259" s="16" t="s">
        <v>31</v>
      </c>
      <c r="H259" s="14" t="s">
        <v>93</v>
      </c>
      <c r="I259" s="15">
        <v>34868</v>
      </c>
      <c r="J259" s="16" t="s">
        <v>94</v>
      </c>
      <c r="K259" s="14" t="s">
        <v>95</v>
      </c>
      <c r="L259" t="s">
        <v>40</v>
      </c>
    </row>
    <row r="260" spans="1:12" x14ac:dyDescent="0.25">
      <c r="A260" s="19" t="s">
        <v>632</v>
      </c>
      <c r="B260" s="14" t="s">
        <v>633</v>
      </c>
      <c r="C260" s="15">
        <v>41550</v>
      </c>
      <c r="D260" s="14" t="s">
        <v>91</v>
      </c>
      <c r="E260" s="14" t="s">
        <v>35</v>
      </c>
      <c r="F260" s="14" t="s">
        <v>92</v>
      </c>
      <c r="G260" s="16" t="s">
        <v>31</v>
      </c>
      <c r="H260" s="14" t="s">
        <v>93</v>
      </c>
      <c r="I260" s="15">
        <v>28828</v>
      </c>
      <c r="J260" s="16" t="s">
        <v>94</v>
      </c>
      <c r="K260" s="14" t="s">
        <v>95</v>
      </c>
      <c r="L260" t="s">
        <v>40</v>
      </c>
    </row>
    <row r="261" spans="1:12" x14ac:dyDescent="0.25">
      <c r="A261" s="19" t="s">
        <v>634</v>
      </c>
      <c r="B261" s="14" t="s">
        <v>635</v>
      </c>
      <c r="C261" s="15">
        <v>45307</v>
      </c>
      <c r="D261" s="14" t="s">
        <v>91</v>
      </c>
      <c r="E261" s="14" t="s">
        <v>35</v>
      </c>
      <c r="F261" s="14" t="s">
        <v>92</v>
      </c>
      <c r="G261" s="16" t="s">
        <v>31</v>
      </c>
      <c r="H261" s="14" t="s">
        <v>258</v>
      </c>
      <c r="I261" s="15">
        <v>36711</v>
      </c>
      <c r="J261" s="16" t="s">
        <v>94</v>
      </c>
      <c r="K261" s="14" t="s">
        <v>95</v>
      </c>
      <c r="L261" t="s">
        <v>38</v>
      </c>
    </row>
    <row r="262" spans="1:12" x14ac:dyDescent="0.25">
      <c r="A262" s="19" t="s">
        <v>636</v>
      </c>
      <c r="B262" s="14" t="s">
        <v>637</v>
      </c>
      <c r="C262" s="15">
        <v>45338</v>
      </c>
      <c r="D262" s="14" t="s">
        <v>91</v>
      </c>
      <c r="E262" s="14" t="s">
        <v>35</v>
      </c>
      <c r="F262" s="14" t="s">
        <v>92</v>
      </c>
      <c r="G262" s="16" t="s">
        <v>37</v>
      </c>
      <c r="H262" s="14" t="s">
        <v>120</v>
      </c>
      <c r="I262" s="15">
        <v>38154</v>
      </c>
      <c r="J262" s="16" t="s">
        <v>94</v>
      </c>
      <c r="K262" s="14" t="s">
        <v>95</v>
      </c>
      <c r="L262" t="s">
        <v>38</v>
      </c>
    </row>
    <row r="263" spans="1:12" x14ac:dyDescent="0.25">
      <c r="A263" s="19" t="s">
        <v>638</v>
      </c>
      <c r="B263" s="14" t="s">
        <v>639</v>
      </c>
      <c r="C263" s="15">
        <v>43955</v>
      </c>
      <c r="D263" s="14" t="s">
        <v>91</v>
      </c>
      <c r="E263" s="14" t="s">
        <v>35</v>
      </c>
      <c r="F263" s="14" t="s">
        <v>92</v>
      </c>
      <c r="G263" s="16" t="s">
        <v>37</v>
      </c>
      <c r="H263" s="14" t="s">
        <v>98</v>
      </c>
      <c r="I263" s="15">
        <v>33954</v>
      </c>
      <c r="J263" s="16" t="s">
        <v>94</v>
      </c>
      <c r="K263" s="14" t="s">
        <v>95</v>
      </c>
      <c r="L263" t="s">
        <v>40</v>
      </c>
    </row>
    <row r="264" spans="1:12" x14ac:dyDescent="0.25">
      <c r="A264" s="19" t="s">
        <v>640</v>
      </c>
      <c r="B264" s="14" t="s">
        <v>641</v>
      </c>
      <c r="C264" s="15">
        <v>44695</v>
      </c>
      <c r="D264" s="14" t="s">
        <v>91</v>
      </c>
      <c r="E264" s="14" t="s">
        <v>35</v>
      </c>
      <c r="F264" s="14" t="s">
        <v>92</v>
      </c>
      <c r="G264" s="16" t="s">
        <v>31</v>
      </c>
      <c r="H264" s="14" t="s">
        <v>93</v>
      </c>
      <c r="I264" s="15">
        <v>36410</v>
      </c>
      <c r="J264" s="16" t="s">
        <v>103</v>
      </c>
      <c r="K264" s="14" t="s">
        <v>95</v>
      </c>
      <c r="L264" t="s">
        <v>40</v>
      </c>
    </row>
    <row r="265" spans="1:12" x14ac:dyDescent="0.25">
      <c r="A265" s="19" t="s">
        <v>642</v>
      </c>
      <c r="B265" s="14" t="s">
        <v>643</v>
      </c>
      <c r="C265" s="15">
        <v>45093</v>
      </c>
      <c r="D265" s="14" t="s">
        <v>91</v>
      </c>
      <c r="E265" s="14" t="s">
        <v>35</v>
      </c>
      <c r="F265" s="14" t="s">
        <v>92</v>
      </c>
      <c r="G265" s="16" t="s">
        <v>37</v>
      </c>
      <c r="H265" s="14" t="s">
        <v>98</v>
      </c>
      <c r="I265" s="15">
        <v>34959</v>
      </c>
      <c r="J265" s="16" t="s">
        <v>94</v>
      </c>
      <c r="K265" s="14" t="s">
        <v>95</v>
      </c>
      <c r="L265" t="s">
        <v>40</v>
      </c>
    </row>
    <row r="266" spans="1:12" x14ac:dyDescent="0.25">
      <c r="A266" s="19" t="s">
        <v>644</v>
      </c>
      <c r="B266" s="14" t="s">
        <v>645</v>
      </c>
      <c r="C266" s="15">
        <v>45212</v>
      </c>
      <c r="D266" s="14" t="s">
        <v>91</v>
      </c>
      <c r="E266" s="14" t="s">
        <v>35</v>
      </c>
      <c r="F266" s="14" t="s">
        <v>92</v>
      </c>
      <c r="G266" s="16" t="s">
        <v>31</v>
      </c>
      <c r="H266" s="14" t="s">
        <v>93</v>
      </c>
      <c r="I266" s="15">
        <v>36622</v>
      </c>
      <c r="J266" s="16" t="s">
        <v>94</v>
      </c>
      <c r="K266" s="14" t="s">
        <v>95</v>
      </c>
      <c r="L266" t="s">
        <v>40</v>
      </c>
    </row>
    <row r="267" spans="1:12" x14ac:dyDescent="0.25">
      <c r="A267" s="19" t="s">
        <v>646</v>
      </c>
      <c r="B267" s="14" t="s">
        <v>647</v>
      </c>
      <c r="C267" s="15">
        <v>45299</v>
      </c>
      <c r="D267" s="14" t="s">
        <v>91</v>
      </c>
      <c r="E267" s="14" t="s">
        <v>35</v>
      </c>
      <c r="F267" s="14" t="s">
        <v>92</v>
      </c>
      <c r="G267" s="16" t="s">
        <v>31</v>
      </c>
      <c r="H267" s="14" t="s">
        <v>258</v>
      </c>
      <c r="I267" s="15">
        <v>38052</v>
      </c>
      <c r="J267" s="16" t="s">
        <v>94</v>
      </c>
      <c r="K267" s="14" t="s">
        <v>95</v>
      </c>
      <c r="L267" t="s">
        <v>38</v>
      </c>
    </row>
    <row r="268" spans="1:12" x14ac:dyDescent="0.25">
      <c r="A268" s="19" t="s">
        <v>648</v>
      </c>
      <c r="B268" s="14" t="s">
        <v>649</v>
      </c>
      <c r="C268" s="15">
        <v>44993</v>
      </c>
      <c r="D268" s="14" t="s">
        <v>91</v>
      </c>
      <c r="E268" s="14" t="s">
        <v>35</v>
      </c>
      <c r="F268" s="14" t="s">
        <v>92</v>
      </c>
      <c r="G268" s="16" t="s">
        <v>37</v>
      </c>
      <c r="H268" s="14" t="s">
        <v>98</v>
      </c>
      <c r="I268" s="15">
        <v>35222</v>
      </c>
      <c r="J268" s="16" t="s">
        <v>94</v>
      </c>
      <c r="K268" s="14" t="s">
        <v>95</v>
      </c>
      <c r="L268" t="s">
        <v>40</v>
      </c>
    </row>
    <row r="269" spans="1:12" x14ac:dyDescent="0.25">
      <c r="A269" s="19" t="s">
        <v>650</v>
      </c>
      <c r="B269" s="14" t="s">
        <v>651</v>
      </c>
      <c r="C269" s="15">
        <v>42857</v>
      </c>
      <c r="D269" s="14" t="s">
        <v>91</v>
      </c>
      <c r="E269" s="14" t="s">
        <v>35</v>
      </c>
      <c r="F269" s="14" t="s">
        <v>92</v>
      </c>
      <c r="G269" s="16" t="s">
        <v>31</v>
      </c>
      <c r="H269" s="14" t="s">
        <v>93</v>
      </c>
      <c r="I269" s="15">
        <v>33846</v>
      </c>
      <c r="J269" s="16" t="s">
        <v>94</v>
      </c>
      <c r="K269" s="14" t="s">
        <v>95</v>
      </c>
      <c r="L269" t="s">
        <v>40</v>
      </c>
    </row>
    <row r="270" spans="1:12" x14ac:dyDescent="0.25">
      <c r="A270" s="19" t="s">
        <v>652</v>
      </c>
      <c r="B270" s="14" t="s">
        <v>653</v>
      </c>
      <c r="C270" s="15">
        <v>45001</v>
      </c>
      <c r="D270" s="14" t="s">
        <v>91</v>
      </c>
      <c r="E270" s="14" t="s">
        <v>35</v>
      </c>
      <c r="F270" s="14" t="s">
        <v>92</v>
      </c>
      <c r="G270" s="16" t="s">
        <v>37</v>
      </c>
      <c r="H270" s="14" t="s">
        <v>98</v>
      </c>
      <c r="I270" s="15">
        <v>38108</v>
      </c>
      <c r="J270" s="16" t="s">
        <v>94</v>
      </c>
      <c r="K270" s="14" t="s">
        <v>95</v>
      </c>
      <c r="L270" t="s">
        <v>40</v>
      </c>
    </row>
    <row r="271" spans="1:12" x14ac:dyDescent="0.25">
      <c r="A271" s="19" t="s">
        <v>654</v>
      </c>
      <c r="B271" s="14" t="s">
        <v>655</v>
      </c>
      <c r="C271" s="15">
        <v>44868</v>
      </c>
      <c r="D271" s="14" t="s">
        <v>91</v>
      </c>
      <c r="E271" s="14" t="s">
        <v>35</v>
      </c>
      <c r="F271" s="14" t="s">
        <v>92</v>
      </c>
      <c r="G271" s="16" t="s">
        <v>37</v>
      </c>
      <c r="H271" s="14" t="s">
        <v>98</v>
      </c>
      <c r="I271" s="15">
        <v>34330</v>
      </c>
      <c r="J271" s="16" t="s">
        <v>94</v>
      </c>
      <c r="K271" s="14" t="s">
        <v>95</v>
      </c>
      <c r="L271" t="s">
        <v>40</v>
      </c>
    </row>
    <row r="272" spans="1:12" x14ac:dyDescent="0.25">
      <c r="A272" s="19" t="s">
        <v>656</v>
      </c>
      <c r="B272" s="14" t="s">
        <v>657</v>
      </c>
      <c r="C272" s="15">
        <v>45264</v>
      </c>
      <c r="D272" s="14" t="s">
        <v>91</v>
      </c>
      <c r="E272" s="14" t="s">
        <v>35</v>
      </c>
      <c r="F272" s="14" t="s">
        <v>92</v>
      </c>
      <c r="G272" s="16" t="s">
        <v>37</v>
      </c>
      <c r="H272" s="14" t="s">
        <v>265</v>
      </c>
      <c r="I272" s="15">
        <v>34385</v>
      </c>
      <c r="J272" s="16" t="s">
        <v>94</v>
      </c>
      <c r="K272" s="14" t="s">
        <v>95</v>
      </c>
      <c r="L272" t="s">
        <v>38</v>
      </c>
    </row>
    <row r="273" spans="1:12" ht="23.25" customHeight="1" x14ac:dyDescent="0.25">
      <c r="A273" s="19" t="s">
        <v>658</v>
      </c>
      <c r="B273" s="14" t="s">
        <v>659</v>
      </c>
      <c r="C273" s="15">
        <v>44713</v>
      </c>
      <c r="D273" s="14" t="s">
        <v>91</v>
      </c>
      <c r="E273" s="14" t="s">
        <v>74</v>
      </c>
      <c r="F273" s="14" t="s">
        <v>92</v>
      </c>
      <c r="G273" s="16" t="s">
        <v>37</v>
      </c>
      <c r="H273" s="14" t="s">
        <v>660</v>
      </c>
      <c r="I273" s="15">
        <v>29437</v>
      </c>
      <c r="J273" s="16" t="s">
        <v>94</v>
      </c>
      <c r="K273" s="14" t="s">
        <v>95</v>
      </c>
      <c r="L273" t="s">
        <v>40</v>
      </c>
    </row>
    <row r="274" spans="1:12" ht="23.25" customHeight="1" x14ac:dyDescent="0.25">
      <c r="A274" s="19" t="s">
        <v>661</v>
      </c>
      <c r="B274" s="14" t="s">
        <v>662</v>
      </c>
      <c r="C274" s="15">
        <v>44092</v>
      </c>
      <c r="D274" s="14" t="s">
        <v>91</v>
      </c>
      <c r="E274" s="14" t="s">
        <v>74</v>
      </c>
      <c r="F274" s="14" t="s">
        <v>92</v>
      </c>
      <c r="G274" s="16" t="s">
        <v>31</v>
      </c>
      <c r="H274" s="14" t="s">
        <v>663</v>
      </c>
      <c r="I274" s="15">
        <v>34142</v>
      </c>
      <c r="J274" s="16" t="s">
        <v>94</v>
      </c>
      <c r="K274" s="14" t="s">
        <v>95</v>
      </c>
      <c r="L274" t="s">
        <v>40</v>
      </c>
    </row>
    <row r="275" spans="1:12" ht="23.25" customHeight="1" x14ac:dyDescent="0.25">
      <c r="A275" s="19" t="s">
        <v>664</v>
      </c>
      <c r="B275" s="14" t="s">
        <v>665</v>
      </c>
      <c r="C275" s="15">
        <v>45182</v>
      </c>
      <c r="D275" s="14" t="s">
        <v>91</v>
      </c>
      <c r="E275" s="14" t="s">
        <v>74</v>
      </c>
      <c r="F275" s="14" t="s">
        <v>92</v>
      </c>
      <c r="G275" s="16" t="s">
        <v>37</v>
      </c>
      <c r="H275" s="14" t="s">
        <v>660</v>
      </c>
      <c r="I275" s="15">
        <v>31113</v>
      </c>
      <c r="J275" s="16" t="s">
        <v>103</v>
      </c>
      <c r="K275" s="14" t="s">
        <v>95</v>
      </c>
      <c r="L275" t="s">
        <v>40</v>
      </c>
    </row>
    <row r="276" spans="1:12" ht="23.25" customHeight="1" x14ac:dyDescent="0.25">
      <c r="A276" s="19" t="s">
        <v>666</v>
      </c>
      <c r="B276" s="14" t="s">
        <v>667</v>
      </c>
      <c r="C276" s="15">
        <v>44938</v>
      </c>
      <c r="D276" s="14" t="s">
        <v>91</v>
      </c>
      <c r="E276" s="14" t="s">
        <v>74</v>
      </c>
      <c r="F276" s="14" t="s">
        <v>92</v>
      </c>
      <c r="G276" s="16" t="s">
        <v>31</v>
      </c>
      <c r="H276" s="14" t="s">
        <v>668</v>
      </c>
      <c r="I276" s="15">
        <v>33172</v>
      </c>
      <c r="J276" s="16" t="s">
        <v>94</v>
      </c>
      <c r="K276" s="14" t="s">
        <v>95</v>
      </c>
      <c r="L276" t="s">
        <v>40</v>
      </c>
    </row>
    <row r="277" spans="1:12" ht="23.25" customHeight="1" x14ac:dyDescent="0.25">
      <c r="A277" s="19" t="s">
        <v>669</v>
      </c>
      <c r="B277" s="14" t="s">
        <v>670</v>
      </c>
      <c r="C277" s="15">
        <v>45299</v>
      </c>
      <c r="D277" s="14" t="s">
        <v>91</v>
      </c>
      <c r="E277" s="14" t="s">
        <v>74</v>
      </c>
      <c r="F277" s="14" t="s">
        <v>92</v>
      </c>
      <c r="G277" s="16" t="s">
        <v>31</v>
      </c>
      <c r="H277" s="14" t="s">
        <v>668</v>
      </c>
      <c r="I277" s="15">
        <v>30049</v>
      </c>
      <c r="J277" s="16" t="s">
        <v>103</v>
      </c>
      <c r="K277" s="14" t="s">
        <v>95</v>
      </c>
      <c r="L277" t="s">
        <v>40</v>
      </c>
    </row>
    <row r="278" spans="1:12" ht="23.25" customHeight="1" x14ac:dyDescent="0.25">
      <c r="A278" s="19" t="s">
        <v>671</v>
      </c>
      <c r="B278" s="14" t="s">
        <v>672</v>
      </c>
      <c r="C278" s="15">
        <v>41313</v>
      </c>
      <c r="D278" s="14" t="s">
        <v>91</v>
      </c>
      <c r="E278" s="14" t="s">
        <v>74</v>
      </c>
      <c r="F278" s="14" t="s">
        <v>92</v>
      </c>
      <c r="G278" s="16" t="s">
        <v>31</v>
      </c>
      <c r="H278" s="14" t="s">
        <v>668</v>
      </c>
      <c r="I278" s="15">
        <v>29070</v>
      </c>
      <c r="J278" s="16" t="s">
        <v>94</v>
      </c>
      <c r="K278" s="14" t="s">
        <v>95</v>
      </c>
      <c r="L278" t="s">
        <v>40</v>
      </c>
    </row>
    <row r="279" spans="1:12" ht="23.25" customHeight="1" x14ac:dyDescent="0.25">
      <c r="A279" s="19" t="s">
        <v>673</v>
      </c>
      <c r="B279" s="14" t="s">
        <v>674</v>
      </c>
      <c r="C279" s="15">
        <v>44118</v>
      </c>
      <c r="D279" s="14" t="s">
        <v>91</v>
      </c>
      <c r="E279" s="14" t="s">
        <v>74</v>
      </c>
      <c r="F279" s="14" t="s">
        <v>92</v>
      </c>
      <c r="G279" s="16" t="s">
        <v>37</v>
      </c>
      <c r="H279" s="14" t="s">
        <v>660</v>
      </c>
      <c r="I279" s="15">
        <v>30174</v>
      </c>
      <c r="J279" s="16" t="s">
        <v>94</v>
      </c>
      <c r="K279" s="14" t="s">
        <v>95</v>
      </c>
      <c r="L279" t="s">
        <v>40</v>
      </c>
    </row>
    <row r="280" spans="1:12" ht="23.25" customHeight="1" x14ac:dyDescent="0.25">
      <c r="A280" s="19" t="s">
        <v>675</v>
      </c>
      <c r="B280" s="14" t="s">
        <v>676</v>
      </c>
      <c r="C280" s="15">
        <v>44118</v>
      </c>
      <c r="D280" s="14" t="s">
        <v>91</v>
      </c>
      <c r="E280" s="14" t="s">
        <v>74</v>
      </c>
      <c r="F280" s="14" t="s">
        <v>92</v>
      </c>
      <c r="G280" s="16" t="s">
        <v>31</v>
      </c>
      <c r="H280" s="14" t="s">
        <v>663</v>
      </c>
      <c r="I280" s="15">
        <v>25420</v>
      </c>
      <c r="J280" s="16" t="s">
        <v>103</v>
      </c>
      <c r="K280" s="14" t="s">
        <v>95</v>
      </c>
      <c r="L280" t="s">
        <v>40</v>
      </c>
    </row>
    <row r="281" spans="1:12" ht="23.25" customHeight="1" x14ac:dyDescent="0.25">
      <c r="A281" s="19" t="s">
        <v>677</v>
      </c>
      <c r="B281" s="14" t="s">
        <v>678</v>
      </c>
      <c r="C281" s="15">
        <v>43983</v>
      </c>
      <c r="D281" s="14" t="s">
        <v>91</v>
      </c>
      <c r="E281" s="14" t="s">
        <v>74</v>
      </c>
      <c r="F281" s="14" t="s">
        <v>92</v>
      </c>
      <c r="G281" s="16" t="s">
        <v>31</v>
      </c>
      <c r="H281" s="14" t="s">
        <v>668</v>
      </c>
      <c r="I281" s="15">
        <v>32442</v>
      </c>
      <c r="J281" s="16" t="s">
        <v>94</v>
      </c>
      <c r="K281" s="14" t="s">
        <v>95</v>
      </c>
      <c r="L281" t="s">
        <v>40</v>
      </c>
    </row>
    <row r="282" spans="1:12" ht="23.25" customHeight="1" x14ac:dyDescent="0.25">
      <c r="A282" s="19" t="s">
        <v>679</v>
      </c>
      <c r="B282" s="14" t="s">
        <v>680</v>
      </c>
      <c r="C282" s="15">
        <v>43742</v>
      </c>
      <c r="D282" s="14" t="s">
        <v>91</v>
      </c>
      <c r="E282" s="14" t="s">
        <v>74</v>
      </c>
      <c r="F282" s="14" t="s">
        <v>151</v>
      </c>
      <c r="G282" s="16" t="s">
        <v>37</v>
      </c>
      <c r="H282" s="14" t="s">
        <v>660</v>
      </c>
      <c r="I282" s="15">
        <v>31541</v>
      </c>
      <c r="J282" s="16" t="s">
        <v>94</v>
      </c>
      <c r="K282" s="14" t="s">
        <v>95</v>
      </c>
      <c r="L282" t="s">
        <v>40</v>
      </c>
    </row>
    <row r="283" spans="1:12" ht="23.25" customHeight="1" x14ac:dyDescent="0.25">
      <c r="A283" s="19" t="s">
        <v>681</v>
      </c>
      <c r="B283" s="14" t="s">
        <v>682</v>
      </c>
      <c r="C283" s="15">
        <v>45233</v>
      </c>
      <c r="D283" s="14" t="s">
        <v>91</v>
      </c>
      <c r="E283" s="14" t="s">
        <v>74</v>
      </c>
      <c r="F283" s="14" t="s">
        <v>92</v>
      </c>
      <c r="G283" s="16" t="s">
        <v>37</v>
      </c>
      <c r="H283" s="14" t="s">
        <v>660</v>
      </c>
      <c r="I283" s="15">
        <v>31743</v>
      </c>
      <c r="J283" s="16" t="s">
        <v>94</v>
      </c>
      <c r="K283" s="14" t="s">
        <v>95</v>
      </c>
      <c r="L283" t="s">
        <v>40</v>
      </c>
    </row>
    <row r="284" spans="1:12" ht="23.25" customHeight="1" x14ac:dyDescent="0.25">
      <c r="A284" s="19" t="s">
        <v>683</v>
      </c>
      <c r="B284" s="14" t="s">
        <v>684</v>
      </c>
      <c r="C284" s="15">
        <v>44326</v>
      </c>
      <c r="D284" s="14" t="s">
        <v>91</v>
      </c>
      <c r="E284" s="14" t="s">
        <v>74</v>
      </c>
      <c r="F284" s="14" t="s">
        <v>92</v>
      </c>
      <c r="G284" s="16" t="s">
        <v>37</v>
      </c>
      <c r="H284" s="14" t="s">
        <v>660</v>
      </c>
      <c r="I284" s="15">
        <v>29835</v>
      </c>
      <c r="J284" s="16" t="s">
        <v>94</v>
      </c>
      <c r="K284" s="14" t="s">
        <v>95</v>
      </c>
      <c r="L284" t="s">
        <v>40</v>
      </c>
    </row>
    <row r="285" spans="1:12" ht="23.25" customHeight="1" x14ac:dyDescent="0.25">
      <c r="A285" s="19" t="s">
        <v>685</v>
      </c>
      <c r="B285" s="14" t="s">
        <v>686</v>
      </c>
      <c r="C285" s="15">
        <v>45233</v>
      </c>
      <c r="D285" s="14" t="s">
        <v>91</v>
      </c>
      <c r="E285" s="14" t="s">
        <v>74</v>
      </c>
      <c r="F285" s="14" t="s">
        <v>92</v>
      </c>
      <c r="G285" s="16" t="s">
        <v>37</v>
      </c>
      <c r="H285" s="14" t="s">
        <v>660</v>
      </c>
      <c r="I285" s="15">
        <v>28442</v>
      </c>
      <c r="J285" s="16" t="s">
        <v>94</v>
      </c>
      <c r="K285" s="14" t="s">
        <v>95</v>
      </c>
      <c r="L285" t="s">
        <v>40</v>
      </c>
    </row>
    <row r="286" spans="1:12" ht="23.25" customHeight="1" x14ac:dyDescent="0.25">
      <c r="A286" s="19" t="s">
        <v>687</v>
      </c>
      <c r="B286" s="14" t="s">
        <v>688</v>
      </c>
      <c r="C286" s="15">
        <v>43074</v>
      </c>
      <c r="D286" s="14" t="s">
        <v>123</v>
      </c>
      <c r="E286" s="14" t="s">
        <v>74</v>
      </c>
      <c r="F286" s="14" t="s">
        <v>92</v>
      </c>
      <c r="G286" s="16" t="s">
        <v>37</v>
      </c>
      <c r="H286" s="14" t="s">
        <v>660</v>
      </c>
      <c r="I286" s="15">
        <v>31700</v>
      </c>
      <c r="J286" s="16" t="s">
        <v>94</v>
      </c>
      <c r="K286" s="14" t="s">
        <v>124</v>
      </c>
      <c r="L286" t="s">
        <v>40</v>
      </c>
    </row>
    <row r="287" spans="1:12" ht="23.25" customHeight="1" x14ac:dyDescent="0.25">
      <c r="A287" s="19" t="s">
        <v>689</v>
      </c>
      <c r="B287" s="14" t="s">
        <v>690</v>
      </c>
      <c r="C287" s="15">
        <v>45212</v>
      </c>
      <c r="D287" s="14" t="s">
        <v>91</v>
      </c>
      <c r="E287" s="14" t="s">
        <v>74</v>
      </c>
      <c r="F287" s="14" t="s">
        <v>92</v>
      </c>
      <c r="G287" s="16" t="s">
        <v>31</v>
      </c>
      <c r="H287" s="14" t="s">
        <v>668</v>
      </c>
      <c r="I287" s="15">
        <v>36072</v>
      </c>
      <c r="J287" s="16" t="s">
        <v>94</v>
      </c>
      <c r="K287" s="14" t="s">
        <v>95</v>
      </c>
      <c r="L287" t="s">
        <v>40</v>
      </c>
    </row>
    <row r="288" spans="1:12" ht="23.25" customHeight="1" x14ac:dyDescent="0.25">
      <c r="A288" s="19" t="s">
        <v>691</v>
      </c>
      <c r="B288" s="14" t="s">
        <v>692</v>
      </c>
      <c r="C288" s="15">
        <v>45113</v>
      </c>
      <c r="D288" s="14" t="s">
        <v>91</v>
      </c>
      <c r="E288" s="14" t="s">
        <v>74</v>
      </c>
      <c r="F288" s="14" t="s">
        <v>92</v>
      </c>
      <c r="G288" s="16" t="s">
        <v>31</v>
      </c>
      <c r="H288" s="14" t="s">
        <v>668</v>
      </c>
      <c r="I288" s="15">
        <v>27548</v>
      </c>
      <c r="J288" s="16" t="s">
        <v>94</v>
      </c>
      <c r="K288" s="14" t="s">
        <v>95</v>
      </c>
      <c r="L288" t="s">
        <v>40</v>
      </c>
    </row>
    <row r="289" spans="1:12" ht="23.25" customHeight="1" x14ac:dyDescent="0.25">
      <c r="A289" s="19" t="s">
        <v>693</v>
      </c>
      <c r="B289" s="14" t="s">
        <v>694</v>
      </c>
      <c r="C289" s="15">
        <v>41313</v>
      </c>
      <c r="D289" s="14" t="s">
        <v>91</v>
      </c>
      <c r="E289" s="14" t="s">
        <v>74</v>
      </c>
      <c r="F289" s="14" t="s">
        <v>382</v>
      </c>
      <c r="G289" s="16" t="s">
        <v>695</v>
      </c>
      <c r="H289" s="14" t="s">
        <v>696</v>
      </c>
      <c r="I289" s="15">
        <v>23570</v>
      </c>
      <c r="J289" s="16" t="s">
        <v>94</v>
      </c>
      <c r="K289" s="14" t="s">
        <v>95</v>
      </c>
      <c r="L289" t="s">
        <v>40</v>
      </c>
    </row>
    <row r="290" spans="1:12" ht="23.25" customHeight="1" x14ac:dyDescent="0.25">
      <c r="A290" s="19" t="s">
        <v>697</v>
      </c>
      <c r="B290" s="14" t="s">
        <v>698</v>
      </c>
      <c r="C290" s="15">
        <v>43963</v>
      </c>
      <c r="D290" s="14" t="s">
        <v>91</v>
      </c>
      <c r="E290" s="14" t="s">
        <v>74</v>
      </c>
      <c r="F290" s="14" t="s">
        <v>92</v>
      </c>
      <c r="G290" s="16" t="s">
        <v>31</v>
      </c>
      <c r="H290" s="14" t="s">
        <v>668</v>
      </c>
      <c r="I290" s="15">
        <v>31378</v>
      </c>
      <c r="J290" s="16" t="s">
        <v>94</v>
      </c>
      <c r="K290" s="14" t="s">
        <v>95</v>
      </c>
      <c r="L290" t="s">
        <v>40</v>
      </c>
    </row>
    <row r="291" spans="1:12" ht="23.25" customHeight="1" x14ac:dyDescent="0.25">
      <c r="A291" s="19" t="s">
        <v>699</v>
      </c>
      <c r="B291" s="14" t="s">
        <v>700</v>
      </c>
      <c r="C291" s="15">
        <v>41313</v>
      </c>
      <c r="D291" s="14" t="s">
        <v>91</v>
      </c>
      <c r="E291" s="14" t="s">
        <v>74</v>
      </c>
      <c r="F291" s="14" t="s">
        <v>92</v>
      </c>
      <c r="G291" s="16" t="s">
        <v>31</v>
      </c>
      <c r="H291" s="14" t="s">
        <v>668</v>
      </c>
      <c r="I291" s="15">
        <v>28028</v>
      </c>
      <c r="J291" s="16" t="s">
        <v>94</v>
      </c>
      <c r="K291" s="14" t="s">
        <v>95</v>
      </c>
      <c r="L291" t="s">
        <v>40</v>
      </c>
    </row>
    <row r="292" spans="1:12" ht="23.25" customHeight="1" x14ac:dyDescent="0.25">
      <c r="A292" s="19" t="s">
        <v>701</v>
      </c>
      <c r="B292" s="14" t="s">
        <v>702</v>
      </c>
      <c r="C292" s="15">
        <v>44440</v>
      </c>
      <c r="D292" s="14" t="s">
        <v>91</v>
      </c>
      <c r="E292" s="14" t="s">
        <v>74</v>
      </c>
      <c r="F292" s="14" t="s">
        <v>92</v>
      </c>
      <c r="G292" s="16" t="s">
        <v>31</v>
      </c>
      <c r="H292" s="14" t="s">
        <v>668</v>
      </c>
      <c r="I292" s="15">
        <v>29772</v>
      </c>
      <c r="J292" s="16" t="s">
        <v>103</v>
      </c>
      <c r="K292" s="14" t="s">
        <v>95</v>
      </c>
      <c r="L292" t="s">
        <v>40</v>
      </c>
    </row>
    <row r="293" spans="1:12" ht="23.25" customHeight="1" x14ac:dyDescent="0.25">
      <c r="A293" s="19" t="s">
        <v>703</v>
      </c>
      <c r="B293" s="14" t="s">
        <v>704</v>
      </c>
      <c r="C293" s="15">
        <v>44938</v>
      </c>
      <c r="D293" s="14" t="s">
        <v>91</v>
      </c>
      <c r="E293" s="14" t="s">
        <v>74</v>
      </c>
      <c r="F293" s="14" t="s">
        <v>92</v>
      </c>
      <c r="G293" s="16" t="s">
        <v>37</v>
      </c>
      <c r="H293" s="14" t="s">
        <v>660</v>
      </c>
      <c r="I293" s="15">
        <v>30244</v>
      </c>
      <c r="J293" s="16" t="s">
        <v>103</v>
      </c>
      <c r="K293" s="14" t="s">
        <v>95</v>
      </c>
      <c r="L293" t="s">
        <v>40</v>
      </c>
    </row>
    <row r="294" spans="1:12" ht="23.25" customHeight="1" x14ac:dyDescent="0.25">
      <c r="A294" s="19" t="s">
        <v>705</v>
      </c>
      <c r="B294" s="14" t="s">
        <v>706</v>
      </c>
      <c r="C294" s="15">
        <v>41313</v>
      </c>
      <c r="D294" s="14" t="s">
        <v>91</v>
      </c>
      <c r="E294" s="14" t="s">
        <v>74</v>
      </c>
      <c r="F294" s="14" t="s">
        <v>707</v>
      </c>
      <c r="G294" s="16" t="s">
        <v>31</v>
      </c>
      <c r="H294" s="14" t="s">
        <v>708</v>
      </c>
      <c r="I294" s="15">
        <v>26595</v>
      </c>
      <c r="J294" s="16" t="s">
        <v>94</v>
      </c>
      <c r="K294" s="14" t="s">
        <v>95</v>
      </c>
      <c r="L294" t="s">
        <v>40</v>
      </c>
    </row>
    <row r="295" spans="1:12" ht="23.25" customHeight="1" x14ac:dyDescent="0.25">
      <c r="A295" s="19" t="s">
        <v>709</v>
      </c>
      <c r="B295" s="14" t="s">
        <v>710</v>
      </c>
      <c r="C295" s="15">
        <v>45113</v>
      </c>
      <c r="D295" s="14" t="s">
        <v>91</v>
      </c>
      <c r="E295" s="14" t="s">
        <v>74</v>
      </c>
      <c r="F295" s="14" t="s">
        <v>92</v>
      </c>
      <c r="G295" s="16" t="s">
        <v>37</v>
      </c>
      <c r="H295" s="14" t="s">
        <v>660</v>
      </c>
      <c r="I295" s="15">
        <v>31188</v>
      </c>
      <c r="J295" s="16" t="s">
        <v>94</v>
      </c>
      <c r="K295" s="14" t="s">
        <v>95</v>
      </c>
      <c r="L295" t="s">
        <v>40</v>
      </c>
    </row>
    <row r="296" spans="1:12" ht="23.25" customHeight="1" x14ac:dyDescent="0.25">
      <c r="A296" s="19" t="s">
        <v>711</v>
      </c>
      <c r="B296" s="14" t="s">
        <v>712</v>
      </c>
      <c r="C296" s="15">
        <v>44818</v>
      </c>
      <c r="D296" s="14" t="s">
        <v>91</v>
      </c>
      <c r="E296" s="14" t="s">
        <v>74</v>
      </c>
      <c r="F296" s="14" t="s">
        <v>92</v>
      </c>
      <c r="G296" s="16" t="s">
        <v>37</v>
      </c>
      <c r="H296" s="14" t="s">
        <v>660</v>
      </c>
      <c r="I296" s="15">
        <v>28249</v>
      </c>
      <c r="J296" s="16" t="s">
        <v>103</v>
      </c>
      <c r="K296" s="14" t="s">
        <v>95</v>
      </c>
      <c r="L296" t="s">
        <v>40</v>
      </c>
    </row>
    <row r="297" spans="1:12" ht="23.25" customHeight="1" x14ac:dyDescent="0.25">
      <c r="A297" s="19" t="s">
        <v>713</v>
      </c>
      <c r="B297" s="14" t="s">
        <v>714</v>
      </c>
      <c r="C297" s="15">
        <v>44805</v>
      </c>
      <c r="D297" s="14" t="s">
        <v>91</v>
      </c>
      <c r="E297" s="14" t="s">
        <v>74</v>
      </c>
      <c r="F297" s="14" t="s">
        <v>92</v>
      </c>
      <c r="G297" s="16" t="s">
        <v>37</v>
      </c>
      <c r="H297" s="14" t="s">
        <v>660</v>
      </c>
      <c r="I297" s="15">
        <v>29716</v>
      </c>
      <c r="J297" s="16" t="s">
        <v>94</v>
      </c>
      <c r="K297" s="14" t="s">
        <v>95</v>
      </c>
      <c r="L297" t="s">
        <v>40</v>
      </c>
    </row>
    <row r="298" spans="1:12" ht="23.25" customHeight="1" x14ac:dyDescent="0.25">
      <c r="A298" s="19" t="s">
        <v>715</v>
      </c>
      <c r="B298" s="14" t="s">
        <v>716</v>
      </c>
      <c r="C298" s="15">
        <v>45264</v>
      </c>
      <c r="D298" s="14" t="s">
        <v>91</v>
      </c>
      <c r="E298" s="14" t="s">
        <v>74</v>
      </c>
      <c r="F298" s="14" t="s">
        <v>92</v>
      </c>
      <c r="G298" s="16" t="s">
        <v>31</v>
      </c>
      <c r="H298" s="14" t="s">
        <v>668</v>
      </c>
      <c r="I298" s="15">
        <v>29441</v>
      </c>
      <c r="J298" s="16" t="s">
        <v>94</v>
      </c>
      <c r="K298" s="14" t="s">
        <v>95</v>
      </c>
      <c r="L298" t="s">
        <v>40</v>
      </c>
    </row>
    <row r="299" spans="1:12" ht="23.25" customHeight="1" x14ac:dyDescent="0.25">
      <c r="A299" s="19" t="s">
        <v>717</v>
      </c>
      <c r="B299" s="14" t="s">
        <v>718</v>
      </c>
      <c r="C299" s="15">
        <v>41313</v>
      </c>
      <c r="D299" s="14" t="s">
        <v>91</v>
      </c>
      <c r="E299" s="14" t="s">
        <v>74</v>
      </c>
      <c r="F299" s="14" t="s">
        <v>92</v>
      </c>
      <c r="G299" s="16" t="s">
        <v>31</v>
      </c>
      <c r="H299" s="14" t="s">
        <v>696</v>
      </c>
      <c r="I299" s="15">
        <v>29284</v>
      </c>
      <c r="J299" s="16" t="s">
        <v>94</v>
      </c>
      <c r="K299" s="14" t="s">
        <v>95</v>
      </c>
      <c r="L299" t="s">
        <v>40</v>
      </c>
    </row>
    <row r="300" spans="1:12" ht="23.25" customHeight="1" x14ac:dyDescent="0.25">
      <c r="A300" s="19" t="s">
        <v>719</v>
      </c>
      <c r="B300" s="14" t="s">
        <v>720</v>
      </c>
      <c r="C300" s="15">
        <v>43787</v>
      </c>
      <c r="D300" s="14" t="s">
        <v>123</v>
      </c>
      <c r="E300" s="14" t="s">
        <v>74</v>
      </c>
      <c r="F300" s="14" t="s">
        <v>92</v>
      </c>
      <c r="G300" s="16" t="s">
        <v>31</v>
      </c>
      <c r="H300" s="14" t="s">
        <v>668</v>
      </c>
      <c r="I300" s="15">
        <v>30315</v>
      </c>
      <c r="J300" s="16" t="s">
        <v>103</v>
      </c>
      <c r="K300" s="14" t="s">
        <v>124</v>
      </c>
      <c r="L300" t="s">
        <v>40</v>
      </c>
    </row>
    <row r="301" spans="1:12" ht="23.25" customHeight="1" x14ac:dyDescent="0.25">
      <c r="A301" s="19" t="s">
        <v>721</v>
      </c>
      <c r="B301" s="14" t="s">
        <v>722</v>
      </c>
      <c r="C301" s="15">
        <v>44046</v>
      </c>
      <c r="D301" s="14" t="s">
        <v>91</v>
      </c>
      <c r="E301" s="14" t="s">
        <v>74</v>
      </c>
      <c r="F301" s="14" t="s">
        <v>92</v>
      </c>
      <c r="G301" s="16" t="s">
        <v>31</v>
      </c>
      <c r="H301" s="14" t="s">
        <v>563</v>
      </c>
      <c r="I301" s="15">
        <v>29734</v>
      </c>
      <c r="J301" s="16" t="s">
        <v>103</v>
      </c>
      <c r="K301" s="14" t="s">
        <v>95</v>
      </c>
      <c r="L301" t="s">
        <v>40</v>
      </c>
    </row>
    <row r="302" spans="1:12" ht="23.25" customHeight="1" x14ac:dyDescent="0.25">
      <c r="A302" s="19" t="s">
        <v>723</v>
      </c>
      <c r="B302" s="14" t="s">
        <v>724</v>
      </c>
      <c r="C302" s="15">
        <v>41313</v>
      </c>
      <c r="D302" s="14" t="s">
        <v>91</v>
      </c>
      <c r="E302" s="14" t="s">
        <v>74</v>
      </c>
      <c r="F302" s="14" t="s">
        <v>92</v>
      </c>
      <c r="G302" s="16" t="s">
        <v>31</v>
      </c>
      <c r="H302" s="14" t="s">
        <v>663</v>
      </c>
      <c r="I302" s="15">
        <v>24847</v>
      </c>
      <c r="J302" s="16" t="s">
        <v>94</v>
      </c>
      <c r="K302" s="14" t="s">
        <v>95</v>
      </c>
      <c r="L302" t="s">
        <v>40</v>
      </c>
    </row>
    <row r="303" spans="1:12" ht="23.25" customHeight="1" x14ac:dyDescent="0.25">
      <c r="A303" s="19" t="s">
        <v>725</v>
      </c>
      <c r="B303" s="14" t="s">
        <v>726</v>
      </c>
      <c r="C303" s="15">
        <v>44868</v>
      </c>
      <c r="D303" s="14" t="s">
        <v>91</v>
      </c>
      <c r="E303" s="14" t="s">
        <v>74</v>
      </c>
      <c r="F303" s="14" t="s">
        <v>92</v>
      </c>
      <c r="G303" s="16" t="s">
        <v>37</v>
      </c>
      <c r="H303" s="14" t="s">
        <v>660</v>
      </c>
      <c r="I303" s="15">
        <v>29534</v>
      </c>
      <c r="J303" s="16" t="s">
        <v>103</v>
      </c>
      <c r="K303" s="14" t="s">
        <v>95</v>
      </c>
      <c r="L303" t="s">
        <v>40</v>
      </c>
    </row>
    <row r="304" spans="1:12" ht="23.25" customHeight="1" x14ac:dyDescent="0.25">
      <c r="A304" s="19" t="s">
        <v>727</v>
      </c>
      <c r="B304" s="14" t="s">
        <v>728</v>
      </c>
      <c r="C304" s="15">
        <v>43619</v>
      </c>
      <c r="D304" s="14" t="s">
        <v>91</v>
      </c>
      <c r="E304" s="14" t="s">
        <v>74</v>
      </c>
      <c r="F304" s="14" t="s">
        <v>92</v>
      </c>
      <c r="G304" s="16" t="s">
        <v>31</v>
      </c>
      <c r="H304" s="14" t="s">
        <v>696</v>
      </c>
      <c r="I304" s="15">
        <v>26687</v>
      </c>
      <c r="J304" s="16" t="s">
        <v>94</v>
      </c>
      <c r="K304" s="14" t="s">
        <v>95</v>
      </c>
      <c r="L304" t="s">
        <v>40</v>
      </c>
    </row>
    <row r="305" spans="1:12" ht="23.25" customHeight="1" x14ac:dyDescent="0.25">
      <c r="A305" s="19" t="s">
        <v>729</v>
      </c>
      <c r="B305" s="14" t="s">
        <v>730</v>
      </c>
      <c r="C305" s="15">
        <v>41458</v>
      </c>
      <c r="D305" s="14" t="s">
        <v>91</v>
      </c>
      <c r="E305" s="14" t="s">
        <v>74</v>
      </c>
      <c r="F305" s="14" t="s">
        <v>151</v>
      </c>
      <c r="G305" s="16" t="s">
        <v>695</v>
      </c>
      <c r="H305" s="14" t="s">
        <v>731</v>
      </c>
      <c r="I305" s="15">
        <v>22339</v>
      </c>
      <c r="J305" s="16" t="s">
        <v>94</v>
      </c>
      <c r="K305" s="14" t="s">
        <v>95</v>
      </c>
      <c r="L305" t="s">
        <v>40</v>
      </c>
    </row>
    <row r="306" spans="1:12" ht="23.25" customHeight="1" x14ac:dyDescent="0.25">
      <c r="A306" s="19" t="s">
        <v>732</v>
      </c>
      <c r="B306" s="14" t="s">
        <v>733</v>
      </c>
      <c r="C306" s="15">
        <v>44244</v>
      </c>
      <c r="D306" s="14" t="s">
        <v>91</v>
      </c>
      <c r="E306" s="14" t="s">
        <v>74</v>
      </c>
      <c r="F306" s="14" t="s">
        <v>92</v>
      </c>
      <c r="G306" s="16" t="s">
        <v>31</v>
      </c>
      <c r="H306" s="14" t="s">
        <v>668</v>
      </c>
      <c r="I306" s="15">
        <v>32075</v>
      </c>
      <c r="J306" s="16" t="s">
        <v>103</v>
      </c>
      <c r="K306" s="14" t="s">
        <v>95</v>
      </c>
      <c r="L306" t="s">
        <v>40</v>
      </c>
    </row>
    <row r="307" spans="1:12" ht="23.25" customHeight="1" x14ac:dyDescent="0.25">
      <c r="A307" s="19" t="s">
        <v>734</v>
      </c>
      <c r="B307" s="14" t="s">
        <v>735</v>
      </c>
      <c r="C307" s="15">
        <v>45155</v>
      </c>
      <c r="D307" s="14" t="s">
        <v>91</v>
      </c>
      <c r="E307" s="14" t="s">
        <v>74</v>
      </c>
      <c r="F307" s="14" t="s">
        <v>92</v>
      </c>
      <c r="G307" s="16" t="s">
        <v>37</v>
      </c>
      <c r="H307" s="14" t="s">
        <v>660</v>
      </c>
      <c r="I307" s="15">
        <v>32968</v>
      </c>
      <c r="J307" s="16" t="s">
        <v>103</v>
      </c>
      <c r="K307" s="14" t="s">
        <v>95</v>
      </c>
      <c r="L307" t="s">
        <v>40</v>
      </c>
    </row>
    <row r="308" spans="1:12" ht="23.25" customHeight="1" x14ac:dyDescent="0.25">
      <c r="A308" s="19" t="s">
        <v>736</v>
      </c>
      <c r="B308" s="14" t="s">
        <v>737</v>
      </c>
      <c r="C308" s="15">
        <v>44482</v>
      </c>
      <c r="D308" s="14" t="s">
        <v>91</v>
      </c>
      <c r="E308" s="14" t="s">
        <v>74</v>
      </c>
      <c r="F308" s="14" t="s">
        <v>92</v>
      </c>
      <c r="G308" s="16" t="s">
        <v>37</v>
      </c>
      <c r="H308" s="14" t="s">
        <v>660</v>
      </c>
      <c r="I308" s="15">
        <v>32276</v>
      </c>
      <c r="J308" s="16" t="s">
        <v>94</v>
      </c>
      <c r="K308" s="14" t="s">
        <v>95</v>
      </c>
      <c r="L308" t="s">
        <v>40</v>
      </c>
    </row>
    <row r="309" spans="1:12" ht="23.25" customHeight="1" x14ac:dyDescent="0.25">
      <c r="A309" s="19" t="s">
        <v>738</v>
      </c>
      <c r="B309" s="14" t="s">
        <v>739</v>
      </c>
      <c r="C309" s="15">
        <v>44169</v>
      </c>
      <c r="D309" s="14" t="s">
        <v>91</v>
      </c>
      <c r="E309" s="14" t="s">
        <v>74</v>
      </c>
      <c r="F309" s="14" t="s">
        <v>92</v>
      </c>
      <c r="G309" s="16" t="s">
        <v>31</v>
      </c>
      <c r="H309" s="14" t="s">
        <v>663</v>
      </c>
      <c r="I309" s="15">
        <v>30055</v>
      </c>
      <c r="J309" s="16" t="s">
        <v>94</v>
      </c>
      <c r="K309" s="14" t="s">
        <v>95</v>
      </c>
      <c r="L309" t="s">
        <v>40</v>
      </c>
    </row>
    <row r="310" spans="1:12" ht="23.25" customHeight="1" x14ac:dyDescent="0.25">
      <c r="A310" s="19" t="s">
        <v>740</v>
      </c>
      <c r="B310" s="14" t="s">
        <v>741</v>
      </c>
      <c r="C310" s="15">
        <v>44207</v>
      </c>
      <c r="D310" s="14" t="s">
        <v>123</v>
      </c>
      <c r="E310" s="14" t="s">
        <v>74</v>
      </c>
      <c r="F310" s="14" t="s">
        <v>92</v>
      </c>
      <c r="G310" s="16" t="s">
        <v>31</v>
      </c>
      <c r="H310" s="14" t="s">
        <v>668</v>
      </c>
      <c r="I310" s="15">
        <v>33124</v>
      </c>
      <c r="J310" s="16" t="s">
        <v>94</v>
      </c>
      <c r="K310" s="14" t="s">
        <v>124</v>
      </c>
      <c r="L310" t="s">
        <v>40</v>
      </c>
    </row>
    <row r="311" spans="1:12" ht="23.25" customHeight="1" x14ac:dyDescent="0.25">
      <c r="A311" s="19" t="s">
        <v>742</v>
      </c>
      <c r="B311" s="14" t="s">
        <v>743</v>
      </c>
      <c r="C311" s="15">
        <v>44785</v>
      </c>
      <c r="D311" s="14" t="s">
        <v>91</v>
      </c>
      <c r="E311" s="14" t="s">
        <v>74</v>
      </c>
      <c r="F311" s="14" t="s">
        <v>92</v>
      </c>
      <c r="G311" s="16" t="s">
        <v>37</v>
      </c>
      <c r="H311" s="14" t="s">
        <v>660</v>
      </c>
      <c r="I311" s="15">
        <v>31678</v>
      </c>
      <c r="J311" s="16" t="s">
        <v>94</v>
      </c>
      <c r="K311" s="14" t="s">
        <v>95</v>
      </c>
      <c r="L311" t="s">
        <v>40</v>
      </c>
    </row>
    <row r="312" spans="1:12" ht="23.25" customHeight="1" x14ac:dyDescent="0.25">
      <c r="A312" s="19" t="s">
        <v>744</v>
      </c>
      <c r="B312" s="14" t="s">
        <v>745</v>
      </c>
      <c r="C312" s="15">
        <v>45338</v>
      </c>
      <c r="D312" s="14" t="s">
        <v>91</v>
      </c>
      <c r="E312" s="14" t="s">
        <v>74</v>
      </c>
      <c r="F312" s="14" t="s">
        <v>92</v>
      </c>
      <c r="G312" s="16" t="s">
        <v>37</v>
      </c>
      <c r="H312" s="14" t="s">
        <v>660</v>
      </c>
      <c r="I312" s="15">
        <v>29030</v>
      </c>
      <c r="J312" s="16" t="s">
        <v>103</v>
      </c>
      <c r="K312" s="14" t="s">
        <v>95</v>
      </c>
      <c r="L312" t="s">
        <v>40</v>
      </c>
    </row>
    <row r="313" spans="1:12" ht="23.25" customHeight="1" x14ac:dyDescent="0.25">
      <c r="A313" s="19" t="s">
        <v>746</v>
      </c>
      <c r="B313" s="14" t="s">
        <v>747</v>
      </c>
      <c r="C313" s="15">
        <v>44695</v>
      </c>
      <c r="D313" s="14" t="s">
        <v>91</v>
      </c>
      <c r="E313" s="14" t="s">
        <v>74</v>
      </c>
      <c r="F313" s="14" t="s">
        <v>92</v>
      </c>
      <c r="G313" s="16" t="s">
        <v>695</v>
      </c>
      <c r="H313" s="14" t="s">
        <v>748</v>
      </c>
      <c r="I313" s="15">
        <v>27624</v>
      </c>
      <c r="J313" s="16" t="s">
        <v>103</v>
      </c>
      <c r="K313" s="14" t="s">
        <v>95</v>
      </c>
      <c r="L313" t="s">
        <v>40</v>
      </c>
    </row>
    <row r="314" spans="1:12" ht="23.25" customHeight="1" x14ac:dyDescent="0.25">
      <c r="A314" s="19" t="s">
        <v>749</v>
      </c>
      <c r="B314" s="14" t="s">
        <v>750</v>
      </c>
      <c r="C314" s="15">
        <v>44868</v>
      </c>
      <c r="D314" s="14" t="s">
        <v>123</v>
      </c>
      <c r="E314" s="14" t="s">
        <v>74</v>
      </c>
      <c r="F314" s="14" t="s">
        <v>92</v>
      </c>
      <c r="G314" s="16" t="s">
        <v>31</v>
      </c>
      <c r="H314" s="14" t="s">
        <v>696</v>
      </c>
      <c r="I314" s="15">
        <v>29201</v>
      </c>
      <c r="J314" s="16" t="s">
        <v>103</v>
      </c>
      <c r="K314" s="14" t="s">
        <v>124</v>
      </c>
      <c r="L314" t="s">
        <v>40</v>
      </c>
    </row>
    <row r="315" spans="1:12" ht="23.25" customHeight="1" x14ac:dyDescent="0.25">
      <c r="A315" s="19" t="s">
        <v>751</v>
      </c>
      <c r="B315" s="14" t="s">
        <v>752</v>
      </c>
      <c r="C315" s="15">
        <v>44046</v>
      </c>
      <c r="D315" s="14" t="s">
        <v>91</v>
      </c>
      <c r="E315" s="14" t="s">
        <v>74</v>
      </c>
      <c r="F315" s="14" t="s">
        <v>92</v>
      </c>
      <c r="G315" s="16" t="s">
        <v>31</v>
      </c>
      <c r="H315" s="14" t="s">
        <v>663</v>
      </c>
      <c r="I315" s="15">
        <v>28978</v>
      </c>
      <c r="J315" s="16" t="s">
        <v>103</v>
      </c>
      <c r="K315" s="14" t="s">
        <v>95</v>
      </c>
      <c r="L315" t="s">
        <v>40</v>
      </c>
    </row>
    <row r="316" spans="1:12" ht="23.25" customHeight="1" x14ac:dyDescent="0.25">
      <c r="A316" s="19" t="s">
        <v>753</v>
      </c>
      <c r="B316" s="14" t="s">
        <v>754</v>
      </c>
      <c r="C316" s="15">
        <v>45212</v>
      </c>
      <c r="D316" s="14" t="s">
        <v>91</v>
      </c>
      <c r="E316" s="14" t="s">
        <v>74</v>
      </c>
      <c r="F316" s="14" t="s">
        <v>92</v>
      </c>
      <c r="G316" s="16" t="s">
        <v>37</v>
      </c>
      <c r="H316" s="14" t="s">
        <v>660</v>
      </c>
      <c r="I316" s="15">
        <v>30061</v>
      </c>
      <c r="J316" s="16" t="s">
        <v>94</v>
      </c>
      <c r="K316" s="14" t="s">
        <v>95</v>
      </c>
      <c r="L316" t="s">
        <v>40</v>
      </c>
    </row>
    <row r="317" spans="1:12" ht="23.25" customHeight="1" x14ac:dyDescent="0.25">
      <c r="A317" s="19" t="s">
        <v>755</v>
      </c>
      <c r="B317" s="14" t="s">
        <v>756</v>
      </c>
      <c r="C317" s="15">
        <v>45155</v>
      </c>
      <c r="D317" s="14" t="s">
        <v>91</v>
      </c>
      <c r="E317" s="14" t="s">
        <v>74</v>
      </c>
      <c r="F317" s="14" t="s">
        <v>92</v>
      </c>
      <c r="G317" s="16" t="s">
        <v>37</v>
      </c>
      <c r="H317" s="14" t="s">
        <v>660</v>
      </c>
      <c r="I317" s="15">
        <v>26988</v>
      </c>
      <c r="J317" s="16" t="s">
        <v>103</v>
      </c>
      <c r="K317" s="14" t="s">
        <v>95</v>
      </c>
      <c r="L317" t="s">
        <v>40</v>
      </c>
    </row>
    <row r="318" spans="1:12" ht="23.25" customHeight="1" x14ac:dyDescent="0.25">
      <c r="A318" s="19" t="s">
        <v>757</v>
      </c>
      <c r="B318" s="14" t="s">
        <v>758</v>
      </c>
      <c r="C318" s="15">
        <v>41313</v>
      </c>
      <c r="D318" s="14" t="s">
        <v>91</v>
      </c>
      <c r="E318" s="14" t="s">
        <v>74</v>
      </c>
      <c r="F318" s="14" t="s">
        <v>92</v>
      </c>
      <c r="G318" s="16" t="s">
        <v>37</v>
      </c>
      <c r="H318" s="14" t="s">
        <v>660</v>
      </c>
      <c r="I318" s="15">
        <v>25925</v>
      </c>
      <c r="J318" s="16" t="s">
        <v>94</v>
      </c>
      <c r="K318" s="14" t="s">
        <v>95</v>
      </c>
      <c r="L318" t="s">
        <v>40</v>
      </c>
    </row>
    <row r="319" spans="1:12" ht="23.25" customHeight="1" x14ac:dyDescent="0.25">
      <c r="A319" s="19" t="s">
        <v>759</v>
      </c>
      <c r="B319" s="14" t="s">
        <v>760</v>
      </c>
      <c r="C319" s="15">
        <v>44487</v>
      </c>
      <c r="D319" s="14" t="s">
        <v>91</v>
      </c>
      <c r="E319" s="14" t="s">
        <v>74</v>
      </c>
      <c r="F319" s="14" t="s">
        <v>92</v>
      </c>
      <c r="G319" s="16" t="s">
        <v>31</v>
      </c>
      <c r="H319" s="14" t="s">
        <v>93</v>
      </c>
      <c r="I319" s="15">
        <v>33254</v>
      </c>
      <c r="J319" s="16" t="s">
        <v>94</v>
      </c>
      <c r="K319" s="14" t="s">
        <v>95</v>
      </c>
      <c r="L319" t="s">
        <v>40</v>
      </c>
    </row>
    <row r="320" spans="1:12" ht="23.25" customHeight="1" x14ac:dyDescent="0.25">
      <c r="A320" s="19" t="s">
        <v>761</v>
      </c>
      <c r="B320" s="14" t="s">
        <v>762</v>
      </c>
      <c r="C320" s="15">
        <v>44447</v>
      </c>
      <c r="D320" s="14" t="s">
        <v>91</v>
      </c>
      <c r="E320" s="14" t="s">
        <v>74</v>
      </c>
      <c r="F320" s="14" t="s">
        <v>92</v>
      </c>
      <c r="G320" s="16" t="s">
        <v>37</v>
      </c>
      <c r="H320" s="14" t="s">
        <v>660</v>
      </c>
      <c r="I320" s="15">
        <v>28950</v>
      </c>
      <c r="J320" s="16" t="s">
        <v>103</v>
      </c>
      <c r="K320" s="14" t="s">
        <v>95</v>
      </c>
      <c r="L320" t="s">
        <v>40</v>
      </c>
    </row>
    <row r="321" spans="1:12" ht="23.25" customHeight="1" x14ac:dyDescent="0.25">
      <c r="A321" s="19" t="s">
        <v>763</v>
      </c>
      <c r="B321" s="14" t="s">
        <v>764</v>
      </c>
      <c r="C321" s="15">
        <v>43787</v>
      </c>
      <c r="D321" s="14" t="s">
        <v>91</v>
      </c>
      <c r="E321" s="14" t="s">
        <v>74</v>
      </c>
      <c r="F321" s="14" t="s">
        <v>92</v>
      </c>
      <c r="G321" s="16" t="s">
        <v>31</v>
      </c>
      <c r="H321" s="14" t="s">
        <v>93</v>
      </c>
      <c r="I321" s="15">
        <v>28185</v>
      </c>
      <c r="J321" s="16" t="s">
        <v>94</v>
      </c>
      <c r="K321" s="14" t="s">
        <v>95</v>
      </c>
      <c r="L321" t="s">
        <v>40</v>
      </c>
    </row>
    <row r="322" spans="1:12" ht="23.25" customHeight="1" x14ac:dyDescent="0.25">
      <c r="A322" s="19" t="s">
        <v>765</v>
      </c>
      <c r="B322" s="14" t="s">
        <v>766</v>
      </c>
      <c r="C322" s="15">
        <v>44785</v>
      </c>
      <c r="D322" s="14" t="s">
        <v>91</v>
      </c>
      <c r="E322" s="14" t="s">
        <v>74</v>
      </c>
      <c r="F322" s="14" t="s">
        <v>92</v>
      </c>
      <c r="G322" s="16" t="s">
        <v>31</v>
      </c>
      <c r="H322" s="14" t="s">
        <v>668</v>
      </c>
      <c r="I322" s="15">
        <v>33668</v>
      </c>
      <c r="J322" s="16" t="s">
        <v>94</v>
      </c>
      <c r="K322" s="14" t="s">
        <v>95</v>
      </c>
      <c r="L322" t="s">
        <v>40</v>
      </c>
    </row>
    <row r="323" spans="1:12" ht="23.25" customHeight="1" x14ac:dyDescent="0.25">
      <c r="A323" s="19" t="s">
        <v>767</v>
      </c>
      <c r="B323" s="14" t="s">
        <v>768</v>
      </c>
      <c r="C323" s="15">
        <v>44966</v>
      </c>
      <c r="D323" s="14" t="s">
        <v>91</v>
      </c>
      <c r="E323" s="14" t="s">
        <v>74</v>
      </c>
      <c r="F323" s="14" t="s">
        <v>92</v>
      </c>
      <c r="G323" s="16" t="s">
        <v>37</v>
      </c>
      <c r="H323" s="14" t="s">
        <v>660</v>
      </c>
      <c r="I323" s="15">
        <v>34790</v>
      </c>
      <c r="J323" s="16" t="s">
        <v>103</v>
      </c>
      <c r="K323" s="14" t="s">
        <v>95</v>
      </c>
      <c r="L323" t="s">
        <v>40</v>
      </c>
    </row>
    <row r="324" spans="1:12" ht="23.25" customHeight="1" x14ac:dyDescent="0.25">
      <c r="A324" s="19" t="s">
        <v>769</v>
      </c>
      <c r="B324" s="14" t="s">
        <v>770</v>
      </c>
      <c r="C324" s="15">
        <v>45212</v>
      </c>
      <c r="D324" s="14" t="s">
        <v>91</v>
      </c>
      <c r="E324" s="14" t="s">
        <v>74</v>
      </c>
      <c r="F324" s="14" t="s">
        <v>92</v>
      </c>
      <c r="G324" s="16" t="s">
        <v>37</v>
      </c>
      <c r="H324" s="14" t="s">
        <v>660</v>
      </c>
      <c r="I324" s="15">
        <v>34621</v>
      </c>
      <c r="J324" s="16" t="s">
        <v>94</v>
      </c>
      <c r="K324" s="14" t="s">
        <v>95</v>
      </c>
      <c r="L324" t="s">
        <v>40</v>
      </c>
    </row>
    <row r="325" spans="1:12" ht="23.25" customHeight="1" x14ac:dyDescent="0.25">
      <c r="A325" s="19" t="s">
        <v>771</v>
      </c>
      <c r="B325" s="14" t="s">
        <v>772</v>
      </c>
      <c r="C325" s="15">
        <v>44902</v>
      </c>
      <c r="D325" s="14" t="s">
        <v>91</v>
      </c>
      <c r="E325" s="14" t="s">
        <v>74</v>
      </c>
      <c r="F325" s="14" t="s">
        <v>92</v>
      </c>
      <c r="G325" s="16" t="s">
        <v>37</v>
      </c>
      <c r="H325" s="14" t="s">
        <v>660</v>
      </c>
      <c r="I325" s="15">
        <v>28439</v>
      </c>
      <c r="J325" s="16" t="s">
        <v>103</v>
      </c>
      <c r="K325" s="14" t="s">
        <v>95</v>
      </c>
      <c r="L325" t="s">
        <v>40</v>
      </c>
    </row>
    <row r="326" spans="1:12" ht="23.25" customHeight="1" x14ac:dyDescent="0.25">
      <c r="A326" s="19" t="s">
        <v>773</v>
      </c>
      <c r="B326" s="14" t="s">
        <v>774</v>
      </c>
      <c r="C326" s="15">
        <v>43619</v>
      </c>
      <c r="D326" s="14" t="s">
        <v>123</v>
      </c>
      <c r="E326" s="14" t="s">
        <v>74</v>
      </c>
      <c r="F326" s="14" t="s">
        <v>92</v>
      </c>
      <c r="G326" s="16" t="s">
        <v>31</v>
      </c>
      <c r="H326" s="14" t="s">
        <v>668</v>
      </c>
      <c r="I326" s="15">
        <v>29493</v>
      </c>
      <c r="J326" s="16" t="s">
        <v>94</v>
      </c>
      <c r="K326" s="14" t="s">
        <v>124</v>
      </c>
      <c r="L326" t="s">
        <v>40</v>
      </c>
    </row>
    <row r="327" spans="1:12" ht="23.25" customHeight="1" x14ac:dyDescent="0.25">
      <c r="A327" s="19" t="s">
        <v>775</v>
      </c>
      <c r="B327" s="14" t="s">
        <v>776</v>
      </c>
      <c r="C327" s="15">
        <v>45113</v>
      </c>
      <c r="D327" s="14" t="s">
        <v>91</v>
      </c>
      <c r="E327" s="14" t="s">
        <v>74</v>
      </c>
      <c r="F327" s="14" t="s">
        <v>92</v>
      </c>
      <c r="G327" s="16" t="s">
        <v>37</v>
      </c>
      <c r="H327" s="14" t="s">
        <v>660</v>
      </c>
      <c r="I327" s="15">
        <v>30261</v>
      </c>
      <c r="J327" s="16" t="s">
        <v>94</v>
      </c>
      <c r="K327" s="14" t="s">
        <v>95</v>
      </c>
      <c r="L327" t="s">
        <v>40</v>
      </c>
    </row>
    <row r="328" spans="1:12" ht="23.25" customHeight="1" x14ac:dyDescent="0.25">
      <c r="A328" s="19" t="s">
        <v>777</v>
      </c>
      <c r="B328" s="14" t="s">
        <v>778</v>
      </c>
      <c r="C328" s="15">
        <v>41582</v>
      </c>
      <c r="D328" s="14" t="s">
        <v>91</v>
      </c>
      <c r="E328" s="14" t="s">
        <v>74</v>
      </c>
      <c r="F328" s="14" t="s">
        <v>92</v>
      </c>
      <c r="G328" s="16" t="s">
        <v>31</v>
      </c>
      <c r="H328" s="14" t="s">
        <v>668</v>
      </c>
      <c r="I328" s="15">
        <v>28549</v>
      </c>
      <c r="J328" s="16" t="s">
        <v>94</v>
      </c>
      <c r="K328" s="14" t="s">
        <v>95</v>
      </c>
      <c r="L328" t="s">
        <v>40</v>
      </c>
    </row>
    <row r="329" spans="1:12" ht="23.25" customHeight="1" x14ac:dyDescent="0.25">
      <c r="A329" s="19" t="s">
        <v>779</v>
      </c>
      <c r="B329" s="14" t="s">
        <v>780</v>
      </c>
      <c r="C329" s="15">
        <v>43440</v>
      </c>
      <c r="D329" s="14" t="s">
        <v>91</v>
      </c>
      <c r="E329" s="14" t="s">
        <v>74</v>
      </c>
      <c r="F329" s="14" t="s">
        <v>92</v>
      </c>
      <c r="G329" s="16" t="s">
        <v>37</v>
      </c>
      <c r="H329" s="14" t="s">
        <v>660</v>
      </c>
      <c r="I329" s="15">
        <v>30872</v>
      </c>
      <c r="J329" s="16" t="s">
        <v>94</v>
      </c>
      <c r="K329" s="14" t="s">
        <v>95</v>
      </c>
      <c r="L329" t="s">
        <v>40</v>
      </c>
    </row>
    <row r="330" spans="1:12" ht="23.25" customHeight="1" x14ac:dyDescent="0.25">
      <c r="A330" s="19" t="s">
        <v>781</v>
      </c>
      <c r="B330" s="14" t="s">
        <v>782</v>
      </c>
      <c r="C330" s="15">
        <v>44046</v>
      </c>
      <c r="D330" s="14" t="s">
        <v>91</v>
      </c>
      <c r="E330" s="14" t="s">
        <v>74</v>
      </c>
      <c r="F330" s="14" t="s">
        <v>92</v>
      </c>
      <c r="G330" s="16" t="s">
        <v>31</v>
      </c>
      <c r="H330" s="14" t="s">
        <v>668</v>
      </c>
      <c r="I330" s="15">
        <v>32292</v>
      </c>
      <c r="J330" s="16" t="s">
        <v>103</v>
      </c>
      <c r="K330" s="14" t="s">
        <v>95</v>
      </c>
      <c r="L330" t="s">
        <v>40</v>
      </c>
    </row>
    <row r="331" spans="1:12" ht="23.25" customHeight="1" x14ac:dyDescent="0.25">
      <c r="A331" s="19" t="s">
        <v>783</v>
      </c>
      <c r="B331" s="14" t="s">
        <v>784</v>
      </c>
      <c r="C331" s="15">
        <v>45338</v>
      </c>
      <c r="D331" s="14" t="s">
        <v>91</v>
      </c>
      <c r="E331" s="14" t="s">
        <v>74</v>
      </c>
      <c r="F331" s="14" t="s">
        <v>92</v>
      </c>
      <c r="G331" s="16" t="s">
        <v>37</v>
      </c>
      <c r="H331" s="14" t="s">
        <v>660</v>
      </c>
      <c r="I331" s="15">
        <v>30064</v>
      </c>
      <c r="J331" s="16" t="s">
        <v>94</v>
      </c>
      <c r="K331" s="14" t="s">
        <v>95</v>
      </c>
      <c r="L331" t="s">
        <v>40</v>
      </c>
    </row>
    <row r="332" spans="1:12" ht="23.25" customHeight="1" x14ac:dyDescent="0.25">
      <c r="A332" s="19" t="s">
        <v>785</v>
      </c>
      <c r="B332" s="14" t="s">
        <v>786</v>
      </c>
      <c r="C332" s="15">
        <v>44053</v>
      </c>
      <c r="D332" s="14" t="s">
        <v>91</v>
      </c>
      <c r="E332" s="14" t="s">
        <v>74</v>
      </c>
      <c r="F332" s="14" t="s">
        <v>92</v>
      </c>
      <c r="G332" s="16" t="s">
        <v>31</v>
      </c>
      <c r="H332" s="14" t="s">
        <v>668</v>
      </c>
      <c r="I332" s="15">
        <v>32694</v>
      </c>
      <c r="J332" s="16" t="s">
        <v>94</v>
      </c>
      <c r="K332" s="14" t="s">
        <v>95</v>
      </c>
      <c r="L332" t="s">
        <v>40</v>
      </c>
    </row>
    <row r="333" spans="1:12" ht="23.25" customHeight="1" x14ac:dyDescent="0.25">
      <c r="A333" s="19" t="s">
        <v>787</v>
      </c>
      <c r="B333" s="14" t="s">
        <v>788</v>
      </c>
      <c r="C333" s="15">
        <v>44378</v>
      </c>
      <c r="D333" s="14" t="s">
        <v>91</v>
      </c>
      <c r="E333" s="14" t="s">
        <v>74</v>
      </c>
      <c r="F333" s="14" t="s">
        <v>92</v>
      </c>
      <c r="G333" s="16" t="s">
        <v>31</v>
      </c>
      <c r="H333" s="14" t="s">
        <v>696</v>
      </c>
      <c r="I333" s="15">
        <v>32555</v>
      </c>
      <c r="J333" s="16" t="s">
        <v>94</v>
      </c>
      <c r="K333" s="14" t="s">
        <v>95</v>
      </c>
      <c r="L333" t="s">
        <v>40</v>
      </c>
    </row>
    <row r="334" spans="1:12" ht="23.25" customHeight="1" x14ac:dyDescent="0.25">
      <c r="A334" s="19" t="s">
        <v>789</v>
      </c>
      <c r="B334" s="14" t="s">
        <v>790</v>
      </c>
      <c r="C334" s="15">
        <v>44805</v>
      </c>
      <c r="D334" s="14" t="s">
        <v>91</v>
      </c>
      <c r="E334" s="14" t="s">
        <v>74</v>
      </c>
      <c r="F334" s="14" t="s">
        <v>92</v>
      </c>
      <c r="G334" s="16" t="s">
        <v>37</v>
      </c>
      <c r="H334" s="14" t="s">
        <v>660</v>
      </c>
      <c r="I334" s="15">
        <v>30198</v>
      </c>
      <c r="J334" s="16" t="s">
        <v>791</v>
      </c>
      <c r="K334" s="14" t="s">
        <v>95</v>
      </c>
      <c r="L334" t="s">
        <v>40</v>
      </c>
    </row>
    <row r="335" spans="1:12" ht="23.25" customHeight="1" x14ac:dyDescent="0.25">
      <c r="A335" s="19" t="s">
        <v>792</v>
      </c>
      <c r="B335" s="14" t="s">
        <v>793</v>
      </c>
      <c r="C335" s="15">
        <v>45063</v>
      </c>
      <c r="D335" s="14" t="s">
        <v>91</v>
      </c>
      <c r="E335" s="14" t="s">
        <v>74</v>
      </c>
      <c r="F335" s="14" t="s">
        <v>92</v>
      </c>
      <c r="G335" s="16" t="s">
        <v>37</v>
      </c>
      <c r="H335" s="14" t="s">
        <v>660</v>
      </c>
      <c r="I335" s="15">
        <v>34569</v>
      </c>
      <c r="J335" s="16" t="s">
        <v>94</v>
      </c>
      <c r="K335" s="14" t="s">
        <v>95</v>
      </c>
      <c r="L335" t="s">
        <v>40</v>
      </c>
    </row>
    <row r="336" spans="1:12" ht="23.25" customHeight="1" x14ac:dyDescent="0.25">
      <c r="A336" s="19" t="s">
        <v>794</v>
      </c>
      <c r="B336" s="14" t="s">
        <v>795</v>
      </c>
      <c r="C336" s="15">
        <v>45155</v>
      </c>
      <c r="D336" s="14" t="s">
        <v>91</v>
      </c>
      <c r="E336" s="14" t="s">
        <v>74</v>
      </c>
      <c r="F336" s="14" t="s">
        <v>92</v>
      </c>
      <c r="G336" s="16" t="s">
        <v>37</v>
      </c>
      <c r="H336" s="14" t="s">
        <v>660</v>
      </c>
      <c r="I336" s="15">
        <v>32162</v>
      </c>
      <c r="J336" s="16" t="s">
        <v>94</v>
      </c>
      <c r="K336" s="14" t="s">
        <v>95</v>
      </c>
      <c r="L336" t="s">
        <v>40</v>
      </c>
    </row>
    <row r="337" spans="1:12" ht="23.25" customHeight="1" x14ac:dyDescent="0.25">
      <c r="A337" s="19" t="s">
        <v>796</v>
      </c>
      <c r="B337" s="14" t="s">
        <v>797</v>
      </c>
      <c r="C337" s="15">
        <v>41313</v>
      </c>
      <c r="D337" s="14" t="s">
        <v>91</v>
      </c>
      <c r="E337" s="14" t="s">
        <v>74</v>
      </c>
      <c r="F337" s="14" t="s">
        <v>151</v>
      </c>
      <c r="G337" s="16" t="s">
        <v>31</v>
      </c>
      <c r="H337" s="14" t="s">
        <v>798</v>
      </c>
      <c r="I337" s="15">
        <v>27301</v>
      </c>
      <c r="J337" s="16" t="s">
        <v>94</v>
      </c>
      <c r="K337" s="14" t="s">
        <v>95</v>
      </c>
      <c r="L337" t="s">
        <v>40</v>
      </c>
    </row>
    <row r="338" spans="1:12" ht="23.25" customHeight="1" x14ac:dyDescent="0.25">
      <c r="A338" s="19" t="s">
        <v>799</v>
      </c>
      <c r="B338" s="14" t="s">
        <v>800</v>
      </c>
      <c r="C338" s="15">
        <v>41365</v>
      </c>
      <c r="D338" s="14" t="s">
        <v>91</v>
      </c>
      <c r="E338" s="14" t="s">
        <v>74</v>
      </c>
      <c r="F338" s="14" t="s">
        <v>92</v>
      </c>
      <c r="G338" s="16" t="s">
        <v>31</v>
      </c>
      <c r="H338" s="14" t="s">
        <v>668</v>
      </c>
      <c r="I338" s="15">
        <v>28553</v>
      </c>
      <c r="J338" s="16" t="s">
        <v>103</v>
      </c>
      <c r="K338" s="14" t="s">
        <v>95</v>
      </c>
      <c r="L338" t="s">
        <v>40</v>
      </c>
    </row>
    <row r="339" spans="1:12" ht="23.25" customHeight="1" x14ac:dyDescent="0.25">
      <c r="A339" s="19" t="s">
        <v>801</v>
      </c>
      <c r="B339" s="14" t="s">
        <v>802</v>
      </c>
      <c r="C339" s="15">
        <v>45264</v>
      </c>
      <c r="D339" s="14" t="s">
        <v>91</v>
      </c>
      <c r="E339" s="14" t="s">
        <v>74</v>
      </c>
      <c r="F339" s="14" t="s">
        <v>92</v>
      </c>
      <c r="G339" s="16" t="s">
        <v>37</v>
      </c>
      <c r="H339" s="14" t="s">
        <v>660</v>
      </c>
      <c r="I339" s="15">
        <v>29774</v>
      </c>
      <c r="J339" s="16" t="s">
        <v>103</v>
      </c>
      <c r="K339" s="14" t="s">
        <v>95</v>
      </c>
      <c r="L339" t="s">
        <v>40</v>
      </c>
    </row>
    <row r="340" spans="1:12" ht="23.25" customHeight="1" x14ac:dyDescent="0.25">
      <c r="A340" s="19" t="s">
        <v>803</v>
      </c>
      <c r="B340" s="14" t="s">
        <v>804</v>
      </c>
      <c r="C340" s="15">
        <v>41313</v>
      </c>
      <c r="D340" s="14" t="s">
        <v>91</v>
      </c>
      <c r="E340" s="14" t="s">
        <v>74</v>
      </c>
      <c r="F340" s="14" t="s">
        <v>92</v>
      </c>
      <c r="G340" s="16" t="s">
        <v>31</v>
      </c>
      <c r="H340" s="14" t="s">
        <v>668</v>
      </c>
      <c r="I340" s="15">
        <v>27022</v>
      </c>
      <c r="J340" s="16" t="s">
        <v>94</v>
      </c>
      <c r="K340" s="14" t="s">
        <v>95</v>
      </c>
      <c r="L340" t="s">
        <v>40</v>
      </c>
    </row>
    <row r="341" spans="1:12" ht="23.25" customHeight="1" x14ac:dyDescent="0.25">
      <c r="A341" s="19" t="s">
        <v>805</v>
      </c>
      <c r="B341" s="14" t="s">
        <v>806</v>
      </c>
      <c r="C341" s="15">
        <v>44938</v>
      </c>
      <c r="D341" s="14" t="s">
        <v>123</v>
      </c>
      <c r="E341" s="14" t="s">
        <v>74</v>
      </c>
      <c r="F341" s="14" t="s">
        <v>92</v>
      </c>
      <c r="G341" s="16" t="s">
        <v>37</v>
      </c>
      <c r="H341" s="14" t="s">
        <v>660</v>
      </c>
      <c r="I341" s="15">
        <v>33006</v>
      </c>
      <c r="J341" s="16" t="s">
        <v>94</v>
      </c>
      <c r="K341" s="14" t="s">
        <v>124</v>
      </c>
      <c r="L341" t="s">
        <v>40</v>
      </c>
    </row>
    <row r="342" spans="1:12" ht="23.25" customHeight="1" x14ac:dyDescent="0.25">
      <c r="A342" s="19" t="s">
        <v>807</v>
      </c>
      <c r="B342" s="14" t="s">
        <v>808</v>
      </c>
      <c r="C342" s="15">
        <v>45113</v>
      </c>
      <c r="D342" s="14" t="s">
        <v>91</v>
      </c>
      <c r="E342" s="14" t="s">
        <v>74</v>
      </c>
      <c r="F342" s="14" t="s">
        <v>92</v>
      </c>
      <c r="G342" s="16" t="s">
        <v>37</v>
      </c>
      <c r="H342" s="14" t="s">
        <v>660</v>
      </c>
      <c r="I342" s="15">
        <v>30798</v>
      </c>
      <c r="J342" s="16" t="s">
        <v>94</v>
      </c>
      <c r="K342" s="14" t="s">
        <v>95</v>
      </c>
      <c r="L342" t="s">
        <v>40</v>
      </c>
    </row>
    <row r="343" spans="1:12" ht="23.25" customHeight="1" x14ac:dyDescent="0.25">
      <c r="A343" s="19" t="s">
        <v>809</v>
      </c>
      <c r="B343" s="14" t="s">
        <v>810</v>
      </c>
      <c r="C343" s="15">
        <v>44664</v>
      </c>
      <c r="D343" s="14" t="s">
        <v>91</v>
      </c>
      <c r="E343" s="14" t="s">
        <v>74</v>
      </c>
      <c r="F343" s="14" t="s">
        <v>92</v>
      </c>
      <c r="G343" s="16" t="s">
        <v>37</v>
      </c>
      <c r="H343" s="14" t="s">
        <v>660</v>
      </c>
      <c r="I343" s="15">
        <v>30979</v>
      </c>
      <c r="J343" s="16" t="s">
        <v>94</v>
      </c>
      <c r="K343" s="14" t="s">
        <v>95</v>
      </c>
      <c r="L343" t="s">
        <v>40</v>
      </c>
    </row>
    <row r="344" spans="1:12" ht="23.25" customHeight="1" x14ac:dyDescent="0.25">
      <c r="A344" s="19" t="s">
        <v>811</v>
      </c>
      <c r="B344" s="14" t="s">
        <v>812</v>
      </c>
      <c r="C344" s="15">
        <v>43983</v>
      </c>
      <c r="D344" s="14" t="s">
        <v>91</v>
      </c>
      <c r="E344" s="14" t="s">
        <v>74</v>
      </c>
      <c r="F344" s="14" t="s">
        <v>92</v>
      </c>
      <c r="G344" s="16" t="s">
        <v>31</v>
      </c>
      <c r="H344" s="14" t="s">
        <v>668</v>
      </c>
      <c r="I344" s="15">
        <v>30952</v>
      </c>
      <c r="J344" s="16" t="s">
        <v>103</v>
      </c>
      <c r="K344" s="14" t="s">
        <v>95</v>
      </c>
      <c r="L344" t="s">
        <v>40</v>
      </c>
    </row>
    <row r="345" spans="1:12" ht="23.25" customHeight="1" x14ac:dyDescent="0.25">
      <c r="A345" s="19" t="s">
        <v>813</v>
      </c>
      <c r="B345" s="14" t="s">
        <v>814</v>
      </c>
      <c r="C345" s="15">
        <v>44272</v>
      </c>
      <c r="D345" s="14" t="s">
        <v>91</v>
      </c>
      <c r="E345" s="14" t="s">
        <v>74</v>
      </c>
      <c r="F345" s="14" t="s">
        <v>92</v>
      </c>
      <c r="G345" s="16" t="s">
        <v>31</v>
      </c>
      <c r="H345" s="14" t="s">
        <v>668</v>
      </c>
      <c r="I345" s="15">
        <v>30701</v>
      </c>
      <c r="J345" s="16" t="s">
        <v>94</v>
      </c>
      <c r="K345" s="14" t="s">
        <v>95</v>
      </c>
      <c r="L345" t="s">
        <v>40</v>
      </c>
    </row>
    <row r="346" spans="1:12" ht="23.25" customHeight="1" x14ac:dyDescent="0.25">
      <c r="A346" s="19" t="s">
        <v>815</v>
      </c>
      <c r="B346" s="14" t="s">
        <v>816</v>
      </c>
      <c r="C346" s="15">
        <v>45063</v>
      </c>
      <c r="D346" s="14" t="s">
        <v>91</v>
      </c>
      <c r="E346" s="14" t="s">
        <v>74</v>
      </c>
      <c r="F346" s="14" t="s">
        <v>92</v>
      </c>
      <c r="G346" s="16" t="s">
        <v>37</v>
      </c>
      <c r="H346" s="14" t="s">
        <v>660</v>
      </c>
      <c r="I346" s="15">
        <v>33741</v>
      </c>
      <c r="J346" s="16" t="s">
        <v>103</v>
      </c>
      <c r="K346" s="14" t="s">
        <v>95</v>
      </c>
      <c r="L346" t="s">
        <v>40</v>
      </c>
    </row>
    <row r="347" spans="1:12" ht="23.25" customHeight="1" x14ac:dyDescent="0.25">
      <c r="A347" s="19" t="s">
        <v>817</v>
      </c>
      <c r="B347" s="14" t="s">
        <v>818</v>
      </c>
      <c r="C347" s="15">
        <v>45146</v>
      </c>
      <c r="D347" s="14" t="s">
        <v>91</v>
      </c>
      <c r="E347" s="14" t="s">
        <v>74</v>
      </c>
      <c r="F347" s="14" t="s">
        <v>92</v>
      </c>
      <c r="G347" s="16" t="s">
        <v>37</v>
      </c>
      <c r="H347" s="14" t="s">
        <v>660</v>
      </c>
      <c r="I347" s="15">
        <v>27399</v>
      </c>
      <c r="J347" s="16" t="s">
        <v>94</v>
      </c>
      <c r="K347" s="14" t="s">
        <v>95</v>
      </c>
      <c r="L347" t="s">
        <v>40</v>
      </c>
    </row>
    <row r="348" spans="1:12" ht="23.25" customHeight="1" x14ac:dyDescent="0.25">
      <c r="A348" s="19" t="s">
        <v>819</v>
      </c>
      <c r="B348" s="14" t="s">
        <v>820</v>
      </c>
      <c r="C348" s="15">
        <v>44326</v>
      </c>
      <c r="D348" s="14" t="s">
        <v>91</v>
      </c>
      <c r="E348" s="14" t="s">
        <v>74</v>
      </c>
      <c r="F348" s="14" t="s">
        <v>92</v>
      </c>
      <c r="G348" s="16" t="s">
        <v>31</v>
      </c>
      <c r="H348" s="14" t="s">
        <v>668</v>
      </c>
      <c r="I348" s="15">
        <v>30699</v>
      </c>
      <c r="J348" s="16" t="s">
        <v>103</v>
      </c>
      <c r="K348" s="14" t="s">
        <v>95</v>
      </c>
      <c r="L348" t="s">
        <v>40</v>
      </c>
    </row>
    <row r="349" spans="1:12" ht="23.25" customHeight="1" x14ac:dyDescent="0.25">
      <c r="A349" s="19" t="s">
        <v>821</v>
      </c>
      <c r="B349" s="14" t="s">
        <v>822</v>
      </c>
      <c r="C349" s="15">
        <v>44805</v>
      </c>
      <c r="D349" s="14" t="s">
        <v>91</v>
      </c>
      <c r="E349" s="14" t="s">
        <v>74</v>
      </c>
      <c r="F349" s="14" t="s">
        <v>92</v>
      </c>
      <c r="G349" s="16" t="s">
        <v>31</v>
      </c>
      <c r="H349" s="14" t="s">
        <v>668</v>
      </c>
      <c r="I349" s="15">
        <v>31583</v>
      </c>
      <c r="J349" s="16" t="s">
        <v>94</v>
      </c>
      <c r="K349" s="14" t="s">
        <v>95</v>
      </c>
      <c r="L349" t="s">
        <v>40</v>
      </c>
    </row>
    <row r="350" spans="1:12" ht="23.25" customHeight="1" x14ac:dyDescent="0.25">
      <c r="A350" s="19" t="s">
        <v>823</v>
      </c>
      <c r="B350" s="14" t="s">
        <v>824</v>
      </c>
      <c r="C350" s="15">
        <v>44166</v>
      </c>
      <c r="D350" s="14" t="s">
        <v>91</v>
      </c>
      <c r="E350" s="14" t="s">
        <v>74</v>
      </c>
      <c r="F350" s="14" t="s">
        <v>92</v>
      </c>
      <c r="G350" s="16" t="s">
        <v>37</v>
      </c>
      <c r="H350" s="14" t="s">
        <v>660</v>
      </c>
      <c r="I350" s="15">
        <v>27452</v>
      </c>
      <c r="J350" s="16" t="s">
        <v>94</v>
      </c>
      <c r="K350" s="14" t="s">
        <v>95</v>
      </c>
      <c r="L350" t="s">
        <v>40</v>
      </c>
    </row>
    <row r="351" spans="1:12" ht="23.25" customHeight="1" x14ac:dyDescent="0.25">
      <c r="A351" s="19" t="s">
        <v>825</v>
      </c>
      <c r="B351" s="14" t="s">
        <v>826</v>
      </c>
      <c r="C351" s="15">
        <v>44272</v>
      </c>
      <c r="D351" s="14" t="s">
        <v>91</v>
      </c>
      <c r="E351" s="14" t="s">
        <v>74</v>
      </c>
      <c r="F351" s="14" t="s">
        <v>92</v>
      </c>
      <c r="G351" s="16" t="s">
        <v>31</v>
      </c>
      <c r="H351" s="14" t="s">
        <v>668</v>
      </c>
      <c r="I351" s="15">
        <v>32267</v>
      </c>
      <c r="J351" s="16" t="s">
        <v>103</v>
      </c>
      <c r="K351" s="14" t="s">
        <v>95</v>
      </c>
      <c r="L351" t="s">
        <v>40</v>
      </c>
    </row>
    <row r="352" spans="1:12" ht="23.25" customHeight="1" x14ac:dyDescent="0.25">
      <c r="A352" s="19" t="s">
        <v>827</v>
      </c>
      <c r="B352" s="14" t="s">
        <v>828</v>
      </c>
      <c r="C352" s="15">
        <v>44695</v>
      </c>
      <c r="D352" s="14" t="s">
        <v>91</v>
      </c>
      <c r="E352" s="14" t="s">
        <v>74</v>
      </c>
      <c r="F352" s="14" t="s">
        <v>151</v>
      </c>
      <c r="G352" s="16" t="s">
        <v>31</v>
      </c>
      <c r="H352" s="14" t="s">
        <v>696</v>
      </c>
      <c r="I352" s="15">
        <v>32270</v>
      </c>
      <c r="J352" s="16" t="s">
        <v>791</v>
      </c>
      <c r="K352" s="14" t="s">
        <v>95</v>
      </c>
      <c r="L352" t="s">
        <v>40</v>
      </c>
    </row>
    <row r="353" spans="1:12" ht="23.25" customHeight="1" x14ac:dyDescent="0.25">
      <c r="A353" s="19" t="s">
        <v>829</v>
      </c>
      <c r="B353" s="14" t="s">
        <v>830</v>
      </c>
      <c r="C353" s="15">
        <v>44601</v>
      </c>
      <c r="D353" s="14" t="s">
        <v>91</v>
      </c>
      <c r="E353" s="14" t="s">
        <v>74</v>
      </c>
      <c r="F353" s="14" t="s">
        <v>92</v>
      </c>
      <c r="G353" s="16" t="s">
        <v>31</v>
      </c>
      <c r="H353" s="14" t="s">
        <v>668</v>
      </c>
      <c r="I353" s="15">
        <v>30100</v>
      </c>
      <c r="J353" s="16" t="s">
        <v>103</v>
      </c>
      <c r="K353" s="14" t="s">
        <v>95</v>
      </c>
      <c r="L353" t="s">
        <v>40</v>
      </c>
    </row>
    <row r="354" spans="1:12" ht="23.25" customHeight="1" x14ac:dyDescent="0.25">
      <c r="A354" s="19" t="s">
        <v>831</v>
      </c>
      <c r="B354" s="14" t="s">
        <v>832</v>
      </c>
      <c r="C354" s="15">
        <v>44664</v>
      </c>
      <c r="D354" s="14" t="s">
        <v>91</v>
      </c>
      <c r="E354" s="14" t="s">
        <v>74</v>
      </c>
      <c r="F354" s="14" t="s">
        <v>92</v>
      </c>
      <c r="G354" s="16" t="s">
        <v>37</v>
      </c>
      <c r="H354" s="14" t="s">
        <v>660</v>
      </c>
      <c r="I354" s="15">
        <v>33511</v>
      </c>
      <c r="J354" s="16" t="s">
        <v>103</v>
      </c>
      <c r="K354" s="14" t="s">
        <v>95</v>
      </c>
      <c r="L354" t="s">
        <v>40</v>
      </c>
    </row>
  </sheetData>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N388"/>
  <sheetViews>
    <sheetView showGridLines="0" tabSelected="1" topLeftCell="G1" zoomScaleNormal="100" workbookViewId="0">
      <selection activeCell="M292" sqref="M292"/>
    </sheetView>
  </sheetViews>
  <sheetFormatPr defaultRowHeight="15" x14ac:dyDescent="0.25"/>
  <cols>
    <col min="1" max="1" width="8.7109375" customWidth="1"/>
    <col min="2" max="2" width="53.85546875" customWidth="1"/>
    <col min="3" max="3" width="17.5703125" customWidth="1"/>
    <col min="4" max="4" width="20.85546875" customWidth="1"/>
    <col min="5" max="5" width="29.85546875" customWidth="1"/>
    <col min="6" max="6" width="42.85546875" customWidth="1"/>
    <col min="7" max="7" width="41.85546875" customWidth="1"/>
    <col min="8" max="8" width="17.85546875" customWidth="1"/>
    <col min="9" max="9" width="25.42578125" customWidth="1"/>
    <col min="10" max="10" width="24.28515625" customWidth="1"/>
    <col min="11" max="11" width="22.5703125" customWidth="1"/>
    <col min="12" max="12" width="17.28515625" customWidth="1"/>
    <col min="13" max="13" width="20.5703125" customWidth="1"/>
    <col min="14" max="14" width="24.7109375" customWidth="1"/>
    <col min="15" max="15" width="123.140625" customWidth="1"/>
  </cols>
  <sheetData>
    <row r="1" spans="1:14" x14ac:dyDescent="0.25">
      <c r="A1" s="42"/>
      <c r="B1" s="42"/>
      <c r="C1" s="42"/>
      <c r="D1" s="42"/>
      <c r="E1" s="42"/>
      <c r="F1" s="42"/>
      <c r="G1" s="42"/>
      <c r="H1" s="42"/>
      <c r="I1" s="42"/>
      <c r="J1" s="42"/>
      <c r="K1" s="42"/>
      <c r="L1" s="42"/>
      <c r="M1" s="42"/>
      <c r="N1" s="42"/>
    </row>
    <row r="2" spans="1:14" s="27" customFormat="1" ht="33.75" customHeight="1" x14ac:dyDescent="0.25">
      <c r="A2" s="28" t="s">
        <v>833</v>
      </c>
      <c r="B2" s="28" t="s">
        <v>834</v>
      </c>
      <c r="C2" s="28" t="s">
        <v>65</v>
      </c>
      <c r="D2" s="28" t="s">
        <v>835</v>
      </c>
      <c r="E2" s="29" t="s">
        <v>836</v>
      </c>
      <c r="F2" s="28" t="s">
        <v>34</v>
      </c>
      <c r="G2" s="28" t="s">
        <v>837</v>
      </c>
      <c r="H2" s="28" t="s">
        <v>838</v>
      </c>
      <c r="I2" s="28" t="s">
        <v>839</v>
      </c>
      <c r="J2" s="28" t="s">
        <v>840</v>
      </c>
      <c r="K2" s="28" t="s">
        <v>841</v>
      </c>
      <c r="L2" s="28" t="s">
        <v>25</v>
      </c>
      <c r="M2" s="28" t="s">
        <v>842</v>
      </c>
      <c r="N2" s="28"/>
    </row>
    <row r="3" spans="1:14" hidden="1" x14ac:dyDescent="0.25">
      <c r="A3" s="30">
        <v>168</v>
      </c>
      <c r="B3" s="37"/>
      <c r="C3" s="32"/>
      <c r="D3" s="33"/>
      <c r="E3" s="33" t="s">
        <v>852</v>
      </c>
      <c r="F3" s="32"/>
      <c r="G3" s="32"/>
      <c r="H3" s="32"/>
      <c r="I3" s="32"/>
      <c r="J3" s="32"/>
      <c r="K3" s="33"/>
      <c r="L3" s="34"/>
      <c r="M3" s="32"/>
      <c r="N3" s="32"/>
    </row>
    <row r="4" spans="1:14" hidden="1" x14ac:dyDescent="0.25">
      <c r="A4" s="30">
        <v>169</v>
      </c>
      <c r="B4" s="31"/>
      <c r="C4" s="32"/>
      <c r="D4" s="33"/>
      <c r="E4" s="33" t="s">
        <v>852</v>
      </c>
      <c r="F4" s="32"/>
      <c r="G4" s="32"/>
      <c r="H4" s="32"/>
      <c r="I4" s="41"/>
      <c r="J4" s="32"/>
      <c r="K4" s="33"/>
      <c r="L4" s="34"/>
      <c r="M4" s="32"/>
      <c r="N4" s="32"/>
    </row>
    <row r="5" spans="1:14" ht="45" hidden="1" customHeight="1" x14ac:dyDescent="0.25">
      <c r="A5" s="30">
        <v>170</v>
      </c>
      <c r="B5" s="31"/>
      <c r="C5" s="32"/>
      <c r="D5" s="33"/>
      <c r="E5" s="33" t="s">
        <v>852</v>
      </c>
      <c r="F5" s="32"/>
      <c r="G5" s="32"/>
      <c r="H5" s="32"/>
      <c r="I5" s="41"/>
      <c r="J5" s="32"/>
      <c r="K5" s="33"/>
      <c r="L5" s="34"/>
      <c r="M5" s="32"/>
      <c r="N5" s="32"/>
    </row>
    <row r="6" spans="1:14" ht="45" hidden="1" customHeight="1" x14ac:dyDescent="0.25">
      <c r="A6" s="30">
        <v>171</v>
      </c>
      <c r="B6" s="31"/>
      <c r="C6" s="32"/>
      <c r="D6" s="33"/>
      <c r="E6" s="33" t="s">
        <v>852</v>
      </c>
      <c r="F6" s="32"/>
      <c r="G6" s="32"/>
      <c r="H6" s="32"/>
      <c r="I6" s="32"/>
      <c r="J6" s="32"/>
      <c r="K6" s="33"/>
      <c r="L6" s="34"/>
      <c r="M6" s="32"/>
      <c r="N6" s="32"/>
    </row>
    <row r="7" spans="1:14" ht="45" hidden="1" customHeight="1" x14ac:dyDescent="0.25">
      <c r="A7" s="30">
        <v>172</v>
      </c>
      <c r="B7" s="31"/>
      <c r="C7" s="32"/>
      <c r="D7" s="33"/>
      <c r="E7" s="33" t="s">
        <v>852</v>
      </c>
      <c r="F7" s="32"/>
      <c r="G7" s="32"/>
      <c r="H7" s="32"/>
      <c r="I7" s="32"/>
      <c r="J7" s="32"/>
      <c r="K7" s="33"/>
      <c r="L7" s="34"/>
      <c r="M7" s="32"/>
      <c r="N7" s="32"/>
    </row>
    <row r="8" spans="1:14" ht="59.25" hidden="1" customHeight="1" x14ac:dyDescent="0.25">
      <c r="A8" s="30">
        <v>173</v>
      </c>
      <c r="B8" s="31"/>
      <c r="C8" s="32"/>
      <c r="D8" s="33"/>
      <c r="E8" s="33"/>
      <c r="F8" s="32"/>
      <c r="G8" s="32"/>
      <c r="H8" s="32"/>
      <c r="I8" s="32"/>
      <c r="J8" s="32"/>
      <c r="K8" s="33"/>
      <c r="L8" s="34"/>
      <c r="M8" s="32"/>
      <c r="N8" s="32"/>
    </row>
    <row r="9" spans="1:14" ht="45" hidden="1" customHeight="1" x14ac:dyDescent="0.25">
      <c r="A9" s="30">
        <v>174</v>
      </c>
      <c r="B9" s="31"/>
      <c r="C9" s="32"/>
      <c r="D9" s="33"/>
      <c r="E9" s="33"/>
      <c r="F9" s="32"/>
      <c r="G9" s="32"/>
      <c r="H9" s="32"/>
      <c r="I9" s="32"/>
      <c r="J9" s="32"/>
      <c r="K9" s="33"/>
      <c r="L9" s="34"/>
      <c r="M9" s="32"/>
      <c r="N9" s="32"/>
    </row>
    <row r="10" spans="1:14" ht="45" hidden="1" customHeight="1" x14ac:dyDescent="0.25">
      <c r="A10" s="30">
        <v>175</v>
      </c>
      <c r="B10" s="31"/>
      <c r="C10" s="32"/>
      <c r="D10" s="33"/>
      <c r="E10" s="33"/>
      <c r="F10" s="32"/>
      <c r="G10" s="32"/>
      <c r="H10" s="32"/>
      <c r="I10" s="41"/>
      <c r="J10" s="32"/>
      <c r="K10" s="33"/>
      <c r="L10" s="34"/>
      <c r="M10" s="32"/>
      <c r="N10" s="32"/>
    </row>
    <row r="11" spans="1:14" ht="45" hidden="1" customHeight="1" x14ac:dyDescent="0.25">
      <c r="A11" s="30">
        <v>176</v>
      </c>
      <c r="B11" s="31"/>
      <c r="C11" s="32"/>
      <c r="D11" s="33"/>
      <c r="E11" s="33"/>
      <c r="F11" s="32"/>
      <c r="G11" s="32"/>
      <c r="H11" s="32"/>
      <c r="I11" s="41"/>
      <c r="J11" s="32"/>
      <c r="K11" s="33"/>
      <c r="L11" s="34"/>
      <c r="M11" s="32"/>
      <c r="N11" s="32"/>
    </row>
    <row r="12" spans="1:14" ht="45" hidden="1" customHeight="1" x14ac:dyDescent="0.25">
      <c r="A12" s="30">
        <v>177</v>
      </c>
      <c r="B12" s="31"/>
      <c r="C12" s="32"/>
      <c r="D12" s="33"/>
      <c r="E12" s="33"/>
      <c r="F12" s="32"/>
      <c r="G12" s="32"/>
      <c r="H12" s="32"/>
      <c r="I12" s="41"/>
      <c r="J12" s="32"/>
      <c r="K12" s="33"/>
      <c r="L12" s="34"/>
      <c r="M12" s="32"/>
      <c r="N12" s="32"/>
    </row>
    <row r="13" spans="1:14" ht="45" hidden="1" customHeight="1" x14ac:dyDescent="0.25">
      <c r="A13" s="30">
        <v>178</v>
      </c>
      <c r="B13" s="31"/>
      <c r="C13" s="32"/>
      <c r="D13" s="33"/>
      <c r="E13" s="33"/>
      <c r="F13" s="32"/>
      <c r="G13" s="32"/>
      <c r="H13" s="32"/>
      <c r="I13" s="41"/>
      <c r="J13" s="32"/>
      <c r="K13" s="33"/>
      <c r="L13" s="34"/>
      <c r="M13" s="32"/>
      <c r="N13" s="32"/>
    </row>
    <row r="14" spans="1:14" ht="45" hidden="1" customHeight="1" x14ac:dyDescent="0.25">
      <c r="A14" s="30">
        <v>179</v>
      </c>
      <c r="B14" s="31"/>
      <c r="C14" s="32"/>
      <c r="D14" s="33"/>
      <c r="E14" s="33"/>
      <c r="F14" s="32"/>
      <c r="G14" s="32"/>
      <c r="H14" s="32"/>
      <c r="I14" s="41"/>
      <c r="J14" s="32"/>
      <c r="K14" s="33"/>
      <c r="L14" s="34"/>
      <c r="M14" s="32"/>
      <c r="N14" s="32"/>
    </row>
    <row r="15" spans="1:14" ht="45" hidden="1" customHeight="1" x14ac:dyDescent="0.25">
      <c r="A15" s="30">
        <v>180</v>
      </c>
      <c r="B15" s="31"/>
      <c r="C15" s="32"/>
      <c r="D15" s="33"/>
      <c r="E15" s="33"/>
      <c r="F15" s="32"/>
      <c r="G15" s="32"/>
      <c r="H15" s="32"/>
      <c r="I15" s="41"/>
      <c r="J15" s="32"/>
      <c r="K15" s="33"/>
      <c r="L15" s="34"/>
      <c r="M15" s="32"/>
      <c r="N15" s="32"/>
    </row>
    <row r="16" spans="1:14" ht="45" hidden="1" customHeight="1" x14ac:dyDescent="0.25">
      <c r="A16" s="30">
        <v>181</v>
      </c>
      <c r="B16" s="31"/>
      <c r="C16" s="32"/>
      <c r="D16" s="33"/>
      <c r="E16" s="33"/>
      <c r="F16" s="32"/>
      <c r="G16" s="32"/>
      <c r="H16" s="32"/>
      <c r="I16" s="41"/>
      <c r="J16" s="32"/>
      <c r="K16" s="33"/>
      <c r="L16" s="34"/>
      <c r="M16" s="32"/>
      <c r="N16" s="32"/>
    </row>
    <row r="17" spans="1:14" ht="45" hidden="1" customHeight="1" x14ac:dyDescent="0.25">
      <c r="A17" s="30">
        <v>182</v>
      </c>
      <c r="B17" s="31"/>
      <c r="C17" s="32"/>
      <c r="D17" s="33"/>
      <c r="E17" s="33"/>
      <c r="F17" s="32"/>
      <c r="G17" s="32"/>
      <c r="H17" s="32"/>
      <c r="I17" s="41"/>
      <c r="J17" s="32"/>
      <c r="K17" s="33"/>
      <c r="L17" s="34"/>
      <c r="M17" s="32"/>
      <c r="N17" s="32"/>
    </row>
    <row r="18" spans="1:14" ht="45" hidden="1" customHeight="1" x14ac:dyDescent="0.25">
      <c r="A18" s="30">
        <v>183</v>
      </c>
      <c r="B18" s="31"/>
      <c r="C18" s="32"/>
      <c r="D18" s="33"/>
      <c r="E18" s="33"/>
      <c r="F18" s="32"/>
      <c r="G18" s="32"/>
      <c r="H18" s="32"/>
      <c r="I18" s="32"/>
      <c r="J18" s="32"/>
      <c r="K18" s="33"/>
      <c r="L18" s="34"/>
      <c r="M18" s="32"/>
      <c r="N18" s="32"/>
    </row>
    <row r="19" spans="1:14" ht="45" hidden="1" customHeight="1" x14ac:dyDescent="0.25">
      <c r="A19" s="30">
        <v>184</v>
      </c>
      <c r="B19" s="31"/>
      <c r="C19" s="32"/>
      <c r="D19" s="33"/>
      <c r="E19" s="33"/>
      <c r="F19" s="32"/>
      <c r="G19" s="32"/>
      <c r="H19" s="32"/>
      <c r="I19" s="32"/>
      <c r="J19" s="32"/>
      <c r="K19" s="33"/>
      <c r="L19" s="34"/>
      <c r="M19" s="32"/>
      <c r="N19" s="32"/>
    </row>
    <row r="20" spans="1:14" ht="45" hidden="1" customHeight="1" x14ac:dyDescent="0.25">
      <c r="A20" s="30">
        <v>185</v>
      </c>
      <c r="B20" s="31"/>
      <c r="C20" s="32"/>
      <c r="D20" s="33"/>
      <c r="E20" s="33"/>
      <c r="F20" s="32"/>
      <c r="G20" s="32"/>
      <c r="H20" s="32"/>
      <c r="I20" s="32"/>
      <c r="J20" s="32"/>
      <c r="K20" s="33"/>
      <c r="L20" s="34"/>
      <c r="M20" s="32"/>
      <c r="N20" s="32"/>
    </row>
    <row r="21" spans="1:14" ht="45" hidden="1" customHeight="1" x14ac:dyDescent="0.25">
      <c r="A21" s="30">
        <v>186</v>
      </c>
      <c r="B21" s="31"/>
      <c r="C21" s="32"/>
      <c r="D21" s="33"/>
      <c r="E21" s="33"/>
      <c r="F21" s="32"/>
      <c r="G21" s="32"/>
      <c r="H21" s="32"/>
      <c r="I21" s="32"/>
      <c r="J21" s="32"/>
      <c r="K21" s="33"/>
      <c r="L21" s="34"/>
      <c r="M21" s="32"/>
      <c r="N21" s="32"/>
    </row>
    <row r="22" spans="1:14" ht="45" hidden="1" customHeight="1" x14ac:dyDescent="0.25">
      <c r="A22" s="30">
        <v>187</v>
      </c>
      <c r="B22" s="31"/>
      <c r="C22" s="32"/>
      <c r="D22" s="33"/>
      <c r="E22" s="33"/>
      <c r="F22" s="32"/>
      <c r="G22" s="32"/>
      <c r="H22" s="32"/>
      <c r="I22" s="41"/>
      <c r="J22" s="32"/>
      <c r="K22" s="33"/>
      <c r="L22" s="34"/>
      <c r="M22" s="32"/>
      <c r="N22" s="32"/>
    </row>
    <row r="23" spans="1:14" ht="45" hidden="1" customHeight="1" x14ac:dyDescent="0.25">
      <c r="A23" s="30">
        <v>188</v>
      </c>
      <c r="B23" s="31"/>
      <c r="C23" s="32"/>
      <c r="D23" s="33"/>
      <c r="E23" s="33"/>
      <c r="F23" s="32"/>
      <c r="G23" s="32"/>
      <c r="H23" s="32"/>
      <c r="I23" s="41"/>
      <c r="J23" s="32"/>
      <c r="K23" s="33"/>
      <c r="L23" s="34"/>
      <c r="M23" s="32"/>
      <c r="N23" s="32"/>
    </row>
    <row r="24" spans="1:14" ht="45" hidden="1" customHeight="1" x14ac:dyDescent="0.25">
      <c r="A24" s="30">
        <v>189</v>
      </c>
      <c r="B24" s="31"/>
      <c r="C24" s="32"/>
      <c r="D24" s="33"/>
      <c r="E24" s="33"/>
      <c r="F24" s="32"/>
      <c r="G24" s="32"/>
      <c r="H24" s="32"/>
      <c r="I24" s="41"/>
      <c r="J24" s="32"/>
      <c r="K24" s="33"/>
      <c r="L24" s="34"/>
      <c r="M24" s="32"/>
      <c r="N24" s="32"/>
    </row>
    <row r="25" spans="1:14" ht="45" hidden="1" customHeight="1" x14ac:dyDescent="0.25">
      <c r="A25" s="30">
        <v>190</v>
      </c>
      <c r="B25" s="31"/>
      <c r="C25" s="32"/>
      <c r="D25" s="33"/>
      <c r="E25" s="33"/>
      <c r="F25" s="32"/>
      <c r="G25" s="32"/>
      <c r="H25" s="32"/>
      <c r="I25" s="41"/>
      <c r="J25" s="32"/>
      <c r="K25" s="33"/>
      <c r="L25" s="34"/>
      <c r="M25" s="32"/>
      <c r="N25" s="32"/>
    </row>
    <row r="26" spans="1:14" ht="45" hidden="1" customHeight="1" x14ac:dyDescent="0.25">
      <c r="A26" s="30">
        <v>191</v>
      </c>
      <c r="B26" s="31"/>
      <c r="C26" s="32"/>
      <c r="D26" s="33"/>
      <c r="E26" s="33"/>
      <c r="F26" s="32"/>
      <c r="G26" s="32"/>
      <c r="H26" s="32"/>
      <c r="I26" s="41"/>
      <c r="J26" s="32"/>
      <c r="K26" s="33"/>
      <c r="L26" s="34"/>
      <c r="M26" s="32"/>
      <c r="N26" s="32"/>
    </row>
    <row r="27" spans="1:14" ht="45" hidden="1" customHeight="1" x14ac:dyDescent="0.25">
      <c r="A27" s="30">
        <v>192</v>
      </c>
      <c r="B27" s="31"/>
      <c r="C27" s="32"/>
      <c r="D27" s="33"/>
      <c r="E27" s="33"/>
      <c r="F27" s="32"/>
      <c r="G27" s="32"/>
      <c r="H27" s="32"/>
      <c r="I27" s="41"/>
      <c r="J27" s="32"/>
      <c r="K27" s="33"/>
      <c r="L27" s="34"/>
      <c r="M27" s="32"/>
      <c r="N27" s="32"/>
    </row>
    <row r="28" spans="1:14" ht="45" hidden="1" customHeight="1" x14ac:dyDescent="0.25">
      <c r="A28" s="30">
        <v>193</v>
      </c>
      <c r="B28" s="31"/>
      <c r="C28" s="32"/>
      <c r="D28" s="33"/>
      <c r="E28" s="33"/>
      <c r="F28" s="32"/>
      <c r="G28" s="32"/>
      <c r="H28" s="32"/>
      <c r="I28" s="41"/>
      <c r="J28" s="32"/>
      <c r="K28" s="33"/>
      <c r="L28" s="34"/>
      <c r="M28" s="32"/>
      <c r="N28" s="32"/>
    </row>
    <row r="29" spans="1:14" ht="45" hidden="1" customHeight="1" x14ac:dyDescent="0.25">
      <c r="A29" s="30">
        <v>194</v>
      </c>
      <c r="B29" s="31"/>
      <c r="C29" s="32"/>
      <c r="D29" s="33"/>
      <c r="E29" s="33"/>
      <c r="F29" s="32"/>
      <c r="G29" s="32"/>
      <c r="H29" s="32"/>
      <c r="I29" s="41"/>
      <c r="J29" s="32"/>
      <c r="K29" s="33"/>
      <c r="L29" s="34"/>
      <c r="M29" s="32"/>
      <c r="N29" s="32"/>
    </row>
    <row r="30" spans="1:14" ht="45" hidden="1" customHeight="1" x14ac:dyDescent="0.25">
      <c r="A30" s="30">
        <v>195</v>
      </c>
      <c r="B30" s="31"/>
      <c r="C30" s="32"/>
      <c r="D30" s="33"/>
      <c r="E30" s="32"/>
      <c r="F30" s="32"/>
      <c r="G30" s="32"/>
      <c r="H30" s="32"/>
      <c r="I30" s="41"/>
      <c r="J30" s="32"/>
      <c r="K30" s="33"/>
      <c r="L30" s="34"/>
      <c r="M30" s="32"/>
      <c r="N30" s="32"/>
    </row>
    <row r="31" spans="1:14" ht="45" hidden="1" customHeight="1" x14ac:dyDescent="0.25">
      <c r="A31" s="30">
        <v>196</v>
      </c>
      <c r="B31" s="31"/>
      <c r="C31" s="32"/>
      <c r="D31" s="33"/>
      <c r="E31" s="33"/>
      <c r="F31" s="32"/>
      <c r="G31" s="32"/>
      <c r="H31" s="32"/>
      <c r="I31" s="41"/>
      <c r="J31" s="32"/>
      <c r="K31" s="33"/>
      <c r="L31" s="34"/>
      <c r="M31" s="32"/>
      <c r="N31" s="32"/>
    </row>
    <row r="32" spans="1:14" ht="45" hidden="1" customHeight="1" x14ac:dyDescent="0.25">
      <c r="A32" s="30">
        <v>197</v>
      </c>
      <c r="B32" s="31"/>
      <c r="C32" s="32"/>
      <c r="D32" s="33"/>
      <c r="E32" s="33"/>
      <c r="F32" s="32"/>
      <c r="G32" s="32"/>
      <c r="H32" s="32"/>
      <c r="I32" s="41"/>
      <c r="J32" s="32"/>
      <c r="K32" s="33"/>
      <c r="L32" s="34"/>
      <c r="M32" s="32"/>
      <c r="N32" s="32"/>
    </row>
    <row r="33" spans="1:14" ht="63.75" hidden="1" customHeight="1" x14ac:dyDescent="0.25">
      <c r="A33" s="30">
        <v>198</v>
      </c>
      <c r="B33" s="31"/>
      <c r="C33" s="32"/>
      <c r="D33" s="33"/>
      <c r="E33" s="33"/>
      <c r="F33" s="32"/>
      <c r="G33" s="32"/>
      <c r="H33" s="32"/>
      <c r="I33" s="41"/>
      <c r="J33" s="32"/>
      <c r="K33" s="33"/>
      <c r="L33" s="34"/>
      <c r="M33" s="32"/>
      <c r="N33" s="32"/>
    </row>
    <row r="34" spans="1:14" ht="72.75" hidden="1" customHeight="1" x14ac:dyDescent="0.25">
      <c r="A34" s="30">
        <v>199</v>
      </c>
      <c r="B34" s="31"/>
      <c r="C34" s="32"/>
      <c r="D34" s="33"/>
      <c r="E34" s="33"/>
      <c r="F34" s="32"/>
      <c r="G34" s="32"/>
      <c r="H34" s="32"/>
      <c r="I34" s="32"/>
      <c r="J34" s="32"/>
      <c r="K34" s="33"/>
      <c r="L34" s="34"/>
      <c r="M34" s="32"/>
      <c r="N34" s="32"/>
    </row>
    <row r="35" spans="1:14" ht="45" hidden="1" customHeight="1" x14ac:dyDescent="0.25">
      <c r="A35" s="30">
        <v>200</v>
      </c>
      <c r="B35" s="31"/>
      <c r="C35" s="32"/>
      <c r="D35" s="33"/>
      <c r="E35" s="33"/>
      <c r="F35" s="32"/>
      <c r="G35" s="32"/>
      <c r="H35" s="32"/>
      <c r="I35" s="32"/>
      <c r="J35" s="32"/>
      <c r="K35" s="33"/>
      <c r="L35" s="34"/>
      <c r="M35" s="32"/>
      <c r="N35" s="32"/>
    </row>
    <row r="36" spans="1:14" ht="76.5" hidden="1" customHeight="1" x14ac:dyDescent="0.25">
      <c r="A36" s="30">
        <v>201</v>
      </c>
      <c r="B36" s="31"/>
      <c r="C36" s="32"/>
      <c r="D36" s="33"/>
      <c r="E36" s="33"/>
      <c r="F36" s="32"/>
      <c r="G36" s="32"/>
      <c r="H36" s="32"/>
      <c r="I36" s="32"/>
      <c r="J36" s="32"/>
      <c r="K36" s="33"/>
      <c r="L36" s="34"/>
      <c r="M36" s="32"/>
      <c r="N36" s="32"/>
    </row>
    <row r="37" spans="1:14" ht="45" hidden="1" customHeight="1" x14ac:dyDescent="0.25">
      <c r="A37" s="30">
        <v>202</v>
      </c>
      <c r="B37" s="31"/>
      <c r="C37" s="32"/>
      <c r="D37" s="33"/>
      <c r="E37" s="33"/>
      <c r="F37" s="32"/>
      <c r="G37" s="32"/>
      <c r="H37" s="32"/>
      <c r="I37" s="32"/>
      <c r="J37" s="32"/>
      <c r="K37" s="33"/>
      <c r="L37" s="34"/>
      <c r="M37" s="32"/>
      <c r="N37" s="32"/>
    </row>
    <row r="38" spans="1:14" ht="45" hidden="1" customHeight="1" x14ac:dyDescent="0.25">
      <c r="A38" s="30">
        <v>203</v>
      </c>
      <c r="B38" s="31"/>
      <c r="C38" s="32"/>
      <c r="D38" s="33"/>
      <c r="E38" s="33"/>
      <c r="F38" s="32"/>
      <c r="G38" s="32"/>
      <c r="H38" s="32"/>
      <c r="I38" s="41"/>
      <c r="J38" s="32"/>
      <c r="K38" s="33"/>
      <c r="L38" s="34"/>
      <c r="M38" s="32"/>
      <c r="N38" s="32"/>
    </row>
    <row r="39" spans="1:14" ht="45" hidden="1" customHeight="1" x14ac:dyDescent="0.25">
      <c r="A39" s="30">
        <v>204</v>
      </c>
      <c r="B39" s="31"/>
      <c r="C39" s="32"/>
      <c r="D39" s="33"/>
      <c r="E39" s="33"/>
      <c r="F39" s="32"/>
      <c r="G39" s="32"/>
      <c r="H39" s="32"/>
      <c r="I39" s="32"/>
      <c r="J39" s="32"/>
      <c r="K39" s="33"/>
      <c r="L39" s="34"/>
      <c r="M39" s="32"/>
      <c r="N39" s="32"/>
    </row>
    <row r="40" spans="1:14" ht="80.25" hidden="1" customHeight="1" x14ac:dyDescent="0.25">
      <c r="A40" s="30">
        <v>205</v>
      </c>
      <c r="B40" s="31"/>
      <c r="C40" s="32"/>
      <c r="D40" s="33"/>
      <c r="E40" s="33"/>
      <c r="F40" s="32"/>
      <c r="G40" s="32"/>
      <c r="H40" s="32"/>
      <c r="I40" s="32"/>
      <c r="J40" s="32"/>
      <c r="K40" s="33"/>
      <c r="L40" s="34"/>
      <c r="M40" s="32"/>
      <c r="N40" s="32"/>
    </row>
    <row r="41" spans="1:14" ht="92.25" hidden="1" customHeight="1" x14ac:dyDescent="0.25">
      <c r="A41" s="30">
        <v>206</v>
      </c>
      <c r="B41" s="31"/>
      <c r="C41" s="32"/>
      <c r="D41" s="33"/>
      <c r="E41" s="33"/>
      <c r="F41" s="32"/>
      <c r="G41" s="32"/>
      <c r="H41" s="32"/>
      <c r="I41" s="32"/>
      <c r="J41" s="32"/>
      <c r="K41" s="33"/>
      <c r="L41" s="34"/>
      <c r="M41" s="32"/>
      <c r="N41" s="32"/>
    </row>
    <row r="42" spans="1:14" ht="45" hidden="1" customHeight="1" x14ac:dyDescent="0.25">
      <c r="A42" s="30">
        <v>207</v>
      </c>
      <c r="B42" s="31"/>
      <c r="C42" s="32"/>
      <c r="D42" s="33"/>
      <c r="E42" s="33"/>
      <c r="F42" s="32"/>
      <c r="G42" s="32"/>
      <c r="H42" s="32"/>
      <c r="I42" s="32"/>
      <c r="J42" s="32"/>
      <c r="K42" s="33"/>
      <c r="L42" s="34"/>
      <c r="M42" s="32"/>
      <c r="N42" s="32"/>
    </row>
    <row r="43" spans="1:14" ht="45" hidden="1" customHeight="1" x14ac:dyDescent="0.25">
      <c r="A43" s="30">
        <v>208</v>
      </c>
      <c r="B43" s="31"/>
      <c r="C43" s="32"/>
      <c r="D43" s="33"/>
      <c r="E43" s="33"/>
      <c r="F43" s="32"/>
      <c r="G43" s="32"/>
      <c r="H43" s="32"/>
      <c r="I43" s="41"/>
      <c r="J43" s="32"/>
      <c r="K43" s="33"/>
      <c r="L43" s="34"/>
      <c r="M43" s="32"/>
      <c r="N43" s="32"/>
    </row>
    <row r="44" spans="1:14" ht="45" hidden="1" customHeight="1" x14ac:dyDescent="0.25">
      <c r="A44" s="30">
        <v>209</v>
      </c>
      <c r="B44" s="31"/>
      <c r="C44" s="32"/>
      <c r="D44" s="33"/>
      <c r="E44" s="33"/>
      <c r="F44" s="32"/>
      <c r="G44" s="32"/>
      <c r="H44" s="32"/>
      <c r="I44" s="32"/>
      <c r="J44" s="32"/>
      <c r="K44" s="33"/>
      <c r="L44" s="34"/>
      <c r="M44" s="32"/>
      <c r="N44" s="32"/>
    </row>
    <row r="45" spans="1:14" ht="45" hidden="1" customHeight="1" x14ac:dyDescent="0.25">
      <c r="A45" s="30">
        <v>210</v>
      </c>
      <c r="B45" s="31"/>
      <c r="C45" s="32"/>
      <c r="D45" s="33"/>
      <c r="E45" s="33"/>
      <c r="F45" s="32"/>
      <c r="G45" s="32"/>
      <c r="H45" s="32"/>
      <c r="I45" s="41"/>
      <c r="J45" s="32"/>
      <c r="K45" s="33"/>
      <c r="L45" s="34"/>
      <c r="M45" s="32"/>
      <c r="N45" s="32"/>
    </row>
    <row r="46" spans="1:14" ht="45" hidden="1" customHeight="1" x14ac:dyDescent="0.25">
      <c r="A46" s="30">
        <v>211</v>
      </c>
      <c r="B46" s="31"/>
      <c r="C46" s="32"/>
      <c r="D46" s="33"/>
      <c r="E46" s="33"/>
      <c r="F46" s="32"/>
      <c r="G46" s="32"/>
      <c r="H46" s="32"/>
      <c r="I46" s="41"/>
      <c r="J46" s="32"/>
      <c r="K46" s="33"/>
      <c r="L46" s="34"/>
      <c r="M46" s="32"/>
      <c r="N46" s="32"/>
    </row>
    <row r="47" spans="1:14" ht="45" hidden="1" customHeight="1" x14ac:dyDescent="0.25">
      <c r="A47" s="30">
        <v>212</v>
      </c>
      <c r="B47" s="43"/>
      <c r="C47" s="32"/>
      <c r="D47" s="33"/>
      <c r="E47" s="33"/>
      <c r="F47" s="32"/>
      <c r="G47" s="32"/>
      <c r="H47" s="32"/>
      <c r="I47" s="32"/>
      <c r="J47" s="32"/>
      <c r="K47" s="33"/>
      <c r="L47" s="34"/>
      <c r="M47" s="32"/>
      <c r="N47" s="32"/>
    </row>
    <row r="48" spans="1:14" ht="45" hidden="1" customHeight="1" x14ac:dyDescent="0.25">
      <c r="A48" s="30">
        <v>213</v>
      </c>
      <c r="B48" s="31"/>
      <c r="C48" s="32"/>
      <c r="D48" s="33"/>
      <c r="E48" s="33"/>
      <c r="F48" s="32"/>
      <c r="G48" s="32"/>
      <c r="H48" s="32"/>
      <c r="I48" s="32"/>
      <c r="J48" s="32"/>
      <c r="K48" s="33"/>
      <c r="L48" s="34"/>
      <c r="M48" s="32"/>
      <c r="N48" s="32"/>
    </row>
    <row r="49" spans="1:14" ht="45" hidden="1" customHeight="1" x14ac:dyDescent="0.25">
      <c r="A49" s="30">
        <v>214</v>
      </c>
      <c r="B49" s="31"/>
      <c r="C49" s="32"/>
      <c r="D49" s="33"/>
      <c r="E49" s="33"/>
      <c r="F49" s="32"/>
      <c r="G49" s="32"/>
      <c r="H49" s="32"/>
      <c r="I49" s="32"/>
      <c r="J49" s="32"/>
      <c r="K49" s="33"/>
      <c r="L49" s="34"/>
      <c r="M49" s="32"/>
      <c r="N49" s="32"/>
    </row>
    <row r="50" spans="1:14" ht="45" hidden="1" customHeight="1" x14ac:dyDescent="0.25">
      <c r="A50" s="30">
        <v>215</v>
      </c>
      <c r="B50" s="31"/>
      <c r="C50" s="32"/>
      <c r="D50" s="33"/>
      <c r="E50" s="33"/>
      <c r="F50" s="32"/>
      <c r="G50" s="32"/>
      <c r="H50" s="32"/>
      <c r="I50" s="41"/>
      <c r="J50" s="32"/>
      <c r="K50" s="33"/>
      <c r="L50" s="34"/>
      <c r="M50" s="32"/>
      <c r="N50" s="32"/>
    </row>
    <row r="51" spans="1:14" ht="45" hidden="1" customHeight="1" x14ac:dyDescent="0.25">
      <c r="A51" s="30">
        <v>216</v>
      </c>
      <c r="B51" s="31"/>
      <c r="C51" s="32"/>
      <c r="D51" s="33"/>
      <c r="E51" s="33"/>
      <c r="F51" s="32"/>
      <c r="G51" s="32"/>
      <c r="H51" s="32"/>
      <c r="I51" s="41"/>
      <c r="J51" s="32"/>
      <c r="K51" s="33"/>
      <c r="L51" s="34"/>
      <c r="M51" s="32"/>
      <c r="N51" s="32"/>
    </row>
    <row r="52" spans="1:14" ht="63" hidden="1" customHeight="1" x14ac:dyDescent="0.25">
      <c r="A52" s="30">
        <v>217</v>
      </c>
      <c r="B52" s="31"/>
      <c r="C52" s="32"/>
      <c r="D52" s="33"/>
      <c r="E52" s="33"/>
      <c r="F52" s="32"/>
      <c r="G52" s="32"/>
      <c r="H52" s="32"/>
      <c r="I52" s="32"/>
      <c r="J52" s="32"/>
      <c r="K52" s="33"/>
      <c r="L52" s="34"/>
      <c r="M52" s="32"/>
      <c r="N52" s="32"/>
    </row>
    <row r="53" spans="1:14" ht="45" hidden="1" customHeight="1" x14ac:dyDescent="0.25">
      <c r="A53" s="30">
        <v>218</v>
      </c>
      <c r="B53" s="31"/>
      <c r="C53" s="32"/>
      <c r="D53" s="33"/>
      <c r="E53" s="33"/>
      <c r="F53" s="32"/>
      <c r="G53" s="32"/>
      <c r="H53" s="32"/>
      <c r="I53" s="32"/>
      <c r="J53" s="32"/>
      <c r="K53" s="33"/>
      <c r="L53" s="34"/>
      <c r="M53" s="32"/>
      <c r="N53" s="32"/>
    </row>
    <row r="54" spans="1:14" ht="45" hidden="1" customHeight="1" x14ac:dyDescent="0.25">
      <c r="A54" s="30">
        <v>219</v>
      </c>
      <c r="B54" s="31"/>
      <c r="C54" s="32"/>
      <c r="D54" s="33"/>
      <c r="E54" s="33"/>
      <c r="F54" s="32"/>
      <c r="G54" s="32"/>
      <c r="H54" s="32"/>
      <c r="I54" s="41"/>
      <c r="J54" s="32"/>
      <c r="K54" s="33"/>
      <c r="L54" s="34"/>
      <c r="M54" s="32"/>
      <c r="N54" s="32"/>
    </row>
    <row r="55" spans="1:14" ht="45" hidden="1" customHeight="1" x14ac:dyDescent="0.25">
      <c r="A55" s="30">
        <v>220</v>
      </c>
      <c r="B55" s="31"/>
      <c r="C55" s="32"/>
      <c r="D55" s="33"/>
      <c r="E55" s="33"/>
      <c r="F55" s="32"/>
      <c r="G55" s="32"/>
      <c r="H55" s="32"/>
      <c r="I55" s="41"/>
      <c r="J55" s="32"/>
      <c r="K55" s="33"/>
      <c r="L55" s="34"/>
      <c r="M55" s="32"/>
      <c r="N55" s="32"/>
    </row>
    <row r="56" spans="1:14" ht="45" hidden="1" customHeight="1" x14ac:dyDescent="0.25">
      <c r="A56" s="30">
        <v>221</v>
      </c>
      <c r="B56" s="31"/>
      <c r="C56" s="32"/>
      <c r="D56" s="33"/>
      <c r="E56" s="33"/>
      <c r="F56" s="32"/>
      <c r="G56" s="32"/>
      <c r="H56" s="32"/>
      <c r="I56" s="32"/>
      <c r="J56" s="32"/>
      <c r="K56" s="33"/>
      <c r="L56" s="34"/>
      <c r="M56" s="32"/>
      <c r="N56" s="32"/>
    </row>
    <row r="57" spans="1:14" ht="45" hidden="1" customHeight="1" x14ac:dyDescent="0.25">
      <c r="A57" s="30">
        <v>222</v>
      </c>
      <c r="B57" s="31"/>
      <c r="C57" s="32"/>
      <c r="D57" s="33"/>
      <c r="E57" s="33"/>
      <c r="F57" s="32"/>
      <c r="G57" s="32"/>
      <c r="H57" s="32"/>
      <c r="I57" s="32"/>
      <c r="J57" s="32"/>
      <c r="K57" s="33"/>
      <c r="L57" s="34"/>
      <c r="M57" s="32"/>
      <c r="N57" s="32"/>
    </row>
    <row r="58" spans="1:14" ht="45" hidden="1" customHeight="1" x14ac:dyDescent="0.25">
      <c r="A58" s="30">
        <v>223</v>
      </c>
      <c r="B58" s="31"/>
      <c r="C58" s="32"/>
      <c r="D58" s="33"/>
      <c r="E58" s="33"/>
      <c r="F58" s="32"/>
      <c r="G58" s="32"/>
      <c r="H58" s="32"/>
      <c r="I58" s="32"/>
      <c r="J58" s="32"/>
      <c r="K58" s="33"/>
      <c r="L58" s="34"/>
      <c r="M58" s="32"/>
      <c r="N58" s="32"/>
    </row>
    <row r="59" spans="1:14" ht="45" hidden="1" customHeight="1" x14ac:dyDescent="0.25">
      <c r="A59" s="30">
        <v>224</v>
      </c>
      <c r="B59" s="31"/>
      <c r="C59" s="32"/>
      <c r="D59" s="33"/>
      <c r="E59" s="33"/>
      <c r="F59" s="32"/>
      <c r="G59" s="32"/>
      <c r="H59" s="32"/>
      <c r="I59" s="32"/>
      <c r="J59" s="32"/>
      <c r="K59" s="33"/>
      <c r="L59" s="34"/>
      <c r="M59" s="32"/>
      <c r="N59" s="32"/>
    </row>
    <row r="60" spans="1:14" ht="45" hidden="1" customHeight="1" x14ac:dyDescent="0.25">
      <c r="A60" s="30">
        <v>225</v>
      </c>
      <c r="B60" s="31"/>
      <c r="C60" s="32"/>
      <c r="D60" s="33"/>
      <c r="E60" s="32"/>
      <c r="F60" s="32"/>
      <c r="G60" s="32"/>
      <c r="H60" s="32"/>
      <c r="I60" s="32"/>
      <c r="J60" s="32"/>
      <c r="K60" s="33"/>
      <c r="L60" s="34"/>
      <c r="M60" s="32"/>
      <c r="N60" s="32"/>
    </row>
    <row r="61" spans="1:14" ht="45" hidden="1" customHeight="1" x14ac:dyDescent="0.25">
      <c r="A61" s="30">
        <v>226</v>
      </c>
      <c r="B61" s="31"/>
      <c r="C61" s="32"/>
      <c r="D61" s="33"/>
      <c r="E61" s="33"/>
      <c r="F61" s="32"/>
      <c r="G61" s="32"/>
      <c r="H61" s="32"/>
      <c r="I61" s="32"/>
      <c r="J61" s="32"/>
      <c r="K61" s="33"/>
      <c r="L61" s="34"/>
      <c r="M61" s="32"/>
      <c r="N61" s="32"/>
    </row>
    <row r="62" spans="1:14" ht="59.25" hidden="1" customHeight="1" x14ac:dyDescent="0.25">
      <c r="A62" s="30">
        <v>227</v>
      </c>
      <c r="B62" s="31"/>
      <c r="C62" s="32"/>
      <c r="D62" s="33"/>
      <c r="E62" s="33"/>
      <c r="F62" s="32"/>
      <c r="G62" s="32"/>
      <c r="H62" s="32"/>
      <c r="I62" s="41"/>
      <c r="J62" s="32"/>
      <c r="K62" s="33"/>
      <c r="L62" s="34"/>
      <c r="M62" s="32"/>
      <c r="N62" s="32"/>
    </row>
    <row r="63" spans="1:14" ht="45" hidden="1" customHeight="1" x14ac:dyDescent="0.25">
      <c r="A63" s="30">
        <v>228</v>
      </c>
      <c r="B63" s="31"/>
      <c r="C63" s="32"/>
      <c r="D63" s="33"/>
      <c r="E63" s="33"/>
      <c r="F63" s="32"/>
      <c r="G63" s="32"/>
      <c r="H63" s="32"/>
      <c r="I63" s="32"/>
      <c r="J63" s="32"/>
      <c r="K63" s="33"/>
      <c r="L63" s="34"/>
      <c r="M63" s="32"/>
      <c r="N63" s="32"/>
    </row>
    <row r="64" spans="1:14" ht="45" hidden="1" customHeight="1" x14ac:dyDescent="0.25">
      <c r="A64" s="30">
        <v>229</v>
      </c>
      <c r="B64" s="31"/>
      <c r="C64" s="32"/>
      <c r="D64" s="33"/>
      <c r="E64" s="33"/>
      <c r="F64" s="32"/>
      <c r="G64" s="32"/>
      <c r="H64" s="32"/>
      <c r="I64" s="32"/>
      <c r="J64" s="32"/>
      <c r="K64" s="33"/>
      <c r="L64" s="34"/>
      <c r="M64" s="32"/>
      <c r="N64" s="32"/>
    </row>
    <row r="65" spans="1:14" ht="45" hidden="1" customHeight="1" x14ac:dyDescent="0.25">
      <c r="A65" s="30">
        <v>230</v>
      </c>
      <c r="B65" s="31"/>
      <c r="C65" s="32"/>
      <c r="D65" s="33"/>
      <c r="E65" s="33"/>
      <c r="F65" s="32"/>
      <c r="G65" s="32"/>
      <c r="H65" s="32"/>
      <c r="I65" s="32"/>
      <c r="J65" s="32"/>
      <c r="K65" s="33"/>
      <c r="L65" s="34"/>
      <c r="M65" s="32"/>
      <c r="N65" s="32"/>
    </row>
    <row r="66" spans="1:14" ht="45" hidden="1" customHeight="1" x14ac:dyDescent="0.25">
      <c r="A66" s="30">
        <v>231</v>
      </c>
      <c r="B66" s="31"/>
      <c r="C66" s="32"/>
      <c r="D66" s="33"/>
      <c r="E66" s="33"/>
      <c r="F66" s="32"/>
      <c r="G66" s="32"/>
      <c r="H66" s="32"/>
      <c r="I66" s="32"/>
      <c r="J66" s="32"/>
      <c r="K66" s="33"/>
      <c r="L66" s="34"/>
      <c r="M66" s="32"/>
      <c r="N66" s="32"/>
    </row>
    <row r="67" spans="1:14" ht="50.25" hidden="1" customHeight="1" x14ac:dyDescent="0.25">
      <c r="A67" s="30">
        <v>232</v>
      </c>
      <c r="B67" s="31"/>
      <c r="C67" s="32"/>
      <c r="D67" s="33"/>
      <c r="E67" s="33"/>
      <c r="F67" s="32"/>
      <c r="G67" s="32"/>
      <c r="H67" s="32"/>
      <c r="I67" s="32"/>
      <c r="J67" s="32"/>
      <c r="K67" s="33"/>
      <c r="L67" s="34"/>
      <c r="M67" s="32"/>
      <c r="N67" s="32"/>
    </row>
    <row r="68" spans="1:14" ht="45" hidden="1" customHeight="1" x14ac:dyDescent="0.25">
      <c r="A68" s="30">
        <v>233</v>
      </c>
      <c r="B68" s="31"/>
      <c r="C68" s="32"/>
      <c r="D68" s="33"/>
      <c r="E68" s="33"/>
      <c r="F68" s="32"/>
      <c r="G68" s="32"/>
      <c r="H68" s="32"/>
      <c r="I68" s="32"/>
      <c r="J68" s="32"/>
      <c r="K68" s="33"/>
      <c r="L68" s="34"/>
      <c r="M68" s="32"/>
      <c r="N68" s="32"/>
    </row>
    <row r="69" spans="1:14" ht="45" hidden="1" customHeight="1" x14ac:dyDescent="0.25">
      <c r="A69" s="30">
        <v>234</v>
      </c>
      <c r="B69" s="31"/>
      <c r="C69" s="32"/>
      <c r="D69" s="33"/>
      <c r="E69" s="33"/>
      <c r="F69" s="32"/>
      <c r="G69" s="32"/>
      <c r="H69" s="32"/>
      <c r="I69" s="32"/>
      <c r="J69" s="32"/>
      <c r="K69" s="33"/>
      <c r="L69" s="34"/>
      <c r="M69" s="32"/>
      <c r="N69" s="32"/>
    </row>
    <row r="70" spans="1:14" ht="45" hidden="1" customHeight="1" x14ac:dyDescent="0.25">
      <c r="A70" s="30">
        <v>235</v>
      </c>
      <c r="B70" s="31"/>
      <c r="C70" s="32"/>
      <c r="D70" s="33"/>
      <c r="E70" s="33"/>
      <c r="F70" s="32"/>
      <c r="G70" s="32"/>
      <c r="H70" s="32"/>
      <c r="I70" s="32"/>
      <c r="J70" s="32"/>
      <c r="K70" s="33"/>
      <c r="L70" s="34"/>
      <c r="M70" s="32"/>
      <c r="N70" s="32"/>
    </row>
    <row r="71" spans="1:14" ht="45" hidden="1" customHeight="1" x14ac:dyDescent="0.25">
      <c r="A71" s="30">
        <v>236</v>
      </c>
      <c r="B71" s="31"/>
      <c r="C71" s="32"/>
      <c r="D71" s="33"/>
      <c r="E71" s="33"/>
      <c r="F71" s="32"/>
      <c r="G71" s="32"/>
      <c r="H71" s="32"/>
      <c r="I71" s="32"/>
      <c r="J71" s="32"/>
      <c r="K71" s="33"/>
      <c r="L71" s="34"/>
      <c r="M71" s="32"/>
      <c r="N71" s="32"/>
    </row>
    <row r="72" spans="1:14" ht="45" hidden="1" customHeight="1" x14ac:dyDescent="0.25">
      <c r="A72" s="30">
        <v>237</v>
      </c>
      <c r="B72" s="31"/>
      <c r="C72" s="32"/>
      <c r="D72" s="33"/>
      <c r="E72" s="33"/>
      <c r="F72" s="32"/>
      <c r="G72" s="32"/>
      <c r="H72" s="32"/>
      <c r="I72" s="32"/>
      <c r="J72" s="32"/>
      <c r="K72" s="33"/>
      <c r="L72" s="34"/>
      <c r="M72" s="32"/>
      <c r="N72" s="32"/>
    </row>
    <row r="73" spans="1:14" ht="45" hidden="1" customHeight="1" x14ac:dyDescent="0.25">
      <c r="A73" s="30">
        <v>238</v>
      </c>
      <c r="B73" s="31"/>
      <c r="C73" s="32"/>
      <c r="D73" s="33"/>
      <c r="E73" s="33"/>
      <c r="F73" s="32"/>
      <c r="G73" s="32"/>
      <c r="H73" s="32"/>
      <c r="I73" s="32"/>
      <c r="J73" s="32"/>
      <c r="K73" s="33"/>
      <c r="L73" s="34"/>
      <c r="M73" s="32"/>
      <c r="N73" s="32"/>
    </row>
    <row r="74" spans="1:14" ht="45" hidden="1" customHeight="1" x14ac:dyDescent="0.25">
      <c r="A74" s="30">
        <v>239</v>
      </c>
      <c r="B74" s="31"/>
      <c r="C74" s="32"/>
      <c r="D74" s="33"/>
      <c r="E74" s="33"/>
      <c r="F74" s="32"/>
      <c r="G74" s="32"/>
      <c r="H74" s="32"/>
      <c r="I74" s="32"/>
      <c r="J74" s="32"/>
      <c r="K74" s="33"/>
      <c r="L74" s="34"/>
      <c r="M74" s="32"/>
      <c r="N74" s="32"/>
    </row>
    <row r="75" spans="1:14" ht="45" hidden="1" customHeight="1" x14ac:dyDescent="0.25">
      <c r="A75" s="30">
        <v>240</v>
      </c>
      <c r="B75" s="31"/>
      <c r="C75" s="32"/>
      <c r="D75" s="33"/>
      <c r="E75" s="33"/>
      <c r="F75" s="32"/>
      <c r="G75" s="32"/>
      <c r="H75" s="32"/>
      <c r="I75" s="41"/>
      <c r="J75" s="32"/>
      <c r="K75" s="33"/>
      <c r="L75" s="34"/>
      <c r="M75" s="32"/>
      <c r="N75" s="32"/>
    </row>
    <row r="76" spans="1:14" ht="45" hidden="1" customHeight="1" x14ac:dyDescent="0.25">
      <c r="A76" s="30">
        <v>241</v>
      </c>
      <c r="B76" s="31"/>
      <c r="C76" s="32"/>
      <c r="D76" s="33"/>
      <c r="E76" s="33"/>
      <c r="F76" s="32"/>
      <c r="G76" s="32"/>
      <c r="H76" s="32"/>
      <c r="I76" s="32"/>
      <c r="J76" s="32"/>
      <c r="K76" s="33"/>
      <c r="L76" s="34"/>
      <c r="M76" s="32"/>
      <c r="N76" s="32"/>
    </row>
    <row r="77" spans="1:14" ht="45" hidden="1" customHeight="1" x14ac:dyDescent="0.25">
      <c r="A77" s="30">
        <v>242</v>
      </c>
      <c r="B77" s="31"/>
      <c r="C77" s="32"/>
      <c r="D77" s="33"/>
      <c r="E77" s="33"/>
      <c r="F77" s="32"/>
      <c r="G77" s="32"/>
      <c r="H77" s="32"/>
      <c r="I77" s="32"/>
      <c r="J77" s="32"/>
      <c r="K77" s="33"/>
      <c r="L77" s="34"/>
      <c r="M77" s="32"/>
      <c r="N77" s="32"/>
    </row>
    <row r="78" spans="1:14" ht="45" hidden="1" customHeight="1" x14ac:dyDescent="0.25">
      <c r="A78" s="30">
        <v>243</v>
      </c>
      <c r="B78" s="31"/>
      <c r="C78" s="32"/>
      <c r="D78" s="33"/>
      <c r="E78" s="33"/>
      <c r="F78" s="32"/>
      <c r="G78" s="32"/>
      <c r="H78" s="32"/>
      <c r="I78" s="32"/>
      <c r="J78" s="32"/>
      <c r="K78" s="33"/>
      <c r="L78" s="34"/>
      <c r="M78" s="32"/>
      <c r="N78" s="32"/>
    </row>
    <row r="79" spans="1:14" ht="45" hidden="1" customHeight="1" x14ac:dyDescent="0.25">
      <c r="A79" s="30">
        <v>244</v>
      </c>
      <c r="B79" s="31"/>
      <c r="C79" s="32"/>
      <c r="D79" s="33"/>
      <c r="E79" s="33"/>
      <c r="F79" s="32"/>
      <c r="G79" s="32"/>
      <c r="H79" s="32"/>
      <c r="I79" s="32"/>
      <c r="J79" s="32"/>
      <c r="K79" s="33"/>
      <c r="L79" s="34"/>
      <c r="M79" s="32"/>
      <c r="N79" s="32"/>
    </row>
    <row r="80" spans="1:14" ht="45" hidden="1" customHeight="1" x14ac:dyDescent="0.25">
      <c r="A80" s="30">
        <v>245</v>
      </c>
      <c r="B80" s="31"/>
      <c r="C80" s="32"/>
      <c r="D80" s="33"/>
      <c r="E80" s="33"/>
      <c r="F80" s="32"/>
      <c r="G80" s="32"/>
      <c r="H80" s="32"/>
      <c r="I80" s="32"/>
      <c r="J80" s="32"/>
      <c r="K80" s="33"/>
      <c r="L80" s="34"/>
      <c r="M80" s="32"/>
      <c r="N80" s="32"/>
    </row>
    <row r="81" spans="1:14" ht="45" hidden="1" customHeight="1" x14ac:dyDescent="0.25">
      <c r="A81" s="30">
        <v>246</v>
      </c>
      <c r="B81" s="31"/>
      <c r="C81" s="32"/>
      <c r="D81" s="33"/>
      <c r="E81" s="33"/>
      <c r="F81" s="32"/>
      <c r="G81" s="32"/>
      <c r="H81" s="32"/>
      <c r="I81" s="32"/>
      <c r="J81" s="32"/>
      <c r="K81" s="33"/>
      <c r="L81" s="34"/>
      <c r="M81" s="32"/>
      <c r="N81" s="32"/>
    </row>
    <row r="82" spans="1:14" ht="45" hidden="1" customHeight="1" x14ac:dyDescent="0.25">
      <c r="A82" s="30">
        <v>247</v>
      </c>
      <c r="B82" s="31"/>
      <c r="C82" s="32"/>
      <c r="D82" s="33"/>
      <c r="E82" s="33"/>
      <c r="F82" s="32"/>
      <c r="G82" s="32"/>
      <c r="H82" s="32"/>
      <c r="I82" s="32"/>
      <c r="J82" s="32"/>
      <c r="K82" s="33"/>
      <c r="L82" s="34"/>
      <c r="M82" s="32"/>
      <c r="N82" s="32"/>
    </row>
    <row r="83" spans="1:14" ht="45" hidden="1" customHeight="1" x14ac:dyDescent="0.25">
      <c r="A83" s="30">
        <v>248</v>
      </c>
      <c r="B83" s="31"/>
      <c r="C83" s="32"/>
      <c r="D83" s="33"/>
      <c r="E83" s="33"/>
      <c r="F83" s="32"/>
      <c r="G83" s="32"/>
      <c r="H83" s="32"/>
      <c r="I83" s="41"/>
      <c r="J83" s="32"/>
      <c r="K83" s="33"/>
      <c r="L83" s="34"/>
      <c r="M83" s="32"/>
      <c r="N83" s="32"/>
    </row>
    <row r="84" spans="1:14" ht="45" hidden="1" customHeight="1" x14ac:dyDescent="0.25">
      <c r="A84" s="30">
        <v>249</v>
      </c>
      <c r="B84" s="31"/>
      <c r="C84" s="32"/>
      <c r="D84" s="33"/>
      <c r="E84" s="33"/>
      <c r="F84" s="32"/>
      <c r="G84" s="32"/>
      <c r="H84" s="32"/>
      <c r="I84" s="32"/>
      <c r="J84" s="32"/>
      <c r="K84" s="33"/>
      <c r="L84" s="34"/>
      <c r="M84" s="32"/>
      <c r="N84" s="32"/>
    </row>
    <row r="85" spans="1:14" ht="45" hidden="1" customHeight="1" x14ac:dyDescent="0.25">
      <c r="A85" s="30">
        <v>250</v>
      </c>
      <c r="B85" s="31"/>
      <c r="C85" s="32"/>
      <c r="D85" s="33"/>
      <c r="E85" s="33"/>
      <c r="F85" s="32"/>
      <c r="G85" s="32"/>
      <c r="H85" s="32"/>
      <c r="I85" s="32"/>
      <c r="J85" s="32"/>
      <c r="K85" s="33"/>
      <c r="L85" s="34"/>
      <c r="M85" s="32"/>
      <c r="N85" s="32"/>
    </row>
    <row r="86" spans="1:14" ht="45" hidden="1" customHeight="1" x14ac:dyDescent="0.25">
      <c r="A86" s="30">
        <v>251</v>
      </c>
      <c r="B86" s="31"/>
      <c r="C86" s="32"/>
      <c r="D86" s="33"/>
      <c r="E86" s="33"/>
      <c r="F86" s="32"/>
      <c r="G86" s="32"/>
      <c r="H86" s="32"/>
      <c r="I86" s="32"/>
      <c r="J86" s="32"/>
      <c r="K86" s="33"/>
      <c r="L86" s="34"/>
      <c r="M86" s="32"/>
      <c r="N86" s="32"/>
    </row>
    <row r="87" spans="1:14" ht="68.25" hidden="1" customHeight="1" x14ac:dyDescent="0.25">
      <c r="A87" s="30">
        <v>252</v>
      </c>
      <c r="B87" s="31"/>
      <c r="C87" s="32"/>
      <c r="D87" s="33"/>
      <c r="E87" s="33"/>
      <c r="F87" s="32"/>
      <c r="G87" s="32"/>
      <c r="H87" s="32"/>
      <c r="I87" s="32"/>
      <c r="J87" s="32"/>
      <c r="K87" s="33"/>
      <c r="L87" s="34"/>
      <c r="M87" s="32"/>
      <c r="N87" s="32"/>
    </row>
    <row r="88" spans="1:14" ht="45" hidden="1" customHeight="1" x14ac:dyDescent="0.25">
      <c r="A88" s="30">
        <v>253</v>
      </c>
      <c r="B88" s="31"/>
      <c r="C88" s="32"/>
      <c r="D88" s="33"/>
      <c r="E88" s="33"/>
      <c r="F88" s="32"/>
      <c r="G88" s="32"/>
      <c r="H88" s="32"/>
      <c r="I88" s="32"/>
      <c r="J88" s="32"/>
      <c r="K88" s="33"/>
      <c r="L88" s="34"/>
      <c r="M88" s="32"/>
      <c r="N88" s="32"/>
    </row>
    <row r="89" spans="1:14" ht="71.25" hidden="1" customHeight="1" x14ac:dyDescent="0.25">
      <c r="A89" s="30">
        <v>254</v>
      </c>
      <c r="B89" s="31"/>
      <c r="C89" s="32"/>
      <c r="D89" s="33"/>
      <c r="E89" s="33"/>
      <c r="F89" s="32"/>
      <c r="G89" s="32"/>
      <c r="H89" s="32"/>
      <c r="I89" s="32"/>
      <c r="J89" s="32"/>
      <c r="K89" s="33"/>
      <c r="L89" s="34"/>
      <c r="M89" s="32"/>
      <c r="N89" s="32"/>
    </row>
    <row r="90" spans="1:14" ht="68.25" hidden="1" customHeight="1" x14ac:dyDescent="0.25">
      <c r="A90" s="30">
        <v>255</v>
      </c>
      <c r="B90" s="31"/>
      <c r="C90" s="32"/>
      <c r="D90" s="33"/>
      <c r="E90" s="33"/>
      <c r="F90" s="32"/>
      <c r="G90" s="32"/>
      <c r="H90" s="32"/>
      <c r="I90" s="32"/>
      <c r="J90" s="32"/>
      <c r="K90" s="33"/>
      <c r="L90" s="34"/>
      <c r="M90" s="32"/>
      <c r="N90" s="32"/>
    </row>
    <row r="91" spans="1:14" ht="69" hidden="1" customHeight="1" x14ac:dyDescent="0.25">
      <c r="A91" s="30">
        <v>256</v>
      </c>
      <c r="B91" s="31"/>
      <c r="C91" s="32"/>
      <c r="D91" s="33"/>
      <c r="E91" s="33"/>
      <c r="F91" s="32"/>
      <c r="G91" s="32"/>
      <c r="H91" s="32"/>
      <c r="I91" s="32"/>
      <c r="J91" s="32"/>
      <c r="K91" s="33"/>
      <c r="L91" s="34"/>
      <c r="M91" s="32"/>
      <c r="N91" s="32"/>
    </row>
    <row r="92" spans="1:14" ht="45" hidden="1" customHeight="1" x14ac:dyDescent="0.25">
      <c r="A92" s="30">
        <v>257</v>
      </c>
      <c r="B92" s="31"/>
      <c r="C92" s="32"/>
      <c r="D92" s="33"/>
      <c r="E92" s="33"/>
      <c r="F92" s="32"/>
      <c r="G92" s="32"/>
      <c r="H92" s="32"/>
      <c r="I92" s="32"/>
      <c r="J92" s="32"/>
      <c r="K92" s="33"/>
      <c r="L92" s="34"/>
      <c r="M92" s="32"/>
      <c r="N92" s="32"/>
    </row>
    <row r="93" spans="1:14" ht="64.5" hidden="1" customHeight="1" x14ac:dyDescent="0.25">
      <c r="A93" s="30">
        <v>258</v>
      </c>
      <c r="B93" s="31"/>
      <c r="C93" s="32"/>
      <c r="D93" s="33"/>
      <c r="E93" s="33"/>
      <c r="F93" s="32"/>
      <c r="G93" s="32"/>
      <c r="H93" s="32"/>
      <c r="I93" s="32"/>
      <c r="J93" s="32"/>
      <c r="K93" s="33"/>
      <c r="L93" s="34"/>
      <c r="M93" s="32"/>
      <c r="N93" s="32"/>
    </row>
    <row r="94" spans="1:14" ht="85.5" hidden="1" customHeight="1" x14ac:dyDescent="0.25">
      <c r="A94" s="30">
        <v>259</v>
      </c>
      <c r="B94" s="31"/>
      <c r="C94" s="32"/>
      <c r="D94" s="33"/>
      <c r="E94" s="33"/>
      <c r="F94" s="32"/>
      <c r="G94" s="32"/>
      <c r="H94" s="32"/>
      <c r="I94" s="32"/>
      <c r="J94" s="32"/>
      <c r="K94" s="33"/>
      <c r="L94" s="34"/>
      <c r="M94" s="32"/>
      <c r="N94" s="32"/>
    </row>
    <row r="95" spans="1:14" ht="49.5" hidden="1" customHeight="1" x14ac:dyDescent="0.25">
      <c r="A95" s="30">
        <v>260</v>
      </c>
      <c r="B95" s="31"/>
      <c r="C95" s="32"/>
      <c r="D95" s="33"/>
      <c r="E95" s="33"/>
      <c r="F95" s="32"/>
      <c r="G95" s="32"/>
      <c r="H95" s="32"/>
      <c r="I95" s="32"/>
      <c r="J95" s="32"/>
      <c r="K95" s="33"/>
      <c r="L95" s="34"/>
      <c r="M95" s="32"/>
      <c r="N95" s="32"/>
    </row>
    <row r="96" spans="1:14" ht="48.75" hidden="1" customHeight="1" x14ac:dyDescent="0.25">
      <c r="A96" s="30">
        <v>261</v>
      </c>
      <c r="B96" s="31"/>
      <c r="C96" s="32"/>
      <c r="D96" s="33"/>
      <c r="E96" s="33"/>
      <c r="F96" s="32"/>
      <c r="G96" s="32"/>
      <c r="H96" s="32"/>
      <c r="I96" s="32"/>
      <c r="J96" s="32"/>
      <c r="K96" s="33"/>
      <c r="L96" s="34"/>
      <c r="M96" s="32"/>
      <c r="N96" s="32"/>
    </row>
    <row r="97" spans="1:14" ht="45" hidden="1" customHeight="1" x14ac:dyDescent="0.25">
      <c r="A97" s="30">
        <v>262</v>
      </c>
      <c r="B97" s="31"/>
      <c r="C97" s="32"/>
      <c r="D97" s="33"/>
      <c r="E97" s="33"/>
      <c r="F97" s="32"/>
      <c r="G97" s="32"/>
      <c r="H97" s="32"/>
      <c r="I97" s="32"/>
      <c r="J97" s="32"/>
      <c r="K97" s="33"/>
      <c r="L97" s="34"/>
      <c r="M97" s="32"/>
      <c r="N97" s="32"/>
    </row>
    <row r="98" spans="1:14" ht="45" hidden="1" customHeight="1" x14ac:dyDescent="0.25">
      <c r="A98" s="30">
        <v>263</v>
      </c>
      <c r="B98" s="31"/>
      <c r="C98" s="32"/>
      <c r="D98" s="33"/>
      <c r="E98" s="33"/>
      <c r="F98" s="32"/>
      <c r="G98" s="32"/>
      <c r="H98" s="32"/>
      <c r="I98" s="32"/>
      <c r="J98" s="32"/>
      <c r="K98" s="33"/>
      <c r="L98" s="34"/>
      <c r="M98" s="32"/>
      <c r="N98" s="32"/>
    </row>
    <row r="99" spans="1:14" ht="45" hidden="1" customHeight="1" x14ac:dyDescent="0.25">
      <c r="A99" s="30">
        <v>264</v>
      </c>
      <c r="B99" s="31"/>
      <c r="C99" s="32"/>
      <c r="D99" s="33"/>
      <c r="E99" s="33"/>
      <c r="F99" s="32"/>
      <c r="G99" s="32"/>
      <c r="H99" s="32"/>
      <c r="I99" s="32"/>
      <c r="J99" s="32"/>
      <c r="K99" s="33"/>
      <c r="L99" s="34"/>
      <c r="M99" s="32"/>
      <c r="N99" s="32"/>
    </row>
    <row r="100" spans="1:14" ht="45" hidden="1" customHeight="1" x14ac:dyDescent="0.25">
      <c r="A100" s="30">
        <v>265</v>
      </c>
      <c r="B100" s="31"/>
      <c r="C100" s="32"/>
      <c r="D100" s="33"/>
      <c r="E100" s="33"/>
      <c r="F100" s="32"/>
      <c r="G100" s="32"/>
      <c r="H100" s="32"/>
      <c r="I100" s="32"/>
      <c r="J100" s="32"/>
      <c r="K100" s="33"/>
      <c r="L100" s="34"/>
      <c r="M100" s="32"/>
      <c r="N100" s="32"/>
    </row>
    <row r="101" spans="1:14" ht="45" hidden="1" customHeight="1" x14ac:dyDescent="0.25">
      <c r="A101" s="30">
        <v>266</v>
      </c>
      <c r="B101" s="31"/>
      <c r="C101" s="32"/>
      <c r="D101" s="33"/>
      <c r="E101" s="33"/>
      <c r="F101" s="32"/>
      <c r="G101" s="32"/>
      <c r="H101" s="32"/>
      <c r="I101" s="32"/>
      <c r="J101" s="32"/>
      <c r="K101" s="33"/>
      <c r="L101" s="34"/>
      <c r="M101" s="32"/>
      <c r="N101" s="32"/>
    </row>
    <row r="102" spans="1:14" ht="45" hidden="1" customHeight="1" x14ac:dyDescent="0.25">
      <c r="A102" s="30">
        <v>267</v>
      </c>
      <c r="B102" s="31"/>
      <c r="C102" s="32"/>
      <c r="D102" s="33"/>
      <c r="E102" s="33"/>
      <c r="F102" s="32"/>
      <c r="G102" s="32"/>
      <c r="H102" s="32"/>
      <c r="I102" s="32"/>
      <c r="J102" s="32"/>
      <c r="K102" s="33"/>
      <c r="L102" s="34"/>
      <c r="M102" s="32"/>
      <c r="N102" s="32"/>
    </row>
    <row r="103" spans="1:14" ht="45" hidden="1" customHeight="1" x14ac:dyDescent="0.25">
      <c r="A103" s="30">
        <v>268</v>
      </c>
      <c r="B103" s="31"/>
      <c r="C103" s="32"/>
      <c r="D103" s="33"/>
      <c r="E103" s="33"/>
      <c r="F103" s="32"/>
      <c r="G103" s="32"/>
      <c r="H103" s="32"/>
      <c r="I103" s="32"/>
      <c r="J103" s="32"/>
      <c r="K103" s="33"/>
      <c r="L103" s="34"/>
      <c r="M103" s="32"/>
      <c r="N103" s="32"/>
    </row>
    <row r="104" spans="1:14" ht="45" hidden="1" customHeight="1" x14ac:dyDescent="0.25">
      <c r="A104" s="30">
        <v>269</v>
      </c>
      <c r="B104" s="31"/>
      <c r="C104" s="32"/>
      <c r="D104" s="33"/>
      <c r="E104" s="33"/>
      <c r="F104" s="32"/>
      <c r="G104" s="32"/>
      <c r="H104" s="32"/>
      <c r="I104" s="32"/>
      <c r="J104" s="32"/>
      <c r="K104" s="33"/>
      <c r="L104" s="34"/>
      <c r="M104" s="32"/>
      <c r="N104" s="32"/>
    </row>
    <row r="105" spans="1:14" ht="45" hidden="1" customHeight="1" x14ac:dyDescent="0.25">
      <c r="A105" s="30">
        <v>270</v>
      </c>
      <c r="B105" s="31"/>
      <c r="C105" s="32"/>
      <c r="D105" s="33"/>
      <c r="E105" s="33"/>
      <c r="F105" s="32"/>
      <c r="G105" s="32"/>
      <c r="H105" s="32"/>
      <c r="I105" s="32"/>
      <c r="J105" s="32"/>
      <c r="K105" s="33"/>
      <c r="L105" s="34"/>
      <c r="M105" s="32"/>
      <c r="N105" s="32"/>
    </row>
    <row r="106" spans="1:14" ht="45" hidden="1" customHeight="1" x14ac:dyDescent="0.25">
      <c r="A106" s="30">
        <v>271</v>
      </c>
      <c r="B106" s="31"/>
      <c r="C106" s="32"/>
      <c r="D106" s="33"/>
      <c r="E106" s="33"/>
      <c r="F106" s="32"/>
      <c r="G106" s="32"/>
      <c r="H106" s="32"/>
      <c r="I106" s="32"/>
      <c r="J106" s="32"/>
      <c r="K106" s="33"/>
      <c r="L106" s="34"/>
      <c r="M106" s="32"/>
      <c r="N106" s="32"/>
    </row>
    <row r="107" spans="1:14" ht="45" hidden="1" customHeight="1" x14ac:dyDescent="0.25">
      <c r="A107" s="30">
        <v>272</v>
      </c>
      <c r="B107" s="31"/>
      <c r="C107" s="32"/>
      <c r="D107" s="33"/>
      <c r="E107" s="33"/>
      <c r="F107" s="32"/>
      <c r="G107" s="32"/>
      <c r="H107" s="32"/>
      <c r="I107" s="32"/>
      <c r="J107" s="32"/>
      <c r="K107" s="33"/>
      <c r="L107" s="34"/>
      <c r="M107" s="32"/>
      <c r="N107" s="32"/>
    </row>
    <row r="108" spans="1:14" ht="45" hidden="1" customHeight="1" x14ac:dyDescent="0.25">
      <c r="A108" s="30">
        <v>273</v>
      </c>
      <c r="B108" s="31"/>
      <c r="C108" s="32"/>
      <c r="D108" s="33"/>
      <c r="E108" s="33"/>
      <c r="F108" s="32"/>
      <c r="G108" s="32"/>
      <c r="H108" s="32"/>
      <c r="I108" s="32"/>
      <c r="J108" s="32"/>
      <c r="K108" s="33"/>
      <c r="L108" s="34"/>
      <c r="M108" s="32"/>
      <c r="N108" s="32"/>
    </row>
    <row r="109" spans="1:14" ht="66.75" hidden="1" customHeight="1" x14ac:dyDescent="0.25">
      <c r="A109" s="30">
        <v>274</v>
      </c>
      <c r="B109" s="31"/>
      <c r="C109" s="32"/>
      <c r="D109" s="33"/>
      <c r="E109" s="33"/>
      <c r="F109" s="32"/>
      <c r="G109" s="32"/>
      <c r="H109" s="32"/>
      <c r="I109" s="32"/>
      <c r="J109" s="32"/>
      <c r="K109" s="33"/>
      <c r="L109" s="34"/>
      <c r="M109" s="32"/>
      <c r="N109" s="32"/>
    </row>
    <row r="110" spans="1:14" ht="65.25" hidden="1" customHeight="1" x14ac:dyDescent="0.25">
      <c r="A110" s="30">
        <v>275</v>
      </c>
      <c r="B110" s="31"/>
      <c r="C110" s="32"/>
      <c r="D110" s="33"/>
      <c r="E110" s="33"/>
      <c r="F110" s="32"/>
      <c r="G110" s="32"/>
      <c r="H110" s="32"/>
      <c r="I110" s="32"/>
      <c r="J110" s="32"/>
      <c r="K110" s="33"/>
      <c r="L110" s="34"/>
      <c r="M110" s="32"/>
      <c r="N110" s="32"/>
    </row>
    <row r="111" spans="1:14" ht="45" hidden="1" customHeight="1" x14ac:dyDescent="0.25">
      <c r="A111" s="30">
        <v>276</v>
      </c>
      <c r="B111" s="31"/>
      <c r="C111" s="32"/>
      <c r="D111" s="33"/>
      <c r="E111" s="33"/>
      <c r="F111" s="32"/>
      <c r="G111" s="32"/>
      <c r="H111" s="32"/>
      <c r="I111" s="32"/>
      <c r="J111" s="32"/>
      <c r="K111" s="33"/>
      <c r="L111" s="34"/>
      <c r="M111" s="32"/>
      <c r="N111" s="32"/>
    </row>
    <row r="112" spans="1:14" ht="63.75" hidden="1" customHeight="1" x14ac:dyDescent="0.25">
      <c r="A112" s="30">
        <v>277</v>
      </c>
      <c r="B112" s="31"/>
      <c r="C112" s="32"/>
      <c r="D112" s="33"/>
      <c r="E112" s="33"/>
      <c r="F112" s="32"/>
      <c r="G112" s="32"/>
      <c r="H112" s="32"/>
      <c r="I112" s="32"/>
      <c r="J112" s="32"/>
      <c r="K112" s="33"/>
      <c r="L112" s="34"/>
      <c r="M112" s="32"/>
      <c r="N112" s="32"/>
    </row>
    <row r="113" spans="1:14" ht="67.5" hidden="1" customHeight="1" x14ac:dyDescent="0.25">
      <c r="A113" s="30">
        <v>278</v>
      </c>
      <c r="B113" s="31"/>
      <c r="C113" s="32"/>
      <c r="D113" s="33"/>
      <c r="E113" s="33"/>
      <c r="F113" s="32"/>
      <c r="G113" s="32"/>
      <c r="H113" s="32"/>
      <c r="I113" s="32"/>
      <c r="J113" s="32"/>
      <c r="K113" s="33"/>
      <c r="L113" s="34"/>
      <c r="M113" s="32"/>
      <c r="N113" s="32"/>
    </row>
    <row r="114" spans="1:14" ht="45" hidden="1" customHeight="1" x14ac:dyDescent="0.25">
      <c r="A114" s="30">
        <v>279</v>
      </c>
      <c r="B114" s="31"/>
      <c r="C114" s="32"/>
      <c r="D114" s="33"/>
      <c r="E114" s="33"/>
      <c r="F114" s="32"/>
      <c r="G114" s="32"/>
      <c r="H114" s="32"/>
      <c r="I114" s="32"/>
      <c r="J114" s="32"/>
      <c r="K114" s="33"/>
      <c r="L114" s="34"/>
      <c r="M114" s="32"/>
      <c r="N114" s="32"/>
    </row>
    <row r="115" spans="1:14" ht="45" hidden="1" customHeight="1" x14ac:dyDescent="0.25">
      <c r="A115" s="30">
        <v>280</v>
      </c>
      <c r="B115" s="31"/>
      <c r="C115" s="32"/>
      <c r="D115" s="33"/>
      <c r="E115" s="33"/>
      <c r="F115" s="32"/>
      <c r="G115" s="32"/>
      <c r="H115" s="32"/>
      <c r="I115" s="32"/>
      <c r="J115" s="32"/>
      <c r="K115" s="33"/>
      <c r="L115" s="34"/>
      <c r="M115" s="32"/>
      <c r="N115" s="32"/>
    </row>
    <row r="116" spans="1:14" ht="58.5" hidden="1" customHeight="1" x14ac:dyDescent="0.25">
      <c r="A116" s="30">
        <v>281</v>
      </c>
      <c r="B116" s="31"/>
      <c r="C116" s="32"/>
      <c r="D116" s="33"/>
      <c r="E116" s="33"/>
      <c r="F116" s="32"/>
      <c r="G116" s="32"/>
      <c r="H116" s="32"/>
      <c r="I116" s="32"/>
      <c r="J116" s="32"/>
      <c r="K116" s="33"/>
      <c r="L116" s="34"/>
      <c r="M116" s="32"/>
      <c r="N116" s="32"/>
    </row>
    <row r="117" spans="1:14" ht="51" hidden="1" customHeight="1" x14ac:dyDescent="0.25">
      <c r="A117" s="30">
        <v>282</v>
      </c>
      <c r="B117" s="31"/>
      <c r="C117" s="32"/>
      <c r="D117" s="33"/>
      <c r="E117" s="33"/>
      <c r="F117" s="32"/>
      <c r="G117" s="32"/>
      <c r="H117" s="32"/>
      <c r="I117" s="32"/>
      <c r="J117" s="32"/>
      <c r="K117" s="33"/>
      <c r="L117" s="34"/>
      <c r="M117" s="32"/>
      <c r="N117" s="32"/>
    </row>
    <row r="118" spans="1:14" ht="47.25" hidden="1" customHeight="1" x14ac:dyDescent="0.25">
      <c r="A118" s="30">
        <v>283</v>
      </c>
      <c r="B118" s="31"/>
      <c r="C118" s="32"/>
      <c r="D118" s="33"/>
      <c r="E118" s="33"/>
      <c r="F118" s="32"/>
      <c r="G118" s="32"/>
      <c r="H118" s="32"/>
      <c r="I118" s="32"/>
      <c r="J118" s="32"/>
      <c r="K118" s="33"/>
      <c r="L118" s="34"/>
      <c r="M118" s="32"/>
      <c r="N118" s="32"/>
    </row>
    <row r="119" spans="1:14" ht="45" hidden="1" customHeight="1" x14ac:dyDescent="0.25">
      <c r="A119" s="30">
        <v>284</v>
      </c>
      <c r="B119" s="31"/>
      <c r="C119" s="32"/>
      <c r="D119" s="33"/>
      <c r="E119" s="33"/>
      <c r="F119" s="32"/>
      <c r="G119" s="32"/>
      <c r="H119" s="32"/>
      <c r="I119" s="32"/>
      <c r="J119" s="32"/>
      <c r="K119" s="33"/>
      <c r="L119" s="34"/>
      <c r="M119" s="32"/>
      <c r="N119" s="32"/>
    </row>
    <row r="120" spans="1:14" ht="45" hidden="1" customHeight="1" x14ac:dyDescent="0.25">
      <c r="A120" s="30">
        <v>285</v>
      </c>
      <c r="B120" s="31"/>
      <c r="C120" s="32"/>
      <c r="D120" s="33"/>
      <c r="E120" s="33"/>
      <c r="F120" s="32"/>
      <c r="G120" s="32"/>
      <c r="H120" s="32"/>
      <c r="I120" s="32"/>
      <c r="J120" s="32"/>
      <c r="K120" s="33"/>
      <c r="L120" s="34"/>
      <c r="M120" s="32"/>
      <c r="N120" s="32"/>
    </row>
    <row r="121" spans="1:14" ht="50.25" hidden="1" customHeight="1" x14ac:dyDescent="0.25">
      <c r="A121" s="30">
        <v>286</v>
      </c>
      <c r="B121" s="31"/>
      <c r="C121" s="32"/>
      <c r="D121" s="33"/>
      <c r="E121" s="33"/>
      <c r="F121" s="32"/>
      <c r="G121" s="32"/>
      <c r="H121" s="32"/>
      <c r="I121" s="32"/>
      <c r="J121" s="32"/>
      <c r="K121" s="33"/>
      <c r="L121" s="34"/>
      <c r="M121" s="32"/>
      <c r="N121" s="32"/>
    </row>
    <row r="122" spans="1:14" ht="45" hidden="1" customHeight="1" x14ac:dyDescent="0.25">
      <c r="A122" s="30">
        <v>287</v>
      </c>
      <c r="B122" s="31"/>
      <c r="C122" s="32"/>
      <c r="D122" s="33"/>
      <c r="E122" s="33"/>
      <c r="F122" s="32"/>
      <c r="G122" s="32"/>
      <c r="H122" s="32"/>
      <c r="I122" s="32"/>
      <c r="J122" s="32"/>
      <c r="K122" s="33"/>
      <c r="L122" s="34"/>
      <c r="M122" s="32"/>
      <c r="N122" s="32"/>
    </row>
    <row r="123" spans="1:14" ht="45" hidden="1" customHeight="1" x14ac:dyDescent="0.25">
      <c r="A123" s="30">
        <v>288</v>
      </c>
      <c r="B123" s="31"/>
      <c r="C123" s="32"/>
      <c r="D123" s="33"/>
      <c r="E123" s="33"/>
      <c r="F123" s="32"/>
      <c r="G123" s="32"/>
      <c r="H123" s="32"/>
      <c r="I123" s="32"/>
      <c r="J123" s="32"/>
      <c r="K123" s="33"/>
      <c r="L123" s="34"/>
      <c r="M123" s="32"/>
      <c r="N123" s="32"/>
    </row>
    <row r="124" spans="1:14" ht="45" hidden="1" customHeight="1" x14ac:dyDescent="0.25">
      <c r="A124" s="30">
        <v>289</v>
      </c>
      <c r="B124" s="31"/>
      <c r="C124" s="32"/>
      <c r="D124" s="33"/>
      <c r="E124" s="33"/>
      <c r="F124" s="32"/>
      <c r="G124" s="32"/>
      <c r="H124" s="32"/>
      <c r="I124" s="32"/>
      <c r="J124" s="32"/>
      <c r="K124" s="33"/>
      <c r="L124" s="34"/>
      <c r="M124" s="32"/>
      <c r="N124" s="32"/>
    </row>
    <row r="125" spans="1:14" ht="45" hidden="1" customHeight="1" x14ac:dyDescent="0.25">
      <c r="A125" s="30">
        <v>290</v>
      </c>
      <c r="B125" s="31"/>
      <c r="C125" s="32"/>
      <c r="D125" s="33"/>
      <c r="E125" s="33"/>
      <c r="F125" s="32"/>
      <c r="G125" s="32"/>
      <c r="H125" s="32"/>
      <c r="I125" s="32"/>
      <c r="J125" s="32"/>
      <c r="K125" s="33"/>
      <c r="L125" s="34"/>
      <c r="M125" s="32"/>
      <c r="N125" s="32"/>
    </row>
    <row r="126" spans="1:14" ht="45" hidden="1" customHeight="1" x14ac:dyDescent="0.25">
      <c r="A126" s="30">
        <v>291</v>
      </c>
      <c r="B126" s="31"/>
      <c r="C126" s="32"/>
      <c r="D126" s="33"/>
      <c r="E126" s="33"/>
      <c r="F126" s="32"/>
      <c r="G126" s="32"/>
      <c r="H126" s="32"/>
      <c r="I126" s="32"/>
      <c r="J126" s="32"/>
      <c r="K126" s="33"/>
      <c r="L126" s="34"/>
      <c r="M126" s="32"/>
      <c r="N126" s="32"/>
    </row>
    <row r="127" spans="1:14" ht="45" hidden="1" customHeight="1" x14ac:dyDescent="0.25">
      <c r="A127" s="30">
        <v>292</v>
      </c>
      <c r="B127" s="31"/>
      <c r="C127" s="32"/>
      <c r="D127" s="33"/>
      <c r="E127" s="33"/>
      <c r="F127" s="32"/>
      <c r="G127" s="32"/>
      <c r="H127" s="32"/>
      <c r="I127" s="32"/>
      <c r="J127" s="32"/>
      <c r="K127" s="33"/>
      <c r="L127" s="34"/>
      <c r="M127" s="32"/>
      <c r="N127" s="32"/>
    </row>
    <row r="128" spans="1:14" ht="45" hidden="1" customHeight="1" x14ac:dyDescent="0.25">
      <c r="A128" s="30">
        <v>293</v>
      </c>
      <c r="B128" s="31"/>
      <c r="C128" s="32"/>
      <c r="D128" s="33"/>
      <c r="E128" s="33"/>
      <c r="F128" s="32"/>
      <c r="G128" s="32"/>
      <c r="H128" s="32"/>
      <c r="I128" s="32"/>
      <c r="J128" s="32"/>
      <c r="K128" s="33"/>
      <c r="L128" s="34"/>
      <c r="M128" s="32"/>
      <c r="N128" s="32"/>
    </row>
    <row r="129" spans="1:14" ht="85.5" hidden="1" customHeight="1" x14ac:dyDescent="0.25">
      <c r="A129" s="30">
        <v>294</v>
      </c>
      <c r="B129" s="31"/>
      <c r="C129" s="32"/>
      <c r="D129" s="33"/>
      <c r="E129" s="33"/>
      <c r="F129" s="32"/>
      <c r="G129" s="32"/>
      <c r="H129" s="32"/>
      <c r="I129" s="32"/>
      <c r="J129" s="32"/>
      <c r="K129" s="33"/>
      <c r="L129" s="34"/>
      <c r="M129" s="32"/>
      <c r="N129" s="32"/>
    </row>
    <row r="130" spans="1:14" ht="45" hidden="1" customHeight="1" x14ac:dyDescent="0.25">
      <c r="A130" s="30">
        <v>295</v>
      </c>
      <c r="B130" s="31"/>
      <c r="C130" s="32"/>
      <c r="D130" s="33"/>
      <c r="E130" s="33"/>
      <c r="F130" s="32"/>
      <c r="G130" s="32"/>
      <c r="H130" s="32"/>
      <c r="I130" s="32"/>
      <c r="J130" s="32"/>
      <c r="K130" s="33"/>
      <c r="L130" s="34"/>
      <c r="M130" s="32"/>
      <c r="N130" s="32"/>
    </row>
    <row r="131" spans="1:14" ht="60.75" hidden="1" customHeight="1" x14ac:dyDescent="0.25">
      <c r="A131" s="30">
        <v>296</v>
      </c>
      <c r="B131" s="31"/>
      <c r="C131" s="32"/>
      <c r="D131" s="33"/>
      <c r="E131" s="33"/>
      <c r="F131" s="32"/>
      <c r="G131" s="32"/>
      <c r="H131" s="32"/>
      <c r="I131" s="32"/>
      <c r="J131" s="32"/>
      <c r="K131" s="33"/>
      <c r="L131" s="34"/>
      <c r="M131" s="32"/>
      <c r="N131" s="32"/>
    </row>
    <row r="132" spans="1:14" ht="45" hidden="1" customHeight="1" x14ac:dyDescent="0.25">
      <c r="A132" s="30">
        <v>297</v>
      </c>
      <c r="B132" s="31"/>
      <c r="C132" s="32"/>
      <c r="D132" s="33"/>
      <c r="E132" s="33"/>
      <c r="F132" s="32"/>
      <c r="G132" s="32"/>
      <c r="H132" s="32"/>
      <c r="I132" s="32"/>
      <c r="J132" s="32"/>
      <c r="K132" s="33"/>
      <c r="L132" s="34"/>
      <c r="M132" s="32"/>
      <c r="N132" s="32"/>
    </row>
    <row r="133" spans="1:14" ht="45" hidden="1" customHeight="1" x14ac:dyDescent="0.25">
      <c r="A133" s="30">
        <v>298</v>
      </c>
      <c r="B133" s="31"/>
      <c r="C133" s="32"/>
      <c r="D133" s="33"/>
      <c r="E133" s="33"/>
      <c r="F133" s="32"/>
      <c r="G133" s="32"/>
      <c r="H133" s="32"/>
      <c r="I133" s="32"/>
      <c r="J133" s="32"/>
      <c r="K133" s="33"/>
      <c r="L133" s="34"/>
      <c r="M133" s="32"/>
      <c r="N133" s="32"/>
    </row>
    <row r="134" spans="1:14" ht="45" hidden="1" customHeight="1" x14ac:dyDescent="0.25">
      <c r="A134" s="30">
        <v>299</v>
      </c>
      <c r="B134" s="31"/>
      <c r="C134" s="32"/>
      <c r="D134" s="33"/>
      <c r="E134" s="33"/>
      <c r="F134" s="32"/>
      <c r="G134" s="32"/>
      <c r="H134" s="32"/>
      <c r="I134" s="32"/>
      <c r="J134" s="32"/>
      <c r="K134" s="33"/>
      <c r="L134" s="34"/>
      <c r="M134" s="32"/>
      <c r="N134" s="32"/>
    </row>
    <row r="135" spans="1:14" ht="45" hidden="1" customHeight="1" x14ac:dyDescent="0.25">
      <c r="A135" s="30">
        <v>300</v>
      </c>
      <c r="B135" s="31"/>
      <c r="C135" s="32"/>
      <c r="D135" s="33"/>
      <c r="E135" s="33"/>
      <c r="F135" s="32"/>
      <c r="G135" s="32"/>
      <c r="H135" s="32"/>
      <c r="I135" s="32"/>
      <c r="J135" s="32"/>
      <c r="K135" s="33"/>
      <c r="L135" s="34"/>
      <c r="M135" s="32"/>
      <c r="N135" s="32"/>
    </row>
    <row r="136" spans="1:14" ht="57.75" hidden="1" customHeight="1" x14ac:dyDescent="0.25">
      <c r="A136" s="30">
        <v>301</v>
      </c>
      <c r="B136" s="31"/>
      <c r="C136" s="32"/>
      <c r="D136" s="33"/>
      <c r="E136" s="33"/>
      <c r="F136" s="32"/>
      <c r="G136" s="32"/>
      <c r="H136" s="32"/>
      <c r="I136" s="32"/>
      <c r="J136" s="32"/>
      <c r="K136" s="33"/>
      <c r="L136" s="34"/>
      <c r="M136" s="32"/>
      <c r="N136" s="32"/>
    </row>
    <row r="137" spans="1:14" ht="69.75" hidden="1" customHeight="1" x14ac:dyDescent="0.25">
      <c r="A137" s="30">
        <v>302</v>
      </c>
      <c r="B137" s="31"/>
      <c r="C137" s="32"/>
      <c r="D137" s="33"/>
      <c r="E137" s="33"/>
      <c r="F137" s="32"/>
      <c r="G137" s="32"/>
      <c r="H137" s="32"/>
      <c r="I137" s="32"/>
      <c r="J137" s="32"/>
      <c r="K137" s="33"/>
      <c r="L137" s="34"/>
      <c r="M137" s="32"/>
      <c r="N137" s="32"/>
    </row>
    <row r="138" spans="1:14" ht="45" hidden="1" customHeight="1" x14ac:dyDescent="0.25">
      <c r="A138" s="30">
        <v>303</v>
      </c>
      <c r="B138" s="31"/>
      <c r="C138" s="32"/>
      <c r="D138" s="33"/>
      <c r="E138" s="33"/>
      <c r="F138" s="32"/>
      <c r="G138" s="32"/>
      <c r="H138" s="32"/>
      <c r="I138" s="32"/>
      <c r="J138" s="32"/>
      <c r="K138" s="33"/>
      <c r="L138" s="34"/>
      <c r="M138" s="32"/>
      <c r="N138" s="32"/>
    </row>
    <row r="139" spans="1:14" ht="45" hidden="1" customHeight="1" x14ac:dyDescent="0.25">
      <c r="A139" s="30">
        <v>304</v>
      </c>
      <c r="B139" s="31"/>
      <c r="C139" s="32"/>
      <c r="D139" s="33"/>
      <c r="E139" s="33"/>
      <c r="F139" s="32"/>
      <c r="G139" s="32"/>
      <c r="H139" s="32"/>
      <c r="I139" s="32"/>
      <c r="J139" s="32"/>
      <c r="K139" s="33"/>
      <c r="L139" s="34"/>
      <c r="M139" s="32"/>
      <c r="N139" s="32"/>
    </row>
    <row r="140" spans="1:14" ht="45" hidden="1" customHeight="1" x14ac:dyDescent="0.25">
      <c r="A140" s="30">
        <v>305</v>
      </c>
      <c r="B140" s="31"/>
      <c r="C140" s="32"/>
      <c r="D140" s="33"/>
      <c r="E140" s="33"/>
      <c r="F140" s="32"/>
      <c r="G140" s="32"/>
      <c r="H140" s="32"/>
      <c r="I140" s="32"/>
      <c r="J140" s="32"/>
      <c r="K140" s="33"/>
      <c r="L140" s="34"/>
      <c r="M140" s="32"/>
      <c r="N140" s="32"/>
    </row>
    <row r="141" spans="1:14" ht="45" hidden="1" customHeight="1" x14ac:dyDescent="0.25">
      <c r="A141" s="30">
        <v>306</v>
      </c>
      <c r="B141" s="31"/>
      <c r="C141" s="32"/>
      <c r="D141" s="33"/>
      <c r="E141" s="33"/>
      <c r="F141" s="32"/>
      <c r="G141" s="32"/>
      <c r="H141" s="32"/>
      <c r="I141" s="32"/>
      <c r="J141" s="32"/>
      <c r="K141" s="33"/>
      <c r="L141" s="34"/>
      <c r="M141" s="32"/>
      <c r="N141" s="32"/>
    </row>
    <row r="142" spans="1:14" ht="72" hidden="1" customHeight="1" x14ac:dyDescent="0.25">
      <c r="A142" s="30">
        <v>307</v>
      </c>
      <c r="B142" s="31"/>
      <c r="C142" s="32"/>
      <c r="D142" s="33"/>
      <c r="E142" s="33"/>
      <c r="F142" s="32"/>
      <c r="G142" s="32"/>
      <c r="H142" s="32"/>
      <c r="I142" s="32"/>
      <c r="J142" s="32"/>
      <c r="K142" s="33"/>
      <c r="L142" s="34"/>
      <c r="M142" s="32"/>
      <c r="N142" s="32"/>
    </row>
    <row r="143" spans="1:14" ht="45" hidden="1" customHeight="1" x14ac:dyDescent="0.25">
      <c r="A143" s="30">
        <v>308</v>
      </c>
      <c r="B143" s="31"/>
      <c r="C143" s="32"/>
      <c r="D143" s="33"/>
      <c r="E143" s="33"/>
      <c r="F143" s="32"/>
      <c r="G143" s="32"/>
      <c r="H143" s="32"/>
      <c r="I143" s="32"/>
      <c r="J143" s="32"/>
      <c r="K143" s="33"/>
      <c r="L143" s="34"/>
      <c r="M143" s="32"/>
      <c r="N143" s="32"/>
    </row>
    <row r="144" spans="1:14" ht="45" hidden="1" customHeight="1" x14ac:dyDescent="0.25">
      <c r="A144" s="30">
        <v>309</v>
      </c>
      <c r="B144" s="31"/>
      <c r="C144" s="32"/>
      <c r="D144" s="33"/>
      <c r="E144" s="33"/>
      <c r="F144" s="32"/>
      <c r="G144" s="32"/>
      <c r="H144" s="32"/>
      <c r="I144" s="32"/>
      <c r="J144" s="32"/>
      <c r="K144" s="33"/>
      <c r="L144" s="34"/>
      <c r="M144" s="32"/>
      <c r="N144" s="32"/>
    </row>
    <row r="145" spans="1:14" ht="97.5" hidden="1" customHeight="1" x14ac:dyDescent="0.25">
      <c r="A145" s="30">
        <v>310</v>
      </c>
      <c r="B145" s="31"/>
      <c r="C145" s="32"/>
      <c r="D145" s="33"/>
      <c r="E145" s="33"/>
      <c r="F145" s="32"/>
      <c r="G145" s="32"/>
      <c r="H145" s="32"/>
      <c r="I145" s="41"/>
      <c r="J145" s="32"/>
      <c r="K145" s="33"/>
      <c r="L145" s="34"/>
      <c r="M145" s="32"/>
      <c r="N145" s="32"/>
    </row>
    <row r="146" spans="1:14" ht="45" hidden="1" customHeight="1" x14ac:dyDescent="0.25">
      <c r="A146" s="30">
        <v>311</v>
      </c>
      <c r="B146" s="31"/>
      <c r="C146" s="32"/>
      <c r="D146" s="33"/>
      <c r="E146" s="33"/>
      <c r="F146" s="32"/>
      <c r="G146" s="32"/>
      <c r="H146" s="32"/>
      <c r="I146" s="32"/>
      <c r="J146" s="32"/>
      <c r="K146" s="33"/>
      <c r="L146" s="34"/>
      <c r="M146" s="32"/>
      <c r="N146" s="32"/>
    </row>
    <row r="147" spans="1:14" ht="45" hidden="1" customHeight="1" x14ac:dyDescent="0.25">
      <c r="A147" s="30">
        <v>312</v>
      </c>
      <c r="B147" s="31"/>
      <c r="C147" s="32"/>
      <c r="D147" s="33"/>
      <c r="E147" s="33"/>
      <c r="F147" s="32"/>
      <c r="G147" s="32"/>
      <c r="H147" s="32"/>
      <c r="I147" s="32"/>
      <c r="J147" s="32"/>
      <c r="K147" s="33"/>
      <c r="L147" s="34"/>
      <c r="M147" s="32"/>
      <c r="N147" s="32"/>
    </row>
    <row r="148" spans="1:14" ht="45" hidden="1" customHeight="1" x14ac:dyDescent="0.25">
      <c r="A148" s="30">
        <v>313</v>
      </c>
      <c r="B148" s="31"/>
      <c r="C148" s="32"/>
      <c r="D148" s="33"/>
      <c r="E148" s="33"/>
      <c r="F148" s="32"/>
      <c r="G148" s="32"/>
      <c r="H148" s="32"/>
      <c r="I148" s="32"/>
      <c r="J148" s="32"/>
      <c r="K148" s="33"/>
      <c r="L148" s="34"/>
      <c r="M148" s="32"/>
      <c r="N148" s="32"/>
    </row>
    <row r="149" spans="1:14" ht="63" hidden="1" customHeight="1" x14ac:dyDescent="0.25">
      <c r="A149" s="30">
        <v>314</v>
      </c>
      <c r="B149" s="31"/>
      <c r="C149" s="32"/>
      <c r="D149" s="33"/>
      <c r="E149" s="33"/>
      <c r="F149" s="32"/>
      <c r="G149" s="32"/>
      <c r="H149" s="32"/>
      <c r="I149" s="32"/>
      <c r="J149" s="32"/>
      <c r="K149" s="33"/>
      <c r="L149" s="34"/>
      <c r="M149" s="32"/>
      <c r="N149" s="32"/>
    </row>
    <row r="150" spans="1:14" ht="59.25" hidden="1" customHeight="1" x14ac:dyDescent="0.25">
      <c r="A150" s="30">
        <v>315</v>
      </c>
      <c r="B150" s="31"/>
      <c r="C150" s="32"/>
      <c r="D150" s="33"/>
      <c r="E150" s="33"/>
      <c r="F150" s="32"/>
      <c r="G150" s="32"/>
      <c r="H150" s="32"/>
      <c r="I150" s="32"/>
      <c r="J150" s="32"/>
      <c r="K150" s="33"/>
      <c r="L150" s="34"/>
      <c r="M150" s="32"/>
      <c r="N150" s="32"/>
    </row>
    <row r="151" spans="1:14" ht="45" hidden="1" customHeight="1" x14ac:dyDescent="0.25">
      <c r="A151" s="30">
        <v>316</v>
      </c>
      <c r="B151" s="31"/>
      <c r="C151" s="32"/>
      <c r="D151" s="33"/>
      <c r="E151" s="33"/>
      <c r="F151" s="32"/>
      <c r="G151" s="32"/>
      <c r="H151" s="32"/>
      <c r="I151" s="32"/>
      <c r="J151" s="32"/>
      <c r="K151" s="33"/>
      <c r="L151" s="34"/>
      <c r="M151" s="32"/>
      <c r="N151" s="32"/>
    </row>
    <row r="152" spans="1:14" ht="45" hidden="1" customHeight="1" x14ac:dyDescent="0.25">
      <c r="A152" s="30">
        <v>317</v>
      </c>
      <c r="B152" s="31"/>
      <c r="C152" s="32"/>
      <c r="D152" s="33"/>
      <c r="E152" s="33"/>
      <c r="F152" s="32"/>
      <c r="G152" s="32"/>
      <c r="H152" s="32"/>
      <c r="I152" s="32"/>
      <c r="J152" s="32"/>
      <c r="K152" s="33"/>
      <c r="L152" s="34"/>
      <c r="M152" s="32"/>
      <c r="N152" s="32"/>
    </row>
    <row r="153" spans="1:14" ht="45" hidden="1" customHeight="1" x14ac:dyDescent="0.25">
      <c r="A153" s="30">
        <v>318</v>
      </c>
      <c r="B153" s="31"/>
      <c r="C153" s="32"/>
      <c r="D153" s="33"/>
      <c r="E153" s="33"/>
      <c r="F153" s="32"/>
      <c r="G153" s="32"/>
      <c r="H153" s="32"/>
      <c r="I153" s="32"/>
      <c r="J153" s="32"/>
      <c r="K153" s="33"/>
      <c r="L153" s="34"/>
      <c r="M153" s="32"/>
      <c r="N153" s="32"/>
    </row>
    <row r="154" spans="1:14" ht="45" hidden="1" customHeight="1" x14ac:dyDescent="0.25">
      <c r="A154" s="30">
        <v>319</v>
      </c>
      <c r="B154" s="31"/>
      <c r="C154" s="32"/>
      <c r="D154" s="33"/>
      <c r="E154" s="33"/>
      <c r="F154" s="32"/>
      <c r="G154" s="32"/>
      <c r="H154" s="32"/>
      <c r="I154" s="32"/>
      <c r="J154" s="32"/>
      <c r="K154" s="33"/>
      <c r="L154" s="34"/>
      <c r="M154" s="32"/>
      <c r="N154" s="32"/>
    </row>
    <row r="155" spans="1:14" ht="45" hidden="1" customHeight="1" x14ac:dyDescent="0.25">
      <c r="A155" s="30">
        <v>320</v>
      </c>
      <c r="B155" s="31"/>
      <c r="C155" s="32"/>
      <c r="D155" s="33"/>
      <c r="E155" s="33"/>
      <c r="F155" s="32"/>
      <c r="G155" s="32"/>
      <c r="H155" s="32"/>
      <c r="I155" s="32"/>
      <c r="J155" s="32"/>
      <c r="K155" s="33"/>
      <c r="L155" s="34"/>
      <c r="M155" s="32"/>
      <c r="N155" s="32"/>
    </row>
    <row r="156" spans="1:14" ht="45" hidden="1" customHeight="1" x14ac:dyDescent="0.25">
      <c r="A156" s="30">
        <v>321</v>
      </c>
      <c r="B156" s="31"/>
      <c r="C156" s="32"/>
      <c r="D156" s="33"/>
      <c r="E156" s="33"/>
      <c r="F156" s="32"/>
      <c r="G156" s="32"/>
      <c r="H156" s="32"/>
      <c r="I156" s="32"/>
      <c r="J156" s="32"/>
      <c r="K156" s="33"/>
      <c r="L156" s="34"/>
      <c r="M156" s="32"/>
      <c r="N156" s="32"/>
    </row>
    <row r="157" spans="1:14" ht="45" hidden="1" customHeight="1" x14ac:dyDescent="0.25">
      <c r="A157" s="30">
        <v>322</v>
      </c>
      <c r="B157" s="31"/>
      <c r="C157" s="32"/>
      <c r="D157" s="33"/>
      <c r="E157" s="33"/>
      <c r="F157" s="32"/>
      <c r="G157" s="32"/>
      <c r="H157" s="32"/>
      <c r="I157" s="32"/>
      <c r="J157" s="32"/>
      <c r="K157" s="33"/>
      <c r="L157" s="34"/>
      <c r="M157" s="32"/>
      <c r="N157" s="32"/>
    </row>
    <row r="158" spans="1:14" ht="45" hidden="1" customHeight="1" x14ac:dyDescent="0.25">
      <c r="A158" s="30">
        <v>323</v>
      </c>
      <c r="B158" s="31"/>
      <c r="C158" s="32"/>
      <c r="D158" s="33"/>
      <c r="E158" s="33"/>
      <c r="F158" s="32"/>
      <c r="G158" s="32"/>
      <c r="H158" s="32"/>
      <c r="I158" s="32"/>
      <c r="J158" s="32"/>
      <c r="K158" s="33"/>
      <c r="L158" s="34"/>
      <c r="M158" s="32"/>
      <c r="N158" s="32"/>
    </row>
    <row r="159" spans="1:14" ht="45" hidden="1" customHeight="1" x14ac:dyDescent="0.25">
      <c r="A159" s="30">
        <v>324</v>
      </c>
      <c r="B159" s="31"/>
      <c r="C159" s="32"/>
      <c r="D159" s="33"/>
      <c r="E159" s="33"/>
      <c r="F159" s="32"/>
      <c r="G159" s="32"/>
      <c r="H159" s="32"/>
      <c r="I159" s="32"/>
      <c r="J159" s="32"/>
      <c r="K159" s="33"/>
      <c r="L159" s="34"/>
      <c r="M159" s="32"/>
      <c r="N159" s="32"/>
    </row>
    <row r="160" spans="1:14" ht="45" hidden="1" customHeight="1" x14ac:dyDescent="0.25">
      <c r="A160" s="30">
        <v>325</v>
      </c>
      <c r="B160" s="31"/>
      <c r="C160" s="32"/>
      <c r="D160" s="33"/>
      <c r="E160" s="33"/>
      <c r="F160" s="32"/>
      <c r="G160" s="32"/>
      <c r="H160" s="32"/>
      <c r="I160" s="32"/>
      <c r="J160" s="32"/>
      <c r="K160" s="33"/>
      <c r="L160" s="34"/>
      <c r="M160" s="32"/>
      <c r="N160" s="32"/>
    </row>
    <row r="161" spans="1:14" ht="45" hidden="1" customHeight="1" x14ac:dyDescent="0.25">
      <c r="A161" s="30">
        <v>326</v>
      </c>
      <c r="B161" s="31"/>
      <c r="C161" s="32"/>
      <c r="D161" s="33"/>
      <c r="E161" s="33"/>
      <c r="F161" s="32"/>
      <c r="G161" s="32"/>
      <c r="H161" s="32"/>
      <c r="I161" s="32"/>
      <c r="J161" s="32"/>
      <c r="K161" s="33"/>
      <c r="L161" s="34"/>
      <c r="M161" s="32"/>
      <c r="N161" s="32"/>
    </row>
    <row r="162" spans="1:14" ht="53.25" hidden="1" customHeight="1" x14ac:dyDescent="0.25">
      <c r="A162" s="30">
        <v>327</v>
      </c>
      <c r="B162" s="31"/>
      <c r="C162" s="32"/>
      <c r="D162" s="33"/>
      <c r="E162" s="33"/>
      <c r="F162" s="32"/>
      <c r="G162" s="32"/>
      <c r="H162" s="32"/>
      <c r="I162" s="32"/>
      <c r="J162" s="32"/>
      <c r="K162" s="33"/>
      <c r="L162" s="34"/>
      <c r="M162" s="32"/>
      <c r="N162" s="32"/>
    </row>
    <row r="163" spans="1:14" ht="54" hidden="1" customHeight="1" x14ac:dyDescent="0.25">
      <c r="A163" s="30">
        <v>328</v>
      </c>
      <c r="B163" s="31"/>
      <c r="C163" s="32"/>
      <c r="D163" s="33"/>
      <c r="E163" s="33"/>
      <c r="F163" s="32"/>
      <c r="G163" s="32"/>
      <c r="H163" s="32"/>
      <c r="I163" s="32"/>
      <c r="J163" s="32"/>
      <c r="K163" s="33"/>
      <c r="L163" s="34"/>
      <c r="M163" s="32"/>
      <c r="N163" s="32"/>
    </row>
    <row r="164" spans="1:14" ht="45" hidden="1" customHeight="1" x14ac:dyDescent="0.25">
      <c r="A164" s="30">
        <v>329</v>
      </c>
      <c r="B164" s="31"/>
      <c r="C164" s="32"/>
      <c r="D164" s="33"/>
      <c r="E164" s="33"/>
      <c r="F164" s="32"/>
      <c r="G164" s="32"/>
      <c r="H164" s="32"/>
      <c r="I164" s="32"/>
      <c r="J164" s="32"/>
      <c r="K164" s="33"/>
      <c r="L164" s="34"/>
      <c r="M164" s="32"/>
      <c r="N164" s="32"/>
    </row>
    <row r="165" spans="1:14" ht="45" hidden="1" customHeight="1" x14ac:dyDescent="0.25">
      <c r="A165" s="30">
        <v>330</v>
      </c>
      <c r="B165" s="31"/>
      <c r="C165" s="32"/>
      <c r="D165" s="33"/>
      <c r="E165" s="33"/>
      <c r="F165" s="32"/>
      <c r="G165" s="32"/>
      <c r="H165" s="32"/>
      <c r="I165" s="32"/>
      <c r="J165" s="32"/>
      <c r="K165" s="33"/>
      <c r="L165" s="34"/>
      <c r="M165" s="32"/>
      <c r="N165" s="32"/>
    </row>
    <row r="166" spans="1:14" ht="45" hidden="1" customHeight="1" x14ac:dyDescent="0.25">
      <c r="A166" s="30">
        <v>331</v>
      </c>
      <c r="B166" s="31"/>
      <c r="C166" s="32"/>
      <c r="D166" s="33"/>
      <c r="E166" s="33"/>
      <c r="F166" s="32"/>
      <c r="G166" s="32"/>
      <c r="H166" s="32"/>
      <c r="I166" s="32"/>
      <c r="J166" s="32"/>
      <c r="K166" s="33"/>
      <c r="L166" s="34"/>
      <c r="M166" s="32"/>
      <c r="N166" s="32"/>
    </row>
    <row r="167" spans="1:14" ht="45" hidden="1" customHeight="1" x14ac:dyDescent="0.25">
      <c r="A167" s="30">
        <v>332</v>
      </c>
      <c r="B167" s="31"/>
      <c r="C167" s="32"/>
      <c r="D167" s="33"/>
      <c r="E167" s="33"/>
      <c r="F167" s="32"/>
      <c r="G167" s="32"/>
      <c r="H167" s="32"/>
      <c r="I167" s="32"/>
      <c r="J167" s="32"/>
      <c r="K167" s="33"/>
      <c r="L167" s="34"/>
      <c r="M167" s="32"/>
      <c r="N167" s="32"/>
    </row>
    <row r="168" spans="1:14" ht="45" hidden="1" customHeight="1" x14ac:dyDescent="0.25">
      <c r="A168" s="30">
        <v>333</v>
      </c>
      <c r="B168" s="31"/>
      <c r="C168" s="32"/>
      <c r="D168" s="33"/>
      <c r="E168" s="33"/>
      <c r="F168" s="32"/>
      <c r="G168" s="32"/>
      <c r="H168" s="32"/>
      <c r="I168" s="32"/>
      <c r="J168" s="32"/>
      <c r="K168" s="33"/>
      <c r="L168" s="34"/>
      <c r="M168" s="32"/>
      <c r="N168" s="32"/>
    </row>
    <row r="169" spans="1:14" ht="45" hidden="1" customHeight="1" x14ac:dyDescent="0.25">
      <c r="A169" s="30">
        <v>334</v>
      </c>
      <c r="B169" s="31"/>
      <c r="C169" s="32"/>
      <c r="D169" s="33"/>
      <c r="E169" s="33"/>
      <c r="F169" s="32"/>
      <c r="G169" s="32"/>
      <c r="H169" s="32"/>
      <c r="I169" s="32"/>
      <c r="J169" s="32"/>
      <c r="K169" s="33"/>
      <c r="L169" s="34"/>
      <c r="M169" s="32"/>
      <c r="N169" s="32"/>
    </row>
    <row r="170" spans="1:14" ht="45" hidden="1" customHeight="1" x14ac:dyDescent="0.25">
      <c r="A170" s="30">
        <v>335</v>
      </c>
      <c r="B170" s="31"/>
      <c r="C170" s="32"/>
      <c r="D170" s="33"/>
      <c r="E170" s="33"/>
      <c r="F170" s="32"/>
      <c r="G170" s="32"/>
      <c r="H170" s="32"/>
      <c r="I170" s="32"/>
      <c r="J170" s="32"/>
      <c r="K170" s="33"/>
      <c r="L170" s="34"/>
      <c r="M170" s="32"/>
      <c r="N170" s="32"/>
    </row>
    <row r="171" spans="1:14" ht="45" hidden="1" customHeight="1" x14ac:dyDescent="0.25">
      <c r="A171" s="30">
        <v>336</v>
      </c>
      <c r="B171" s="31"/>
      <c r="C171" s="32"/>
      <c r="D171" s="33"/>
      <c r="E171" s="33"/>
      <c r="F171" s="32"/>
      <c r="G171" s="32"/>
      <c r="H171" s="32"/>
      <c r="I171" s="32"/>
      <c r="J171" s="32"/>
      <c r="K171" s="33"/>
      <c r="L171" s="34"/>
      <c r="M171" s="32"/>
      <c r="N171" s="32"/>
    </row>
    <row r="172" spans="1:14" ht="45" hidden="1" customHeight="1" x14ac:dyDescent="0.25">
      <c r="A172" s="30">
        <v>337</v>
      </c>
      <c r="B172" s="31"/>
      <c r="C172" s="32"/>
      <c r="D172" s="33"/>
      <c r="E172" s="33"/>
      <c r="F172" s="32"/>
      <c r="G172" s="32"/>
      <c r="H172" s="32"/>
      <c r="I172" s="32"/>
      <c r="J172" s="32"/>
      <c r="K172" s="33"/>
      <c r="L172" s="34"/>
      <c r="M172" s="32"/>
      <c r="N172" s="32"/>
    </row>
    <row r="173" spans="1:14" ht="45" hidden="1" customHeight="1" x14ac:dyDescent="0.25">
      <c r="A173" s="30">
        <v>338</v>
      </c>
      <c r="B173" s="31"/>
      <c r="C173" s="32"/>
      <c r="D173" s="33"/>
      <c r="E173" s="33"/>
      <c r="F173" s="32"/>
      <c r="G173" s="32"/>
      <c r="H173" s="32"/>
      <c r="I173" s="32"/>
      <c r="J173" s="32"/>
      <c r="K173" s="33"/>
      <c r="L173" s="34"/>
      <c r="M173" s="32"/>
      <c r="N173" s="32"/>
    </row>
    <row r="174" spans="1:14" ht="75" hidden="1" customHeight="1" x14ac:dyDescent="0.25">
      <c r="A174" s="30">
        <v>339</v>
      </c>
      <c r="B174" s="31"/>
      <c r="C174" s="32"/>
      <c r="D174" s="33"/>
      <c r="E174" s="33"/>
      <c r="F174" s="32"/>
      <c r="G174" s="32"/>
      <c r="H174" s="32"/>
      <c r="I174" s="32"/>
      <c r="J174" s="32"/>
      <c r="K174" s="33"/>
      <c r="L174" s="34"/>
      <c r="M174" s="32"/>
      <c r="N174" s="32"/>
    </row>
    <row r="175" spans="1:14" ht="45" hidden="1" customHeight="1" x14ac:dyDescent="0.25">
      <c r="A175" s="30">
        <v>340</v>
      </c>
      <c r="B175" s="31"/>
      <c r="C175" s="32"/>
      <c r="D175" s="33"/>
      <c r="E175" s="33"/>
      <c r="F175" s="32"/>
      <c r="G175" s="32"/>
      <c r="H175" s="32"/>
      <c r="I175" s="32"/>
      <c r="J175" s="32"/>
      <c r="K175" s="33"/>
      <c r="L175" s="34"/>
      <c r="M175" s="32"/>
      <c r="N175" s="32"/>
    </row>
    <row r="176" spans="1:14" ht="45" hidden="1" customHeight="1" x14ac:dyDescent="0.25">
      <c r="A176" s="30">
        <v>341</v>
      </c>
      <c r="B176" s="31"/>
      <c r="C176" s="32"/>
      <c r="D176" s="33"/>
      <c r="E176" s="33"/>
      <c r="F176" s="32"/>
      <c r="G176" s="32"/>
      <c r="H176" s="32"/>
      <c r="I176" s="32"/>
      <c r="J176" s="32"/>
      <c r="K176" s="33"/>
      <c r="L176" s="34"/>
      <c r="M176" s="32"/>
      <c r="N176" s="32"/>
    </row>
    <row r="177" spans="1:14" ht="45" hidden="1" customHeight="1" x14ac:dyDescent="0.25">
      <c r="A177" s="30">
        <v>342</v>
      </c>
      <c r="B177" s="31"/>
      <c r="C177" s="32"/>
      <c r="D177" s="33"/>
      <c r="E177" s="33"/>
      <c r="F177" s="32"/>
      <c r="G177" s="32"/>
      <c r="H177" s="32"/>
      <c r="I177" s="32"/>
      <c r="J177" s="32"/>
      <c r="K177" s="33"/>
      <c r="L177" s="34"/>
      <c r="M177" s="32"/>
      <c r="N177" s="32"/>
    </row>
    <row r="178" spans="1:14" ht="45" hidden="1" customHeight="1" x14ac:dyDescent="0.25">
      <c r="A178" s="30">
        <v>343</v>
      </c>
      <c r="B178" s="31"/>
      <c r="C178" s="32"/>
      <c r="D178" s="33"/>
      <c r="E178" s="33"/>
      <c r="F178" s="32"/>
      <c r="G178" s="32"/>
      <c r="H178" s="32"/>
      <c r="I178" s="32"/>
      <c r="J178" s="32"/>
      <c r="K178" s="33"/>
      <c r="L178" s="34"/>
      <c r="M178" s="32"/>
      <c r="N178" s="32"/>
    </row>
    <row r="179" spans="1:14" ht="45" hidden="1" customHeight="1" x14ac:dyDescent="0.25">
      <c r="A179" s="30">
        <v>344</v>
      </c>
      <c r="B179" s="31"/>
      <c r="C179" s="32"/>
      <c r="D179" s="33"/>
      <c r="E179" s="33"/>
      <c r="F179" s="32"/>
      <c r="G179" s="32"/>
      <c r="H179" s="32"/>
      <c r="I179" s="32"/>
      <c r="J179" s="32"/>
      <c r="K179" s="33"/>
      <c r="L179" s="34"/>
      <c r="M179" s="32"/>
      <c r="N179" s="32"/>
    </row>
    <row r="180" spans="1:14" ht="45" hidden="1" customHeight="1" x14ac:dyDescent="0.25">
      <c r="A180" s="30">
        <v>345</v>
      </c>
      <c r="B180" s="31"/>
      <c r="C180" s="32"/>
      <c r="D180" s="33"/>
      <c r="E180" s="33"/>
      <c r="F180" s="32"/>
      <c r="G180" s="32"/>
      <c r="H180" s="32"/>
      <c r="I180" s="32"/>
      <c r="J180" s="32"/>
      <c r="K180" s="33"/>
      <c r="L180" s="34"/>
      <c r="M180" s="32"/>
      <c r="N180" s="32"/>
    </row>
    <row r="181" spans="1:14" ht="45.75" hidden="1" customHeight="1" x14ac:dyDescent="0.25">
      <c r="A181" s="30">
        <v>345</v>
      </c>
      <c r="B181" s="31"/>
      <c r="C181" s="32"/>
      <c r="D181" s="33"/>
      <c r="E181" s="33"/>
      <c r="F181" s="32"/>
      <c r="G181" s="32"/>
      <c r="H181" s="32"/>
      <c r="I181" s="32"/>
      <c r="J181" s="32"/>
      <c r="K181" s="33"/>
      <c r="L181" s="34"/>
      <c r="M181" s="32"/>
      <c r="N181" s="32"/>
    </row>
    <row r="182" spans="1:14" ht="45" hidden="1" customHeight="1" x14ac:dyDescent="0.25">
      <c r="A182" s="30">
        <v>345</v>
      </c>
      <c r="B182" s="31"/>
      <c r="C182" s="32"/>
      <c r="D182" s="33"/>
      <c r="E182" s="33"/>
      <c r="F182" s="32"/>
      <c r="G182" s="32"/>
      <c r="H182" s="32"/>
      <c r="I182" s="32"/>
      <c r="J182" s="32"/>
      <c r="K182" s="33"/>
      <c r="L182" s="34"/>
      <c r="M182" s="32"/>
      <c r="N182" s="32"/>
    </row>
    <row r="183" spans="1:14" ht="43.5" hidden="1" customHeight="1" x14ac:dyDescent="0.25">
      <c r="A183" s="30">
        <v>345</v>
      </c>
      <c r="B183" s="31"/>
      <c r="C183" s="32"/>
      <c r="D183" s="33"/>
      <c r="E183" s="33"/>
      <c r="F183" s="32"/>
      <c r="G183" s="32"/>
      <c r="H183" s="32"/>
      <c r="I183" s="32"/>
      <c r="J183" s="32"/>
      <c r="K183" s="33"/>
      <c r="L183" s="34"/>
      <c r="M183" s="32"/>
      <c r="N183" s="32"/>
    </row>
    <row r="184" spans="1:14" ht="43.5" hidden="1" customHeight="1" x14ac:dyDescent="0.25">
      <c r="A184" s="30">
        <v>345</v>
      </c>
      <c r="B184" s="31"/>
      <c r="C184" s="32"/>
      <c r="D184" s="33"/>
      <c r="E184" s="33"/>
      <c r="F184" s="32"/>
      <c r="G184" s="32"/>
      <c r="H184" s="32"/>
      <c r="I184" s="32"/>
      <c r="J184" s="32"/>
      <c r="K184" s="33"/>
      <c r="L184" s="34"/>
      <c r="M184" s="32"/>
      <c r="N184" s="32"/>
    </row>
    <row r="185" spans="1:14" ht="43.5" hidden="1" customHeight="1" x14ac:dyDescent="0.25">
      <c r="A185" s="30">
        <v>345</v>
      </c>
      <c r="B185" s="31"/>
      <c r="C185" s="32"/>
      <c r="D185" s="33"/>
      <c r="E185" s="33"/>
      <c r="F185" s="32"/>
      <c r="G185" s="32"/>
      <c r="H185" s="32"/>
      <c r="I185" s="32"/>
      <c r="J185" s="32"/>
      <c r="K185" s="33"/>
      <c r="L185" s="34"/>
      <c r="M185" s="32"/>
      <c r="N185" s="32"/>
    </row>
    <row r="186" spans="1:14" ht="43.5" hidden="1" customHeight="1" x14ac:dyDescent="0.25">
      <c r="A186" s="30">
        <v>345</v>
      </c>
      <c r="B186" s="31"/>
      <c r="C186" s="32"/>
      <c r="D186" s="33"/>
      <c r="E186" s="33"/>
      <c r="F186" s="32"/>
      <c r="G186" s="32"/>
      <c r="H186" s="32"/>
      <c r="I186" s="32"/>
      <c r="J186" s="32"/>
      <c r="K186" s="33"/>
      <c r="L186" s="34"/>
      <c r="M186" s="32"/>
      <c r="N186" s="32"/>
    </row>
    <row r="187" spans="1:14" ht="43.5" hidden="1" customHeight="1" x14ac:dyDescent="0.25">
      <c r="A187" s="30">
        <v>345</v>
      </c>
      <c r="B187" s="31"/>
      <c r="C187" s="32"/>
      <c r="D187" s="33"/>
      <c r="E187" s="33"/>
      <c r="F187" s="32"/>
      <c r="G187" s="32"/>
      <c r="H187" s="32"/>
      <c r="I187" s="32"/>
      <c r="J187" s="32"/>
      <c r="K187" s="33"/>
      <c r="L187" s="34"/>
      <c r="M187" s="32"/>
      <c r="N187" s="32"/>
    </row>
    <row r="188" spans="1:14" ht="91.5" hidden="1" customHeight="1" x14ac:dyDescent="0.25">
      <c r="A188" s="30">
        <v>345</v>
      </c>
      <c r="B188" s="31"/>
      <c r="C188" s="32"/>
      <c r="D188" s="33"/>
      <c r="E188" s="33"/>
      <c r="F188" s="32"/>
      <c r="G188" s="32"/>
      <c r="H188" s="32"/>
      <c r="I188" s="32"/>
      <c r="J188" s="32"/>
      <c r="K188" s="33"/>
      <c r="L188" s="34"/>
      <c r="M188" s="32"/>
      <c r="N188" s="32"/>
    </row>
    <row r="189" spans="1:14" ht="43.5" hidden="1" customHeight="1" x14ac:dyDescent="0.25">
      <c r="A189" s="30">
        <v>345</v>
      </c>
      <c r="B189" s="31"/>
      <c r="C189" s="32"/>
      <c r="D189" s="33"/>
      <c r="E189" s="33"/>
      <c r="F189" s="32"/>
      <c r="G189" s="32"/>
      <c r="H189" s="32"/>
      <c r="I189" s="32"/>
      <c r="J189" s="32"/>
      <c r="K189" s="33"/>
      <c r="L189" s="34"/>
      <c r="M189" s="32"/>
      <c r="N189" s="32"/>
    </row>
    <row r="190" spans="1:14" ht="43.5" hidden="1" customHeight="1" x14ac:dyDescent="0.25">
      <c r="A190" s="30">
        <v>345</v>
      </c>
      <c r="B190" s="31"/>
      <c r="C190" s="32"/>
      <c r="D190" s="33"/>
      <c r="E190" s="33"/>
      <c r="F190" s="32"/>
      <c r="G190" s="32"/>
      <c r="H190" s="32"/>
      <c r="I190" s="32"/>
      <c r="J190" s="32"/>
      <c r="K190" s="33"/>
      <c r="L190" s="34"/>
      <c r="M190" s="32"/>
      <c r="N190" s="32"/>
    </row>
    <row r="191" spans="1:14" ht="43.5" hidden="1" customHeight="1" x14ac:dyDescent="0.25">
      <c r="A191" s="30">
        <v>345</v>
      </c>
      <c r="B191" s="31"/>
      <c r="C191" s="32"/>
      <c r="D191" s="33"/>
      <c r="E191" s="33"/>
      <c r="F191" s="32"/>
      <c r="G191" s="32"/>
      <c r="H191" s="32"/>
      <c r="I191" s="32"/>
      <c r="J191" s="32"/>
      <c r="K191" s="33"/>
      <c r="L191" s="34"/>
      <c r="M191" s="32"/>
      <c r="N191" s="32"/>
    </row>
    <row r="192" spans="1:14" ht="43.5" hidden="1" customHeight="1" x14ac:dyDescent="0.25">
      <c r="A192" s="30">
        <v>345</v>
      </c>
      <c r="B192" s="31"/>
      <c r="C192" s="32"/>
      <c r="D192" s="33"/>
      <c r="E192" s="33"/>
      <c r="F192" s="32"/>
      <c r="G192" s="32"/>
      <c r="H192" s="32"/>
      <c r="I192" s="32"/>
      <c r="J192" s="32"/>
      <c r="K192" s="33"/>
      <c r="L192" s="34"/>
      <c r="M192" s="32"/>
      <c r="N192" s="32"/>
    </row>
    <row r="193" spans="1:14" ht="49.5" hidden="1" customHeight="1" x14ac:dyDescent="0.25">
      <c r="A193" s="30">
        <v>345</v>
      </c>
      <c r="B193" s="31"/>
      <c r="C193" s="32"/>
      <c r="D193" s="33"/>
      <c r="E193" s="33"/>
      <c r="F193" s="32"/>
      <c r="G193" s="32"/>
      <c r="H193" s="32"/>
      <c r="I193" s="32"/>
      <c r="J193" s="32"/>
      <c r="K193" s="33"/>
      <c r="L193" s="34"/>
      <c r="M193" s="32"/>
      <c r="N193" s="32"/>
    </row>
    <row r="194" spans="1:14" ht="78.75" hidden="1" customHeight="1" x14ac:dyDescent="0.25">
      <c r="A194" s="30">
        <v>345</v>
      </c>
      <c r="B194" s="31"/>
      <c r="C194" s="32"/>
      <c r="D194" s="33"/>
      <c r="E194" s="33"/>
      <c r="F194" s="32"/>
      <c r="G194" s="32"/>
      <c r="H194" s="32"/>
      <c r="I194" s="32"/>
      <c r="J194" s="32"/>
      <c r="K194" s="33"/>
      <c r="L194" s="34"/>
      <c r="M194" s="32"/>
      <c r="N194" s="32"/>
    </row>
    <row r="195" spans="1:14" ht="43.5" hidden="1" customHeight="1" x14ac:dyDescent="0.25">
      <c r="A195" s="30">
        <v>345</v>
      </c>
      <c r="B195" s="31"/>
      <c r="C195" s="32"/>
      <c r="D195" s="33"/>
      <c r="E195" s="33"/>
      <c r="F195" s="32"/>
      <c r="G195" s="32"/>
      <c r="H195" s="32"/>
      <c r="I195" s="32"/>
      <c r="J195" s="32"/>
      <c r="K195" s="33"/>
      <c r="L195" s="34"/>
      <c r="M195" s="32"/>
      <c r="N195" s="32"/>
    </row>
    <row r="196" spans="1:14" ht="43.5" hidden="1" customHeight="1" x14ac:dyDescent="0.25">
      <c r="A196" s="30">
        <v>345</v>
      </c>
      <c r="B196" s="31"/>
      <c r="C196" s="32"/>
      <c r="D196" s="33"/>
      <c r="E196" s="33"/>
      <c r="F196" s="32"/>
      <c r="G196" s="32"/>
      <c r="H196" s="32"/>
      <c r="I196" s="32"/>
      <c r="J196" s="32"/>
      <c r="K196" s="33"/>
      <c r="L196" s="34"/>
      <c r="M196" s="32"/>
      <c r="N196" s="32"/>
    </row>
    <row r="197" spans="1:14" ht="43.5" hidden="1" customHeight="1" x14ac:dyDescent="0.25">
      <c r="A197" s="30">
        <v>345</v>
      </c>
      <c r="B197" s="31"/>
      <c r="C197" s="32"/>
      <c r="D197" s="33"/>
      <c r="E197" s="33"/>
      <c r="F197" s="32"/>
      <c r="G197" s="32"/>
      <c r="H197" s="32"/>
      <c r="I197" s="32"/>
      <c r="J197" s="32"/>
      <c r="K197" s="33"/>
      <c r="L197" s="34"/>
      <c r="M197" s="32"/>
      <c r="N197" s="32"/>
    </row>
    <row r="198" spans="1:14" ht="43.5" hidden="1" customHeight="1" x14ac:dyDescent="0.25">
      <c r="A198" s="30">
        <v>345</v>
      </c>
      <c r="B198" s="31"/>
      <c r="C198" s="32"/>
      <c r="D198" s="33"/>
      <c r="E198" s="33"/>
      <c r="F198" s="32"/>
      <c r="G198" s="32"/>
      <c r="H198" s="32"/>
      <c r="I198" s="32"/>
      <c r="J198" s="32"/>
      <c r="K198" s="33"/>
      <c r="L198" s="34"/>
      <c r="M198" s="32"/>
      <c r="N198" s="32"/>
    </row>
    <row r="199" spans="1:14" ht="43.5" hidden="1" customHeight="1" x14ac:dyDescent="0.25">
      <c r="A199" s="30">
        <v>345</v>
      </c>
      <c r="B199" s="31"/>
      <c r="C199" s="32"/>
      <c r="D199" s="33"/>
      <c r="E199" s="33"/>
      <c r="F199" s="32"/>
      <c r="G199" s="32"/>
      <c r="H199" s="32"/>
      <c r="I199" s="32"/>
      <c r="J199" s="32"/>
      <c r="K199" s="33"/>
      <c r="L199" s="34"/>
      <c r="M199" s="32"/>
      <c r="N199" s="32"/>
    </row>
    <row r="200" spans="1:14" ht="75" hidden="1" customHeight="1" x14ac:dyDescent="0.25">
      <c r="A200" s="30">
        <v>345</v>
      </c>
      <c r="B200" s="31"/>
      <c r="C200" s="32"/>
      <c r="D200" s="33"/>
      <c r="E200" s="33"/>
      <c r="F200" s="32"/>
      <c r="G200" s="32"/>
      <c r="H200" s="32"/>
      <c r="I200" s="32"/>
      <c r="J200" s="32"/>
      <c r="K200" s="33"/>
      <c r="L200" s="34"/>
      <c r="M200" s="32"/>
      <c r="N200" s="32"/>
    </row>
    <row r="201" spans="1:14" ht="43.5" hidden="1" customHeight="1" x14ac:dyDescent="0.25">
      <c r="A201" s="30">
        <v>345</v>
      </c>
      <c r="B201" s="31"/>
      <c r="C201" s="32"/>
      <c r="D201" s="33"/>
      <c r="E201" s="33"/>
      <c r="F201" s="32"/>
      <c r="G201" s="32"/>
      <c r="H201" s="32"/>
      <c r="I201" s="32"/>
      <c r="J201" s="32"/>
      <c r="K201" s="33"/>
      <c r="L201" s="34"/>
      <c r="M201" s="32"/>
      <c r="N201" s="32"/>
    </row>
    <row r="202" spans="1:14" ht="43.5" hidden="1" customHeight="1" x14ac:dyDescent="0.25">
      <c r="A202" s="30">
        <v>345</v>
      </c>
      <c r="B202" s="31"/>
      <c r="C202" s="32"/>
      <c r="D202" s="33"/>
      <c r="E202" s="33"/>
      <c r="F202" s="32"/>
      <c r="G202" s="32"/>
      <c r="H202" s="32"/>
      <c r="I202" s="32"/>
      <c r="J202" s="32"/>
      <c r="K202" s="33"/>
      <c r="L202" s="34"/>
      <c r="M202" s="32"/>
      <c r="N202" s="32"/>
    </row>
    <row r="203" spans="1:14" ht="43.5" hidden="1" customHeight="1" x14ac:dyDescent="0.25">
      <c r="A203" s="30">
        <v>345</v>
      </c>
      <c r="B203" s="31"/>
      <c r="C203" s="32"/>
      <c r="D203" s="33"/>
      <c r="E203" s="33"/>
      <c r="F203" s="32"/>
      <c r="G203" s="32"/>
      <c r="H203" s="32"/>
      <c r="I203" s="32"/>
      <c r="J203" s="32"/>
      <c r="K203" s="33"/>
      <c r="L203" s="34"/>
      <c r="M203" s="32"/>
      <c r="N203" s="32"/>
    </row>
    <row r="204" spans="1:14" ht="43.5" hidden="1" customHeight="1" x14ac:dyDescent="0.25">
      <c r="A204" s="30">
        <v>345</v>
      </c>
      <c r="B204" s="31"/>
      <c r="C204" s="32"/>
      <c r="D204" s="33"/>
      <c r="E204" s="33"/>
      <c r="F204" s="32"/>
      <c r="G204" s="32"/>
      <c r="H204" s="32"/>
      <c r="I204" s="32"/>
      <c r="J204" s="32"/>
      <c r="K204" s="33"/>
      <c r="L204" s="34"/>
      <c r="M204" s="32"/>
      <c r="N204" s="32"/>
    </row>
    <row r="205" spans="1:14" ht="43.5" hidden="1" customHeight="1" x14ac:dyDescent="0.25">
      <c r="A205" s="30">
        <v>345</v>
      </c>
      <c r="B205" s="31"/>
      <c r="C205" s="32"/>
      <c r="D205" s="33"/>
      <c r="E205" s="33"/>
      <c r="F205" s="32"/>
      <c r="G205" s="32"/>
      <c r="H205" s="32"/>
      <c r="I205" s="32"/>
      <c r="J205" s="32"/>
      <c r="K205" s="33"/>
      <c r="L205" s="34"/>
      <c r="M205" s="32"/>
      <c r="N205" s="32"/>
    </row>
    <row r="206" spans="1:14" ht="43.5" hidden="1" customHeight="1" x14ac:dyDescent="0.25">
      <c r="A206" s="30">
        <v>345</v>
      </c>
      <c r="B206" s="31"/>
      <c r="C206" s="32"/>
      <c r="D206" s="33"/>
      <c r="E206" s="33"/>
      <c r="F206" s="32"/>
      <c r="G206" s="32"/>
      <c r="H206" s="32"/>
      <c r="I206" s="32"/>
      <c r="J206" s="32"/>
      <c r="K206" s="33"/>
      <c r="L206" s="34"/>
      <c r="M206" s="32"/>
      <c r="N206" s="32"/>
    </row>
    <row r="207" spans="1:14" ht="43.5" hidden="1" customHeight="1" x14ac:dyDescent="0.25">
      <c r="A207" s="30">
        <v>345</v>
      </c>
      <c r="B207" s="31"/>
      <c r="C207" s="32"/>
      <c r="D207" s="33"/>
      <c r="E207" s="33"/>
      <c r="F207" s="32"/>
      <c r="G207" s="32"/>
      <c r="H207" s="32"/>
      <c r="I207" s="32"/>
      <c r="J207" s="32"/>
      <c r="K207" s="33"/>
      <c r="L207" s="34"/>
      <c r="M207" s="32"/>
      <c r="N207" s="32"/>
    </row>
    <row r="208" spans="1:14" ht="43.5" hidden="1" customHeight="1" x14ac:dyDescent="0.25">
      <c r="A208" s="30">
        <v>345</v>
      </c>
      <c r="B208" s="31"/>
      <c r="C208" s="32"/>
      <c r="D208" s="33"/>
      <c r="E208" s="33"/>
      <c r="F208" s="32"/>
      <c r="G208" s="32"/>
      <c r="H208" s="32"/>
      <c r="I208" s="32"/>
      <c r="J208" s="32"/>
      <c r="K208" s="33"/>
      <c r="L208" s="34"/>
      <c r="M208" s="32"/>
      <c r="N208" s="32"/>
    </row>
    <row r="209" spans="1:14" ht="59.25" hidden="1" customHeight="1" x14ac:dyDescent="0.25">
      <c r="A209" s="30">
        <v>345</v>
      </c>
      <c r="B209" s="31"/>
      <c r="C209" s="32"/>
      <c r="D209" s="33"/>
      <c r="E209" s="33"/>
      <c r="F209" s="32"/>
      <c r="G209" s="32"/>
      <c r="H209" s="32"/>
      <c r="I209" s="32"/>
      <c r="J209" s="32"/>
      <c r="K209" s="33"/>
      <c r="L209" s="34"/>
      <c r="M209" s="32"/>
      <c r="N209" s="32"/>
    </row>
    <row r="210" spans="1:14" ht="43.5" hidden="1" customHeight="1" x14ac:dyDescent="0.25">
      <c r="A210" s="30">
        <v>345</v>
      </c>
      <c r="B210" s="31"/>
      <c r="C210" s="32"/>
      <c r="D210" s="33"/>
      <c r="E210" s="33"/>
      <c r="F210" s="32"/>
      <c r="G210" s="32"/>
      <c r="H210" s="32"/>
      <c r="I210" s="32"/>
      <c r="J210" s="32"/>
      <c r="K210" s="33"/>
      <c r="L210" s="34"/>
      <c r="M210" s="32"/>
      <c r="N210" s="32"/>
    </row>
    <row r="211" spans="1:14" ht="43.5" hidden="1" customHeight="1" x14ac:dyDescent="0.25">
      <c r="A211" s="30">
        <v>345</v>
      </c>
      <c r="B211" s="31"/>
      <c r="C211" s="32"/>
      <c r="D211" s="33"/>
      <c r="E211" s="33"/>
      <c r="F211" s="32"/>
      <c r="G211" s="32"/>
      <c r="H211" s="32"/>
      <c r="I211" s="32"/>
      <c r="J211" s="32"/>
      <c r="K211" s="33"/>
      <c r="L211" s="34"/>
      <c r="M211" s="32"/>
      <c r="N211" s="32"/>
    </row>
    <row r="212" spans="1:14" ht="58.5" hidden="1" customHeight="1" x14ac:dyDescent="0.25">
      <c r="A212" s="30">
        <v>345</v>
      </c>
      <c r="B212" s="31"/>
      <c r="C212" s="32"/>
      <c r="D212" s="33"/>
      <c r="E212" s="33"/>
      <c r="F212" s="32"/>
      <c r="G212" s="32"/>
      <c r="H212" s="32"/>
      <c r="I212" s="32"/>
      <c r="J212" s="32"/>
      <c r="K212" s="33"/>
      <c r="L212" s="34"/>
      <c r="M212" s="32"/>
      <c r="N212" s="32"/>
    </row>
    <row r="213" spans="1:14" ht="48.75" hidden="1" customHeight="1" x14ac:dyDescent="0.25">
      <c r="A213" s="30">
        <v>345</v>
      </c>
      <c r="B213" s="31"/>
      <c r="C213" s="32"/>
      <c r="D213" s="33"/>
      <c r="E213" s="33"/>
      <c r="F213" s="32"/>
      <c r="G213" s="32"/>
      <c r="H213" s="32"/>
      <c r="I213" s="32"/>
      <c r="J213" s="32"/>
      <c r="K213" s="33"/>
      <c r="L213" s="34"/>
      <c r="M213" s="32"/>
      <c r="N213" s="32"/>
    </row>
    <row r="214" spans="1:14" ht="43.5" hidden="1" customHeight="1" x14ac:dyDescent="0.25">
      <c r="A214" s="30">
        <v>345</v>
      </c>
      <c r="B214" s="31"/>
      <c r="C214" s="32"/>
      <c r="D214" s="33"/>
      <c r="E214" s="33"/>
      <c r="F214" s="32"/>
      <c r="G214" s="32"/>
      <c r="H214" s="32"/>
      <c r="I214" s="32"/>
      <c r="J214" s="32"/>
      <c r="K214" s="33"/>
      <c r="L214" s="34"/>
      <c r="M214" s="32"/>
      <c r="N214" s="32"/>
    </row>
    <row r="215" spans="1:14" ht="43.5" hidden="1" customHeight="1" x14ac:dyDescent="0.25">
      <c r="A215" s="30">
        <v>345</v>
      </c>
      <c r="B215" s="31"/>
      <c r="C215" s="32"/>
      <c r="D215" s="33"/>
      <c r="E215" s="33"/>
      <c r="F215" s="32"/>
      <c r="G215" s="32"/>
      <c r="H215" s="32"/>
      <c r="I215" s="32"/>
      <c r="J215" s="32"/>
      <c r="K215" s="33"/>
      <c r="L215" s="34"/>
      <c r="M215" s="32"/>
      <c r="N215" s="32"/>
    </row>
    <row r="216" spans="1:14" ht="43.5" hidden="1" customHeight="1" x14ac:dyDescent="0.25">
      <c r="A216" s="30">
        <v>345</v>
      </c>
      <c r="B216" s="31"/>
      <c r="C216" s="32"/>
      <c r="D216" s="33"/>
      <c r="E216" s="33"/>
      <c r="F216" s="32"/>
      <c r="G216" s="32"/>
      <c r="H216" s="32"/>
      <c r="I216" s="32"/>
      <c r="J216" s="32"/>
      <c r="K216" s="33"/>
      <c r="L216" s="34"/>
      <c r="M216" s="32"/>
      <c r="N216" s="32"/>
    </row>
    <row r="217" spans="1:14" ht="43.5" hidden="1" customHeight="1" x14ac:dyDescent="0.25">
      <c r="A217" s="30">
        <v>345</v>
      </c>
      <c r="B217" s="31"/>
      <c r="C217" s="32"/>
      <c r="D217" s="33"/>
      <c r="E217" s="33"/>
      <c r="F217" s="32"/>
      <c r="G217" s="32"/>
      <c r="H217" s="32"/>
      <c r="I217" s="32"/>
      <c r="J217" s="32"/>
      <c r="K217" s="33"/>
      <c r="L217" s="34"/>
      <c r="M217" s="32"/>
      <c r="N217" s="32"/>
    </row>
    <row r="218" spans="1:14" ht="43.5" hidden="1" customHeight="1" x14ac:dyDescent="0.25">
      <c r="A218" s="30">
        <v>345</v>
      </c>
      <c r="B218" s="31"/>
      <c r="C218" s="32"/>
      <c r="D218" s="33"/>
      <c r="E218" s="33"/>
      <c r="F218" s="32"/>
      <c r="G218" s="32"/>
      <c r="H218" s="32"/>
      <c r="I218" s="32"/>
      <c r="J218" s="32"/>
      <c r="K218" s="33"/>
      <c r="L218" s="34"/>
      <c r="M218" s="32"/>
      <c r="N218" s="32"/>
    </row>
    <row r="219" spans="1:14" ht="43.5" hidden="1" customHeight="1" x14ac:dyDescent="0.25">
      <c r="A219" s="30">
        <v>345</v>
      </c>
      <c r="B219" s="31"/>
      <c r="C219" s="32"/>
      <c r="D219" s="33"/>
      <c r="E219" s="33"/>
      <c r="F219" s="32"/>
      <c r="G219" s="32"/>
      <c r="H219" s="32"/>
      <c r="I219" s="32"/>
      <c r="J219" s="32"/>
      <c r="K219" s="33"/>
      <c r="L219" s="34"/>
      <c r="M219" s="32"/>
      <c r="N219" s="32"/>
    </row>
    <row r="220" spans="1:14" ht="43.5" hidden="1" customHeight="1" x14ac:dyDescent="0.25">
      <c r="A220" s="30">
        <v>345</v>
      </c>
      <c r="B220" s="31"/>
      <c r="C220" s="32"/>
      <c r="D220" s="33"/>
      <c r="E220" s="33"/>
      <c r="F220" s="32"/>
      <c r="G220" s="32"/>
      <c r="H220" s="32"/>
      <c r="I220" s="32"/>
      <c r="J220" s="32"/>
      <c r="K220" s="33"/>
      <c r="L220" s="34"/>
      <c r="M220" s="32"/>
      <c r="N220" s="32"/>
    </row>
    <row r="221" spans="1:14" ht="43.5" hidden="1" customHeight="1" x14ac:dyDescent="0.25">
      <c r="A221" s="30">
        <v>345</v>
      </c>
      <c r="B221" s="31"/>
      <c r="C221" s="32"/>
      <c r="D221" s="33"/>
      <c r="E221" s="33"/>
      <c r="F221" s="32"/>
      <c r="G221" s="32"/>
      <c r="H221" s="32"/>
      <c r="I221" s="32"/>
      <c r="J221" s="32"/>
      <c r="K221" s="33"/>
      <c r="L221" s="34"/>
      <c r="M221" s="32"/>
      <c r="N221" s="32"/>
    </row>
    <row r="222" spans="1:14" ht="43.5" hidden="1" customHeight="1" x14ac:dyDescent="0.25">
      <c r="A222" s="30">
        <v>345</v>
      </c>
      <c r="B222" s="31"/>
      <c r="C222" s="32"/>
      <c r="D222" s="33"/>
      <c r="E222" s="33"/>
      <c r="F222" s="32"/>
      <c r="G222" s="32"/>
      <c r="H222" s="32"/>
      <c r="I222" s="32"/>
      <c r="J222" s="32"/>
      <c r="K222" s="33"/>
      <c r="L222" s="34"/>
      <c r="M222" s="32"/>
      <c r="N222" s="32"/>
    </row>
    <row r="223" spans="1:14" ht="43.5" hidden="1" customHeight="1" x14ac:dyDescent="0.25">
      <c r="A223" s="30">
        <v>345</v>
      </c>
      <c r="B223" s="31"/>
      <c r="C223" s="32"/>
      <c r="D223" s="33"/>
      <c r="E223" s="33"/>
      <c r="F223" s="32"/>
      <c r="G223" s="32"/>
      <c r="H223" s="32"/>
      <c r="I223" s="32"/>
      <c r="J223" s="32"/>
      <c r="K223" s="33"/>
      <c r="L223" s="34"/>
      <c r="M223" s="32"/>
      <c r="N223" s="32"/>
    </row>
    <row r="224" spans="1:14" ht="43.5" hidden="1" customHeight="1" x14ac:dyDescent="0.25">
      <c r="A224" s="30">
        <v>345</v>
      </c>
      <c r="B224" s="31"/>
      <c r="C224" s="32"/>
      <c r="D224" s="33"/>
      <c r="E224" s="33"/>
      <c r="F224" s="32"/>
      <c r="G224" s="32"/>
      <c r="H224" s="32"/>
      <c r="I224" s="32"/>
      <c r="J224" s="32"/>
      <c r="K224" s="33"/>
      <c r="L224" s="34"/>
      <c r="M224" s="32"/>
      <c r="N224" s="32"/>
    </row>
    <row r="225" spans="1:14" ht="43.5" hidden="1" customHeight="1" x14ac:dyDescent="0.25">
      <c r="A225" s="30">
        <v>345</v>
      </c>
      <c r="B225" s="31"/>
      <c r="C225" s="32"/>
      <c r="D225" s="33"/>
      <c r="E225" s="33"/>
      <c r="F225" s="32"/>
      <c r="G225" s="32"/>
      <c r="H225" s="32"/>
      <c r="I225" s="32"/>
      <c r="J225" s="32"/>
      <c r="K225" s="33"/>
      <c r="L225" s="34"/>
      <c r="M225" s="32"/>
      <c r="N225" s="32"/>
    </row>
    <row r="226" spans="1:14" ht="43.5" hidden="1" customHeight="1" x14ac:dyDescent="0.25">
      <c r="A226" s="30">
        <v>345</v>
      </c>
      <c r="B226" s="31"/>
      <c r="C226" s="32"/>
      <c r="D226" s="33"/>
      <c r="E226" s="33"/>
      <c r="F226" s="32"/>
      <c r="G226" s="32"/>
      <c r="H226" s="32"/>
      <c r="I226" s="32"/>
      <c r="J226" s="32"/>
      <c r="K226" s="33"/>
      <c r="L226" s="34"/>
      <c r="M226" s="32"/>
      <c r="N226" s="32"/>
    </row>
    <row r="227" spans="1:14" ht="43.5" hidden="1" customHeight="1" x14ac:dyDescent="0.25">
      <c r="A227" s="30">
        <v>345</v>
      </c>
      <c r="B227" s="31"/>
      <c r="C227" s="32"/>
      <c r="D227" s="33"/>
      <c r="E227" s="33"/>
      <c r="F227" s="32"/>
      <c r="G227" s="32"/>
      <c r="H227" s="32"/>
      <c r="I227" s="32"/>
      <c r="J227" s="32"/>
      <c r="K227" s="33"/>
      <c r="L227" s="34"/>
      <c r="M227" s="32"/>
      <c r="N227" s="32"/>
    </row>
    <row r="228" spans="1:14" ht="72" hidden="1" customHeight="1" x14ac:dyDescent="0.25">
      <c r="A228" s="30">
        <v>345</v>
      </c>
      <c r="B228" s="31"/>
      <c r="C228" s="32"/>
      <c r="D228" s="33"/>
      <c r="E228" s="33"/>
      <c r="F228" s="32"/>
      <c r="G228" s="32"/>
      <c r="H228" s="32"/>
      <c r="I228" s="32"/>
      <c r="J228" s="32"/>
      <c r="K228" s="33"/>
      <c r="L228" s="34"/>
      <c r="M228" s="32"/>
      <c r="N228" s="32"/>
    </row>
    <row r="229" spans="1:14" ht="43.5" hidden="1" customHeight="1" x14ac:dyDescent="0.25">
      <c r="A229" s="30">
        <v>345</v>
      </c>
      <c r="B229" s="31"/>
      <c r="C229" s="32"/>
      <c r="D229" s="33"/>
      <c r="E229" s="33"/>
      <c r="F229" s="32"/>
      <c r="G229" s="32"/>
      <c r="H229" s="32"/>
      <c r="I229" s="32"/>
      <c r="J229" s="32"/>
      <c r="K229" s="33"/>
      <c r="L229" s="34"/>
      <c r="M229" s="32"/>
      <c r="N229" s="32"/>
    </row>
    <row r="230" spans="1:14" ht="43.5" hidden="1" customHeight="1" x14ac:dyDescent="0.25">
      <c r="A230" s="30">
        <v>345</v>
      </c>
      <c r="B230" s="31"/>
      <c r="C230" s="32"/>
      <c r="D230" s="33"/>
      <c r="E230" s="33"/>
      <c r="F230" s="32"/>
      <c r="G230" s="32"/>
      <c r="H230" s="32"/>
      <c r="I230" s="32"/>
      <c r="J230" s="32"/>
      <c r="K230" s="33"/>
      <c r="L230" s="34"/>
      <c r="M230" s="32"/>
      <c r="N230" s="32"/>
    </row>
    <row r="231" spans="1:14" ht="43.5" hidden="1" customHeight="1" x14ac:dyDescent="0.25">
      <c r="A231" s="30">
        <v>345</v>
      </c>
      <c r="B231" s="31"/>
      <c r="C231" s="32"/>
      <c r="D231" s="33"/>
      <c r="E231" s="33"/>
      <c r="F231" s="32"/>
      <c r="G231" s="32"/>
      <c r="H231" s="32"/>
      <c r="I231" s="32"/>
      <c r="J231" s="32"/>
      <c r="K231" s="33"/>
      <c r="L231" s="34"/>
      <c r="M231" s="32"/>
      <c r="N231" s="32"/>
    </row>
    <row r="232" spans="1:14" ht="43.5" hidden="1" customHeight="1" x14ac:dyDescent="0.25">
      <c r="A232" s="30">
        <v>345</v>
      </c>
      <c r="B232" s="31"/>
      <c r="C232" s="32"/>
      <c r="D232" s="33"/>
      <c r="E232" s="33"/>
      <c r="F232" s="32"/>
      <c r="G232" s="32"/>
      <c r="H232" s="32"/>
      <c r="I232" s="32"/>
      <c r="J232" s="32"/>
      <c r="K232" s="33"/>
      <c r="L232" s="34"/>
      <c r="M232" s="32"/>
      <c r="N232" s="32"/>
    </row>
    <row r="233" spans="1:14" ht="43.5" hidden="1" customHeight="1" x14ac:dyDescent="0.25">
      <c r="A233" s="30">
        <v>345</v>
      </c>
      <c r="B233" s="31"/>
      <c r="C233" s="32"/>
      <c r="D233" s="33"/>
      <c r="E233" s="33"/>
      <c r="F233" s="32"/>
      <c r="G233" s="32"/>
      <c r="H233" s="32"/>
      <c r="I233" s="32"/>
      <c r="J233" s="32"/>
      <c r="K233" s="33"/>
      <c r="L233" s="34"/>
      <c r="M233" s="32"/>
      <c r="N233" s="32"/>
    </row>
    <row r="234" spans="1:14" ht="43.5" hidden="1" customHeight="1" x14ac:dyDescent="0.25">
      <c r="A234" s="30">
        <v>345</v>
      </c>
      <c r="B234" s="31"/>
      <c r="C234" s="32"/>
      <c r="D234" s="33"/>
      <c r="E234" s="33"/>
      <c r="F234" s="32"/>
      <c r="G234" s="32"/>
      <c r="H234" s="32"/>
      <c r="I234" s="32"/>
      <c r="J234" s="32"/>
      <c r="K234" s="33"/>
      <c r="L234" s="34"/>
      <c r="M234" s="32"/>
      <c r="N234" s="32"/>
    </row>
    <row r="235" spans="1:14" ht="43.5" hidden="1" customHeight="1" x14ac:dyDescent="0.25">
      <c r="A235" s="30">
        <v>345</v>
      </c>
      <c r="B235" s="31"/>
      <c r="C235" s="32"/>
      <c r="D235" s="33"/>
      <c r="E235" s="33"/>
      <c r="F235" s="32"/>
      <c r="G235" s="32"/>
      <c r="H235" s="32"/>
      <c r="I235" s="32"/>
      <c r="J235" s="32"/>
      <c r="K235" s="33"/>
      <c r="L235" s="34"/>
      <c r="M235" s="32"/>
      <c r="N235" s="32"/>
    </row>
    <row r="236" spans="1:14" ht="43.5" hidden="1" customHeight="1" x14ac:dyDescent="0.25">
      <c r="A236" s="30">
        <v>345</v>
      </c>
      <c r="B236" s="31"/>
      <c r="C236" s="32"/>
      <c r="D236" s="33"/>
      <c r="E236" s="33"/>
      <c r="F236" s="32"/>
      <c r="G236" s="32"/>
      <c r="H236" s="32"/>
      <c r="I236" s="32"/>
      <c r="J236" s="32"/>
      <c r="K236" s="33"/>
      <c r="L236" s="36"/>
      <c r="M236" s="32"/>
      <c r="N236" s="32"/>
    </row>
    <row r="237" spans="1:14" ht="43.5" hidden="1" customHeight="1" x14ac:dyDescent="0.25">
      <c r="A237" s="30">
        <v>345</v>
      </c>
      <c r="B237" s="31"/>
      <c r="C237" s="32"/>
      <c r="D237" s="33"/>
      <c r="E237" s="33"/>
      <c r="F237" s="32"/>
      <c r="G237" s="32"/>
      <c r="H237" s="32"/>
      <c r="I237" s="32"/>
      <c r="J237" s="32"/>
      <c r="K237" s="33"/>
      <c r="L237" s="36"/>
      <c r="M237" s="32"/>
      <c r="N237" s="32"/>
    </row>
    <row r="238" spans="1:14" ht="43.5" hidden="1" customHeight="1" x14ac:dyDescent="0.25">
      <c r="A238" s="30">
        <v>345</v>
      </c>
      <c r="B238" s="31"/>
      <c r="C238" s="32"/>
      <c r="D238" s="33"/>
      <c r="E238" s="33"/>
      <c r="F238" s="32"/>
      <c r="G238" s="32"/>
      <c r="H238" s="32"/>
      <c r="I238" s="32"/>
      <c r="J238" s="32"/>
      <c r="K238" s="33"/>
      <c r="L238" s="36"/>
      <c r="M238" s="32"/>
      <c r="N238" s="32"/>
    </row>
    <row r="239" spans="1:14" ht="43.5" hidden="1" customHeight="1" x14ac:dyDescent="0.25">
      <c r="A239" s="30">
        <v>345</v>
      </c>
      <c r="B239" s="31"/>
      <c r="C239" s="32"/>
      <c r="D239" s="33"/>
      <c r="E239" s="33"/>
      <c r="F239" s="32"/>
      <c r="G239" s="32"/>
      <c r="H239" s="32"/>
      <c r="I239" s="32"/>
      <c r="J239" s="32"/>
      <c r="K239" s="33"/>
      <c r="L239" s="36"/>
      <c r="M239" s="32"/>
      <c r="N239" s="32"/>
    </row>
    <row r="240" spans="1:14" ht="43.5" hidden="1" customHeight="1" x14ac:dyDescent="0.25">
      <c r="A240" s="30">
        <v>345</v>
      </c>
      <c r="B240" s="31"/>
      <c r="C240" s="32"/>
      <c r="D240" s="33"/>
      <c r="E240" s="33"/>
      <c r="F240" s="32"/>
      <c r="G240" s="32"/>
      <c r="H240" s="32"/>
      <c r="I240" s="32"/>
      <c r="J240" s="32"/>
      <c r="K240" s="33"/>
      <c r="L240" s="36"/>
      <c r="M240" s="32"/>
      <c r="N240" s="32"/>
    </row>
    <row r="241" spans="1:14" ht="43.5" hidden="1" customHeight="1" x14ac:dyDescent="0.25">
      <c r="A241" s="30">
        <v>345</v>
      </c>
      <c r="B241" s="31"/>
      <c r="C241" s="32"/>
      <c r="D241" s="33"/>
      <c r="E241" s="33"/>
      <c r="F241" s="32"/>
      <c r="G241" s="32"/>
      <c r="H241" s="32"/>
      <c r="I241" s="32"/>
      <c r="J241" s="32"/>
      <c r="K241" s="33"/>
      <c r="L241" s="36"/>
      <c r="M241" s="32"/>
      <c r="N241" s="32"/>
    </row>
    <row r="242" spans="1:14" ht="43.5" hidden="1" customHeight="1" x14ac:dyDescent="0.25">
      <c r="A242" s="30">
        <v>345</v>
      </c>
      <c r="B242" s="31"/>
      <c r="C242" s="32"/>
      <c r="D242" s="33"/>
      <c r="E242" s="33"/>
      <c r="F242" s="32"/>
      <c r="G242" s="32"/>
      <c r="H242" s="32"/>
      <c r="I242" s="32"/>
      <c r="J242" s="32"/>
      <c r="K242" s="33"/>
      <c r="L242" s="36"/>
      <c r="M242" s="32"/>
      <c r="N242" s="32"/>
    </row>
    <row r="243" spans="1:14" ht="43.5" hidden="1" customHeight="1" x14ac:dyDescent="0.25">
      <c r="A243" s="30">
        <v>345</v>
      </c>
      <c r="B243" s="31"/>
      <c r="C243" s="32"/>
      <c r="D243" s="33"/>
      <c r="E243" s="33"/>
      <c r="F243" s="32"/>
      <c r="G243" s="32"/>
      <c r="H243" s="32"/>
      <c r="I243" s="32"/>
      <c r="J243" s="32"/>
      <c r="K243" s="33"/>
      <c r="L243" s="36"/>
      <c r="M243" s="32"/>
      <c r="N243" s="32"/>
    </row>
    <row r="244" spans="1:14" ht="43.5" hidden="1" customHeight="1" x14ac:dyDescent="0.25">
      <c r="A244" s="30">
        <v>345</v>
      </c>
      <c r="B244" s="31"/>
      <c r="C244" s="32"/>
      <c r="D244" s="33"/>
      <c r="E244" s="33"/>
      <c r="F244" s="32"/>
      <c r="G244" s="32"/>
      <c r="H244" s="32"/>
      <c r="I244" s="32"/>
      <c r="J244" s="32"/>
      <c r="K244" s="33"/>
      <c r="L244" s="36"/>
      <c r="M244" s="32"/>
      <c r="N244" s="32"/>
    </row>
    <row r="245" spans="1:14" ht="43.5" hidden="1" customHeight="1" x14ac:dyDescent="0.25">
      <c r="A245" s="30">
        <v>345</v>
      </c>
      <c r="B245" s="31"/>
      <c r="C245" s="32"/>
      <c r="D245" s="33"/>
      <c r="E245" s="33"/>
      <c r="F245" s="32"/>
      <c r="G245" s="32"/>
      <c r="H245" s="32"/>
      <c r="I245" s="32"/>
      <c r="J245" s="32"/>
      <c r="K245" s="33"/>
      <c r="L245" s="36"/>
      <c r="M245" s="32"/>
      <c r="N245" s="32"/>
    </row>
    <row r="246" spans="1:14" ht="43.5" hidden="1" customHeight="1" x14ac:dyDescent="0.25">
      <c r="A246" s="30">
        <v>345</v>
      </c>
      <c r="B246" s="31"/>
      <c r="C246" s="32"/>
      <c r="D246" s="33"/>
      <c r="E246" s="33"/>
      <c r="F246" s="32"/>
      <c r="G246" s="32"/>
      <c r="H246" s="32"/>
      <c r="I246" s="32"/>
      <c r="J246" s="32"/>
      <c r="K246" s="33"/>
      <c r="L246" s="36"/>
      <c r="M246" s="32"/>
      <c r="N246" s="32"/>
    </row>
    <row r="247" spans="1:14" ht="43.5" hidden="1" customHeight="1" x14ac:dyDescent="0.25">
      <c r="A247" s="30">
        <v>345</v>
      </c>
      <c r="B247" s="31"/>
      <c r="C247" s="32"/>
      <c r="D247" s="33"/>
      <c r="E247" s="33"/>
      <c r="F247" s="32"/>
      <c r="G247" s="32"/>
      <c r="H247" s="32"/>
      <c r="I247" s="32"/>
      <c r="J247" s="32"/>
      <c r="K247" s="33"/>
      <c r="L247" s="36"/>
      <c r="M247" s="32"/>
      <c r="N247" s="32"/>
    </row>
    <row r="248" spans="1:14" ht="43.5" hidden="1" customHeight="1" x14ac:dyDescent="0.25">
      <c r="A248" s="30">
        <v>345</v>
      </c>
      <c r="B248" s="31"/>
      <c r="C248" s="32"/>
      <c r="D248" s="33"/>
      <c r="E248" s="33"/>
      <c r="F248" s="32"/>
      <c r="G248" s="32"/>
      <c r="H248" s="32"/>
      <c r="I248" s="32"/>
      <c r="J248" s="32"/>
      <c r="K248" s="33"/>
      <c r="L248" s="36"/>
      <c r="M248" s="32"/>
      <c r="N248" s="32"/>
    </row>
    <row r="249" spans="1:14" ht="43.5" hidden="1" customHeight="1" x14ac:dyDescent="0.25">
      <c r="A249" s="30">
        <v>345</v>
      </c>
      <c r="B249" s="31"/>
      <c r="C249" s="32"/>
      <c r="D249" s="33"/>
      <c r="E249" s="33"/>
      <c r="F249" s="32"/>
      <c r="G249" s="32"/>
      <c r="H249" s="32"/>
      <c r="I249" s="32"/>
      <c r="J249" s="32"/>
      <c r="K249" s="33"/>
      <c r="L249" s="36"/>
      <c r="M249" s="32"/>
      <c r="N249" s="32"/>
    </row>
    <row r="250" spans="1:14" ht="43.5" hidden="1" customHeight="1" x14ac:dyDescent="0.25">
      <c r="A250" s="30">
        <v>345</v>
      </c>
      <c r="B250" s="31"/>
      <c r="C250" s="32"/>
      <c r="D250" s="33"/>
      <c r="E250" s="33"/>
      <c r="F250" s="32"/>
      <c r="G250" s="32"/>
      <c r="H250" s="32"/>
      <c r="I250" s="32"/>
      <c r="J250" s="32"/>
      <c r="K250" s="33"/>
      <c r="L250" s="36"/>
      <c r="M250" s="32"/>
      <c r="N250" s="32"/>
    </row>
    <row r="251" spans="1:14" ht="43.5" hidden="1" customHeight="1" x14ac:dyDescent="0.25">
      <c r="A251" s="30">
        <v>345</v>
      </c>
      <c r="B251" s="31"/>
      <c r="C251" s="32"/>
      <c r="D251" s="33"/>
      <c r="E251" s="33"/>
      <c r="F251" s="32"/>
      <c r="G251" s="32"/>
      <c r="H251" s="32"/>
      <c r="I251" s="32"/>
      <c r="J251" s="32"/>
      <c r="K251" s="33"/>
      <c r="L251" s="36"/>
      <c r="M251" s="32"/>
      <c r="N251" s="32"/>
    </row>
    <row r="252" spans="1:14" ht="43.5" hidden="1" customHeight="1" x14ac:dyDescent="0.25">
      <c r="A252" s="30">
        <v>345</v>
      </c>
      <c r="B252" s="31"/>
      <c r="C252" s="32"/>
      <c r="D252" s="33"/>
      <c r="E252" s="33"/>
      <c r="F252" s="32"/>
      <c r="G252" s="32"/>
      <c r="H252" s="32"/>
      <c r="I252" s="32"/>
      <c r="J252" s="32"/>
      <c r="K252" s="33"/>
      <c r="L252" s="36"/>
      <c r="M252" s="32"/>
      <c r="N252" s="32"/>
    </row>
    <row r="253" spans="1:14" ht="43.5" hidden="1" customHeight="1" x14ac:dyDescent="0.25">
      <c r="A253" s="30">
        <v>345</v>
      </c>
      <c r="B253" s="31"/>
      <c r="C253" s="32"/>
      <c r="D253" s="33"/>
      <c r="E253" s="33"/>
      <c r="F253" s="32"/>
      <c r="G253" s="32"/>
      <c r="H253" s="32"/>
      <c r="I253" s="32"/>
      <c r="J253" s="32"/>
      <c r="K253" s="33"/>
      <c r="L253" s="36"/>
      <c r="M253" s="32"/>
      <c r="N253" s="32"/>
    </row>
    <row r="254" spans="1:14" ht="43.5" hidden="1" customHeight="1" x14ac:dyDescent="0.25">
      <c r="A254" s="30">
        <v>345</v>
      </c>
      <c r="B254" s="31"/>
      <c r="C254" s="32"/>
      <c r="D254" s="33"/>
      <c r="E254" s="33"/>
      <c r="F254" s="32"/>
      <c r="G254" s="32"/>
      <c r="H254" s="32"/>
      <c r="I254" s="32"/>
      <c r="J254" s="32"/>
      <c r="K254" s="33"/>
      <c r="L254" s="36"/>
      <c r="M254" s="32"/>
      <c r="N254" s="32"/>
    </row>
    <row r="255" spans="1:14" ht="43.5" hidden="1" customHeight="1" x14ac:dyDescent="0.25">
      <c r="A255" s="30">
        <v>345</v>
      </c>
      <c r="B255" s="31"/>
      <c r="C255" s="32"/>
      <c r="D255" s="33"/>
      <c r="E255" s="33"/>
      <c r="F255" s="32"/>
      <c r="G255" s="32"/>
      <c r="H255" s="32"/>
      <c r="I255" s="32"/>
      <c r="J255" s="32"/>
      <c r="K255" s="33"/>
      <c r="L255" s="36"/>
      <c r="M255" s="32"/>
      <c r="N255" s="32"/>
    </row>
    <row r="256" spans="1:14" ht="43.5" hidden="1" customHeight="1" x14ac:dyDescent="0.25">
      <c r="A256" s="30">
        <v>345</v>
      </c>
      <c r="B256" s="31"/>
      <c r="C256" s="32"/>
      <c r="D256" s="33"/>
      <c r="E256" s="33"/>
      <c r="F256" s="32"/>
      <c r="G256" s="32"/>
      <c r="H256" s="32"/>
      <c r="I256" s="32"/>
      <c r="J256" s="32"/>
      <c r="K256" s="33"/>
      <c r="L256" s="36"/>
      <c r="M256" s="32"/>
      <c r="N256" s="32"/>
    </row>
    <row r="257" spans="1:14" ht="43.5" hidden="1" customHeight="1" x14ac:dyDescent="0.25">
      <c r="A257" s="30">
        <v>345</v>
      </c>
      <c r="B257" s="31"/>
      <c r="C257" s="32"/>
      <c r="D257" s="33"/>
      <c r="E257" s="33"/>
      <c r="F257" s="32"/>
      <c r="G257" s="32"/>
      <c r="H257" s="32"/>
      <c r="I257" s="32"/>
      <c r="J257" s="32"/>
      <c r="K257" s="33"/>
      <c r="L257" s="36"/>
      <c r="M257" s="32"/>
      <c r="N257" s="32"/>
    </row>
    <row r="258" spans="1:14" ht="43.5" hidden="1" customHeight="1" x14ac:dyDescent="0.25">
      <c r="A258" s="30">
        <v>345</v>
      </c>
      <c r="B258" s="31"/>
      <c r="C258" s="32"/>
      <c r="D258" s="33"/>
      <c r="E258" s="33"/>
      <c r="F258" s="32"/>
      <c r="G258" s="32"/>
      <c r="H258" s="32"/>
      <c r="I258" s="32"/>
      <c r="J258" s="32"/>
      <c r="K258" s="33"/>
      <c r="L258" s="36"/>
      <c r="M258" s="32"/>
      <c r="N258" s="32"/>
    </row>
    <row r="259" spans="1:14" ht="43.5" hidden="1" customHeight="1" x14ac:dyDescent="0.25">
      <c r="A259" s="30">
        <v>345</v>
      </c>
      <c r="B259" s="31"/>
      <c r="C259" s="32"/>
      <c r="D259" s="33"/>
      <c r="E259" s="33"/>
      <c r="F259" s="32"/>
      <c r="G259" s="32"/>
      <c r="H259" s="32"/>
      <c r="I259" s="32"/>
      <c r="J259" s="32"/>
      <c r="K259" s="33"/>
      <c r="L259" s="36"/>
      <c r="M259" s="32"/>
      <c r="N259" s="32"/>
    </row>
    <row r="260" spans="1:14" ht="43.5" hidden="1" customHeight="1" x14ac:dyDescent="0.25">
      <c r="A260" s="30">
        <v>345</v>
      </c>
      <c r="B260" s="31"/>
      <c r="C260" s="32"/>
      <c r="D260" s="33"/>
      <c r="E260" s="33"/>
      <c r="F260" s="32"/>
      <c r="G260" s="32"/>
      <c r="H260" s="32"/>
      <c r="I260" s="32"/>
      <c r="J260" s="32"/>
      <c r="K260" s="33"/>
      <c r="L260" s="36"/>
      <c r="M260" s="32"/>
      <c r="N260" s="32"/>
    </row>
    <row r="261" spans="1:14" ht="43.5" hidden="1" customHeight="1" x14ac:dyDescent="0.25">
      <c r="A261" s="30">
        <v>345</v>
      </c>
      <c r="B261" s="31"/>
      <c r="C261" s="32"/>
      <c r="D261" s="33"/>
      <c r="E261" s="33"/>
      <c r="F261" s="32"/>
      <c r="G261" s="32"/>
      <c r="H261" s="32"/>
      <c r="I261" s="32"/>
      <c r="J261" s="32"/>
      <c r="K261" s="33"/>
      <c r="L261" s="36"/>
      <c r="M261" s="32"/>
      <c r="N261" s="32"/>
    </row>
    <row r="262" spans="1:14" ht="43.5" hidden="1" customHeight="1" x14ac:dyDescent="0.25">
      <c r="A262" s="30">
        <v>345</v>
      </c>
      <c r="B262" s="31"/>
      <c r="C262" s="32"/>
      <c r="D262" s="33"/>
      <c r="E262" s="33"/>
      <c r="F262" s="32"/>
      <c r="G262" s="32"/>
      <c r="H262" s="32"/>
      <c r="I262" s="32"/>
      <c r="J262" s="32"/>
      <c r="K262" s="33"/>
      <c r="L262" s="36"/>
      <c r="M262" s="32"/>
      <c r="N262" s="32"/>
    </row>
    <row r="263" spans="1:14" ht="43.5" hidden="1" customHeight="1" x14ac:dyDescent="0.25">
      <c r="A263" s="30">
        <v>345</v>
      </c>
      <c r="B263" s="31"/>
      <c r="C263" s="32"/>
      <c r="D263" s="33"/>
      <c r="E263" s="33"/>
      <c r="F263" s="32"/>
      <c r="G263" s="32"/>
      <c r="H263" s="32"/>
      <c r="I263" s="32"/>
      <c r="J263" s="32"/>
      <c r="K263" s="33"/>
      <c r="L263" s="36"/>
      <c r="M263" s="32"/>
      <c r="N263" s="32"/>
    </row>
    <row r="264" spans="1:14" ht="43.5" hidden="1" customHeight="1" x14ac:dyDescent="0.25">
      <c r="A264" s="30">
        <v>345</v>
      </c>
      <c r="B264" s="31"/>
      <c r="C264" s="32"/>
      <c r="D264" s="33"/>
      <c r="E264" s="33"/>
      <c r="F264" s="32"/>
      <c r="G264" s="32"/>
      <c r="H264" s="32"/>
      <c r="I264" s="32"/>
      <c r="J264" s="32"/>
      <c r="K264" s="33"/>
      <c r="L264" s="36"/>
      <c r="M264" s="32"/>
      <c r="N264" s="32"/>
    </row>
    <row r="265" spans="1:14" ht="43.5" hidden="1" customHeight="1" x14ac:dyDescent="0.25">
      <c r="A265" s="30">
        <v>345</v>
      </c>
      <c r="B265" s="31"/>
      <c r="C265" s="32"/>
      <c r="D265" s="33"/>
      <c r="E265" s="33"/>
      <c r="F265" s="32"/>
      <c r="G265" s="32"/>
      <c r="H265" s="32"/>
      <c r="I265" s="32"/>
      <c r="J265" s="32"/>
      <c r="K265" s="33"/>
      <c r="L265" s="36"/>
      <c r="M265" s="32"/>
      <c r="N265" s="32"/>
    </row>
    <row r="266" spans="1:14" ht="43.5" hidden="1" customHeight="1" x14ac:dyDescent="0.25">
      <c r="A266" s="30">
        <v>345</v>
      </c>
      <c r="B266" s="31"/>
      <c r="C266" s="32"/>
      <c r="D266" s="33"/>
      <c r="E266" s="33"/>
      <c r="F266" s="32"/>
      <c r="G266" s="32"/>
      <c r="H266" s="32"/>
      <c r="I266" s="32"/>
      <c r="J266" s="32"/>
      <c r="K266" s="33"/>
      <c r="L266" s="36"/>
      <c r="M266" s="32"/>
      <c r="N266" s="32"/>
    </row>
    <row r="267" spans="1:14" ht="43.5" hidden="1" customHeight="1" x14ac:dyDescent="0.25">
      <c r="A267" s="30">
        <v>345</v>
      </c>
      <c r="B267" s="31"/>
      <c r="C267" s="32"/>
      <c r="D267" s="33"/>
      <c r="E267" s="33"/>
      <c r="F267" s="32"/>
      <c r="G267" s="32"/>
      <c r="H267" s="32"/>
      <c r="I267" s="32"/>
      <c r="J267" s="32"/>
      <c r="K267" s="33"/>
      <c r="L267" s="36"/>
      <c r="M267" s="32"/>
      <c r="N267" s="32"/>
    </row>
    <row r="268" spans="1:14" ht="43.5" hidden="1" customHeight="1" x14ac:dyDescent="0.25">
      <c r="A268" s="30">
        <v>345</v>
      </c>
      <c r="B268" s="31"/>
      <c r="C268" s="32"/>
      <c r="D268" s="33"/>
      <c r="E268" s="33"/>
      <c r="F268" s="32"/>
      <c r="G268" s="32"/>
      <c r="H268" s="32"/>
      <c r="I268" s="32"/>
      <c r="J268" s="32"/>
      <c r="K268" s="33"/>
      <c r="L268" s="36"/>
      <c r="M268" s="32"/>
      <c r="N268" s="32"/>
    </row>
    <row r="269" spans="1:14" ht="43.5" hidden="1" customHeight="1" x14ac:dyDescent="0.25">
      <c r="A269" s="30">
        <v>345</v>
      </c>
      <c r="B269" s="31"/>
      <c r="C269" s="32"/>
      <c r="D269" s="33"/>
      <c r="E269" s="33"/>
      <c r="F269" s="32"/>
      <c r="G269" s="32"/>
      <c r="H269" s="32"/>
      <c r="I269" s="32"/>
      <c r="J269" s="32"/>
      <c r="K269" s="33"/>
      <c r="L269" s="36"/>
      <c r="M269" s="32"/>
      <c r="N269" s="32"/>
    </row>
    <row r="270" spans="1:14" ht="43.5" hidden="1" customHeight="1" x14ac:dyDescent="0.25">
      <c r="A270" s="30">
        <v>345</v>
      </c>
      <c r="B270" s="31"/>
      <c r="C270" s="32"/>
      <c r="D270" s="33"/>
      <c r="E270" s="33"/>
      <c r="F270" s="32"/>
      <c r="G270" s="32"/>
      <c r="H270" s="32"/>
      <c r="I270" s="32"/>
      <c r="J270" s="32"/>
      <c r="K270" s="33"/>
      <c r="L270" s="36"/>
      <c r="M270" s="32"/>
      <c r="N270" s="32"/>
    </row>
    <row r="271" spans="1:14" ht="43.5" hidden="1" customHeight="1" x14ac:dyDescent="0.25">
      <c r="A271" s="30">
        <v>345</v>
      </c>
      <c r="B271" s="31"/>
      <c r="C271" s="32"/>
      <c r="D271" s="33"/>
      <c r="E271" s="33"/>
      <c r="F271" s="32"/>
      <c r="G271" s="32"/>
      <c r="H271" s="32"/>
      <c r="I271" s="32"/>
      <c r="J271" s="32"/>
      <c r="K271" s="33"/>
      <c r="L271" s="36"/>
      <c r="M271" s="32"/>
      <c r="N271" s="32"/>
    </row>
    <row r="272" spans="1:14" ht="43.5" hidden="1" customHeight="1" x14ac:dyDescent="0.25">
      <c r="A272" s="30">
        <v>345</v>
      </c>
      <c r="B272" s="31"/>
      <c r="C272" s="32"/>
      <c r="D272" s="33"/>
      <c r="E272" s="33"/>
      <c r="F272" s="32"/>
      <c r="G272" s="32"/>
      <c r="H272" s="32"/>
      <c r="I272" s="32"/>
      <c r="J272" s="32"/>
      <c r="K272" s="33"/>
      <c r="L272" s="36"/>
      <c r="M272" s="32"/>
      <c r="N272" s="32"/>
    </row>
    <row r="273" spans="1:14" ht="43.5" hidden="1" customHeight="1" x14ac:dyDescent="0.25">
      <c r="A273" s="30">
        <v>345</v>
      </c>
      <c r="B273" s="31"/>
      <c r="C273" s="32"/>
      <c r="D273" s="33"/>
      <c r="E273" s="33"/>
      <c r="F273" s="32"/>
      <c r="G273" s="32"/>
      <c r="H273" s="32"/>
      <c r="I273" s="32"/>
      <c r="J273" s="32"/>
      <c r="K273" s="33"/>
      <c r="L273" s="36"/>
      <c r="M273" s="32"/>
      <c r="N273" s="32"/>
    </row>
    <row r="274" spans="1:14" ht="43.5" hidden="1" customHeight="1" x14ac:dyDescent="0.25">
      <c r="A274" s="30">
        <v>345</v>
      </c>
      <c r="B274" s="31"/>
      <c r="C274" s="32"/>
      <c r="D274" s="33"/>
      <c r="E274" s="33"/>
      <c r="F274" s="32"/>
      <c r="G274" s="32"/>
      <c r="H274" s="32"/>
      <c r="I274" s="32"/>
      <c r="J274" s="32"/>
      <c r="K274" s="33"/>
      <c r="L274" s="36"/>
      <c r="M274" s="32"/>
      <c r="N274" s="32"/>
    </row>
    <row r="275" spans="1:14" ht="43.5" hidden="1" customHeight="1" x14ac:dyDescent="0.25">
      <c r="A275" s="30">
        <v>345</v>
      </c>
      <c r="B275" s="31"/>
      <c r="C275" s="32"/>
      <c r="D275" s="33"/>
      <c r="E275" s="33"/>
      <c r="F275" s="32"/>
      <c r="G275" s="32"/>
      <c r="H275" s="32"/>
      <c r="I275" s="32"/>
      <c r="J275" s="32"/>
      <c r="K275" s="33"/>
      <c r="L275" s="36"/>
      <c r="M275" s="32"/>
      <c r="N275" s="32"/>
    </row>
    <row r="276" spans="1:14" ht="43.5" hidden="1" customHeight="1" x14ac:dyDescent="0.25">
      <c r="A276" s="30">
        <v>345</v>
      </c>
      <c r="B276" s="31"/>
      <c r="C276" s="32"/>
      <c r="D276" s="33"/>
      <c r="E276" s="33"/>
      <c r="F276" s="32"/>
      <c r="G276" s="32"/>
      <c r="H276" s="32"/>
      <c r="I276" s="32"/>
      <c r="J276" s="32"/>
      <c r="K276" s="33"/>
      <c r="L276" s="36"/>
      <c r="M276" s="32"/>
      <c r="N276" s="32"/>
    </row>
    <row r="277" spans="1:14" ht="43.5" hidden="1" customHeight="1" x14ac:dyDescent="0.25">
      <c r="A277" s="30">
        <v>345</v>
      </c>
      <c r="B277" s="31"/>
      <c r="C277" s="32"/>
      <c r="D277" s="33"/>
      <c r="E277" s="33"/>
      <c r="F277" s="32"/>
      <c r="G277" s="32"/>
      <c r="H277" s="32"/>
      <c r="I277" s="32"/>
      <c r="J277" s="32"/>
      <c r="K277" s="33"/>
      <c r="L277" s="36"/>
      <c r="M277" s="32"/>
      <c r="N277" s="32"/>
    </row>
    <row r="278" spans="1:14" ht="43.5" hidden="1" customHeight="1" x14ac:dyDescent="0.25">
      <c r="A278" s="30">
        <v>345</v>
      </c>
      <c r="B278" s="31"/>
      <c r="C278" s="32"/>
      <c r="D278" s="33"/>
      <c r="E278" s="33"/>
      <c r="F278" s="32"/>
      <c r="G278" s="32"/>
      <c r="H278" s="32"/>
      <c r="I278" s="32"/>
      <c r="J278" s="32"/>
      <c r="K278" s="33"/>
      <c r="L278" s="36"/>
      <c r="M278" s="32"/>
      <c r="N278" s="32"/>
    </row>
    <row r="279" spans="1:14" ht="43.5" hidden="1" customHeight="1" x14ac:dyDescent="0.25">
      <c r="A279" s="30">
        <v>345</v>
      </c>
      <c r="B279" s="31"/>
      <c r="C279" s="32"/>
      <c r="D279" s="33"/>
      <c r="E279" s="33"/>
      <c r="F279" s="32"/>
      <c r="G279" s="32"/>
      <c r="H279" s="32"/>
      <c r="I279" s="32"/>
      <c r="J279" s="32"/>
      <c r="K279" s="33"/>
      <c r="L279" s="36"/>
      <c r="M279" s="32"/>
      <c r="N279" s="32"/>
    </row>
    <row r="280" spans="1:14" ht="43.5" hidden="1" customHeight="1" x14ac:dyDescent="0.25">
      <c r="A280" s="30">
        <v>345</v>
      </c>
      <c r="B280" s="31"/>
      <c r="C280" s="32"/>
      <c r="D280" s="33"/>
      <c r="E280" s="33"/>
      <c r="F280" s="32"/>
      <c r="G280" s="32"/>
      <c r="H280" s="32"/>
      <c r="I280" s="32"/>
      <c r="J280" s="32"/>
      <c r="K280" s="33"/>
      <c r="L280" s="36"/>
      <c r="M280" s="32"/>
      <c r="N280" s="32"/>
    </row>
    <row r="281" spans="1:14" ht="43.5" hidden="1" customHeight="1" x14ac:dyDescent="0.25">
      <c r="A281" s="30">
        <v>345</v>
      </c>
      <c r="B281" s="31"/>
      <c r="C281" s="32"/>
      <c r="D281" s="33"/>
      <c r="E281" s="33"/>
      <c r="F281" s="32"/>
      <c r="G281" s="32"/>
      <c r="H281" s="32"/>
      <c r="I281" s="32"/>
      <c r="J281" s="32"/>
      <c r="K281" s="33"/>
      <c r="L281" s="36"/>
      <c r="M281" s="32"/>
      <c r="N281" s="32"/>
    </row>
    <row r="282" spans="1:14" ht="43.5" hidden="1" customHeight="1" x14ac:dyDescent="0.25">
      <c r="A282" s="30">
        <v>345</v>
      </c>
      <c r="B282" s="31"/>
      <c r="C282" s="32"/>
      <c r="D282" s="33"/>
      <c r="E282" s="33"/>
      <c r="F282" s="32"/>
      <c r="G282" s="32"/>
      <c r="H282" s="32"/>
      <c r="I282" s="32"/>
      <c r="J282" s="32"/>
      <c r="K282" s="33"/>
      <c r="L282" s="36"/>
      <c r="M282" s="32"/>
      <c r="N282" s="32"/>
    </row>
    <row r="283" spans="1:14" ht="43.5" hidden="1" customHeight="1" x14ac:dyDescent="0.25">
      <c r="A283" s="30">
        <v>345</v>
      </c>
      <c r="B283" s="31"/>
      <c r="C283" s="32"/>
      <c r="D283" s="33"/>
      <c r="E283" s="33"/>
      <c r="F283" s="32"/>
      <c r="G283" s="32"/>
      <c r="H283" s="32"/>
      <c r="I283" s="32"/>
      <c r="J283" s="32"/>
      <c r="K283" s="33"/>
      <c r="L283" s="36"/>
      <c r="M283" s="32"/>
      <c r="N283" s="32"/>
    </row>
    <row r="284" spans="1:14" ht="43.5" hidden="1" customHeight="1" x14ac:dyDescent="0.25">
      <c r="A284" s="30">
        <v>345</v>
      </c>
      <c r="B284" s="31"/>
      <c r="C284" s="32"/>
      <c r="D284" s="33"/>
      <c r="E284" s="33"/>
      <c r="F284" s="32"/>
      <c r="G284" s="32"/>
      <c r="H284" s="32"/>
      <c r="I284" s="32"/>
      <c r="J284" s="32"/>
      <c r="K284" s="33"/>
      <c r="L284" s="36"/>
      <c r="M284" s="32"/>
      <c r="N284" s="32"/>
    </row>
    <row r="285" spans="1:14" ht="43.5" hidden="1" customHeight="1" x14ac:dyDescent="0.25">
      <c r="A285" s="30">
        <v>345</v>
      </c>
      <c r="B285" s="31"/>
      <c r="C285" s="32"/>
      <c r="D285" s="33"/>
      <c r="E285" s="33"/>
      <c r="F285" s="32"/>
      <c r="G285" s="32"/>
      <c r="H285" s="32"/>
      <c r="I285" s="32"/>
      <c r="J285" s="32"/>
      <c r="K285" s="33"/>
      <c r="L285" s="36"/>
      <c r="M285" s="32"/>
      <c r="N285" s="32"/>
    </row>
    <row r="286" spans="1:14" ht="43.5" hidden="1" customHeight="1" x14ac:dyDescent="0.25">
      <c r="A286" s="30">
        <v>345</v>
      </c>
      <c r="B286" s="31"/>
      <c r="C286" s="32"/>
      <c r="D286" s="33"/>
      <c r="E286" s="33"/>
      <c r="F286" s="32"/>
      <c r="G286" s="32"/>
      <c r="H286" s="32"/>
      <c r="I286" s="32"/>
      <c r="J286" s="32"/>
      <c r="K286" s="33"/>
      <c r="L286" s="36"/>
      <c r="M286" s="32"/>
      <c r="N286" s="32"/>
    </row>
    <row r="287" spans="1:14" ht="43.5" hidden="1" customHeight="1" x14ac:dyDescent="0.25">
      <c r="A287" s="30">
        <v>345</v>
      </c>
      <c r="B287" s="31"/>
      <c r="C287" s="32"/>
      <c r="D287" s="33"/>
      <c r="E287" s="33"/>
      <c r="F287" s="32"/>
      <c r="G287" s="32"/>
      <c r="H287" s="32"/>
      <c r="I287" s="32"/>
      <c r="J287" s="32"/>
      <c r="K287" s="33"/>
      <c r="L287" s="36"/>
      <c r="M287" s="32"/>
      <c r="N287" s="32"/>
    </row>
    <row r="288" spans="1:14" ht="43.5" hidden="1" customHeight="1" x14ac:dyDescent="0.25">
      <c r="A288" s="30">
        <v>345</v>
      </c>
      <c r="B288" s="31"/>
      <c r="C288" s="32"/>
      <c r="D288" s="33"/>
      <c r="E288" s="33"/>
      <c r="F288" s="32"/>
      <c r="G288" s="32"/>
      <c r="H288" s="32"/>
      <c r="I288" s="32"/>
      <c r="J288" s="32"/>
      <c r="K288" s="33"/>
      <c r="L288" s="36"/>
      <c r="M288" s="32"/>
      <c r="N288" s="32"/>
    </row>
    <row r="289" spans="1:14" ht="43.5" hidden="1" customHeight="1" x14ac:dyDescent="0.25">
      <c r="A289" s="30">
        <v>345</v>
      </c>
      <c r="B289" s="38"/>
      <c r="C289" s="9"/>
      <c r="D289" s="39"/>
      <c r="E289" s="39"/>
      <c r="F289" s="9"/>
      <c r="G289" s="9"/>
      <c r="H289" s="9"/>
      <c r="I289" s="9"/>
      <c r="J289" s="9"/>
      <c r="K289" s="39"/>
      <c r="L289" s="40"/>
      <c r="M289" s="9"/>
      <c r="N289" s="9"/>
    </row>
    <row r="290" spans="1:14" ht="49.5" customHeight="1" x14ac:dyDescent="0.25">
      <c r="A290" s="30">
        <v>171</v>
      </c>
      <c r="B290" s="31" t="s">
        <v>855</v>
      </c>
      <c r="C290" s="32">
        <v>3939</v>
      </c>
      <c r="D290" s="33">
        <v>46093</v>
      </c>
      <c r="E290" s="33" t="s">
        <v>860</v>
      </c>
      <c r="F290" s="32" t="s">
        <v>846</v>
      </c>
      <c r="G290" s="32" t="s">
        <v>382</v>
      </c>
      <c r="H290" s="32" t="s">
        <v>848</v>
      </c>
      <c r="I290" s="32" t="s">
        <v>856</v>
      </c>
      <c r="J290" s="32" t="s">
        <v>843</v>
      </c>
      <c r="K290" s="33">
        <v>46210</v>
      </c>
      <c r="L290" s="34">
        <v>46210</v>
      </c>
      <c r="M290" s="32">
        <v>2026</v>
      </c>
      <c r="N290" s="32" t="s">
        <v>928</v>
      </c>
    </row>
    <row r="291" spans="1:14" ht="49.5" customHeight="1" x14ac:dyDescent="0.25">
      <c r="A291" s="30">
        <v>171</v>
      </c>
      <c r="B291" s="31" t="s">
        <v>857</v>
      </c>
      <c r="C291" s="32">
        <v>3677</v>
      </c>
      <c r="D291" s="33">
        <v>45813</v>
      </c>
      <c r="E291" s="33" t="s">
        <v>862</v>
      </c>
      <c r="F291" s="32" t="s">
        <v>35</v>
      </c>
      <c r="G291" s="32" t="s">
        <v>92</v>
      </c>
      <c r="H291" s="32" t="s">
        <v>848</v>
      </c>
      <c r="I291" s="32" t="s">
        <v>856</v>
      </c>
      <c r="J291" s="32" t="s">
        <v>843</v>
      </c>
      <c r="K291" s="33">
        <v>46210</v>
      </c>
      <c r="L291" s="34">
        <v>46210</v>
      </c>
      <c r="M291" s="32">
        <v>2026</v>
      </c>
      <c r="N291" s="32" t="s">
        <v>928</v>
      </c>
    </row>
    <row r="292" spans="1:14" ht="49.5" customHeight="1" x14ac:dyDescent="0.25">
      <c r="A292" s="30">
        <v>172</v>
      </c>
      <c r="B292" s="31" t="s">
        <v>863</v>
      </c>
      <c r="C292" s="32">
        <v>3847</v>
      </c>
      <c r="D292" s="33">
        <v>45995</v>
      </c>
      <c r="E292" s="33" t="s">
        <v>864</v>
      </c>
      <c r="F292" s="32" t="s">
        <v>35</v>
      </c>
      <c r="G292" s="32" t="s">
        <v>92</v>
      </c>
      <c r="H292" s="32" t="s">
        <v>848</v>
      </c>
      <c r="I292" s="32" t="s">
        <v>856</v>
      </c>
      <c r="J292" s="32" t="s">
        <v>849</v>
      </c>
      <c r="K292" s="33">
        <v>46216</v>
      </c>
      <c r="L292" s="34">
        <v>46216</v>
      </c>
      <c r="M292" s="32">
        <v>2026</v>
      </c>
      <c r="N292" s="32" t="s">
        <v>928</v>
      </c>
    </row>
    <row r="293" spans="1:14" ht="49.5" customHeight="1" x14ac:dyDescent="0.25">
      <c r="A293" s="30">
        <v>173</v>
      </c>
      <c r="B293" s="31" t="s">
        <v>853</v>
      </c>
      <c r="C293" s="32">
        <v>3940</v>
      </c>
      <c r="D293" s="33">
        <v>46093</v>
      </c>
      <c r="E293" s="33" t="s">
        <v>860</v>
      </c>
      <c r="F293" s="32" t="s">
        <v>858</v>
      </c>
      <c r="G293" s="32" t="s">
        <v>92</v>
      </c>
      <c r="H293" s="32" t="s">
        <v>848</v>
      </c>
      <c r="I293" s="32" t="s">
        <v>856</v>
      </c>
      <c r="J293" s="32" t="s">
        <v>843</v>
      </c>
      <c r="K293" s="33">
        <v>46216</v>
      </c>
      <c r="L293" s="34">
        <v>46216</v>
      </c>
      <c r="M293" s="32">
        <v>2026</v>
      </c>
      <c r="N293" s="32" t="s">
        <v>928</v>
      </c>
    </row>
    <row r="294" spans="1:14" ht="49.5" customHeight="1" x14ac:dyDescent="0.25">
      <c r="A294" s="30">
        <v>174</v>
      </c>
      <c r="B294" s="31" t="s">
        <v>865</v>
      </c>
      <c r="C294" s="32">
        <v>3377</v>
      </c>
      <c r="D294" s="33">
        <v>45415</v>
      </c>
      <c r="E294" s="33" t="s">
        <v>866</v>
      </c>
      <c r="F294" s="32" t="s">
        <v>846</v>
      </c>
      <c r="G294" s="32" t="s">
        <v>92</v>
      </c>
      <c r="H294" s="32" t="s">
        <v>848</v>
      </c>
      <c r="I294" s="32" t="s">
        <v>856</v>
      </c>
      <c r="J294" s="32" t="s">
        <v>849</v>
      </c>
      <c r="K294" s="33">
        <v>46216</v>
      </c>
      <c r="L294" s="34">
        <v>46216</v>
      </c>
      <c r="M294" s="32">
        <v>2026</v>
      </c>
      <c r="N294" s="32" t="s">
        <v>928</v>
      </c>
    </row>
    <row r="295" spans="1:14" ht="49.5" customHeight="1" x14ac:dyDescent="0.25">
      <c r="A295" s="30">
        <v>175</v>
      </c>
      <c r="B295" s="31" t="s">
        <v>867</v>
      </c>
      <c r="C295" s="32">
        <v>3717</v>
      </c>
      <c r="D295" s="33">
        <v>45787</v>
      </c>
      <c r="E295" s="33" t="s">
        <v>868</v>
      </c>
      <c r="F295" s="32" t="s">
        <v>74</v>
      </c>
      <c r="G295" s="32" t="s">
        <v>92</v>
      </c>
      <c r="H295" s="32" t="s">
        <v>848</v>
      </c>
      <c r="I295" s="32" t="s">
        <v>856</v>
      </c>
      <c r="J295" s="32" t="s">
        <v>849</v>
      </c>
      <c r="K295" s="33">
        <v>46220</v>
      </c>
      <c r="L295" s="34">
        <v>46220</v>
      </c>
      <c r="M295" s="32">
        <v>2026</v>
      </c>
      <c r="N295" s="35" t="s">
        <v>929</v>
      </c>
    </row>
    <row r="296" spans="1:14" ht="49.5" customHeight="1" x14ac:dyDescent="0.25">
      <c r="A296" s="30">
        <v>176</v>
      </c>
      <c r="B296" s="31" t="s">
        <v>869</v>
      </c>
      <c r="C296" s="32">
        <v>2252</v>
      </c>
      <c r="D296" s="33">
        <v>43955</v>
      </c>
      <c r="E296" s="33" t="s">
        <v>870</v>
      </c>
      <c r="F296" s="32" t="s">
        <v>846</v>
      </c>
      <c r="G296" s="32" t="s">
        <v>92</v>
      </c>
      <c r="H296" s="32" t="s">
        <v>848</v>
      </c>
      <c r="I296" s="32" t="s">
        <v>856</v>
      </c>
      <c r="J296" s="32" t="s">
        <v>849</v>
      </c>
      <c r="K296" s="33">
        <v>46220</v>
      </c>
      <c r="L296" s="34">
        <v>46225</v>
      </c>
      <c r="M296" s="32">
        <v>2026</v>
      </c>
      <c r="N296" s="35" t="s">
        <v>929</v>
      </c>
    </row>
    <row r="297" spans="1:14" ht="49.5" customHeight="1" x14ac:dyDescent="0.25">
      <c r="A297" s="30">
        <v>177</v>
      </c>
      <c r="B297" s="31" t="s">
        <v>851</v>
      </c>
      <c r="C297" s="32">
        <v>3451</v>
      </c>
      <c r="D297" s="33">
        <v>45509</v>
      </c>
      <c r="E297" s="33" t="s">
        <v>866</v>
      </c>
      <c r="F297" s="32" t="s">
        <v>846</v>
      </c>
      <c r="G297" s="32" t="s">
        <v>92</v>
      </c>
      <c r="H297" s="32" t="s">
        <v>848</v>
      </c>
      <c r="I297" s="32" t="s">
        <v>856</v>
      </c>
      <c r="J297" s="32" t="s">
        <v>849</v>
      </c>
      <c r="K297" s="33">
        <v>46220</v>
      </c>
      <c r="L297" s="34">
        <v>46219</v>
      </c>
      <c r="M297" s="32">
        <v>2026</v>
      </c>
      <c r="N297" s="35" t="s">
        <v>929</v>
      </c>
    </row>
    <row r="298" spans="1:14" ht="49.5" customHeight="1" x14ac:dyDescent="0.25">
      <c r="A298" s="30">
        <v>178</v>
      </c>
      <c r="B298" s="31" t="s">
        <v>871</v>
      </c>
      <c r="C298" s="32">
        <v>3918</v>
      </c>
      <c r="D298" s="33">
        <v>46073</v>
      </c>
      <c r="E298" s="33" t="s">
        <v>872</v>
      </c>
      <c r="F298" s="32" t="s">
        <v>846</v>
      </c>
      <c r="G298" s="32" t="s">
        <v>92</v>
      </c>
      <c r="H298" s="32" t="s">
        <v>848</v>
      </c>
      <c r="I298" s="32" t="s">
        <v>856</v>
      </c>
      <c r="J298" s="32" t="s">
        <v>849</v>
      </c>
      <c r="K298" s="33">
        <v>46220</v>
      </c>
      <c r="L298" s="34">
        <v>46225</v>
      </c>
      <c r="M298" s="32">
        <v>2026</v>
      </c>
      <c r="N298" s="32" t="s">
        <v>928</v>
      </c>
    </row>
    <row r="299" spans="1:14" ht="49.5" customHeight="1" x14ac:dyDescent="0.25">
      <c r="A299" s="30">
        <v>179</v>
      </c>
      <c r="B299" s="31" t="s">
        <v>873</v>
      </c>
      <c r="C299" s="32">
        <v>3226</v>
      </c>
      <c r="D299" s="33">
        <v>45182</v>
      </c>
      <c r="E299" s="33" t="s">
        <v>866</v>
      </c>
      <c r="F299" s="32" t="s">
        <v>846</v>
      </c>
      <c r="G299" s="32" t="s">
        <v>92</v>
      </c>
      <c r="H299" s="32" t="s">
        <v>848</v>
      </c>
      <c r="I299" s="32" t="s">
        <v>856</v>
      </c>
      <c r="J299" s="32" t="s">
        <v>849</v>
      </c>
      <c r="K299" s="33">
        <v>46220</v>
      </c>
      <c r="L299" s="34">
        <v>46207</v>
      </c>
      <c r="M299" s="32">
        <v>2026</v>
      </c>
      <c r="N299" s="32" t="s">
        <v>928</v>
      </c>
    </row>
    <row r="300" spans="1:14" ht="49.5" customHeight="1" x14ac:dyDescent="0.25">
      <c r="A300" s="30">
        <v>180</v>
      </c>
      <c r="B300" s="31" t="s">
        <v>859</v>
      </c>
      <c r="C300" s="32">
        <v>3876</v>
      </c>
      <c r="D300" s="33">
        <v>46030</v>
      </c>
      <c r="E300" s="33" t="s">
        <v>874</v>
      </c>
      <c r="F300" s="32" t="s">
        <v>846</v>
      </c>
      <c r="G300" s="32" t="s">
        <v>92</v>
      </c>
      <c r="H300" s="32" t="s">
        <v>848</v>
      </c>
      <c r="I300" s="32" t="s">
        <v>856</v>
      </c>
      <c r="J300" s="32" t="s">
        <v>849</v>
      </c>
      <c r="K300" s="33">
        <v>46220</v>
      </c>
      <c r="L300" s="34">
        <v>46225</v>
      </c>
      <c r="M300" s="32">
        <v>2026</v>
      </c>
      <c r="N300" s="32" t="s">
        <v>928</v>
      </c>
    </row>
    <row r="301" spans="1:14" ht="49.5" customHeight="1" x14ac:dyDescent="0.25">
      <c r="A301" s="30">
        <v>181</v>
      </c>
      <c r="B301" s="31" t="s">
        <v>875</v>
      </c>
      <c r="C301" s="32">
        <v>3846</v>
      </c>
      <c r="D301" s="33">
        <v>46360</v>
      </c>
      <c r="E301" s="33" t="s">
        <v>876</v>
      </c>
      <c r="F301" s="32" t="s">
        <v>846</v>
      </c>
      <c r="G301" s="32" t="s">
        <v>92</v>
      </c>
      <c r="H301" s="32" t="s">
        <v>848</v>
      </c>
      <c r="I301" s="32" t="s">
        <v>856</v>
      </c>
      <c r="J301" s="32" t="s">
        <v>849</v>
      </c>
      <c r="K301" s="33">
        <v>46220</v>
      </c>
      <c r="L301" s="34">
        <v>46225</v>
      </c>
      <c r="M301" s="32">
        <v>2026</v>
      </c>
      <c r="N301" s="35" t="s">
        <v>929</v>
      </c>
    </row>
    <row r="302" spans="1:14" ht="49.5" customHeight="1" x14ac:dyDescent="0.25">
      <c r="A302" s="30">
        <v>182</v>
      </c>
      <c r="B302" s="31" t="s">
        <v>877</v>
      </c>
      <c r="C302" s="32">
        <v>3660</v>
      </c>
      <c r="D302" s="33">
        <v>46161</v>
      </c>
      <c r="E302" s="33" t="s">
        <v>878</v>
      </c>
      <c r="F302" s="32" t="s">
        <v>35</v>
      </c>
      <c r="G302" s="32" t="s">
        <v>92</v>
      </c>
      <c r="H302" s="32" t="s">
        <v>848</v>
      </c>
      <c r="I302" s="32" t="s">
        <v>856</v>
      </c>
      <c r="J302" s="32" t="s">
        <v>849</v>
      </c>
      <c r="K302" s="33">
        <v>46220</v>
      </c>
      <c r="L302" s="34">
        <v>46225</v>
      </c>
      <c r="M302" s="32">
        <v>2026</v>
      </c>
      <c r="N302" s="35" t="s">
        <v>929</v>
      </c>
    </row>
    <row r="303" spans="1:14" ht="49.5" customHeight="1" x14ac:dyDescent="0.25">
      <c r="A303" s="30">
        <v>183</v>
      </c>
      <c r="B303" s="31" t="s">
        <v>879</v>
      </c>
      <c r="C303" s="32">
        <v>3896</v>
      </c>
      <c r="D303" s="33">
        <v>46058</v>
      </c>
      <c r="E303" s="33" t="s">
        <v>880</v>
      </c>
      <c r="F303" s="32" t="s">
        <v>846</v>
      </c>
      <c r="G303" s="32" t="s">
        <v>92</v>
      </c>
      <c r="H303" s="32" t="s">
        <v>848</v>
      </c>
      <c r="I303" s="32" t="s">
        <v>856</v>
      </c>
      <c r="J303" s="32" t="s">
        <v>849</v>
      </c>
      <c r="K303" s="33">
        <v>46220</v>
      </c>
      <c r="L303" s="34">
        <v>46210</v>
      </c>
      <c r="M303" s="32">
        <v>2026</v>
      </c>
      <c r="N303" s="32" t="s">
        <v>928</v>
      </c>
    </row>
    <row r="304" spans="1:14" ht="49.5" customHeight="1" x14ac:dyDescent="0.25">
      <c r="A304" s="30">
        <v>184</v>
      </c>
      <c r="B304" s="31" t="s">
        <v>855</v>
      </c>
      <c r="C304" s="32">
        <v>3939</v>
      </c>
      <c r="D304" s="33">
        <v>46093</v>
      </c>
      <c r="E304" s="33" t="s">
        <v>881</v>
      </c>
      <c r="F304" s="32" t="s">
        <v>846</v>
      </c>
      <c r="G304" s="32" t="s">
        <v>92</v>
      </c>
      <c r="H304" s="32" t="s">
        <v>848</v>
      </c>
      <c r="I304" s="32" t="s">
        <v>856</v>
      </c>
      <c r="J304" s="32" t="s">
        <v>849</v>
      </c>
      <c r="K304" s="33">
        <v>46223</v>
      </c>
      <c r="L304" s="34">
        <v>46225</v>
      </c>
      <c r="M304" s="32">
        <v>2026</v>
      </c>
      <c r="N304" s="32" t="s">
        <v>930</v>
      </c>
    </row>
    <row r="305" spans="1:14" ht="49.5" customHeight="1" x14ac:dyDescent="0.25">
      <c r="A305" s="30">
        <v>185</v>
      </c>
      <c r="B305" s="31" t="s">
        <v>844</v>
      </c>
      <c r="C305" s="32">
        <v>3844</v>
      </c>
      <c r="D305" s="33">
        <v>45995</v>
      </c>
      <c r="E305" s="33" t="s">
        <v>882</v>
      </c>
      <c r="F305" s="32" t="s">
        <v>846</v>
      </c>
      <c r="G305" s="32" t="s">
        <v>883</v>
      </c>
      <c r="H305" s="32" t="s">
        <v>848</v>
      </c>
      <c r="I305" s="32" t="s">
        <v>856</v>
      </c>
      <c r="J305" s="32" t="s">
        <v>843</v>
      </c>
      <c r="K305" s="33">
        <v>46231</v>
      </c>
      <c r="L305" s="34">
        <v>46204</v>
      </c>
      <c r="M305" s="32">
        <v>2026</v>
      </c>
      <c r="N305" s="32" t="s">
        <v>928</v>
      </c>
    </row>
    <row r="306" spans="1:14" ht="49.5" customHeight="1" x14ac:dyDescent="0.25">
      <c r="A306" s="30">
        <v>186</v>
      </c>
      <c r="B306" s="31" t="s">
        <v>884</v>
      </c>
      <c r="C306" s="32">
        <v>3743</v>
      </c>
      <c r="D306" s="33">
        <v>45866</v>
      </c>
      <c r="E306" s="33" t="s">
        <v>878</v>
      </c>
      <c r="F306" s="32" t="s">
        <v>35</v>
      </c>
      <c r="G306" s="32" t="s">
        <v>883</v>
      </c>
      <c r="H306" s="32" t="s">
        <v>848</v>
      </c>
      <c r="I306" s="32" t="s">
        <v>856</v>
      </c>
      <c r="J306" s="32" t="s">
        <v>843</v>
      </c>
      <c r="K306" s="33">
        <v>46231</v>
      </c>
      <c r="L306" s="34">
        <v>46204</v>
      </c>
      <c r="M306" s="32">
        <v>2026</v>
      </c>
      <c r="N306" s="35" t="s">
        <v>929</v>
      </c>
    </row>
    <row r="307" spans="1:14" ht="49.5" customHeight="1" x14ac:dyDescent="0.25">
      <c r="A307" s="30">
        <v>187</v>
      </c>
      <c r="B307" s="31" t="s">
        <v>885</v>
      </c>
      <c r="C307" s="32">
        <v>3597</v>
      </c>
      <c r="D307" s="33">
        <v>45729</v>
      </c>
      <c r="E307" s="33" t="s">
        <v>886</v>
      </c>
      <c r="F307" s="32" t="s">
        <v>35</v>
      </c>
      <c r="G307" s="32" t="s">
        <v>883</v>
      </c>
      <c r="H307" s="32" t="s">
        <v>848</v>
      </c>
      <c r="I307" s="32" t="s">
        <v>856</v>
      </c>
      <c r="J307" s="32" t="s">
        <v>843</v>
      </c>
      <c r="K307" s="33">
        <v>46231</v>
      </c>
      <c r="L307" s="34">
        <v>46204</v>
      </c>
      <c r="M307" s="32">
        <v>2026</v>
      </c>
      <c r="N307" s="35" t="s">
        <v>929</v>
      </c>
    </row>
    <row r="308" spans="1:14" ht="49.5" customHeight="1" x14ac:dyDescent="0.25">
      <c r="A308" s="30">
        <v>188</v>
      </c>
      <c r="B308" s="31" t="s">
        <v>887</v>
      </c>
      <c r="C308" s="32">
        <v>3924</v>
      </c>
      <c r="D308" s="33">
        <v>46086</v>
      </c>
      <c r="E308" s="33" t="s">
        <v>888</v>
      </c>
      <c r="F308" s="32" t="s">
        <v>846</v>
      </c>
      <c r="G308" s="32" t="s">
        <v>883</v>
      </c>
      <c r="H308" s="32" t="s">
        <v>848</v>
      </c>
      <c r="I308" s="32" t="s">
        <v>856</v>
      </c>
      <c r="J308" s="32" t="s">
        <v>843</v>
      </c>
      <c r="K308" s="33">
        <v>46227</v>
      </c>
      <c r="L308" s="34">
        <v>46227</v>
      </c>
      <c r="M308" s="32">
        <v>2026</v>
      </c>
      <c r="N308" s="35" t="s">
        <v>929</v>
      </c>
    </row>
    <row r="309" spans="1:14" ht="49.5" customHeight="1" x14ac:dyDescent="0.25">
      <c r="A309" s="30">
        <v>189</v>
      </c>
      <c r="B309" s="31" t="s">
        <v>889</v>
      </c>
      <c r="C309" s="32">
        <v>3773</v>
      </c>
      <c r="D309" s="33">
        <v>45911</v>
      </c>
      <c r="E309" s="33" t="s">
        <v>890</v>
      </c>
      <c r="F309" s="32" t="s">
        <v>858</v>
      </c>
      <c r="G309" s="32" t="s">
        <v>92</v>
      </c>
      <c r="H309" s="32" t="s">
        <v>848</v>
      </c>
      <c r="I309" s="32" t="s">
        <v>856</v>
      </c>
      <c r="J309" s="32" t="s">
        <v>843</v>
      </c>
      <c r="K309" s="33">
        <v>46233</v>
      </c>
      <c r="L309" s="34">
        <v>46233</v>
      </c>
      <c r="M309" s="32">
        <v>2026</v>
      </c>
      <c r="N309" s="35" t="s">
        <v>929</v>
      </c>
    </row>
    <row r="310" spans="1:14" ht="49.5" customHeight="1" x14ac:dyDescent="0.25">
      <c r="A310" s="30">
        <v>190</v>
      </c>
      <c r="B310" s="31" t="s">
        <v>891</v>
      </c>
      <c r="C310" s="32">
        <v>4008</v>
      </c>
      <c r="D310" s="33">
        <v>46212</v>
      </c>
      <c r="E310" s="33" t="s">
        <v>892</v>
      </c>
      <c r="F310" s="32" t="s">
        <v>35</v>
      </c>
      <c r="G310" s="32" t="s">
        <v>92</v>
      </c>
      <c r="H310" s="32" t="s">
        <v>848</v>
      </c>
      <c r="I310" s="32" t="s">
        <v>856</v>
      </c>
      <c r="J310" s="32" t="s">
        <v>843</v>
      </c>
      <c r="K310" s="33">
        <v>46232</v>
      </c>
      <c r="L310" s="34">
        <v>46233</v>
      </c>
      <c r="M310" s="32">
        <v>2026</v>
      </c>
      <c r="N310" s="32" t="s">
        <v>928</v>
      </c>
    </row>
    <row r="311" spans="1:14" ht="49.5" customHeight="1" x14ac:dyDescent="0.25">
      <c r="A311" s="30">
        <v>191</v>
      </c>
      <c r="B311" s="31" t="s">
        <v>891</v>
      </c>
      <c r="C311" s="32">
        <v>4008</v>
      </c>
      <c r="D311" s="33">
        <v>46212</v>
      </c>
      <c r="E311" s="33" t="s">
        <v>892</v>
      </c>
      <c r="F311" s="32" t="s">
        <v>846</v>
      </c>
      <c r="G311" s="32" t="s">
        <v>883</v>
      </c>
      <c r="H311" s="32" t="s">
        <v>848</v>
      </c>
      <c r="I311" s="32" t="s">
        <v>856</v>
      </c>
      <c r="J311" s="32" t="s">
        <v>849</v>
      </c>
      <c r="K311" s="33">
        <v>46228</v>
      </c>
      <c r="L311" s="34">
        <v>46233</v>
      </c>
      <c r="M311" s="32">
        <v>2026</v>
      </c>
      <c r="N311" s="32" t="s">
        <v>928</v>
      </c>
    </row>
    <row r="312" spans="1:14" ht="49.5" customHeight="1" x14ac:dyDescent="0.25">
      <c r="A312" s="30">
        <v>192</v>
      </c>
      <c r="B312" s="31" t="s">
        <v>893</v>
      </c>
      <c r="C312" s="32">
        <v>3652</v>
      </c>
      <c r="D312" s="33">
        <v>46161</v>
      </c>
      <c r="E312" s="33" t="s">
        <v>894</v>
      </c>
      <c r="F312" s="32" t="s">
        <v>846</v>
      </c>
      <c r="G312" s="32" t="s">
        <v>92</v>
      </c>
      <c r="H312" s="32" t="s">
        <v>848</v>
      </c>
      <c r="I312" s="32" t="s">
        <v>856</v>
      </c>
      <c r="J312" s="32" t="s">
        <v>843</v>
      </c>
      <c r="K312" s="33">
        <v>46233</v>
      </c>
      <c r="L312" s="34">
        <v>46233</v>
      </c>
      <c r="M312" s="32">
        <v>2026</v>
      </c>
      <c r="N312" s="32" t="s">
        <v>928</v>
      </c>
    </row>
    <row r="313" spans="1:14" ht="49.5" customHeight="1" x14ac:dyDescent="0.25">
      <c r="A313" s="30">
        <v>193</v>
      </c>
      <c r="B313" s="31" t="s">
        <v>895</v>
      </c>
      <c r="C313" s="32">
        <v>3986</v>
      </c>
      <c r="D313" s="33">
        <v>46191</v>
      </c>
      <c r="E313" s="33" t="s">
        <v>896</v>
      </c>
      <c r="F313" s="32" t="s">
        <v>35</v>
      </c>
      <c r="G313" s="32" t="s">
        <v>92</v>
      </c>
      <c r="H313" s="32" t="s">
        <v>848</v>
      </c>
      <c r="I313" s="32" t="s">
        <v>856</v>
      </c>
      <c r="J313" s="32" t="s">
        <v>843</v>
      </c>
      <c r="K313" s="33">
        <v>46233</v>
      </c>
      <c r="L313" s="34">
        <v>46233</v>
      </c>
      <c r="M313" s="32">
        <v>2026</v>
      </c>
      <c r="N313" s="35" t="s">
        <v>929</v>
      </c>
    </row>
    <row r="314" spans="1:14" ht="49.5" customHeight="1" x14ac:dyDescent="0.25">
      <c r="A314" s="30">
        <v>194</v>
      </c>
      <c r="B314" s="31" t="s">
        <v>897</v>
      </c>
      <c r="C314" s="32">
        <v>3896</v>
      </c>
      <c r="D314" s="33">
        <v>46178</v>
      </c>
      <c r="E314" s="33" t="s">
        <v>896</v>
      </c>
      <c r="F314" s="32" t="s">
        <v>846</v>
      </c>
      <c r="G314" s="32" t="s">
        <v>847</v>
      </c>
      <c r="H314" s="32" t="s">
        <v>848</v>
      </c>
      <c r="I314" s="32" t="s">
        <v>856</v>
      </c>
      <c r="J314" s="32" t="s">
        <v>843</v>
      </c>
      <c r="K314" s="33">
        <v>46238</v>
      </c>
      <c r="L314" s="34">
        <v>46238</v>
      </c>
      <c r="M314" s="32">
        <v>2026</v>
      </c>
      <c r="N314" s="32" t="s">
        <v>928</v>
      </c>
    </row>
    <row r="315" spans="1:14" ht="49.5" customHeight="1" x14ac:dyDescent="0.25">
      <c r="A315" s="30">
        <v>195</v>
      </c>
      <c r="B315" s="31" t="s">
        <v>898</v>
      </c>
      <c r="C315" s="32">
        <v>4009</v>
      </c>
      <c r="D315" s="33">
        <v>46212</v>
      </c>
      <c r="E315" s="33" t="s">
        <v>899</v>
      </c>
      <c r="F315" s="32" t="s">
        <v>846</v>
      </c>
      <c r="G315" s="32" t="s">
        <v>92</v>
      </c>
      <c r="H315" s="32" t="s">
        <v>848</v>
      </c>
      <c r="I315" s="32" t="s">
        <v>856</v>
      </c>
      <c r="J315" s="32" t="s">
        <v>849</v>
      </c>
      <c r="K315" s="33">
        <v>46238</v>
      </c>
      <c r="L315" s="34">
        <v>46241</v>
      </c>
      <c r="M315" s="32">
        <v>2026</v>
      </c>
      <c r="N315" s="32" t="s">
        <v>928</v>
      </c>
    </row>
    <row r="316" spans="1:14" ht="49.5" customHeight="1" x14ac:dyDescent="0.25">
      <c r="A316" s="30"/>
      <c r="B316" s="31" t="s">
        <v>900</v>
      </c>
      <c r="C316" s="32">
        <v>3926</v>
      </c>
      <c r="D316" s="33">
        <v>46086</v>
      </c>
      <c r="E316" s="33" t="s">
        <v>888</v>
      </c>
      <c r="F316" s="32" t="s">
        <v>35</v>
      </c>
      <c r="G316" s="32" t="s">
        <v>92</v>
      </c>
      <c r="H316" s="32" t="s">
        <v>848</v>
      </c>
      <c r="I316" s="32" t="s">
        <v>856</v>
      </c>
      <c r="J316" s="32" t="s">
        <v>849</v>
      </c>
      <c r="K316" s="33">
        <v>46238</v>
      </c>
      <c r="L316" s="34">
        <v>46238</v>
      </c>
      <c r="M316" s="32">
        <v>2026</v>
      </c>
      <c r="N316" s="32" t="s">
        <v>928</v>
      </c>
    </row>
    <row r="317" spans="1:14" ht="49.5" customHeight="1" x14ac:dyDescent="0.25">
      <c r="A317" s="30"/>
      <c r="B317" s="31" t="s">
        <v>897</v>
      </c>
      <c r="C317" s="32">
        <v>3896</v>
      </c>
      <c r="D317" s="33">
        <v>46058</v>
      </c>
      <c r="E317" s="33" t="s">
        <v>901</v>
      </c>
      <c r="F317" s="32" t="s">
        <v>846</v>
      </c>
      <c r="G317" s="32" t="s">
        <v>92</v>
      </c>
      <c r="H317" s="32" t="s">
        <v>848</v>
      </c>
      <c r="I317" s="32" t="s">
        <v>856</v>
      </c>
      <c r="J317" s="32" t="s">
        <v>843</v>
      </c>
      <c r="K317" s="33">
        <v>46246</v>
      </c>
      <c r="L317" s="34">
        <v>46246</v>
      </c>
      <c r="M317" s="32" t="s">
        <v>902</v>
      </c>
      <c r="N317" s="32" t="s">
        <v>929</v>
      </c>
    </row>
    <row r="318" spans="1:14" ht="49.5" customHeight="1" x14ac:dyDescent="0.25">
      <c r="A318" s="30"/>
      <c r="B318" s="31" t="s">
        <v>853</v>
      </c>
      <c r="C318" s="32">
        <v>3940</v>
      </c>
      <c r="D318" s="33">
        <v>46093</v>
      </c>
      <c r="E318" s="33" t="s">
        <v>903</v>
      </c>
      <c r="F318" s="32" t="s">
        <v>35</v>
      </c>
      <c r="G318" s="32" t="s">
        <v>92</v>
      </c>
      <c r="H318" s="32" t="s">
        <v>848</v>
      </c>
      <c r="I318" s="32" t="s">
        <v>856</v>
      </c>
      <c r="J318" s="32" t="s">
        <v>843</v>
      </c>
      <c r="K318" s="33">
        <v>46246</v>
      </c>
      <c r="L318" s="34">
        <v>46246</v>
      </c>
      <c r="M318" s="32">
        <v>2026</v>
      </c>
      <c r="N318" s="32" t="s">
        <v>928</v>
      </c>
    </row>
    <row r="319" spans="1:14" ht="49.5" customHeight="1" x14ac:dyDescent="0.25">
      <c r="A319" s="30"/>
      <c r="B319" s="31" t="s">
        <v>904</v>
      </c>
      <c r="C319" s="32">
        <v>3745</v>
      </c>
      <c r="D319" s="33">
        <v>45866</v>
      </c>
      <c r="E319" s="33" t="s">
        <v>905</v>
      </c>
      <c r="F319" s="32" t="s">
        <v>846</v>
      </c>
      <c r="G319" s="32" t="s">
        <v>92</v>
      </c>
      <c r="H319" s="32" t="s">
        <v>848</v>
      </c>
      <c r="I319" s="32" t="s">
        <v>856</v>
      </c>
      <c r="J319" s="32" t="s">
        <v>849</v>
      </c>
      <c r="K319" s="33">
        <v>46246</v>
      </c>
      <c r="L319" s="34">
        <v>46253</v>
      </c>
      <c r="M319" s="32">
        <v>2026</v>
      </c>
      <c r="N319" s="32" t="s">
        <v>928</v>
      </c>
    </row>
    <row r="320" spans="1:14" ht="49.5" customHeight="1" x14ac:dyDescent="0.25">
      <c r="A320" s="30"/>
      <c r="B320" s="31" t="s">
        <v>854</v>
      </c>
      <c r="C320" s="32">
        <v>3882</v>
      </c>
      <c r="D320" s="33">
        <v>46037</v>
      </c>
      <c r="E320" s="33" t="s">
        <v>906</v>
      </c>
      <c r="F320" s="32" t="s">
        <v>846</v>
      </c>
      <c r="G320" s="32" t="s">
        <v>92</v>
      </c>
      <c r="H320" s="32" t="s">
        <v>848</v>
      </c>
      <c r="I320" s="32" t="s">
        <v>856</v>
      </c>
      <c r="J320" s="32" t="s">
        <v>843</v>
      </c>
      <c r="K320" s="33">
        <v>46245</v>
      </c>
      <c r="L320" s="34">
        <v>46245</v>
      </c>
      <c r="M320" s="32">
        <v>2026</v>
      </c>
      <c r="N320" s="32" t="s">
        <v>928</v>
      </c>
    </row>
    <row r="321" spans="1:14" ht="49.5" customHeight="1" x14ac:dyDescent="0.25">
      <c r="A321" s="30"/>
      <c r="B321" s="31" t="s">
        <v>907</v>
      </c>
      <c r="C321" s="32">
        <v>3873</v>
      </c>
      <c r="D321" s="33">
        <v>45995</v>
      </c>
      <c r="E321" s="33" t="s">
        <v>908</v>
      </c>
      <c r="F321" s="32" t="s">
        <v>846</v>
      </c>
      <c r="G321" s="32" t="s">
        <v>92</v>
      </c>
      <c r="H321" s="32" t="s">
        <v>861</v>
      </c>
      <c r="I321" s="32" t="s">
        <v>909</v>
      </c>
      <c r="J321" s="32" t="s">
        <v>849</v>
      </c>
      <c r="K321" s="33">
        <v>46245</v>
      </c>
      <c r="L321" s="34">
        <v>46245</v>
      </c>
      <c r="M321" s="32">
        <v>2026</v>
      </c>
      <c r="N321" s="32" t="s">
        <v>928</v>
      </c>
    </row>
    <row r="322" spans="1:14" ht="49.5" customHeight="1" x14ac:dyDescent="0.25">
      <c r="A322" s="30"/>
      <c r="B322" s="31" t="s">
        <v>910</v>
      </c>
      <c r="C322" s="32">
        <v>3993</v>
      </c>
      <c r="D322" s="33">
        <v>46212</v>
      </c>
      <c r="E322" s="33" t="s">
        <v>911</v>
      </c>
      <c r="F322" s="32" t="s">
        <v>846</v>
      </c>
      <c r="G322" s="32" t="s">
        <v>92</v>
      </c>
      <c r="H322" s="32" t="s">
        <v>848</v>
      </c>
      <c r="I322" s="32" t="s">
        <v>856</v>
      </c>
      <c r="J322" s="32" t="s">
        <v>843</v>
      </c>
      <c r="K322" s="33">
        <v>46245</v>
      </c>
      <c r="L322" s="34">
        <v>46245</v>
      </c>
      <c r="M322" s="32">
        <v>2026</v>
      </c>
      <c r="N322" s="32" t="s">
        <v>928</v>
      </c>
    </row>
    <row r="323" spans="1:14" ht="49.5" customHeight="1" x14ac:dyDescent="0.25">
      <c r="A323" s="30"/>
      <c r="B323" s="31" t="s">
        <v>845</v>
      </c>
      <c r="C323" s="32">
        <v>3865</v>
      </c>
      <c r="D323" s="33">
        <v>46360</v>
      </c>
      <c r="E323" s="33" t="s">
        <v>912</v>
      </c>
      <c r="F323" s="32" t="s">
        <v>846</v>
      </c>
      <c r="G323" s="32" t="s">
        <v>92</v>
      </c>
      <c r="H323" s="32" t="s">
        <v>848</v>
      </c>
      <c r="I323" s="32" t="s">
        <v>856</v>
      </c>
      <c r="J323" s="32" t="s">
        <v>843</v>
      </c>
      <c r="K323" s="33">
        <v>46245</v>
      </c>
      <c r="L323" s="34">
        <v>46245</v>
      </c>
      <c r="M323" s="32">
        <v>2026</v>
      </c>
      <c r="N323" s="32" t="s">
        <v>928</v>
      </c>
    </row>
    <row r="324" spans="1:14" ht="49.5" customHeight="1" x14ac:dyDescent="0.25">
      <c r="A324" s="30"/>
      <c r="B324" s="31" t="s">
        <v>913</v>
      </c>
      <c r="C324" s="32">
        <v>3671</v>
      </c>
      <c r="D324" s="33">
        <v>45813</v>
      </c>
      <c r="E324" s="33" t="s">
        <v>914</v>
      </c>
      <c r="F324" s="32" t="s">
        <v>846</v>
      </c>
      <c r="G324" s="32" t="s">
        <v>92</v>
      </c>
      <c r="H324" s="32" t="s">
        <v>848</v>
      </c>
      <c r="I324" s="32" t="s">
        <v>856</v>
      </c>
      <c r="J324" s="32" t="s">
        <v>843</v>
      </c>
      <c r="K324" s="33">
        <v>46245</v>
      </c>
      <c r="L324" s="34">
        <v>46245</v>
      </c>
      <c r="M324" s="32">
        <v>2026</v>
      </c>
      <c r="N324" s="32" t="s">
        <v>928</v>
      </c>
    </row>
    <row r="325" spans="1:14" ht="49.5" customHeight="1" x14ac:dyDescent="0.25">
      <c r="A325" s="30"/>
      <c r="B325" s="31" t="s">
        <v>915</v>
      </c>
      <c r="C325" s="32">
        <v>3999</v>
      </c>
      <c r="D325" s="33">
        <v>46212</v>
      </c>
      <c r="E325" s="33" t="s">
        <v>896</v>
      </c>
      <c r="F325" s="32" t="s">
        <v>35</v>
      </c>
      <c r="G325" s="32" t="s">
        <v>92</v>
      </c>
      <c r="H325" s="32" t="s">
        <v>861</v>
      </c>
      <c r="I325" s="32" t="s">
        <v>909</v>
      </c>
      <c r="J325" s="32" t="s">
        <v>849</v>
      </c>
      <c r="K325" s="33">
        <v>46244</v>
      </c>
      <c r="L325" s="34">
        <v>46235</v>
      </c>
      <c r="M325" s="32">
        <v>2026</v>
      </c>
      <c r="N325" s="32" t="s">
        <v>928</v>
      </c>
    </row>
    <row r="326" spans="1:14" ht="49.5" customHeight="1" x14ac:dyDescent="0.25">
      <c r="A326" s="30"/>
      <c r="B326" s="31" t="s">
        <v>916</v>
      </c>
      <c r="C326" s="32">
        <v>3998</v>
      </c>
      <c r="D326" s="33">
        <v>46212</v>
      </c>
      <c r="E326" s="33" t="s">
        <v>911</v>
      </c>
      <c r="F326" s="32" t="s">
        <v>35</v>
      </c>
      <c r="G326" s="32" t="s">
        <v>92</v>
      </c>
      <c r="H326" s="32" t="s">
        <v>861</v>
      </c>
      <c r="I326" s="32" t="s">
        <v>909</v>
      </c>
      <c r="J326" s="32" t="s">
        <v>849</v>
      </c>
      <c r="K326" s="33">
        <v>46244</v>
      </c>
      <c r="L326" s="34">
        <v>46235</v>
      </c>
      <c r="M326" s="32">
        <v>2026</v>
      </c>
      <c r="N326" s="32" t="s">
        <v>928</v>
      </c>
    </row>
    <row r="327" spans="1:14" ht="49.5" customHeight="1" x14ac:dyDescent="0.25">
      <c r="A327" s="30"/>
      <c r="B327" s="31" t="s">
        <v>850</v>
      </c>
      <c r="C327" s="32">
        <v>3956</v>
      </c>
      <c r="D327" s="33">
        <v>46150</v>
      </c>
      <c r="E327" s="33" t="s">
        <v>917</v>
      </c>
      <c r="F327" s="32" t="s">
        <v>35</v>
      </c>
      <c r="G327" s="32" t="s">
        <v>92</v>
      </c>
      <c r="H327" s="32" t="s">
        <v>861</v>
      </c>
      <c r="I327" s="32" t="s">
        <v>909</v>
      </c>
      <c r="J327" s="32" t="s">
        <v>849</v>
      </c>
      <c r="K327" s="33">
        <v>46244</v>
      </c>
      <c r="L327" s="34">
        <v>46235</v>
      </c>
      <c r="M327" s="32">
        <v>2026</v>
      </c>
      <c r="N327" s="32" t="s">
        <v>928</v>
      </c>
    </row>
    <row r="328" spans="1:14" ht="49.5" customHeight="1" x14ac:dyDescent="0.25">
      <c r="A328" s="30"/>
      <c r="B328" s="31" t="s">
        <v>918</v>
      </c>
      <c r="C328" s="32">
        <v>3734</v>
      </c>
      <c r="D328" s="33">
        <v>46231</v>
      </c>
      <c r="E328" s="33" t="s">
        <v>899</v>
      </c>
      <c r="F328" s="32" t="s">
        <v>35</v>
      </c>
      <c r="G328" s="32" t="s">
        <v>847</v>
      </c>
      <c r="H328" s="32" t="s">
        <v>37</v>
      </c>
      <c r="I328" s="32" t="s">
        <v>909</v>
      </c>
      <c r="J328" s="32" t="s">
        <v>849</v>
      </c>
      <c r="K328" s="33">
        <v>46244</v>
      </c>
      <c r="L328" s="34">
        <v>46235</v>
      </c>
      <c r="M328" s="32">
        <v>2026</v>
      </c>
      <c r="N328" s="32" t="s">
        <v>928</v>
      </c>
    </row>
    <row r="329" spans="1:14" ht="49.5" customHeight="1" x14ac:dyDescent="0.25">
      <c r="A329" s="30"/>
      <c r="B329" s="31" t="s">
        <v>919</v>
      </c>
      <c r="C329" s="32">
        <v>3514</v>
      </c>
      <c r="D329" s="33">
        <v>45603</v>
      </c>
      <c r="E329" s="33" t="s">
        <v>920</v>
      </c>
      <c r="F329" s="32" t="s">
        <v>35</v>
      </c>
      <c r="G329" s="32" t="s">
        <v>92</v>
      </c>
      <c r="H329" s="32" t="s">
        <v>37</v>
      </c>
      <c r="I329" s="32" t="s">
        <v>909</v>
      </c>
      <c r="J329" s="32" t="s">
        <v>849</v>
      </c>
      <c r="K329" s="33">
        <v>46244</v>
      </c>
      <c r="L329" s="34">
        <v>46235</v>
      </c>
      <c r="M329" s="32">
        <v>2026</v>
      </c>
      <c r="N329" s="32" t="s">
        <v>928</v>
      </c>
    </row>
    <row r="330" spans="1:14" ht="49.5" customHeight="1" x14ac:dyDescent="0.25">
      <c r="A330" s="30"/>
      <c r="B330" s="31" t="s">
        <v>921</v>
      </c>
      <c r="C330" s="32">
        <v>3028</v>
      </c>
      <c r="D330" s="33">
        <v>44896</v>
      </c>
      <c r="E330" s="33" t="s">
        <v>922</v>
      </c>
      <c r="F330" s="32" t="s">
        <v>35</v>
      </c>
      <c r="G330" s="32" t="s">
        <v>92</v>
      </c>
      <c r="H330" s="32" t="s">
        <v>37</v>
      </c>
      <c r="I330" s="32" t="s">
        <v>909</v>
      </c>
      <c r="J330" s="32" t="s">
        <v>849</v>
      </c>
      <c r="K330" s="33">
        <v>46244</v>
      </c>
      <c r="L330" s="34">
        <v>46235</v>
      </c>
      <c r="M330" s="32">
        <v>2026</v>
      </c>
      <c r="N330" s="32" t="s">
        <v>928</v>
      </c>
    </row>
    <row r="331" spans="1:14" ht="49.5" customHeight="1" x14ac:dyDescent="0.25">
      <c r="A331" s="30"/>
      <c r="B331" s="31" t="s">
        <v>923</v>
      </c>
      <c r="C331" s="32">
        <v>3948</v>
      </c>
      <c r="D331" s="33">
        <v>46114</v>
      </c>
      <c r="E331" s="33" t="s">
        <v>924</v>
      </c>
      <c r="F331" s="32" t="s">
        <v>35</v>
      </c>
      <c r="G331" s="32" t="s">
        <v>925</v>
      </c>
      <c r="H331" s="32" t="s">
        <v>848</v>
      </c>
      <c r="I331" s="32" t="s">
        <v>856</v>
      </c>
      <c r="J331" s="32" t="s">
        <v>843</v>
      </c>
      <c r="K331" s="33">
        <v>46252</v>
      </c>
      <c r="L331" s="34">
        <v>46235</v>
      </c>
      <c r="M331" s="32">
        <v>2026</v>
      </c>
      <c r="N331" s="32" t="s">
        <v>928</v>
      </c>
    </row>
    <row r="332" spans="1:14" x14ac:dyDescent="0.25">
      <c r="A332" s="30"/>
      <c r="B332" s="31" t="s">
        <v>844</v>
      </c>
      <c r="C332" s="32">
        <v>3844</v>
      </c>
      <c r="D332" s="33">
        <v>45995</v>
      </c>
      <c r="E332" s="33" t="s">
        <v>912</v>
      </c>
      <c r="F332" s="32" t="s">
        <v>35</v>
      </c>
      <c r="G332" s="32" t="s">
        <v>92</v>
      </c>
      <c r="H332" s="32" t="s">
        <v>848</v>
      </c>
      <c r="I332" s="32" t="s">
        <v>856</v>
      </c>
      <c r="J332" s="32" t="s">
        <v>843</v>
      </c>
      <c r="K332" s="33">
        <v>46252</v>
      </c>
      <c r="L332" s="34">
        <v>46235</v>
      </c>
      <c r="M332" s="32">
        <v>2026</v>
      </c>
      <c r="N332" s="32" t="s">
        <v>928</v>
      </c>
    </row>
    <row r="333" spans="1:14" ht="49.5" customHeight="1" x14ac:dyDescent="0.25">
      <c r="A333" s="30"/>
      <c r="B333" s="31" t="s">
        <v>926</v>
      </c>
      <c r="C333" s="32">
        <v>3971</v>
      </c>
      <c r="D333" s="33">
        <v>46178</v>
      </c>
      <c r="E333" s="33" t="s">
        <v>927</v>
      </c>
      <c r="F333" s="32" t="s">
        <v>35</v>
      </c>
      <c r="G333" s="32" t="s">
        <v>847</v>
      </c>
      <c r="H333" s="32" t="s">
        <v>848</v>
      </c>
      <c r="I333" s="32" t="s">
        <v>856</v>
      </c>
      <c r="J333" s="32" t="s">
        <v>849</v>
      </c>
      <c r="K333" s="33">
        <v>46247</v>
      </c>
      <c r="L333" s="34">
        <v>46235</v>
      </c>
      <c r="M333" s="32">
        <v>2026</v>
      </c>
      <c r="N333" s="32" t="s">
        <v>928</v>
      </c>
    </row>
    <row r="334" spans="1:14" ht="49.5" customHeight="1" x14ac:dyDescent="0.25">
      <c r="A334" s="30"/>
      <c r="B334" s="31"/>
      <c r="C334" s="32"/>
      <c r="D334" s="33"/>
      <c r="E334" s="33"/>
      <c r="F334" s="32"/>
      <c r="G334" s="32"/>
      <c r="H334" s="32"/>
      <c r="I334" s="32"/>
      <c r="J334" s="32"/>
      <c r="K334" s="33"/>
      <c r="L334" s="34"/>
      <c r="M334" s="32"/>
      <c r="N334" s="32"/>
    </row>
    <row r="335" spans="1:14" ht="49.5" customHeight="1" x14ac:dyDescent="0.25">
      <c r="A335" s="30"/>
      <c r="B335" s="31"/>
      <c r="C335" s="32"/>
      <c r="D335" s="33"/>
      <c r="E335" s="33"/>
      <c r="F335" s="32"/>
      <c r="G335" s="32"/>
      <c r="H335" s="32"/>
      <c r="I335" s="32"/>
      <c r="J335" s="32"/>
      <c r="K335" s="33"/>
      <c r="L335" s="34"/>
      <c r="M335" s="32"/>
      <c r="N335" s="32"/>
    </row>
    <row r="336" spans="1:14" ht="49.5" customHeight="1" x14ac:dyDescent="0.25">
      <c r="A336" s="30"/>
      <c r="B336" s="31"/>
      <c r="C336" s="32"/>
      <c r="D336" s="33"/>
      <c r="E336" s="33"/>
      <c r="F336" s="32"/>
      <c r="G336" s="32"/>
      <c r="H336" s="32"/>
      <c r="I336" s="32"/>
      <c r="J336" s="32"/>
      <c r="K336" s="33"/>
      <c r="L336" s="34"/>
      <c r="M336" s="32"/>
      <c r="N336" s="32"/>
    </row>
    <row r="337" spans="1:14" ht="49.5" customHeight="1" x14ac:dyDescent="0.25">
      <c r="A337" s="30"/>
      <c r="B337" s="31"/>
      <c r="C337" s="32"/>
      <c r="D337" s="33"/>
      <c r="E337" s="33"/>
      <c r="F337" s="32"/>
      <c r="G337" s="32"/>
      <c r="H337" s="32"/>
      <c r="I337" s="32"/>
      <c r="J337" s="32"/>
      <c r="K337" s="33"/>
      <c r="L337" s="34"/>
      <c r="M337" s="32"/>
      <c r="N337" s="32"/>
    </row>
    <row r="338" spans="1:14" ht="49.5" customHeight="1" x14ac:dyDescent="0.25">
      <c r="A338" s="30"/>
      <c r="B338" s="31"/>
      <c r="C338" s="32"/>
      <c r="D338" s="33"/>
      <c r="E338" s="33"/>
      <c r="F338" s="32"/>
      <c r="G338" s="32"/>
      <c r="H338" s="32"/>
      <c r="I338" s="32"/>
      <c r="J338" s="32"/>
      <c r="K338" s="33"/>
      <c r="L338" s="34"/>
      <c r="M338" s="32"/>
      <c r="N338" s="32"/>
    </row>
    <row r="339" spans="1:14" ht="49.5" customHeight="1" x14ac:dyDescent="0.25">
      <c r="A339" s="30"/>
      <c r="B339" s="31"/>
      <c r="C339" s="32"/>
      <c r="D339" s="33"/>
      <c r="E339" s="33"/>
      <c r="F339" s="32"/>
      <c r="G339" s="32"/>
      <c r="H339" s="32"/>
      <c r="I339" s="32"/>
      <c r="J339" s="32"/>
      <c r="K339" s="33"/>
      <c r="L339" s="34"/>
      <c r="M339" s="32"/>
      <c r="N339" s="32"/>
    </row>
    <row r="340" spans="1:14" ht="49.5" customHeight="1" x14ac:dyDescent="0.25">
      <c r="A340" s="30"/>
      <c r="B340" s="31"/>
      <c r="C340" s="32"/>
      <c r="D340" s="33"/>
      <c r="E340" s="33"/>
      <c r="F340" s="32"/>
      <c r="G340" s="32"/>
      <c r="H340" s="32"/>
      <c r="I340" s="32"/>
      <c r="J340" s="32"/>
      <c r="K340" s="33"/>
      <c r="L340" s="34"/>
      <c r="M340" s="32"/>
      <c r="N340" s="32"/>
    </row>
    <row r="341" spans="1:14" ht="49.5" customHeight="1" x14ac:dyDescent="0.25">
      <c r="A341" s="30"/>
      <c r="B341" s="31"/>
      <c r="C341" s="32"/>
      <c r="D341" s="33"/>
      <c r="E341" s="33"/>
      <c r="F341" s="32"/>
      <c r="G341" s="32"/>
      <c r="H341" s="32"/>
      <c r="I341" s="32"/>
      <c r="J341" s="32"/>
      <c r="K341" s="33"/>
      <c r="L341" s="34"/>
      <c r="M341" s="32"/>
      <c r="N341" s="32"/>
    </row>
    <row r="342" spans="1:14" ht="49.5" customHeight="1" x14ac:dyDescent="0.25">
      <c r="A342" s="30"/>
      <c r="B342" s="31"/>
      <c r="C342" s="32"/>
      <c r="D342" s="33"/>
      <c r="E342" s="33"/>
      <c r="F342" s="32"/>
      <c r="G342" s="32"/>
      <c r="H342" s="32"/>
      <c r="I342" s="32"/>
      <c r="J342" s="32"/>
      <c r="K342" s="33"/>
      <c r="L342" s="34"/>
      <c r="M342" s="32"/>
      <c r="N342" s="32"/>
    </row>
    <row r="343" spans="1:14" ht="49.5" customHeight="1" x14ac:dyDescent="0.25">
      <c r="A343" s="30"/>
      <c r="B343" s="31"/>
      <c r="C343" s="32"/>
      <c r="D343" s="33"/>
      <c r="E343" s="33"/>
      <c r="F343" s="32"/>
      <c r="G343" s="32"/>
      <c r="H343" s="32"/>
      <c r="I343" s="32"/>
      <c r="J343" s="32"/>
      <c r="K343" s="33"/>
      <c r="L343" s="34"/>
      <c r="M343" s="32"/>
      <c r="N343" s="32"/>
    </row>
    <row r="344" spans="1:14" ht="49.5" customHeight="1" x14ac:dyDescent="0.25">
      <c r="A344" s="30"/>
      <c r="B344" s="31"/>
      <c r="C344" s="32"/>
      <c r="D344" s="33"/>
      <c r="E344" s="33"/>
      <c r="F344" s="32"/>
      <c r="G344" s="32"/>
      <c r="H344" s="32"/>
      <c r="I344" s="32"/>
      <c r="J344" s="32"/>
      <c r="K344" s="33"/>
      <c r="L344" s="34"/>
      <c r="M344" s="32"/>
      <c r="N344" s="32"/>
    </row>
    <row r="345" spans="1:14" ht="49.5" customHeight="1" x14ac:dyDescent="0.25">
      <c r="A345" s="30"/>
      <c r="B345" s="31"/>
      <c r="C345" s="32"/>
      <c r="D345" s="33"/>
      <c r="E345" s="33"/>
      <c r="F345" s="32"/>
      <c r="G345" s="32"/>
      <c r="H345" s="32"/>
      <c r="I345" s="32"/>
      <c r="J345" s="32"/>
      <c r="K345" s="33"/>
      <c r="L345" s="34"/>
      <c r="M345" s="32"/>
      <c r="N345" s="32"/>
    </row>
    <row r="346" spans="1:14" ht="49.5" customHeight="1" x14ac:dyDescent="0.25">
      <c r="A346" s="30"/>
      <c r="B346" s="31"/>
      <c r="C346" s="32"/>
      <c r="D346" s="33"/>
      <c r="E346" s="33"/>
      <c r="F346" s="32"/>
      <c r="G346" s="32"/>
      <c r="H346" s="32"/>
      <c r="I346" s="32"/>
      <c r="J346" s="32"/>
      <c r="K346" s="33"/>
      <c r="L346" s="34"/>
      <c r="M346" s="32"/>
      <c r="N346" s="32"/>
    </row>
    <row r="347" spans="1:14" ht="49.5" customHeight="1" x14ac:dyDescent="0.25">
      <c r="A347" s="30"/>
      <c r="B347" s="31"/>
      <c r="C347" s="32"/>
      <c r="D347" s="33"/>
      <c r="E347" s="33"/>
      <c r="F347" s="32"/>
      <c r="G347" s="32"/>
      <c r="H347" s="32"/>
      <c r="I347" s="32"/>
      <c r="J347" s="32"/>
      <c r="K347" s="33"/>
      <c r="L347" s="34"/>
      <c r="M347" s="32"/>
      <c r="N347" s="32"/>
    </row>
    <row r="348" spans="1:14" ht="49.5" customHeight="1" x14ac:dyDescent="0.25">
      <c r="A348" s="30"/>
      <c r="B348" s="31"/>
      <c r="C348" s="32"/>
      <c r="D348" s="33"/>
      <c r="E348" s="33"/>
      <c r="F348" s="32"/>
      <c r="G348" s="32"/>
      <c r="H348" s="32"/>
      <c r="I348" s="32"/>
      <c r="J348" s="32"/>
      <c r="K348" s="33"/>
      <c r="L348" s="34"/>
      <c r="M348" s="32"/>
      <c r="N348" s="32"/>
    </row>
    <row r="349" spans="1:14" ht="49.5" customHeight="1" x14ac:dyDescent="0.25">
      <c r="A349" s="30"/>
      <c r="B349" s="31"/>
      <c r="C349" s="32"/>
      <c r="D349" s="33"/>
      <c r="E349" s="33"/>
      <c r="F349" s="32"/>
      <c r="G349" s="32"/>
      <c r="H349" s="32"/>
      <c r="I349" s="32"/>
      <c r="J349" s="32"/>
      <c r="K349" s="33"/>
      <c r="L349" s="34"/>
      <c r="M349" s="32"/>
      <c r="N349" s="32"/>
    </row>
    <row r="350" spans="1:14" ht="49.5" customHeight="1" x14ac:dyDescent="0.25">
      <c r="A350" s="30"/>
      <c r="B350" s="31"/>
      <c r="C350" s="32"/>
      <c r="D350" s="33"/>
      <c r="E350" s="33"/>
      <c r="F350" s="32"/>
      <c r="G350" s="32"/>
      <c r="H350" s="32"/>
      <c r="I350" s="32"/>
      <c r="J350" s="32"/>
      <c r="K350" s="33"/>
      <c r="L350" s="34"/>
      <c r="M350" s="32"/>
      <c r="N350" s="32"/>
    </row>
    <row r="351" spans="1:14" ht="49.5" customHeight="1" x14ac:dyDescent="0.25">
      <c r="A351" s="30"/>
      <c r="B351" s="31"/>
      <c r="C351" s="32"/>
      <c r="D351" s="33"/>
      <c r="E351" s="33"/>
      <c r="F351" s="32"/>
      <c r="G351" s="32"/>
      <c r="H351" s="32"/>
      <c r="I351" s="32"/>
      <c r="J351" s="32"/>
      <c r="K351" s="33"/>
      <c r="L351" s="34"/>
      <c r="M351" s="32"/>
      <c r="N351" s="32"/>
    </row>
    <row r="352" spans="1:14" ht="49.5" customHeight="1" x14ac:dyDescent="0.25">
      <c r="A352" s="30"/>
      <c r="B352" s="31"/>
      <c r="C352" s="32"/>
      <c r="D352" s="33"/>
      <c r="E352" s="33"/>
      <c r="F352" s="32"/>
      <c r="G352" s="32"/>
      <c r="H352" s="32"/>
      <c r="I352" s="32"/>
      <c r="J352" s="32"/>
      <c r="K352" s="33"/>
      <c r="L352" s="34"/>
      <c r="M352" s="32"/>
      <c r="N352" s="32"/>
    </row>
    <row r="353" spans="1:14" ht="49.5" customHeight="1" x14ac:dyDescent="0.25">
      <c r="A353" s="30"/>
      <c r="B353" s="31"/>
      <c r="C353" s="32"/>
      <c r="D353" s="33"/>
      <c r="E353" s="33"/>
      <c r="F353" s="32"/>
      <c r="G353" s="32"/>
      <c r="H353" s="32"/>
      <c r="I353" s="32"/>
      <c r="J353" s="32"/>
      <c r="K353" s="33"/>
      <c r="L353" s="34"/>
      <c r="M353" s="32"/>
      <c r="N353" s="32"/>
    </row>
    <row r="354" spans="1:14" ht="49.5" customHeight="1" x14ac:dyDescent="0.25">
      <c r="A354" s="30"/>
      <c r="B354" s="31"/>
      <c r="C354" s="32"/>
      <c r="D354" s="33"/>
      <c r="E354" s="33"/>
      <c r="F354" s="32"/>
      <c r="G354" s="32"/>
      <c r="H354" s="32"/>
      <c r="I354" s="32"/>
      <c r="J354" s="32"/>
      <c r="K354" s="33"/>
      <c r="L354" s="34"/>
      <c r="M354" s="32"/>
      <c r="N354" s="32"/>
    </row>
    <row r="355" spans="1:14" ht="49.5" customHeight="1" x14ac:dyDescent="0.25">
      <c r="A355" s="30"/>
      <c r="B355" s="31"/>
      <c r="C355" s="32"/>
      <c r="D355" s="33"/>
      <c r="E355" s="33"/>
      <c r="F355" s="32"/>
      <c r="G355" s="32"/>
      <c r="H355" s="32"/>
      <c r="I355" s="32"/>
      <c r="J355" s="32"/>
      <c r="K355" s="33"/>
      <c r="L355" s="34"/>
      <c r="M355" s="32"/>
      <c r="N355" s="32"/>
    </row>
    <row r="356" spans="1:14" ht="49.5" customHeight="1" x14ac:dyDescent="0.25">
      <c r="A356" s="30"/>
      <c r="B356" s="31"/>
      <c r="C356" s="32"/>
      <c r="D356" s="33"/>
      <c r="E356" s="33"/>
      <c r="F356" s="32"/>
      <c r="G356" s="32"/>
      <c r="H356" s="32"/>
      <c r="I356" s="32"/>
      <c r="J356" s="32"/>
      <c r="K356" s="33"/>
      <c r="L356" s="34"/>
      <c r="M356" s="32"/>
      <c r="N356" s="32"/>
    </row>
    <row r="357" spans="1:14" ht="49.5" customHeight="1" x14ac:dyDescent="0.25">
      <c r="A357" s="30"/>
      <c r="B357" s="31"/>
      <c r="C357" s="32"/>
      <c r="D357" s="33"/>
      <c r="E357" s="33"/>
      <c r="F357" s="32"/>
      <c r="G357" s="32"/>
      <c r="H357" s="32"/>
      <c r="I357" s="32"/>
      <c r="J357" s="32"/>
      <c r="K357" s="33"/>
      <c r="L357" s="34"/>
      <c r="M357" s="32"/>
      <c r="N357" s="32"/>
    </row>
    <row r="358" spans="1:14" ht="49.5" customHeight="1" x14ac:dyDescent="0.25">
      <c r="A358" s="30"/>
      <c r="B358" s="31"/>
      <c r="C358" s="32"/>
      <c r="D358" s="33"/>
      <c r="E358" s="33"/>
      <c r="F358" s="32"/>
      <c r="G358" s="32"/>
      <c r="H358" s="32"/>
      <c r="I358" s="32"/>
      <c r="J358" s="32"/>
      <c r="K358" s="33"/>
      <c r="L358" s="34"/>
      <c r="M358" s="32"/>
      <c r="N358" s="32"/>
    </row>
    <row r="359" spans="1:14" ht="49.5" customHeight="1" x14ac:dyDescent="0.25">
      <c r="A359" s="30"/>
      <c r="B359" s="31"/>
      <c r="C359" s="32"/>
      <c r="D359" s="33"/>
      <c r="E359" s="33"/>
      <c r="F359" s="32"/>
      <c r="G359" s="32"/>
      <c r="H359" s="32"/>
      <c r="I359" s="32"/>
      <c r="J359" s="32"/>
      <c r="K359" s="33"/>
      <c r="L359" s="34"/>
      <c r="M359" s="32"/>
      <c r="N359" s="32"/>
    </row>
    <row r="360" spans="1:14" ht="49.5" customHeight="1" x14ac:dyDescent="0.25">
      <c r="A360" s="30"/>
      <c r="B360" s="31"/>
      <c r="C360" s="32"/>
      <c r="D360" s="33"/>
      <c r="E360" s="33"/>
      <c r="F360" s="32"/>
      <c r="G360" s="32"/>
      <c r="H360" s="32"/>
      <c r="I360" s="32"/>
      <c r="J360" s="32"/>
      <c r="K360" s="33"/>
      <c r="L360" s="34"/>
      <c r="M360" s="32"/>
      <c r="N360" s="32"/>
    </row>
    <row r="361" spans="1:14" ht="49.5" customHeight="1" x14ac:dyDescent="0.25">
      <c r="A361" s="30"/>
      <c r="B361" s="31"/>
      <c r="C361" s="32"/>
      <c r="D361" s="33"/>
      <c r="E361" s="33"/>
      <c r="F361" s="32"/>
      <c r="G361" s="32"/>
      <c r="H361" s="32"/>
      <c r="I361" s="32"/>
      <c r="J361" s="32"/>
      <c r="K361" s="33"/>
      <c r="L361" s="34"/>
      <c r="M361" s="32"/>
      <c r="N361" s="32"/>
    </row>
    <row r="362" spans="1:14" ht="49.5" customHeight="1" x14ac:dyDescent="0.25">
      <c r="A362" s="30"/>
      <c r="B362" s="31"/>
      <c r="C362" s="32"/>
      <c r="D362" s="33"/>
      <c r="E362" s="33"/>
      <c r="F362" s="32"/>
      <c r="G362" s="32"/>
      <c r="H362" s="32"/>
      <c r="I362" s="32"/>
      <c r="J362" s="32"/>
      <c r="K362" s="33"/>
      <c r="L362" s="34"/>
      <c r="M362" s="32"/>
      <c r="N362" s="32"/>
    </row>
    <row r="363" spans="1:14" ht="49.5" customHeight="1" x14ac:dyDescent="0.25">
      <c r="A363" s="30"/>
      <c r="B363" s="31"/>
      <c r="C363" s="32"/>
      <c r="D363" s="33"/>
      <c r="E363" s="33"/>
      <c r="F363" s="32"/>
      <c r="G363" s="32"/>
      <c r="H363" s="32"/>
      <c r="I363" s="32"/>
      <c r="J363" s="32"/>
      <c r="K363" s="33"/>
      <c r="L363" s="34"/>
      <c r="M363" s="32"/>
      <c r="N363" s="32"/>
    </row>
    <row r="364" spans="1:14" ht="49.5" customHeight="1" x14ac:dyDescent="0.25">
      <c r="A364" s="30"/>
      <c r="B364" s="31"/>
      <c r="C364" s="32"/>
      <c r="D364" s="33"/>
      <c r="E364" s="33"/>
      <c r="F364" s="32"/>
      <c r="G364" s="32"/>
      <c r="H364" s="32"/>
      <c r="I364" s="32"/>
      <c r="J364" s="32"/>
      <c r="K364" s="33"/>
      <c r="L364" s="34"/>
      <c r="M364" s="32"/>
      <c r="N364" s="32"/>
    </row>
    <row r="365" spans="1:14" ht="49.5" customHeight="1" x14ac:dyDescent="0.25">
      <c r="A365" s="30"/>
      <c r="B365" s="31"/>
      <c r="C365" s="32"/>
      <c r="D365" s="33"/>
      <c r="E365" s="33"/>
      <c r="F365" s="32"/>
      <c r="G365" s="32"/>
      <c r="H365" s="32"/>
      <c r="I365" s="32"/>
      <c r="J365" s="32"/>
      <c r="K365" s="33"/>
      <c r="L365" s="34"/>
      <c r="M365" s="32"/>
      <c r="N365" s="32"/>
    </row>
    <row r="366" spans="1:14" ht="49.5" customHeight="1" x14ac:dyDescent="0.25">
      <c r="A366" s="30"/>
      <c r="B366" s="31"/>
      <c r="C366" s="32"/>
      <c r="D366" s="33"/>
      <c r="E366" s="33"/>
      <c r="F366" s="32"/>
      <c r="G366" s="32"/>
      <c r="H366" s="32"/>
      <c r="I366" s="32"/>
      <c r="J366" s="32"/>
      <c r="K366" s="33"/>
      <c r="L366" s="34"/>
      <c r="M366" s="32"/>
      <c r="N366" s="32"/>
    </row>
    <row r="367" spans="1:14" ht="49.5" customHeight="1" x14ac:dyDescent="0.25">
      <c r="A367" s="30"/>
      <c r="B367" s="31"/>
      <c r="C367" s="32"/>
      <c r="D367" s="33"/>
      <c r="E367" s="33"/>
      <c r="F367" s="32"/>
      <c r="G367" s="32"/>
      <c r="H367" s="32"/>
      <c r="I367" s="32"/>
      <c r="J367" s="32"/>
      <c r="K367" s="33"/>
      <c r="L367" s="34"/>
      <c r="M367" s="32"/>
      <c r="N367" s="32"/>
    </row>
    <row r="368" spans="1:14" ht="49.5" customHeight="1" x14ac:dyDescent="0.25">
      <c r="A368" s="30"/>
      <c r="B368" s="31"/>
      <c r="C368" s="32"/>
      <c r="D368" s="33"/>
      <c r="E368" s="33"/>
      <c r="F368" s="32"/>
      <c r="G368" s="32"/>
      <c r="H368" s="32"/>
      <c r="I368" s="32"/>
      <c r="J368" s="32"/>
      <c r="K368" s="33"/>
      <c r="L368" s="34"/>
      <c r="M368" s="32"/>
      <c r="N368" s="32"/>
    </row>
    <row r="369" spans="1:14" ht="49.5" customHeight="1" x14ac:dyDescent="0.25">
      <c r="A369" s="30"/>
      <c r="B369" s="31"/>
      <c r="C369" s="32"/>
      <c r="D369" s="33"/>
      <c r="E369" s="33"/>
      <c r="F369" s="32"/>
      <c r="G369" s="32"/>
      <c r="H369" s="32"/>
      <c r="I369" s="32"/>
      <c r="J369" s="32"/>
      <c r="K369" s="33"/>
      <c r="L369" s="34"/>
      <c r="M369" s="32"/>
      <c r="N369" s="32"/>
    </row>
    <row r="370" spans="1:14" ht="49.5" customHeight="1" x14ac:dyDescent="0.25">
      <c r="A370" s="30"/>
      <c r="B370" s="31"/>
      <c r="C370" s="32"/>
      <c r="D370" s="33"/>
      <c r="E370" s="33"/>
      <c r="F370" s="32"/>
      <c r="G370" s="32"/>
      <c r="H370" s="32"/>
      <c r="I370" s="32"/>
      <c r="J370" s="32"/>
      <c r="K370" s="33"/>
      <c r="L370" s="34"/>
      <c r="M370" s="32"/>
      <c r="N370" s="32"/>
    </row>
    <row r="371" spans="1:14" ht="49.5" customHeight="1" x14ac:dyDescent="0.25">
      <c r="A371" s="30"/>
      <c r="B371" s="31"/>
      <c r="C371" s="32"/>
      <c r="D371" s="33"/>
      <c r="E371" s="33"/>
      <c r="F371" s="32"/>
      <c r="G371" s="32"/>
      <c r="H371" s="32"/>
      <c r="I371" s="32"/>
      <c r="J371" s="32"/>
      <c r="K371" s="33"/>
      <c r="L371" s="34"/>
      <c r="M371" s="32"/>
      <c r="N371" s="32"/>
    </row>
    <row r="372" spans="1:14" ht="49.5" customHeight="1" x14ac:dyDescent="0.25">
      <c r="A372" s="30"/>
      <c r="B372" s="31"/>
      <c r="C372" s="32"/>
      <c r="D372" s="33"/>
      <c r="E372" s="33"/>
      <c r="F372" s="32"/>
      <c r="G372" s="32"/>
      <c r="H372" s="32"/>
      <c r="I372" s="32"/>
      <c r="J372" s="32"/>
      <c r="K372" s="33"/>
      <c r="L372" s="34"/>
      <c r="M372" s="32"/>
      <c r="N372" s="32"/>
    </row>
    <row r="373" spans="1:14" ht="49.5" customHeight="1" x14ac:dyDescent="0.25">
      <c r="A373" s="30"/>
      <c r="B373" s="31"/>
      <c r="C373" s="32"/>
      <c r="D373" s="33"/>
      <c r="E373" s="33"/>
      <c r="F373" s="32"/>
      <c r="G373" s="32"/>
      <c r="H373" s="32"/>
      <c r="I373" s="32"/>
      <c r="J373" s="32"/>
      <c r="K373" s="33"/>
      <c r="L373" s="34"/>
      <c r="M373" s="32"/>
      <c r="N373" s="32"/>
    </row>
    <row r="374" spans="1:14" ht="49.5" customHeight="1" x14ac:dyDescent="0.25">
      <c r="A374" s="30"/>
      <c r="B374" s="31"/>
      <c r="C374" s="32"/>
      <c r="D374" s="33"/>
      <c r="E374" s="33"/>
      <c r="F374" s="32"/>
      <c r="G374" s="32"/>
      <c r="H374" s="32"/>
      <c r="I374" s="32"/>
      <c r="J374" s="32"/>
      <c r="K374" s="33"/>
      <c r="L374" s="34"/>
      <c r="M374" s="32"/>
      <c r="N374" s="32"/>
    </row>
    <row r="375" spans="1:14" ht="49.5" customHeight="1" x14ac:dyDescent="0.25">
      <c r="A375" s="30"/>
      <c r="B375" s="31"/>
      <c r="C375" s="32"/>
      <c r="D375" s="33"/>
      <c r="E375" s="33"/>
      <c r="F375" s="32"/>
      <c r="G375" s="32"/>
      <c r="H375" s="32"/>
      <c r="I375" s="32"/>
      <c r="J375" s="32"/>
      <c r="K375" s="33"/>
      <c r="L375" s="34"/>
      <c r="M375" s="32"/>
      <c r="N375" s="32"/>
    </row>
    <row r="376" spans="1:14" ht="49.5" customHeight="1" x14ac:dyDescent="0.25">
      <c r="A376" s="30"/>
      <c r="B376" s="31"/>
      <c r="C376" s="32"/>
      <c r="D376" s="33"/>
      <c r="E376" s="33"/>
      <c r="F376" s="32"/>
      <c r="G376" s="32"/>
      <c r="H376" s="32"/>
      <c r="I376" s="32"/>
      <c r="J376" s="32"/>
      <c r="K376" s="33"/>
      <c r="L376" s="34"/>
      <c r="M376" s="32"/>
      <c r="N376" s="32"/>
    </row>
    <row r="377" spans="1:14" ht="49.5" customHeight="1" x14ac:dyDescent="0.25">
      <c r="A377" s="30"/>
      <c r="B377" s="31"/>
      <c r="C377" s="32"/>
      <c r="D377" s="33"/>
      <c r="E377" s="33"/>
      <c r="F377" s="32"/>
      <c r="G377" s="32"/>
      <c r="H377" s="32"/>
      <c r="I377" s="32"/>
      <c r="J377" s="32"/>
      <c r="K377" s="33"/>
      <c r="L377" s="34"/>
      <c r="M377" s="32"/>
      <c r="N377" s="32"/>
    </row>
    <row r="378" spans="1:14" ht="49.5" customHeight="1" x14ac:dyDescent="0.25">
      <c r="A378" s="30"/>
      <c r="B378" s="31"/>
      <c r="C378" s="32"/>
      <c r="D378" s="33"/>
      <c r="E378" s="33"/>
      <c r="F378" s="32"/>
      <c r="G378" s="32"/>
      <c r="H378" s="32"/>
      <c r="I378" s="32"/>
      <c r="J378" s="32"/>
      <c r="K378" s="33"/>
      <c r="L378" s="34"/>
      <c r="M378" s="32"/>
      <c r="N378" s="32"/>
    </row>
    <row r="379" spans="1:14" ht="49.5" customHeight="1" x14ac:dyDescent="0.25">
      <c r="A379" s="30"/>
      <c r="B379" s="31"/>
      <c r="C379" s="32"/>
      <c r="D379" s="33"/>
      <c r="E379" s="33"/>
      <c r="F379" s="32"/>
      <c r="G379" s="32"/>
      <c r="H379" s="32"/>
      <c r="I379" s="32"/>
      <c r="J379" s="32"/>
      <c r="K379" s="33"/>
      <c r="L379" s="34"/>
      <c r="M379" s="32"/>
      <c r="N379" s="32"/>
    </row>
    <row r="380" spans="1:14" ht="49.5" customHeight="1" x14ac:dyDescent="0.25">
      <c r="A380" s="30"/>
      <c r="B380" s="31"/>
      <c r="C380" s="32"/>
      <c r="D380" s="33"/>
      <c r="E380" s="33"/>
      <c r="F380" s="32"/>
      <c r="G380" s="32"/>
      <c r="H380" s="32"/>
      <c r="I380" s="32"/>
      <c r="J380" s="32"/>
      <c r="K380" s="33"/>
      <c r="L380" s="34"/>
      <c r="M380" s="32"/>
      <c r="N380" s="32"/>
    </row>
    <row r="381" spans="1:14" ht="49.5" customHeight="1" x14ac:dyDescent="0.25">
      <c r="A381" s="30"/>
      <c r="B381" s="31"/>
      <c r="C381" s="32"/>
      <c r="D381" s="33"/>
      <c r="E381" s="33"/>
      <c r="F381" s="32"/>
      <c r="G381" s="32"/>
      <c r="H381" s="32"/>
      <c r="I381" s="32"/>
      <c r="J381" s="32"/>
      <c r="K381" s="33"/>
      <c r="L381" s="34"/>
      <c r="M381" s="32"/>
      <c r="N381" s="32"/>
    </row>
    <row r="382" spans="1:14" ht="49.5" customHeight="1" x14ac:dyDescent="0.25">
      <c r="A382" s="30"/>
      <c r="B382" s="31"/>
      <c r="C382" s="32"/>
      <c r="D382" s="33"/>
      <c r="E382" s="33"/>
      <c r="F382" s="32"/>
      <c r="G382" s="32"/>
      <c r="H382" s="32"/>
      <c r="I382" s="32"/>
      <c r="J382" s="32"/>
      <c r="K382" s="33"/>
      <c r="L382" s="34"/>
      <c r="M382" s="32"/>
      <c r="N382" s="32"/>
    </row>
    <row r="383" spans="1:14" ht="49.5" customHeight="1" x14ac:dyDescent="0.25">
      <c r="A383" s="30"/>
      <c r="B383" s="31"/>
      <c r="C383" s="32"/>
      <c r="D383" s="33"/>
      <c r="E383" s="33"/>
      <c r="F383" s="32"/>
      <c r="G383" s="32"/>
      <c r="H383" s="32"/>
      <c r="I383" s="32"/>
      <c r="J383" s="32"/>
      <c r="K383" s="33"/>
      <c r="L383" s="34"/>
      <c r="M383" s="32"/>
      <c r="N383" s="32"/>
    </row>
    <row r="384" spans="1:14" ht="49.5" customHeight="1" x14ac:dyDescent="0.25">
      <c r="A384" s="30"/>
      <c r="B384" s="31"/>
      <c r="C384" s="32"/>
      <c r="D384" s="33"/>
      <c r="E384" s="33"/>
      <c r="F384" s="32"/>
      <c r="G384" s="32"/>
      <c r="H384" s="32"/>
      <c r="I384" s="32"/>
      <c r="J384" s="32"/>
      <c r="K384" s="33"/>
      <c r="L384" s="34"/>
      <c r="M384" s="32"/>
      <c r="N384" s="32"/>
    </row>
    <row r="385" spans="1:14" ht="49.5" customHeight="1" x14ac:dyDescent="0.25">
      <c r="A385" s="30"/>
      <c r="B385" s="31"/>
      <c r="C385" s="32"/>
      <c r="D385" s="33"/>
      <c r="E385" s="33"/>
      <c r="F385" s="32"/>
      <c r="G385" s="32"/>
      <c r="H385" s="32"/>
      <c r="I385" s="32"/>
      <c r="J385" s="32"/>
      <c r="K385" s="33"/>
      <c r="L385" s="34"/>
      <c r="M385" s="32"/>
      <c r="N385" s="32"/>
    </row>
    <row r="386" spans="1:14" ht="49.5" customHeight="1" x14ac:dyDescent="0.25">
      <c r="A386" s="30"/>
      <c r="B386" s="31"/>
      <c r="C386" s="32"/>
      <c r="D386" s="33"/>
      <c r="E386" s="33"/>
      <c r="F386" s="32"/>
      <c r="G386" s="32"/>
      <c r="H386" s="32"/>
      <c r="I386" s="32"/>
      <c r="J386" s="32"/>
      <c r="K386" s="33"/>
      <c r="L386" s="34"/>
      <c r="M386" s="32"/>
      <c r="N386" s="32"/>
    </row>
    <row r="387" spans="1:14" ht="49.5" customHeight="1" x14ac:dyDescent="0.25">
      <c r="A387" s="30"/>
      <c r="B387" s="31"/>
      <c r="C387" s="32"/>
      <c r="D387" s="33"/>
      <c r="E387" s="33"/>
      <c r="F387" s="32"/>
      <c r="G387" s="32"/>
      <c r="H387" s="32"/>
      <c r="I387" s="32"/>
      <c r="J387" s="32"/>
      <c r="K387" s="33"/>
      <c r="L387" s="34"/>
      <c r="M387" s="32"/>
      <c r="N387" s="32"/>
    </row>
    <row r="388" spans="1:14" ht="49.5" customHeight="1" x14ac:dyDescent="0.25">
      <c r="A388" s="30"/>
      <c r="B388" s="31"/>
      <c r="C388" s="32"/>
      <c r="D388" s="33"/>
      <c r="E388" s="33"/>
      <c r="F388" s="32"/>
      <c r="G388" s="32"/>
      <c r="H388" s="32"/>
      <c r="I388" s="32"/>
      <c r="J388" s="32"/>
      <c r="K388" s="33"/>
      <c r="L388" s="34"/>
      <c r="M388" s="32"/>
      <c r="N388" s="32"/>
    </row>
  </sheetData>
  <autoFilter ref="A2:O333">
    <filterColumn colId="11">
      <customFilters>
        <customFilter operator="notEqual" val=" "/>
      </customFilters>
    </filterColumn>
  </autoFilter>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4</vt:i4>
      </vt:variant>
    </vt:vector>
  </HeadingPairs>
  <TitlesOfParts>
    <vt:vector size="4" baseType="lpstr">
      <vt:lpstr>DADOS FÓRMULA</vt:lpstr>
      <vt:lpstr>TAB. DINÂMICA</vt:lpstr>
      <vt:lpstr>ATIVOS</vt:lpstr>
      <vt:lpstr>PENALIDADES 2026</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2026-08-25T13:55:52Z</dcterms:modified>
  <cp:category/>
  <cp:contentStatus/>
</cp:coreProperties>
</file>